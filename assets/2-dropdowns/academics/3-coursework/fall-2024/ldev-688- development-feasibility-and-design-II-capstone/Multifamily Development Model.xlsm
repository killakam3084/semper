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22b577050e2e835/Documents/MLPD Masters Program/Fall 2024 - MLPD/FALL LDEV 688 700 DEV FEASIBILITY^0DSNII/Financial Analysis/"/>
    </mc:Choice>
  </mc:AlternateContent>
  <xr:revisionPtr revIDLastSave="754" documentId="8_{43AF6D00-3269-4095-B2FD-9296AA8993BE}" xr6:coauthVersionLast="47" xr6:coauthVersionMax="47" xr10:uidLastSave="{9CEF7B9F-7226-4EE3-9BE6-7D2BC651CDFF}"/>
  <bookViews>
    <workbookView xWindow="28680" yWindow="-120" windowWidth="29040" windowHeight="15720" tabRatio="923" xr2:uid="{00000000-000D-0000-FFFF-FFFF00000000}"/>
  </bookViews>
  <sheets>
    <sheet name="Dashboard" sheetId="1" r:id="rId1"/>
    <sheet name="Construction Budget" sheetId="7" r:id="rId2"/>
    <sheet name="Year-1 Proforma" sheetId="9" r:id="rId3"/>
    <sheet name="Tax Abatement" sheetId="57" r:id="rId4"/>
    <sheet name="Unit Mix" sheetId="8" r:id="rId5"/>
    <sheet name="RE Tax Abatement NPV" sheetId="22" r:id="rId6"/>
    <sheet name="Returns Summary" sheetId="55" r:id="rId7"/>
    <sheet name="Cash Flows--&gt;" sheetId="23" r:id="rId8"/>
    <sheet name="Monthly CF's" sheetId="10" r:id="rId9"/>
    <sheet name="Annual CF's (Fiscal Year)" sheetId="15" r:id="rId10"/>
    <sheet name="Annual CF's (Calendar Year)" sheetId="16" r:id="rId11"/>
    <sheet name="Waterfall I Annual" sheetId="19" r:id="rId12"/>
    <sheet name="Waterfall II Annual" sheetId="20" r:id="rId13"/>
    <sheet name="Waterfall III Annual" sheetId="29" r:id="rId14"/>
    <sheet name="Waterfall IV Annual" sheetId="27" r:id="rId15"/>
    <sheet name="Property Level Returns--&gt;" sheetId="43" r:id="rId16"/>
    <sheet name="Unlevered Return Calcs" sheetId="56" r:id="rId17"/>
    <sheet name="Property Level Return Calcs" sheetId="17" r:id="rId18"/>
    <sheet name="Consolidated--&gt;" sheetId="47" r:id="rId19"/>
    <sheet name="Summary" sheetId="46" r:id="rId20"/>
    <sheet name="Waterfall 2.0 Years" sheetId="48" r:id="rId21"/>
    <sheet name="Waterfall 3.0 Years" sheetId="49" r:id="rId22"/>
    <sheet name="Waterfall 4.0 Years" sheetId="50" r:id="rId23"/>
    <sheet name="Waterfall 5.0 Years" sheetId="51" r:id="rId24"/>
    <sheet name="Waterfall 6.0 Years" sheetId="52" r:id="rId25"/>
    <sheet name="AM Tables--&gt;" sheetId="24" r:id="rId26"/>
    <sheet name="AM Table - Construction Loan" sheetId="14" r:id="rId27"/>
    <sheet name="AM Table - Perm Loan" sheetId="13" r:id="rId28"/>
  </sheets>
  <definedNames>
    <definedName name="_____wrn1" localSheetId="16" hidden="1">{"schedule1",#N/A,FALSE,"Sheet1";"schedule2",#N/A,FALSE,"Sheet1";"schedule3",#N/A,FALSE,"Sheet1";"schedule4",#N/A,FALSE,"Sheet1";"schedule5",#N/A,FALSE,"Sheet1";"schedule6",#N/A,FALSE,"Sheet1"}</definedName>
    <definedName name="_____wrn1" localSheetId="20" hidden="1">{"schedule1",#N/A,FALSE,"Sheet1";"schedule2",#N/A,FALSE,"Sheet1";"schedule3",#N/A,FALSE,"Sheet1";"schedule4",#N/A,FALSE,"Sheet1";"schedule5",#N/A,FALSE,"Sheet1";"schedule6",#N/A,FALSE,"Sheet1"}</definedName>
    <definedName name="_____wrn1" localSheetId="21" hidden="1">{"schedule1",#N/A,FALSE,"Sheet1";"schedule2",#N/A,FALSE,"Sheet1";"schedule3",#N/A,FALSE,"Sheet1";"schedule4",#N/A,FALSE,"Sheet1";"schedule5",#N/A,FALSE,"Sheet1";"schedule6",#N/A,FALSE,"Sheet1"}</definedName>
    <definedName name="_____wrn1" localSheetId="22" hidden="1">{"schedule1",#N/A,FALSE,"Sheet1";"schedule2",#N/A,FALSE,"Sheet1";"schedule3",#N/A,FALSE,"Sheet1";"schedule4",#N/A,FALSE,"Sheet1";"schedule5",#N/A,FALSE,"Sheet1";"schedule6",#N/A,FALSE,"Sheet1"}</definedName>
    <definedName name="_____wrn1" localSheetId="23" hidden="1">{"schedule1",#N/A,FALSE,"Sheet1";"schedule2",#N/A,FALSE,"Sheet1";"schedule3",#N/A,FALSE,"Sheet1";"schedule4",#N/A,FALSE,"Sheet1";"schedule5",#N/A,FALSE,"Sheet1";"schedule6",#N/A,FALSE,"Sheet1"}</definedName>
    <definedName name="_____wrn1" localSheetId="24" hidden="1">{"schedule1",#N/A,FALSE,"Sheet1";"schedule2",#N/A,FALSE,"Sheet1";"schedule3",#N/A,FALSE,"Sheet1";"schedule4",#N/A,FALSE,"Sheet1";"schedule5",#N/A,FALSE,"Sheet1";"schedule6",#N/A,FALSE,"Sheet1"}</definedName>
    <definedName name="_____wrn1" localSheetId="13" hidden="1">{"schedule1",#N/A,FALSE,"Sheet1";"schedule2",#N/A,FALSE,"Sheet1";"schedule3",#N/A,FALSE,"Sheet1";"schedule4",#N/A,FALSE,"Sheet1";"schedule5",#N/A,FALSE,"Sheet1";"schedule6",#N/A,FALSE,"Sheet1"}</definedName>
    <definedName name="_____wrn1" localSheetId="14" hidden="1">{"schedule1",#N/A,FALSE,"Sheet1";"schedule2",#N/A,FALSE,"Sheet1";"schedule3",#N/A,FALSE,"Sheet1";"schedule4",#N/A,FALSE,"Sheet1";"schedule5",#N/A,FALSE,"Sheet1";"schedule6",#N/A,FALSE,"Sheet1"}</definedName>
    <definedName name="_____wrn1" hidden="1">{"schedule1",#N/A,FALSE,"Sheet1";"schedule2",#N/A,FALSE,"Sheet1";"schedule3",#N/A,FALSE,"Sheet1";"schedule4",#N/A,FALSE,"Sheet1";"schedule5",#N/A,FALSE,"Sheet1";"schedule6",#N/A,FALSE,"Sheet1"}</definedName>
    <definedName name="_____wrn1_1" localSheetId="16" hidden="1">{"schedule1",#N/A,FALSE,"Sheet1";"schedule2",#N/A,FALSE,"Sheet1";"schedule3",#N/A,FALSE,"Sheet1";"schedule4",#N/A,FALSE,"Sheet1";"schedule5",#N/A,FALSE,"Sheet1";"schedule6",#N/A,FALSE,"Sheet1"}</definedName>
    <definedName name="_____wrn1_1" localSheetId="20" hidden="1">{"schedule1",#N/A,FALSE,"Sheet1";"schedule2",#N/A,FALSE,"Sheet1";"schedule3",#N/A,FALSE,"Sheet1";"schedule4",#N/A,FALSE,"Sheet1";"schedule5",#N/A,FALSE,"Sheet1";"schedule6",#N/A,FALSE,"Sheet1"}</definedName>
    <definedName name="_____wrn1_1" localSheetId="21" hidden="1">{"schedule1",#N/A,FALSE,"Sheet1";"schedule2",#N/A,FALSE,"Sheet1";"schedule3",#N/A,FALSE,"Sheet1";"schedule4",#N/A,FALSE,"Sheet1";"schedule5",#N/A,FALSE,"Sheet1";"schedule6",#N/A,FALSE,"Sheet1"}</definedName>
    <definedName name="_____wrn1_1" localSheetId="22" hidden="1">{"schedule1",#N/A,FALSE,"Sheet1";"schedule2",#N/A,FALSE,"Sheet1";"schedule3",#N/A,FALSE,"Sheet1";"schedule4",#N/A,FALSE,"Sheet1";"schedule5",#N/A,FALSE,"Sheet1";"schedule6",#N/A,FALSE,"Sheet1"}</definedName>
    <definedName name="_____wrn1_1" localSheetId="23" hidden="1">{"schedule1",#N/A,FALSE,"Sheet1";"schedule2",#N/A,FALSE,"Sheet1";"schedule3",#N/A,FALSE,"Sheet1";"schedule4",#N/A,FALSE,"Sheet1";"schedule5",#N/A,FALSE,"Sheet1";"schedule6",#N/A,FALSE,"Sheet1"}</definedName>
    <definedName name="_____wrn1_1" localSheetId="24" hidden="1">{"schedule1",#N/A,FALSE,"Sheet1";"schedule2",#N/A,FALSE,"Sheet1";"schedule3",#N/A,FALSE,"Sheet1";"schedule4",#N/A,FALSE,"Sheet1";"schedule5",#N/A,FALSE,"Sheet1";"schedule6",#N/A,FALSE,"Sheet1"}</definedName>
    <definedName name="_____wrn1_1" localSheetId="13" hidden="1">{"schedule1",#N/A,FALSE,"Sheet1";"schedule2",#N/A,FALSE,"Sheet1";"schedule3",#N/A,FALSE,"Sheet1";"schedule4",#N/A,FALSE,"Sheet1";"schedule5",#N/A,FALSE,"Sheet1";"schedule6",#N/A,FALSE,"Sheet1"}</definedName>
    <definedName name="_____wrn1_1" localSheetId="14" hidden="1">{"schedule1",#N/A,FALSE,"Sheet1";"schedule2",#N/A,FALSE,"Sheet1";"schedule3",#N/A,FALSE,"Sheet1";"schedule4",#N/A,FALSE,"Sheet1";"schedule5",#N/A,FALSE,"Sheet1";"schedule6",#N/A,FALSE,"Sheet1"}</definedName>
    <definedName name="_____wrn1_1" hidden="1">{"schedule1",#N/A,FALSE,"Sheet1";"schedule2",#N/A,FALSE,"Sheet1";"schedule3",#N/A,FALSE,"Sheet1";"schedule4",#N/A,FALSE,"Sheet1";"schedule5",#N/A,FALSE,"Sheet1";"schedule6",#N/A,FALSE,"Sheet1"}</definedName>
    <definedName name="____wrn1" localSheetId="16" hidden="1">{"schedule1",#N/A,FALSE,"Sheet1";"schedule2",#N/A,FALSE,"Sheet1";"schedule3",#N/A,FALSE,"Sheet1";"schedule4",#N/A,FALSE,"Sheet1";"schedule5",#N/A,FALSE,"Sheet1";"schedule6",#N/A,FALSE,"Sheet1"}</definedName>
    <definedName name="____wrn1" localSheetId="20" hidden="1">{"schedule1",#N/A,FALSE,"Sheet1";"schedule2",#N/A,FALSE,"Sheet1";"schedule3",#N/A,FALSE,"Sheet1";"schedule4",#N/A,FALSE,"Sheet1";"schedule5",#N/A,FALSE,"Sheet1";"schedule6",#N/A,FALSE,"Sheet1"}</definedName>
    <definedName name="____wrn1" localSheetId="21" hidden="1">{"schedule1",#N/A,FALSE,"Sheet1";"schedule2",#N/A,FALSE,"Sheet1";"schedule3",#N/A,FALSE,"Sheet1";"schedule4",#N/A,FALSE,"Sheet1";"schedule5",#N/A,FALSE,"Sheet1";"schedule6",#N/A,FALSE,"Sheet1"}</definedName>
    <definedName name="____wrn1" localSheetId="22" hidden="1">{"schedule1",#N/A,FALSE,"Sheet1";"schedule2",#N/A,FALSE,"Sheet1";"schedule3",#N/A,FALSE,"Sheet1";"schedule4",#N/A,FALSE,"Sheet1";"schedule5",#N/A,FALSE,"Sheet1";"schedule6",#N/A,FALSE,"Sheet1"}</definedName>
    <definedName name="____wrn1" localSheetId="23" hidden="1">{"schedule1",#N/A,FALSE,"Sheet1";"schedule2",#N/A,FALSE,"Sheet1";"schedule3",#N/A,FALSE,"Sheet1";"schedule4",#N/A,FALSE,"Sheet1";"schedule5",#N/A,FALSE,"Sheet1";"schedule6",#N/A,FALSE,"Sheet1"}</definedName>
    <definedName name="____wrn1" localSheetId="24" hidden="1">{"schedule1",#N/A,FALSE,"Sheet1";"schedule2",#N/A,FALSE,"Sheet1";"schedule3",#N/A,FALSE,"Sheet1";"schedule4",#N/A,FALSE,"Sheet1";"schedule5",#N/A,FALSE,"Sheet1";"schedule6",#N/A,FALSE,"Sheet1"}</definedName>
    <definedName name="____wrn1" localSheetId="13" hidden="1">{"schedule1",#N/A,FALSE,"Sheet1";"schedule2",#N/A,FALSE,"Sheet1";"schedule3",#N/A,FALSE,"Sheet1";"schedule4",#N/A,FALSE,"Sheet1";"schedule5",#N/A,FALSE,"Sheet1";"schedule6",#N/A,FALSE,"Sheet1"}</definedName>
    <definedName name="____wrn1" localSheetId="14" hidden="1">{"schedule1",#N/A,FALSE,"Sheet1";"schedule2",#N/A,FALSE,"Sheet1";"schedule3",#N/A,FALSE,"Sheet1";"schedule4",#N/A,FALSE,"Sheet1";"schedule5",#N/A,FALSE,"Sheet1";"schedule6",#N/A,FALSE,"Sheet1"}</definedName>
    <definedName name="____wrn1" hidden="1">{"schedule1",#N/A,FALSE,"Sheet1";"schedule2",#N/A,FALSE,"Sheet1";"schedule3",#N/A,FALSE,"Sheet1";"schedule4",#N/A,FALSE,"Sheet1";"schedule5",#N/A,FALSE,"Sheet1";"schedule6",#N/A,FALSE,"Sheet1"}</definedName>
    <definedName name="____wrn1_1" localSheetId="16" hidden="1">{"schedule1",#N/A,FALSE,"Sheet1";"schedule2",#N/A,FALSE,"Sheet1";"schedule3",#N/A,FALSE,"Sheet1";"schedule4",#N/A,FALSE,"Sheet1";"schedule5",#N/A,FALSE,"Sheet1";"schedule6",#N/A,FALSE,"Sheet1"}</definedName>
    <definedName name="____wrn1_1" localSheetId="20" hidden="1">{"schedule1",#N/A,FALSE,"Sheet1";"schedule2",#N/A,FALSE,"Sheet1";"schedule3",#N/A,FALSE,"Sheet1";"schedule4",#N/A,FALSE,"Sheet1";"schedule5",#N/A,FALSE,"Sheet1";"schedule6",#N/A,FALSE,"Sheet1"}</definedName>
    <definedName name="____wrn1_1" localSheetId="21" hidden="1">{"schedule1",#N/A,FALSE,"Sheet1";"schedule2",#N/A,FALSE,"Sheet1";"schedule3",#N/A,FALSE,"Sheet1";"schedule4",#N/A,FALSE,"Sheet1";"schedule5",#N/A,FALSE,"Sheet1";"schedule6",#N/A,FALSE,"Sheet1"}</definedName>
    <definedName name="____wrn1_1" localSheetId="22" hidden="1">{"schedule1",#N/A,FALSE,"Sheet1";"schedule2",#N/A,FALSE,"Sheet1";"schedule3",#N/A,FALSE,"Sheet1";"schedule4",#N/A,FALSE,"Sheet1";"schedule5",#N/A,FALSE,"Sheet1";"schedule6",#N/A,FALSE,"Sheet1"}</definedName>
    <definedName name="____wrn1_1" localSheetId="23" hidden="1">{"schedule1",#N/A,FALSE,"Sheet1";"schedule2",#N/A,FALSE,"Sheet1";"schedule3",#N/A,FALSE,"Sheet1";"schedule4",#N/A,FALSE,"Sheet1";"schedule5",#N/A,FALSE,"Sheet1";"schedule6",#N/A,FALSE,"Sheet1"}</definedName>
    <definedName name="____wrn1_1" localSheetId="24" hidden="1">{"schedule1",#N/A,FALSE,"Sheet1";"schedule2",#N/A,FALSE,"Sheet1";"schedule3",#N/A,FALSE,"Sheet1";"schedule4",#N/A,FALSE,"Sheet1";"schedule5",#N/A,FALSE,"Sheet1";"schedule6",#N/A,FALSE,"Sheet1"}</definedName>
    <definedName name="____wrn1_1" localSheetId="13" hidden="1">{"schedule1",#N/A,FALSE,"Sheet1";"schedule2",#N/A,FALSE,"Sheet1";"schedule3",#N/A,FALSE,"Sheet1";"schedule4",#N/A,FALSE,"Sheet1";"schedule5",#N/A,FALSE,"Sheet1";"schedule6",#N/A,FALSE,"Sheet1"}</definedName>
    <definedName name="____wrn1_1" localSheetId="14" hidden="1">{"schedule1",#N/A,FALSE,"Sheet1";"schedule2",#N/A,FALSE,"Sheet1";"schedule3",#N/A,FALSE,"Sheet1";"schedule4",#N/A,FALSE,"Sheet1";"schedule5",#N/A,FALSE,"Sheet1";"schedule6",#N/A,FALSE,"Sheet1"}</definedName>
    <definedName name="____wrn1_1" hidden="1">{"schedule1",#N/A,FALSE,"Sheet1";"schedule2",#N/A,FALSE,"Sheet1";"schedule3",#N/A,FALSE,"Sheet1";"schedule4",#N/A,FALSE,"Sheet1";"schedule5",#N/A,FALSE,"Sheet1";"schedule6",#N/A,FALSE,"Sheet1"}</definedName>
    <definedName name="___wrn1" localSheetId="16" hidden="1">{"schedule1",#N/A,FALSE,"Sheet1";"schedule2",#N/A,FALSE,"Sheet1";"schedule3",#N/A,FALSE,"Sheet1";"schedule4",#N/A,FALSE,"Sheet1";"schedule5",#N/A,FALSE,"Sheet1";"schedule6",#N/A,FALSE,"Sheet1"}</definedName>
    <definedName name="___wrn1" localSheetId="20" hidden="1">{"schedule1",#N/A,FALSE,"Sheet1";"schedule2",#N/A,FALSE,"Sheet1";"schedule3",#N/A,FALSE,"Sheet1";"schedule4",#N/A,FALSE,"Sheet1";"schedule5",#N/A,FALSE,"Sheet1";"schedule6",#N/A,FALSE,"Sheet1"}</definedName>
    <definedName name="___wrn1" localSheetId="21" hidden="1">{"schedule1",#N/A,FALSE,"Sheet1";"schedule2",#N/A,FALSE,"Sheet1";"schedule3",#N/A,FALSE,"Sheet1";"schedule4",#N/A,FALSE,"Sheet1";"schedule5",#N/A,FALSE,"Sheet1";"schedule6",#N/A,FALSE,"Sheet1"}</definedName>
    <definedName name="___wrn1" localSheetId="22" hidden="1">{"schedule1",#N/A,FALSE,"Sheet1";"schedule2",#N/A,FALSE,"Sheet1";"schedule3",#N/A,FALSE,"Sheet1";"schedule4",#N/A,FALSE,"Sheet1";"schedule5",#N/A,FALSE,"Sheet1";"schedule6",#N/A,FALSE,"Sheet1"}</definedName>
    <definedName name="___wrn1" localSheetId="23" hidden="1">{"schedule1",#N/A,FALSE,"Sheet1";"schedule2",#N/A,FALSE,"Sheet1";"schedule3",#N/A,FALSE,"Sheet1";"schedule4",#N/A,FALSE,"Sheet1";"schedule5",#N/A,FALSE,"Sheet1";"schedule6",#N/A,FALSE,"Sheet1"}</definedName>
    <definedName name="___wrn1" localSheetId="24" hidden="1">{"schedule1",#N/A,FALSE,"Sheet1";"schedule2",#N/A,FALSE,"Sheet1";"schedule3",#N/A,FALSE,"Sheet1";"schedule4",#N/A,FALSE,"Sheet1";"schedule5",#N/A,FALSE,"Sheet1";"schedule6",#N/A,FALSE,"Sheet1"}</definedName>
    <definedName name="___wrn1" localSheetId="13" hidden="1">{"schedule1",#N/A,FALSE,"Sheet1";"schedule2",#N/A,FALSE,"Sheet1";"schedule3",#N/A,FALSE,"Sheet1";"schedule4",#N/A,FALSE,"Sheet1";"schedule5",#N/A,FALSE,"Sheet1";"schedule6",#N/A,FALSE,"Sheet1"}</definedName>
    <definedName name="___wrn1" localSheetId="14" hidden="1">{"schedule1",#N/A,FALSE,"Sheet1";"schedule2",#N/A,FALSE,"Sheet1";"schedule3",#N/A,FALSE,"Sheet1";"schedule4",#N/A,FALSE,"Sheet1";"schedule5",#N/A,FALSE,"Sheet1";"schedule6",#N/A,FALSE,"Sheet1"}</definedName>
    <definedName name="___wrn1" hidden="1">{"schedule1",#N/A,FALSE,"Sheet1";"schedule2",#N/A,FALSE,"Sheet1";"schedule3",#N/A,FALSE,"Sheet1";"schedule4",#N/A,FALSE,"Sheet1";"schedule5",#N/A,FALSE,"Sheet1";"schedule6",#N/A,FALSE,"Sheet1"}</definedName>
    <definedName name="___wrn1_1" localSheetId="16" hidden="1">{"schedule1",#N/A,FALSE,"Sheet1";"schedule2",#N/A,FALSE,"Sheet1";"schedule3",#N/A,FALSE,"Sheet1";"schedule4",#N/A,FALSE,"Sheet1";"schedule5",#N/A,FALSE,"Sheet1";"schedule6",#N/A,FALSE,"Sheet1"}</definedName>
    <definedName name="___wrn1_1" localSheetId="20" hidden="1">{"schedule1",#N/A,FALSE,"Sheet1";"schedule2",#N/A,FALSE,"Sheet1";"schedule3",#N/A,FALSE,"Sheet1";"schedule4",#N/A,FALSE,"Sheet1";"schedule5",#N/A,FALSE,"Sheet1";"schedule6",#N/A,FALSE,"Sheet1"}</definedName>
    <definedName name="___wrn1_1" localSheetId="21" hidden="1">{"schedule1",#N/A,FALSE,"Sheet1";"schedule2",#N/A,FALSE,"Sheet1";"schedule3",#N/A,FALSE,"Sheet1";"schedule4",#N/A,FALSE,"Sheet1";"schedule5",#N/A,FALSE,"Sheet1";"schedule6",#N/A,FALSE,"Sheet1"}</definedName>
    <definedName name="___wrn1_1" localSheetId="22" hidden="1">{"schedule1",#N/A,FALSE,"Sheet1";"schedule2",#N/A,FALSE,"Sheet1";"schedule3",#N/A,FALSE,"Sheet1";"schedule4",#N/A,FALSE,"Sheet1";"schedule5",#N/A,FALSE,"Sheet1";"schedule6",#N/A,FALSE,"Sheet1"}</definedName>
    <definedName name="___wrn1_1" localSheetId="23" hidden="1">{"schedule1",#N/A,FALSE,"Sheet1";"schedule2",#N/A,FALSE,"Sheet1";"schedule3",#N/A,FALSE,"Sheet1";"schedule4",#N/A,FALSE,"Sheet1";"schedule5",#N/A,FALSE,"Sheet1";"schedule6",#N/A,FALSE,"Sheet1"}</definedName>
    <definedName name="___wrn1_1" localSheetId="24" hidden="1">{"schedule1",#N/A,FALSE,"Sheet1";"schedule2",#N/A,FALSE,"Sheet1";"schedule3",#N/A,FALSE,"Sheet1";"schedule4",#N/A,FALSE,"Sheet1";"schedule5",#N/A,FALSE,"Sheet1";"schedule6",#N/A,FALSE,"Sheet1"}</definedName>
    <definedName name="___wrn1_1" localSheetId="13" hidden="1">{"schedule1",#N/A,FALSE,"Sheet1";"schedule2",#N/A,FALSE,"Sheet1";"schedule3",#N/A,FALSE,"Sheet1";"schedule4",#N/A,FALSE,"Sheet1";"schedule5",#N/A,FALSE,"Sheet1";"schedule6",#N/A,FALSE,"Sheet1"}</definedName>
    <definedName name="___wrn1_1" localSheetId="14" hidden="1">{"schedule1",#N/A,FALSE,"Sheet1";"schedule2",#N/A,FALSE,"Sheet1";"schedule3",#N/A,FALSE,"Sheet1";"schedule4",#N/A,FALSE,"Sheet1";"schedule5",#N/A,FALSE,"Sheet1";"schedule6",#N/A,FALSE,"Sheet1"}</definedName>
    <definedName name="___wrn1_1" hidden="1">{"schedule1",#N/A,FALSE,"Sheet1";"schedule2",#N/A,FALSE,"Sheet1";"schedule3",#N/A,FALSE,"Sheet1";"schedule4",#N/A,FALSE,"Sheet1";"schedule5",#N/A,FALSE,"Sheet1";"schedule6",#N/A,FALSE,"Sheet1"}</definedName>
    <definedName name="__123Graph_A" localSheetId="16" hidden="1">#REF!</definedName>
    <definedName name="__123Graph_A" localSheetId="20" hidden="1">#REF!</definedName>
    <definedName name="__123Graph_A" localSheetId="21" hidden="1">#REF!</definedName>
    <definedName name="__123Graph_A" localSheetId="22" hidden="1">#REF!</definedName>
    <definedName name="__123Graph_A" localSheetId="24" hidden="1">#REF!</definedName>
    <definedName name="__123Graph_A" localSheetId="13" hidden="1">#REF!</definedName>
    <definedName name="__123Graph_A" hidden="1">#REF!</definedName>
    <definedName name="__123Graph_B" hidden="1">#REF!</definedName>
    <definedName name="__123Graph_C" hidden="1">#REF!</definedName>
    <definedName name="__123Graph_D" hidden="1">#REF!</definedName>
    <definedName name="__123Graph_E" localSheetId="16" hidden="1">#REF!</definedName>
    <definedName name="__123Graph_E" localSheetId="20" hidden="1">#REF!</definedName>
    <definedName name="__123Graph_E" localSheetId="21" hidden="1">#REF!</definedName>
    <definedName name="__123Graph_E" localSheetId="22" hidden="1">#REF!</definedName>
    <definedName name="__123Graph_E" localSheetId="23" hidden="1">#REF!</definedName>
    <definedName name="__123Graph_E" localSheetId="24" hidden="1">#REF!</definedName>
    <definedName name="__123Graph_E" localSheetId="13" hidden="1">#REF!</definedName>
    <definedName name="__123Graph_E" hidden="1">#REF!</definedName>
    <definedName name="__123Graph_F" hidden="1">#REF!</definedName>
    <definedName name="__123Graph_X" hidden="1">#REF!</definedName>
    <definedName name="__FDS_HYPERLINK_TOGGLE_STATE__" hidden="1">"ON"</definedName>
    <definedName name="__FDS_UNIQUE_RANGE_ID_GENERATOR_COUNTER" hidden="1">1</definedName>
    <definedName name="__IntlFixup" hidden="1">TRUE</definedName>
    <definedName name="__IntlFixupTable" localSheetId="16" hidden="1">#REF!</definedName>
    <definedName name="__IntlFixupTable" localSheetId="20" hidden="1">#REF!</definedName>
    <definedName name="__IntlFixupTable" localSheetId="21" hidden="1">#REF!</definedName>
    <definedName name="__IntlFixupTable" localSheetId="22" hidden="1">#REF!</definedName>
    <definedName name="__IntlFixupTable" localSheetId="23" hidden="1">#REF!</definedName>
    <definedName name="__IntlFixupTable" localSheetId="24" hidden="1">#REF!</definedName>
    <definedName name="__IntlFixupTable" localSheetId="13" hidden="1">#REF!</definedName>
    <definedName name="__IntlFixupTable" hidden="1">#REF!</definedName>
    <definedName name="__wrn1" localSheetId="16" hidden="1">{"schedule1",#N/A,FALSE,"Sheet1";"schedule2",#N/A,FALSE,"Sheet1";"schedule3",#N/A,FALSE,"Sheet1";"schedule4",#N/A,FALSE,"Sheet1";"schedule5",#N/A,FALSE,"Sheet1";"schedule6",#N/A,FALSE,"Sheet1"}</definedName>
    <definedName name="__wrn1" localSheetId="20" hidden="1">{"schedule1",#N/A,FALSE,"Sheet1";"schedule2",#N/A,FALSE,"Sheet1";"schedule3",#N/A,FALSE,"Sheet1";"schedule4",#N/A,FALSE,"Sheet1";"schedule5",#N/A,FALSE,"Sheet1";"schedule6",#N/A,FALSE,"Sheet1"}</definedName>
    <definedName name="__wrn1" localSheetId="21" hidden="1">{"schedule1",#N/A,FALSE,"Sheet1";"schedule2",#N/A,FALSE,"Sheet1";"schedule3",#N/A,FALSE,"Sheet1";"schedule4",#N/A,FALSE,"Sheet1";"schedule5",#N/A,FALSE,"Sheet1";"schedule6",#N/A,FALSE,"Sheet1"}</definedName>
    <definedName name="__wrn1" localSheetId="22" hidden="1">{"schedule1",#N/A,FALSE,"Sheet1";"schedule2",#N/A,FALSE,"Sheet1";"schedule3",#N/A,FALSE,"Sheet1";"schedule4",#N/A,FALSE,"Sheet1";"schedule5",#N/A,FALSE,"Sheet1";"schedule6",#N/A,FALSE,"Sheet1"}</definedName>
    <definedName name="__wrn1" localSheetId="23" hidden="1">{"schedule1",#N/A,FALSE,"Sheet1";"schedule2",#N/A,FALSE,"Sheet1";"schedule3",#N/A,FALSE,"Sheet1";"schedule4",#N/A,FALSE,"Sheet1";"schedule5",#N/A,FALSE,"Sheet1";"schedule6",#N/A,FALSE,"Sheet1"}</definedName>
    <definedName name="__wrn1" localSheetId="24" hidden="1">{"schedule1",#N/A,FALSE,"Sheet1";"schedule2",#N/A,FALSE,"Sheet1";"schedule3",#N/A,FALSE,"Sheet1";"schedule4",#N/A,FALSE,"Sheet1";"schedule5",#N/A,FALSE,"Sheet1";"schedule6",#N/A,FALSE,"Sheet1"}</definedName>
    <definedName name="__wrn1" localSheetId="13" hidden="1">{"schedule1",#N/A,FALSE,"Sheet1";"schedule2",#N/A,FALSE,"Sheet1";"schedule3",#N/A,FALSE,"Sheet1";"schedule4",#N/A,FALSE,"Sheet1";"schedule5",#N/A,FALSE,"Sheet1";"schedule6",#N/A,FALSE,"Sheet1"}</definedName>
    <definedName name="__wrn1" localSheetId="14" hidden="1">{"schedule1",#N/A,FALSE,"Sheet1";"schedule2",#N/A,FALSE,"Sheet1";"schedule3",#N/A,FALSE,"Sheet1";"schedule4",#N/A,FALSE,"Sheet1";"schedule5",#N/A,FALSE,"Sheet1";"schedule6",#N/A,FALSE,"Sheet1"}</definedName>
    <definedName name="__wrn1" hidden="1">{"schedule1",#N/A,FALSE,"Sheet1";"schedule2",#N/A,FALSE,"Sheet1";"schedule3",#N/A,FALSE,"Sheet1";"schedule4",#N/A,FALSE,"Sheet1";"schedule5",#N/A,FALSE,"Sheet1";"schedule6",#N/A,FALSE,"Sheet1"}</definedName>
    <definedName name="__wrn1_1" localSheetId="16" hidden="1">{"schedule1",#N/A,FALSE,"Sheet1";"schedule2",#N/A,FALSE,"Sheet1";"schedule3",#N/A,FALSE,"Sheet1";"schedule4",#N/A,FALSE,"Sheet1";"schedule5",#N/A,FALSE,"Sheet1";"schedule6",#N/A,FALSE,"Sheet1"}</definedName>
    <definedName name="__wrn1_1" localSheetId="20" hidden="1">{"schedule1",#N/A,FALSE,"Sheet1";"schedule2",#N/A,FALSE,"Sheet1";"schedule3",#N/A,FALSE,"Sheet1";"schedule4",#N/A,FALSE,"Sheet1";"schedule5",#N/A,FALSE,"Sheet1";"schedule6",#N/A,FALSE,"Sheet1"}</definedName>
    <definedName name="__wrn1_1" localSheetId="21" hidden="1">{"schedule1",#N/A,FALSE,"Sheet1";"schedule2",#N/A,FALSE,"Sheet1";"schedule3",#N/A,FALSE,"Sheet1";"schedule4",#N/A,FALSE,"Sheet1";"schedule5",#N/A,FALSE,"Sheet1";"schedule6",#N/A,FALSE,"Sheet1"}</definedName>
    <definedName name="__wrn1_1" localSheetId="22" hidden="1">{"schedule1",#N/A,FALSE,"Sheet1";"schedule2",#N/A,FALSE,"Sheet1";"schedule3",#N/A,FALSE,"Sheet1";"schedule4",#N/A,FALSE,"Sheet1";"schedule5",#N/A,FALSE,"Sheet1";"schedule6",#N/A,FALSE,"Sheet1"}</definedName>
    <definedName name="__wrn1_1" localSheetId="23" hidden="1">{"schedule1",#N/A,FALSE,"Sheet1";"schedule2",#N/A,FALSE,"Sheet1";"schedule3",#N/A,FALSE,"Sheet1";"schedule4",#N/A,FALSE,"Sheet1";"schedule5",#N/A,FALSE,"Sheet1";"schedule6",#N/A,FALSE,"Sheet1"}</definedName>
    <definedName name="__wrn1_1" localSheetId="24" hidden="1">{"schedule1",#N/A,FALSE,"Sheet1";"schedule2",#N/A,FALSE,"Sheet1";"schedule3",#N/A,FALSE,"Sheet1";"schedule4",#N/A,FALSE,"Sheet1";"schedule5",#N/A,FALSE,"Sheet1";"schedule6",#N/A,FALSE,"Sheet1"}</definedName>
    <definedName name="__wrn1_1" localSheetId="13" hidden="1">{"schedule1",#N/A,FALSE,"Sheet1";"schedule2",#N/A,FALSE,"Sheet1";"schedule3",#N/A,FALSE,"Sheet1";"schedule4",#N/A,FALSE,"Sheet1";"schedule5",#N/A,FALSE,"Sheet1";"schedule6",#N/A,FALSE,"Sheet1"}</definedName>
    <definedName name="__wrn1_1" localSheetId="14" hidden="1">{"schedule1",#N/A,FALSE,"Sheet1";"schedule2",#N/A,FALSE,"Sheet1";"schedule3",#N/A,FALSE,"Sheet1";"schedule4",#N/A,FALSE,"Sheet1";"schedule5",#N/A,FALSE,"Sheet1";"schedule6",#N/A,FALSE,"Sheet1"}</definedName>
    <definedName name="__wrn1_1" hidden="1">{"schedule1",#N/A,FALSE,"Sheet1";"schedule2",#N/A,FALSE,"Sheet1";"schedule3",#N/A,FALSE,"Sheet1";"schedule4",#N/A,FALSE,"Sheet1";"schedule5",#N/A,FALSE,"Sheet1";"schedule6",#N/A,FALSE,"Sheet1"}</definedName>
    <definedName name="_bdm.43E56C97C8F348AA8D6DD014FDC52291.edm" localSheetId="16" hidden="1">#REF!</definedName>
    <definedName name="_bdm.43E56C97C8F348AA8D6DD014FDC52291.edm" localSheetId="20" hidden="1">#REF!</definedName>
    <definedName name="_bdm.43E56C97C8F348AA8D6DD014FDC52291.edm" localSheetId="21" hidden="1">#REF!</definedName>
    <definedName name="_bdm.43E56C97C8F348AA8D6DD014FDC52291.edm" localSheetId="22" hidden="1">#REF!</definedName>
    <definedName name="_bdm.43E56C97C8F348AA8D6DD014FDC52291.edm" localSheetId="24" hidden="1">#REF!</definedName>
    <definedName name="_bdm.43E56C97C8F348AA8D6DD014FDC52291.edm" localSheetId="13" hidden="1">#REF!</definedName>
    <definedName name="_bdm.43E56C97C8F348AA8D6DD014FDC52291.edm" hidden="1">#REF!</definedName>
    <definedName name="_bdm.440BBC4E73E14058BE06B4CD0527ECC3.edm" localSheetId="16" hidden="1">#REF!</definedName>
    <definedName name="_bdm.440BBC4E73E14058BE06B4CD0527ECC3.edm" localSheetId="20" hidden="1">#REF!</definedName>
    <definedName name="_bdm.440BBC4E73E14058BE06B4CD0527ECC3.edm" localSheetId="21" hidden="1">#REF!</definedName>
    <definedName name="_bdm.440BBC4E73E14058BE06B4CD0527ECC3.edm" localSheetId="22" hidden="1">#REF!</definedName>
    <definedName name="_bdm.440BBC4E73E14058BE06B4CD0527ECC3.edm" localSheetId="24" hidden="1">#REF!</definedName>
    <definedName name="_bdm.440BBC4E73E14058BE06B4CD0527ECC3.edm" localSheetId="13" hidden="1">#REF!</definedName>
    <definedName name="_bdm.440BBC4E73E14058BE06B4CD0527ECC3.edm" hidden="1">#REF!</definedName>
    <definedName name="_D9" localSheetId="16" hidden="1">{"Full Sheet",#N/A,FALSE,"Expense Comparison"}</definedName>
    <definedName name="_D9" localSheetId="20" hidden="1">{"Full Sheet",#N/A,FALSE,"Expense Comparison"}</definedName>
    <definedName name="_D9" localSheetId="21" hidden="1">{"Full Sheet",#N/A,FALSE,"Expense Comparison"}</definedName>
    <definedName name="_D9" localSheetId="22" hidden="1">{"Full Sheet",#N/A,FALSE,"Expense Comparison"}</definedName>
    <definedName name="_D9" localSheetId="23" hidden="1">{"Full Sheet",#N/A,FALSE,"Expense Comparison"}</definedName>
    <definedName name="_D9" localSheetId="24" hidden="1">{"Full Sheet",#N/A,FALSE,"Expense Comparison"}</definedName>
    <definedName name="_D9" localSheetId="13" hidden="1">{"Full Sheet",#N/A,FALSE,"Expense Comparison"}</definedName>
    <definedName name="_D9" localSheetId="14" hidden="1">{"Full Sheet",#N/A,FALSE,"Expense Comparison"}</definedName>
    <definedName name="_D9" hidden="1">{"Full Sheet",#N/A,FALSE,"Expense Comparison"}</definedName>
    <definedName name="_D9_1" localSheetId="16" hidden="1">{"Full Sheet",#N/A,FALSE,"Expense Comparison"}</definedName>
    <definedName name="_D9_1" localSheetId="20" hidden="1">{"Full Sheet",#N/A,FALSE,"Expense Comparison"}</definedName>
    <definedName name="_D9_1" localSheetId="21" hidden="1">{"Full Sheet",#N/A,FALSE,"Expense Comparison"}</definedName>
    <definedName name="_D9_1" localSheetId="22" hidden="1">{"Full Sheet",#N/A,FALSE,"Expense Comparison"}</definedName>
    <definedName name="_D9_1" localSheetId="23" hidden="1">{"Full Sheet",#N/A,FALSE,"Expense Comparison"}</definedName>
    <definedName name="_D9_1" localSheetId="24" hidden="1">{"Full Sheet",#N/A,FALSE,"Expense Comparison"}</definedName>
    <definedName name="_D9_1" localSheetId="13" hidden="1">{"Full Sheet",#N/A,FALSE,"Expense Comparison"}</definedName>
    <definedName name="_D9_1" localSheetId="14" hidden="1">{"Full Sheet",#N/A,FALSE,"Expense Comparison"}</definedName>
    <definedName name="_D9_1" hidden="1">{"Full Sheet",#N/A,FALSE,"Expense Comparison"}</definedName>
    <definedName name="_Dist_Values" localSheetId="16" hidden="1">#REF!</definedName>
    <definedName name="_Dist_Values" localSheetId="20" hidden="1">#REF!</definedName>
    <definedName name="_Dist_Values" localSheetId="21" hidden="1">#REF!</definedName>
    <definedName name="_Dist_Values" localSheetId="22" hidden="1">#REF!</definedName>
    <definedName name="_Dist_Values" localSheetId="23" hidden="1">#REF!</definedName>
    <definedName name="_Dist_Values" localSheetId="24" hidden="1">#REF!</definedName>
    <definedName name="_Dist_Values" localSheetId="13" hidden="1">#REF!</definedName>
    <definedName name="_Dist_Values" hidden="1">#REF!</definedName>
    <definedName name="_Fill" localSheetId="26" hidden="1">#REF!</definedName>
    <definedName name="_Fill" localSheetId="10" hidden="1">#REF!</definedName>
    <definedName name="_Fill" localSheetId="9" hidden="1">#REF!</definedName>
    <definedName name="_Fill" localSheetId="17" hidden="1">#REF!</definedName>
    <definedName name="_Fill" localSheetId="16" hidden="1">#REF!</definedName>
    <definedName name="_Fill" localSheetId="20" hidden="1">#REF!</definedName>
    <definedName name="_Fill" localSheetId="21" hidden="1">#REF!</definedName>
    <definedName name="_Fill" localSheetId="22" hidden="1">#REF!</definedName>
    <definedName name="_Fill" localSheetId="23" hidden="1">#REF!</definedName>
    <definedName name="_Fill" localSheetId="24" hidden="1">#REF!</definedName>
    <definedName name="_Fill" localSheetId="11" hidden="1">#REF!</definedName>
    <definedName name="_Fill" localSheetId="12" hidden="1">#REF!</definedName>
    <definedName name="_Fill" localSheetId="13" hidden="1">#REF!</definedName>
    <definedName name="_Fill" localSheetId="14" hidden="1">#REF!</definedName>
    <definedName name="_Fill" hidden="1">#REF!</definedName>
    <definedName name="_Key1" localSheetId="26" hidden="1">#REF!</definedName>
    <definedName name="_Key1" localSheetId="10" hidden="1">#REF!</definedName>
    <definedName name="_Key1" localSheetId="9" hidden="1">#REF!</definedName>
    <definedName name="_Key1" localSheetId="17" hidden="1">#REF!</definedName>
    <definedName name="_Key1" localSheetId="16" hidden="1">#REF!</definedName>
    <definedName name="_Key1" localSheetId="20" hidden="1">#REF!</definedName>
    <definedName name="_Key1" localSheetId="21" hidden="1">#REF!</definedName>
    <definedName name="_Key1" localSheetId="22" hidden="1">#REF!</definedName>
    <definedName name="_Key1" localSheetId="23" hidden="1">#REF!</definedName>
    <definedName name="_Key1" localSheetId="24" hidden="1">#REF!</definedName>
    <definedName name="_Key1" localSheetId="11" hidden="1">#REF!</definedName>
    <definedName name="_Key1" localSheetId="12" hidden="1">#REF!</definedName>
    <definedName name="_Key1" localSheetId="13" hidden="1">#REF!</definedName>
    <definedName name="_Key1" localSheetId="14" hidden="1">#REF!</definedName>
    <definedName name="_Key1" hidden="1">#REF!</definedName>
    <definedName name="_Key2" localSheetId="26" hidden="1">#REF!</definedName>
    <definedName name="_Key2" localSheetId="10" hidden="1">#REF!</definedName>
    <definedName name="_Key2" localSheetId="9" hidden="1">#REF!</definedName>
    <definedName name="_Key2" localSheetId="17" hidden="1">#REF!</definedName>
    <definedName name="_Key2" localSheetId="16" hidden="1">#REF!</definedName>
    <definedName name="_Key2" localSheetId="20" hidden="1">#REF!</definedName>
    <definedName name="_Key2" localSheetId="21" hidden="1">#REF!</definedName>
    <definedName name="_Key2" localSheetId="22" hidden="1">#REF!</definedName>
    <definedName name="_Key2" localSheetId="23" hidden="1">#REF!</definedName>
    <definedName name="_Key2" localSheetId="24" hidden="1">#REF!</definedName>
    <definedName name="_Key2" localSheetId="11" hidden="1">#REF!</definedName>
    <definedName name="_Key2" localSheetId="12" hidden="1">#REF!</definedName>
    <definedName name="_Key2" localSheetId="13" hidden="1">#REF!</definedName>
    <definedName name="_Key2" localSheetId="14" hidden="1">#REF!</definedName>
    <definedName name="_Key2" hidden="1">#REF!</definedName>
    <definedName name="_Order1" localSheetId="20" hidden="1">255</definedName>
    <definedName name="_Order1" localSheetId="21" hidden="1">255</definedName>
    <definedName name="_Order1" localSheetId="22" hidden="1">255</definedName>
    <definedName name="_Order1" localSheetId="23" hidden="1">255</definedName>
    <definedName name="_Order1" localSheetId="24" hidden="1">255</definedName>
    <definedName name="_Order1" hidden="1">255</definedName>
    <definedName name="_Order2" hidden="1">255</definedName>
    <definedName name="_Sort" localSheetId="26" hidden="1">#REF!</definedName>
    <definedName name="_Sort" localSheetId="10" hidden="1">#REF!</definedName>
    <definedName name="_Sort" localSheetId="9" hidden="1">#REF!</definedName>
    <definedName name="_Sort" localSheetId="17" hidden="1">#REF!</definedName>
    <definedName name="_Sort" localSheetId="16" hidden="1">#REF!</definedName>
    <definedName name="_Sort" localSheetId="20" hidden="1">#REF!</definedName>
    <definedName name="_Sort" localSheetId="21" hidden="1">#REF!</definedName>
    <definedName name="_Sort" localSheetId="22" hidden="1">#REF!</definedName>
    <definedName name="_Sort" localSheetId="23" hidden="1">#REF!</definedName>
    <definedName name="_Sort" localSheetId="24" hidden="1">#REF!</definedName>
    <definedName name="_Sort" localSheetId="11" hidden="1">#REF!</definedName>
    <definedName name="_Sort" localSheetId="12" hidden="1">#REF!</definedName>
    <definedName name="_Sort" localSheetId="13" hidden="1">#REF!</definedName>
    <definedName name="_Sort" localSheetId="14" hidden="1">#REF!</definedName>
    <definedName name="_Sort" hidden="1">#REF!</definedName>
    <definedName name="_Table1_In1" localSheetId="16" hidden="1">#REF!</definedName>
    <definedName name="_Table1_In1" localSheetId="20" hidden="1">#REF!</definedName>
    <definedName name="_Table1_In1" localSheetId="21" hidden="1">#REF!</definedName>
    <definedName name="_Table1_In1" localSheetId="22" hidden="1">#REF!</definedName>
    <definedName name="_Table1_In1" localSheetId="24" hidden="1">#REF!</definedName>
    <definedName name="_Table1_In1" localSheetId="13" hidden="1">#REF!</definedName>
    <definedName name="_Table1_In1" hidden="1">#REF!</definedName>
    <definedName name="_Table1_Out" localSheetId="16" hidden="1">#REF!</definedName>
    <definedName name="_Table1_Out" localSheetId="20" hidden="1">#REF!</definedName>
    <definedName name="_Table1_Out" localSheetId="21" hidden="1">#REF!</definedName>
    <definedName name="_Table1_Out" localSheetId="22" hidden="1">#REF!</definedName>
    <definedName name="_Table1_Out" localSheetId="24" hidden="1">#REF!</definedName>
    <definedName name="_Table1_Out" localSheetId="13" hidden="1">#REF!</definedName>
    <definedName name="_Table1_Out" hidden="1">#REF!</definedName>
    <definedName name="_Table2_In1" localSheetId="16" hidden="1">#REF!</definedName>
    <definedName name="_Table2_In1" localSheetId="20" hidden="1">#REF!</definedName>
    <definedName name="_Table2_In1" localSheetId="21" hidden="1">#REF!</definedName>
    <definedName name="_Table2_In1" localSheetId="22" hidden="1">#REF!</definedName>
    <definedName name="_Table2_In1" localSheetId="24" hidden="1">#REF!</definedName>
    <definedName name="_Table2_In1" localSheetId="13" hidden="1">#REF!</definedName>
    <definedName name="_Table2_In1" hidden="1">#REF!</definedName>
    <definedName name="_Table2_In2" localSheetId="16" hidden="1">#REF!</definedName>
    <definedName name="_Table2_In2" localSheetId="20" hidden="1">#REF!</definedName>
    <definedName name="_Table2_In2" localSheetId="21" hidden="1">#REF!</definedName>
    <definedName name="_Table2_In2" localSheetId="22" hidden="1">#REF!</definedName>
    <definedName name="_Table2_In2" localSheetId="24" hidden="1">#REF!</definedName>
    <definedName name="_Table2_In2" localSheetId="13" hidden="1">#REF!</definedName>
    <definedName name="_Table2_In2" hidden="1">#REF!</definedName>
    <definedName name="_Table2_Out" localSheetId="16" hidden="1">#REF!</definedName>
    <definedName name="_Table2_Out" localSheetId="20" hidden="1">#REF!</definedName>
    <definedName name="_Table2_Out" localSheetId="21" hidden="1">#REF!</definedName>
    <definedName name="_Table2_Out" localSheetId="22" hidden="1">#REF!</definedName>
    <definedName name="_Table2_Out" localSheetId="24" hidden="1">#REF!</definedName>
    <definedName name="_Table2_Out" localSheetId="13" hidden="1">#REF!</definedName>
    <definedName name="_Table2_Out" hidden="1">#REF!</definedName>
    <definedName name="_wrn1" localSheetId="16" hidden="1">{"schedule1",#N/A,FALSE,"Sheet1";"schedule2",#N/A,FALSE,"Sheet1";"schedule3",#N/A,FALSE,"Sheet1";"schedule4",#N/A,FALSE,"Sheet1";"schedule5",#N/A,FALSE,"Sheet1";"schedule6",#N/A,FALSE,"Sheet1"}</definedName>
    <definedName name="_wrn1" localSheetId="20" hidden="1">{"schedule1",#N/A,FALSE,"Sheet1";"schedule2",#N/A,FALSE,"Sheet1";"schedule3",#N/A,FALSE,"Sheet1";"schedule4",#N/A,FALSE,"Sheet1";"schedule5",#N/A,FALSE,"Sheet1";"schedule6",#N/A,FALSE,"Sheet1"}</definedName>
    <definedName name="_wrn1" localSheetId="21" hidden="1">{"schedule1",#N/A,FALSE,"Sheet1";"schedule2",#N/A,FALSE,"Sheet1";"schedule3",#N/A,FALSE,"Sheet1";"schedule4",#N/A,FALSE,"Sheet1";"schedule5",#N/A,FALSE,"Sheet1";"schedule6",#N/A,FALSE,"Sheet1"}</definedName>
    <definedName name="_wrn1" localSheetId="22" hidden="1">{"schedule1",#N/A,FALSE,"Sheet1";"schedule2",#N/A,FALSE,"Sheet1";"schedule3",#N/A,FALSE,"Sheet1";"schedule4",#N/A,FALSE,"Sheet1";"schedule5",#N/A,FALSE,"Sheet1";"schedule6",#N/A,FALSE,"Sheet1"}</definedName>
    <definedName name="_wrn1" localSheetId="23" hidden="1">{"schedule1",#N/A,FALSE,"Sheet1";"schedule2",#N/A,FALSE,"Sheet1";"schedule3",#N/A,FALSE,"Sheet1";"schedule4",#N/A,FALSE,"Sheet1";"schedule5",#N/A,FALSE,"Sheet1";"schedule6",#N/A,FALSE,"Sheet1"}</definedName>
    <definedName name="_wrn1" localSheetId="24" hidden="1">{"schedule1",#N/A,FALSE,"Sheet1";"schedule2",#N/A,FALSE,"Sheet1";"schedule3",#N/A,FALSE,"Sheet1";"schedule4",#N/A,FALSE,"Sheet1";"schedule5",#N/A,FALSE,"Sheet1";"schedule6",#N/A,FALSE,"Sheet1"}</definedName>
    <definedName name="_wrn1" localSheetId="13" hidden="1">{"schedule1",#N/A,FALSE,"Sheet1";"schedule2",#N/A,FALSE,"Sheet1";"schedule3",#N/A,FALSE,"Sheet1";"schedule4",#N/A,FALSE,"Sheet1";"schedule5",#N/A,FALSE,"Sheet1";"schedule6",#N/A,FALSE,"Sheet1"}</definedName>
    <definedName name="_wrn1" localSheetId="14" hidden="1">{"schedule1",#N/A,FALSE,"Sheet1";"schedule2",#N/A,FALSE,"Sheet1";"schedule3",#N/A,FALSE,"Sheet1";"schedule4",#N/A,FALSE,"Sheet1";"schedule5",#N/A,FALSE,"Sheet1";"schedule6",#N/A,FALSE,"Sheet1"}</definedName>
    <definedName name="_wrn1" hidden="1">{"schedule1",#N/A,FALSE,"Sheet1";"schedule2",#N/A,FALSE,"Sheet1";"schedule3",#N/A,FALSE,"Sheet1";"schedule4",#N/A,FALSE,"Sheet1";"schedule5",#N/A,FALSE,"Sheet1";"schedule6",#N/A,FALSE,"Sheet1"}</definedName>
    <definedName name="_wrn1_1" localSheetId="16" hidden="1">{"schedule1",#N/A,FALSE,"Sheet1";"schedule2",#N/A,FALSE,"Sheet1";"schedule3",#N/A,FALSE,"Sheet1";"schedule4",#N/A,FALSE,"Sheet1";"schedule5",#N/A,FALSE,"Sheet1";"schedule6",#N/A,FALSE,"Sheet1"}</definedName>
    <definedName name="_wrn1_1" localSheetId="20" hidden="1">{"schedule1",#N/A,FALSE,"Sheet1";"schedule2",#N/A,FALSE,"Sheet1";"schedule3",#N/A,FALSE,"Sheet1";"schedule4",#N/A,FALSE,"Sheet1";"schedule5",#N/A,FALSE,"Sheet1";"schedule6",#N/A,FALSE,"Sheet1"}</definedName>
    <definedName name="_wrn1_1" localSheetId="21" hidden="1">{"schedule1",#N/A,FALSE,"Sheet1";"schedule2",#N/A,FALSE,"Sheet1";"schedule3",#N/A,FALSE,"Sheet1";"schedule4",#N/A,FALSE,"Sheet1";"schedule5",#N/A,FALSE,"Sheet1";"schedule6",#N/A,FALSE,"Sheet1"}</definedName>
    <definedName name="_wrn1_1" localSheetId="22" hidden="1">{"schedule1",#N/A,FALSE,"Sheet1";"schedule2",#N/A,FALSE,"Sheet1";"schedule3",#N/A,FALSE,"Sheet1";"schedule4",#N/A,FALSE,"Sheet1";"schedule5",#N/A,FALSE,"Sheet1";"schedule6",#N/A,FALSE,"Sheet1"}</definedName>
    <definedName name="_wrn1_1" localSheetId="23" hidden="1">{"schedule1",#N/A,FALSE,"Sheet1";"schedule2",#N/A,FALSE,"Sheet1";"schedule3",#N/A,FALSE,"Sheet1";"schedule4",#N/A,FALSE,"Sheet1";"schedule5",#N/A,FALSE,"Sheet1";"schedule6",#N/A,FALSE,"Sheet1"}</definedName>
    <definedName name="_wrn1_1" localSheetId="24" hidden="1">{"schedule1",#N/A,FALSE,"Sheet1";"schedule2",#N/A,FALSE,"Sheet1";"schedule3",#N/A,FALSE,"Sheet1";"schedule4",#N/A,FALSE,"Sheet1";"schedule5",#N/A,FALSE,"Sheet1";"schedule6",#N/A,FALSE,"Sheet1"}</definedName>
    <definedName name="_wrn1_1" localSheetId="13" hidden="1">{"schedule1",#N/A,FALSE,"Sheet1";"schedule2",#N/A,FALSE,"Sheet1";"schedule3",#N/A,FALSE,"Sheet1";"schedule4",#N/A,FALSE,"Sheet1";"schedule5",#N/A,FALSE,"Sheet1";"schedule6",#N/A,FALSE,"Sheet1"}</definedName>
    <definedName name="_wrn1_1" localSheetId="14" hidden="1">{"schedule1",#N/A,FALSE,"Sheet1";"schedule2",#N/A,FALSE,"Sheet1";"schedule3",#N/A,FALSE,"Sheet1";"schedule4",#N/A,FALSE,"Sheet1";"schedule5",#N/A,FALSE,"Sheet1";"schedule6",#N/A,FALSE,"Sheet1"}</definedName>
    <definedName name="_wrn1_1" hidden="1">{"schedule1",#N/A,FALSE,"Sheet1";"schedule2",#N/A,FALSE,"Sheet1";"schedule3",#N/A,FALSE,"Sheet1";"schedule4",#N/A,FALSE,"Sheet1";"schedule5",#N/A,FALSE,"Sheet1";"schedule6",#N/A,FALSE,"Sheet1"}</definedName>
    <definedName name="a" localSheetId="16" hidden="1">{#N/A,#N/A,FALSE,"Projections";#N/A,#N/A,FALSE,"Multiples Valuation";#N/A,#N/A,FALSE,"LBO";#N/A,#N/A,FALSE,"Multiples_Sensitivity";#N/A,#N/A,FALSE,"Summary"}</definedName>
    <definedName name="a" localSheetId="20" hidden="1">{#N/A,#N/A,FALSE,"Projections";#N/A,#N/A,FALSE,"Multiples Valuation";#N/A,#N/A,FALSE,"LBO";#N/A,#N/A,FALSE,"Multiples_Sensitivity";#N/A,#N/A,FALSE,"Summary"}</definedName>
    <definedName name="a" localSheetId="21" hidden="1">{#N/A,#N/A,FALSE,"Projections";#N/A,#N/A,FALSE,"Multiples Valuation";#N/A,#N/A,FALSE,"LBO";#N/A,#N/A,FALSE,"Multiples_Sensitivity";#N/A,#N/A,FALSE,"Summary"}</definedName>
    <definedName name="a" localSheetId="22" hidden="1">{#N/A,#N/A,FALSE,"Projections";#N/A,#N/A,FALSE,"Multiples Valuation";#N/A,#N/A,FALSE,"LBO";#N/A,#N/A,FALSE,"Multiples_Sensitivity";#N/A,#N/A,FALSE,"Summary"}</definedName>
    <definedName name="a" localSheetId="23" hidden="1">{#N/A,#N/A,FALSE,"Projections";#N/A,#N/A,FALSE,"Multiples Valuation";#N/A,#N/A,FALSE,"LBO";#N/A,#N/A,FALSE,"Multiples_Sensitivity";#N/A,#N/A,FALSE,"Summary"}</definedName>
    <definedName name="a" localSheetId="24" hidden="1">{#N/A,#N/A,FALSE,"Projections";#N/A,#N/A,FALSE,"Multiples Valuation";#N/A,#N/A,FALSE,"LBO";#N/A,#N/A,FALSE,"Multiples_Sensitivity";#N/A,#N/A,FALSE,"Summary"}</definedName>
    <definedName name="a" hidden="1">{#N/A,#N/A,FALSE,"Projections";#N/A,#N/A,FALSE,"Multiples Valuation";#N/A,#N/A,FALSE,"LBO";#N/A,#N/A,FALSE,"Multiples_Sensitivity";#N/A,#N/A,FALSE,"Summary"}</definedName>
    <definedName name="AA" localSheetId="16" hidden="1">{#N/A,#N/A,FALSE,"Projections";#N/A,#N/A,FALSE,"Multiples Valuation";#N/A,#N/A,FALSE,"LBO";#N/A,#N/A,FALSE,"Multiples_Sensitivity";#N/A,#N/A,FALSE,"Summary"}</definedName>
    <definedName name="AA" hidden="1">{#N/A,#N/A,FALSE,"Projections";#N/A,#N/A,FALSE,"Multiples Valuation";#N/A,#N/A,FALSE,"LBO";#N/A,#N/A,FALSE,"Multiples_Sensitivity";#N/A,#N/A,FALSE,"Summary"}</definedName>
    <definedName name="AAA_DOCTOPS" hidden="1">"AAA_SET"</definedName>
    <definedName name="AAA_duser" hidden="1">"OFF"</definedName>
    <definedName name="aaaaaaa" localSheetId="16" hidden="1">{"Outflow 1",#N/A,FALSE,"Outflows-Inflows";"Outflow 2",#N/A,FALSE,"Outflows-Inflows";"Inflow 1",#N/A,FALSE,"Outflows-Inflows";"Inflow 2",#N/A,FALSE,"Outflows-Inflows"}</definedName>
    <definedName name="aaaaaaa" localSheetId="20" hidden="1">{"Outflow 1",#N/A,FALSE,"Outflows-Inflows";"Outflow 2",#N/A,FALSE,"Outflows-Inflows";"Inflow 1",#N/A,FALSE,"Outflows-Inflows";"Inflow 2",#N/A,FALSE,"Outflows-Inflows"}</definedName>
    <definedName name="aaaaaaa" localSheetId="21" hidden="1">{"Outflow 1",#N/A,FALSE,"Outflows-Inflows";"Outflow 2",#N/A,FALSE,"Outflows-Inflows";"Inflow 1",#N/A,FALSE,"Outflows-Inflows";"Inflow 2",#N/A,FALSE,"Outflows-Inflows"}</definedName>
    <definedName name="aaaaaaa" localSheetId="22" hidden="1">{"Outflow 1",#N/A,FALSE,"Outflows-Inflows";"Outflow 2",#N/A,FALSE,"Outflows-Inflows";"Inflow 1",#N/A,FALSE,"Outflows-Inflows";"Inflow 2",#N/A,FALSE,"Outflows-Inflows"}</definedName>
    <definedName name="aaaaaaa" localSheetId="23" hidden="1">{"Outflow 1",#N/A,FALSE,"Outflows-Inflows";"Outflow 2",#N/A,FALSE,"Outflows-Inflows";"Inflow 1",#N/A,FALSE,"Outflows-Inflows";"Inflow 2",#N/A,FALSE,"Outflows-Inflows"}</definedName>
    <definedName name="aaaaaaa" localSheetId="24" hidden="1">{"Outflow 1",#N/A,FALSE,"Outflows-Inflows";"Outflow 2",#N/A,FALSE,"Outflows-Inflows";"Inflow 1",#N/A,FALSE,"Outflows-Inflows";"Inflow 2",#N/A,FALSE,"Outflows-Inflows"}</definedName>
    <definedName name="aaaaaaa" localSheetId="13" hidden="1">{"Outflow 1",#N/A,FALSE,"Outflows-Inflows";"Outflow 2",#N/A,FALSE,"Outflows-Inflows";"Inflow 1",#N/A,FALSE,"Outflows-Inflows";"Inflow 2",#N/A,FALSE,"Outflows-Inflows"}</definedName>
    <definedName name="aaaaaaa" localSheetId="14" hidden="1">{"Outflow 1",#N/A,FALSE,"Outflows-Inflows";"Outflow 2",#N/A,FALSE,"Outflows-Inflows";"Inflow 1",#N/A,FALSE,"Outflows-Inflows";"Inflow 2",#N/A,FALSE,"Outflows-Inflows"}</definedName>
    <definedName name="aaaaaaa" hidden="1">{"Outflow 1",#N/A,FALSE,"Outflows-Inflows";"Outflow 2",#N/A,FALSE,"Outflows-Inflows";"Inflow 1",#N/A,FALSE,"Outflows-Inflows";"Inflow 2",#N/A,FALSE,"Outflows-Inflows"}</definedName>
    <definedName name="aaaaaaa_1" localSheetId="16" hidden="1">{"Outflow 1",#N/A,FALSE,"Outflows-Inflows";"Outflow 2",#N/A,FALSE,"Outflows-Inflows";"Inflow 1",#N/A,FALSE,"Outflows-Inflows";"Inflow 2",#N/A,FALSE,"Outflows-Inflows"}</definedName>
    <definedName name="aaaaaaa_1" localSheetId="20" hidden="1">{"Outflow 1",#N/A,FALSE,"Outflows-Inflows";"Outflow 2",#N/A,FALSE,"Outflows-Inflows";"Inflow 1",#N/A,FALSE,"Outflows-Inflows";"Inflow 2",#N/A,FALSE,"Outflows-Inflows"}</definedName>
    <definedName name="aaaaaaa_1" localSheetId="21" hidden="1">{"Outflow 1",#N/A,FALSE,"Outflows-Inflows";"Outflow 2",#N/A,FALSE,"Outflows-Inflows";"Inflow 1",#N/A,FALSE,"Outflows-Inflows";"Inflow 2",#N/A,FALSE,"Outflows-Inflows"}</definedName>
    <definedName name="aaaaaaa_1" localSheetId="22" hidden="1">{"Outflow 1",#N/A,FALSE,"Outflows-Inflows";"Outflow 2",#N/A,FALSE,"Outflows-Inflows";"Inflow 1",#N/A,FALSE,"Outflows-Inflows";"Inflow 2",#N/A,FALSE,"Outflows-Inflows"}</definedName>
    <definedName name="aaaaaaa_1" localSheetId="23" hidden="1">{"Outflow 1",#N/A,FALSE,"Outflows-Inflows";"Outflow 2",#N/A,FALSE,"Outflows-Inflows";"Inflow 1",#N/A,FALSE,"Outflows-Inflows";"Inflow 2",#N/A,FALSE,"Outflows-Inflows"}</definedName>
    <definedName name="aaaaaaa_1" localSheetId="24" hidden="1">{"Outflow 1",#N/A,FALSE,"Outflows-Inflows";"Outflow 2",#N/A,FALSE,"Outflows-Inflows";"Inflow 1",#N/A,FALSE,"Outflows-Inflows";"Inflow 2",#N/A,FALSE,"Outflows-Inflows"}</definedName>
    <definedName name="aaaaaaa_1" localSheetId="13" hidden="1">{"Outflow 1",#N/A,FALSE,"Outflows-Inflows";"Outflow 2",#N/A,FALSE,"Outflows-Inflows";"Inflow 1",#N/A,FALSE,"Outflows-Inflows";"Inflow 2",#N/A,FALSE,"Outflows-Inflows"}</definedName>
    <definedName name="aaaaaaa_1" localSheetId="14" hidden="1">{"Outflow 1",#N/A,FALSE,"Outflows-Inflows";"Outflow 2",#N/A,FALSE,"Outflows-Inflows";"Inflow 1",#N/A,FALSE,"Outflows-Inflows";"Inflow 2",#N/A,FALSE,"Outflows-Inflows"}</definedName>
    <definedName name="aaaaaaa_1" hidden="1">{"Outflow 1",#N/A,FALSE,"Outflows-Inflows";"Outflow 2",#N/A,FALSE,"Outflows-Inflows";"Inflow 1",#N/A,FALSE,"Outflows-Inflows";"Inflow 2",#N/A,FALSE,"Outflows-Inflows"}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sdfa" localSheetId="16" hidden="1">{"rtn",#N/A,FALSE,"RTN";"tables",#N/A,FALSE,"RTN";"cf",#N/A,FALSE,"CF";"stats",#N/A,FALSE,"Stats";"prop",#N/A,FALSE,"Prop"}</definedName>
    <definedName name="aasdfa" localSheetId="20" hidden="1">{"rtn",#N/A,FALSE,"RTN";"tables",#N/A,FALSE,"RTN";"cf",#N/A,FALSE,"CF";"stats",#N/A,FALSE,"Stats";"prop",#N/A,FALSE,"Prop"}</definedName>
    <definedName name="aasdfa" localSheetId="21" hidden="1">{"rtn",#N/A,FALSE,"RTN";"tables",#N/A,FALSE,"RTN";"cf",#N/A,FALSE,"CF";"stats",#N/A,FALSE,"Stats";"prop",#N/A,FALSE,"Prop"}</definedName>
    <definedName name="aasdfa" localSheetId="22" hidden="1">{"rtn",#N/A,FALSE,"RTN";"tables",#N/A,FALSE,"RTN";"cf",#N/A,FALSE,"CF";"stats",#N/A,FALSE,"Stats";"prop",#N/A,FALSE,"Prop"}</definedName>
    <definedName name="aasdfa" localSheetId="23" hidden="1">{"rtn",#N/A,FALSE,"RTN";"tables",#N/A,FALSE,"RTN";"cf",#N/A,FALSE,"CF";"stats",#N/A,FALSE,"Stats";"prop",#N/A,FALSE,"Prop"}</definedName>
    <definedName name="aasdfa" localSheetId="24" hidden="1">{"rtn",#N/A,FALSE,"RTN";"tables",#N/A,FALSE,"RTN";"cf",#N/A,FALSE,"CF";"stats",#N/A,FALSE,"Stats";"prop",#N/A,FALSE,"Prop"}</definedName>
    <definedName name="aasdfa" localSheetId="13" hidden="1">{"rtn",#N/A,FALSE,"RTN";"tables",#N/A,FALSE,"RTN";"cf",#N/A,FALSE,"CF";"stats",#N/A,FALSE,"Stats";"prop",#N/A,FALSE,"Prop"}</definedName>
    <definedName name="aasdfa" localSheetId="14" hidden="1">{"rtn",#N/A,FALSE,"RTN";"tables",#N/A,FALSE,"RTN";"cf",#N/A,FALSE,"CF";"stats",#N/A,FALSE,"Stats";"prop",#N/A,FALSE,"Prop"}</definedName>
    <definedName name="aasdfa" hidden="1">{"rtn",#N/A,FALSE,"RTN";"tables",#N/A,FALSE,"RTN";"cf",#N/A,FALSE,"CF";"stats",#N/A,FALSE,"Stats";"prop",#N/A,FALSE,"Prop"}</definedName>
    <definedName name="aasdfa_1" localSheetId="16" hidden="1">{"rtn",#N/A,FALSE,"RTN";"tables",#N/A,FALSE,"RTN";"cf",#N/A,FALSE,"CF";"stats",#N/A,FALSE,"Stats";"prop",#N/A,FALSE,"Prop"}</definedName>
    <definedName name="aasdfa_1" localSheetId="20" hidden="1">{"rtn",#N/A,FALSE,"RTN";"tables",#N/A,FALSE,"RTN";"cf",#N/A,FALSE,"CF";"stats",#N/A,FALSE,"Stats";"prop",#N/A,FALSE,"Prop"}</definedName>
    <definedName name="aasdfa_1" localSheetId="21" hidden="1">{"rtn",#N/A,FALSE,"RTN";"tables",#N/A,FALSE,"RTN";"cf",#N/A,FALSE,"CF";"stats",#N/A,FALSE,"Stats";"prop",#N/A,FALSE,"Prop"}</definedName>
    <definedName name="aasdfa_1" localSheetId="22" hidden="1">{"rtn",#N/A,FALSE,"RTN";"tables",#N/A,FALSE,"RTN";"cf",#N/A,FALSE,"CF";"stats",#N/A,FALSE,"Stats";"prop",#N/A,FALSE,"Prop"}</definedName>
    <definedName name="aasdfa_1" localSheetId="23" hidden="1">{"rtn",#N/A,FALSE,"RTN";"tables",#N/A,FALSE,"RTN";"cf",#N/A,FALSE,"CF";"stats",#N/A,FALSE,"Stats";"prop",#N/A,FALSE,"Prop"}</definedName>
    <definedName name="aasdfa_1" localSheetId="24" hidden="1">{"rtn",#N/A,FALSE,"RTN";"tables",#N/A,FALSE,"RTN";"cf",#N/A,FALSE,"CF";"stats",#N/A,FALSE,"Stats";"prop",#N/A,FALSE,"Prop"}</definedName>
    <definedName name="aasdfa_1" localSheetId="13" hidden="1">{"rtn",#N/A,FALSE,"RTN";"tables",#N/A,FALSE,"RTN";"cf",#N/A,FALSE,"CF";"stats",#N/A,FALSE,"Stats";"prop",#N/A,FALSE,"Prop"}</definedName>
    <definedName name="aasdfa_1" localSheetId="14" hidden="1">{"rtn",#N/A,FALSE,"RTN";"tables",#N/A,FALSE,"RTN";"cf",#N/A,FALSE,"CF";"stats",#N/A,FALSE,"Stats";"prop",#N/A,FALSE,"Prop"}</definedName>
    <definedName name="aasdfa_1" hidden="1">{"rtn",#N/A,FALSE,"RTN";"tables",#N/A,FALSE,"RTN";"cf",#N/A,FALSE,"CF";"stats",#N/A,FALSE,"Stats";"prop",#N/A,FALSE,"Prop"}</definedName>
    <definedName name="Access_Button" hidden="1">"Loan_Front_End_Input_List"</definedName>
    <definedName name="AccessDatabase" hidden="1">"C:\My Documents\DAVE\MODELS\Cash at Risk\Loan Front End.mdb"</definedName>
    <definedName name="Argus" localSheetId="11">ROW()-ROW(#REF!)-1</definedName>
    <definedName name="Argus" localSheetId="12">ROW()-ROW(#REF!)-1</definedName>
    <definedName name="Argus" localSheetId="13">ROW()-ROW(#REF!)-1</definedName>
    <definedName name="as" localSheetId="16" hidden="1">{"Outflow 1",#N/A,FALSE,"Outflows-Inflows";"Outflow 2",#N/A,FALSE,"Outflows-Inflows";"Inflow 1",#N/A,FALSE,"Outflows-Inflows";"Inflow 2",#N/A,FALSE,"Outflows-Inflows"}</definedName>
    <definedName name="as" localSheetId="20" hidden="1">{"Outflow 1",#N/A,FALSE,"Outflows-Inflows";"Outflow 2",#N/A,FALSE,"Outflows-Inflows";"Inflow 1",#N/A,FALSE,"Outflows-Inflows";"Inflow 2",#N/A,FALSE,"Outflows-Inflows"}</definedName>
    <definedName name="as" localSheetId="21" hidden="1">{"Outflow 1",#N/A,FALSE,"Outflows-Inflows";"Outflow 2",#N/A,FALSE,"Outflows-Inflows";"Inflow 1",#N/A,FALSE,"Outflows-Inflows";"Inflow 2",#N/A,FALSE,"Outflows-Inflows"}</definedName>
    <definedName name="as" localSheetId="22" hidden="1">{"Outflow 1",#N/A,FALSE,"Outflows-Inflows";"Outflow 2",#N/A,FALSE,"Outflows-Inflows";"Inflow 1",#N/A,FALSE,"Outflows-Inflows";"Inflow 2",#N/A,FALSE,"Outflows-Inflows"}</definedName>
    <definedName name="as" localSheetId="23" hidden="1">{"Outflow 1",#N/A,FALSE,"Outflows-Inflows";"Outflow 2",#N/A,FALSE,"Outflows-Inflows";"Inflow 1",#N/A,FALSE,"Outflows-Inflows";"Inflow 2",#N/A,FALSE,"Outflows-Inflows"}</definedName>
    <definedName name="as" localSheetId="24" hidden="1">{"Outflow 1",#N/A,FALSE,"Outflows-Inflows";"Outflow 2",#N/A,FALSE,"Outflows-Inflows";"Inflow 1",#N/A,FALSE,"Outflows-Inflows";"Inflow 2",#N/A,FALSE,"Outflows-Inflows"}</definedName>
    <definedName name="as" localSheetId="13" hidden="1">{"Outflow 1",#N/A,FALSE,"Outflows-Inflows";"Outflow 2",#N/A,FALSE,"Outflows-Inflows";"Inflow 1",#N/A,FALSE,"Outflows-Inflows";"Inflow 2",#N/A,FALSE,"Outflows-Inflows"}</definedName>
    <definedName name="as" localSheetId="14" hidden="1">{"Outflow 1",#N/A,FALSE,"Outflows-Inflows";"Outflow 2",#N/A,FALSE,"Outflows-Inflows";"Inflow 1",#N/A,FALSE,"Outflows-Inflows";"Inflow 2",#N/A,FALSE,"Outflows-Inflows"}</definedName>
    <definedName name="as" hidden="1">{"Outflow 1",#N/A,FALSE,"Outflows-Inflows";"Outflow 2",#N/A,FALSE,"Outflows-Inflows";"Inflow 1",#N/A,FALSE,"Outflows-Inflows";"Inflow 2",#N/A,FALSE,"Outflows-Inflows"}</definedName>
    <definedName name="as_1" localSheetId="16" hidden="1">{"Outflow 1",#N/A,FALSE,"Outflows-Inflows";"Outflow 2",#N/A,FALSE,"Outflows-Inflows";"Inflow 1",#N/A,FALSE,"Outflows-Inflows";"Inflow 2",#N/A,FALSE,"Outflows-Inflows"}</definedName>
    <definedName name="as_1" localSheetId="20" hidden="1">{"Outflow 1",#N/A,FALSE,"Outflows-Inflows";"Outflow 2",#N/A,FALSE,"Outflows-Inflows";"Inflow 1",#N/A,FALSE,"Outflows-Inflows";"Inflow 2",#N/A,FALSE,"Outflows-Inflows"}</definedName>
    <definedName name="as_1" localSheetId="21" hidden="1">{"Outflow 1",#N/A,FALSE,"Outflows-Inflows";"Outflow 2",#N/A,FALSE,"Outflows-Inflows";"Inflow 1",#N/A,FALSE,"Outflows-Inflows";"Inflow 2",#N/A,FALSE,"Outflows-Inflows"}</definedName>
    <definedName name="as_1" localSheetId="22" hidden="1">{"Outflow 1",#N/A,FALSE,"Outflows-Inflows";"Outflow 2",#N/A,FALSE,"Outflows-Inflows";"Inflow 1",#N/A,FALSE,"Outflows-Inflows";"Inflow 2",#N/A,FALSE,"Outflows-Inflows"}</definedName>
    <definedName name="as_1" localSheetId="23" hidden="1">{"Outflow 1",#N/A,FALSE,"Outflows-Inflows";"Outflow 2",#N/A,FALSE,"Outflows-Inflows";"Inflow 1",#N/A,FALSE,"Outflows-Inflows";"Inflow 2",#N/A,FALSE,"Outflows-Inflows"}</definedName>
    <definedName name="as_1" localSheetId="24" hidden="1">{"Outflow 1",#N/A,FALSE,"Outflows-Inflows";"Outflow 2",#N/A,FALSE,"Outflows-Inflows";"Inflow 1",#N/A,FALSE,"Outflows-Inflows";"Inflow 2",#N/A,FALSE,"Outflows-Inflows"}</definedName>
    <definedName name="as_1" localSheetId="13" hidden="1">{"Outflow 1",#N/A,FALSE,"Outflows-Inflows";"Outflow 2",#N/A,FALSE,"Outflows-Inflows";"Inflow 1",#N/A,FALSE,"Outflows-Inflows";"Inflow 2",#N/A,FALSE,"Outflows-Inflows"}</definedName>
    <definedName name="as_1" localSheetId="14" hidden="1">{"Outflow 1",#N/A,FALSE,"Outflows-Inflows";"Outflow 2",#N/A,FALSE,"Outflows-Inflows";"Inflow 1",#N/A,FALSE,"Outflows-Inflows";"Inflow 2",#N/A,FALSE,"Outflows-Inflows"}</definedName>
    <definedName name="as_1" hidden="1">{"Outflow 1",#N/A,FALSE,"Outflows-Inflows";"Outflow 2",#N/A,FALSE,"Outflows-Inflows";"Inflow 1",#N/A,FALSE,"Outflows-Inflows";"Inflow 2",#N/A,FALSE,"Outflows-Inflows"}</definedName>
    <definedName name="asdfas" localSheetId="16" hidden="1">{"print 1.6",#N/A,FALSE,"Sheet1";"print 2.6",#N/A,FALSE,"Sheet1";"print 3.6",#N/A,FALSE,"Sheet1";"print 4.6",#N/A,FALSE,"Sheet1";"print 5.6",#N/A,FALSE,"Sheet1";"print 6.6",#N/A,FALSE,"Sheet1"}</definedName>
    <definedName name="asdfas" localSheetId="20" hidden="1">{"print 1.6",#N/A,FALSE,"Sheet1";"print 2.6",#N/A,FALSE,"Sheet1";"print 3.6",#N/A,FALSE,"Sheet1";"print 4.6",#N/A,FALSE,"Sheet1";"print 5.6",#N/A,FALSE,"Sheet1";"print 6.6",#N/A,FALSE,"Sheet1"}</definedName>
    <definedName name="asdfas" localSheetId="21" hidden="1">{"print 1.6",#N/A,FALSE,"Sheet1";"print 2.6",#N/A,FALSE,"Sheet1";"print 3.6",#N/A,FALSE,"Sheet1";"print 4.6",#N/A,FALSE,"Sheet1";"print 5.6",#N/A,FALSE,"Sheet1";"print 6.6",#N/A,FALSE,"Sheet1"}</definedName>
    <definedName name="asdfas" localSheetId="22" hidden="1">{"print 1.6",#N/A,FALSE,"Sheet1";"print 2.6",#N/A,FALSE,"Sheet1";"print 3.6",#N/A,FALSE,"Sheet1";"print 4.6",#N/A,FALSE,"Sheet1";"print 5.6",#N/A,FALSE,"Sheet1";"print 6.6",#N/A,FALSE,"Sheet1"}</definedName>
    <definedName name="asdfas" localSheetId="23" hidden="1">{"print 1.6",#N/A,FALSE,"Sheet1";"print 2.6",#N/A,FALSE,"Sheet1";"print 3.6",#N/A,FALSE,"Sheet1";"print 4.6",#N/A,FALSE,"Sheet1";"print 5.6",#N/A,FALSE,"Sheet1";"print 6.6",#N/A,FALSE,"Sheet1"}</definedName>
    <definedName name="asdfas" localSheetId="24" hidden="1">{"print 1.6",#N/A,FALSE,"Sheet1";"print 2.6",#N/A,FALSE,"Sheet1";"print 3.6",#N/A,FALSE,"Sheet1";"print 4.6",#N/A,FALSE,"Sheet1";"print 5.6",#N/A,FALSE,"Sheet1";"print 6.6",#N/A,FALSE,"Sheet1"}</definedName>
    <definedName name="asdfas" localSheetId="13" hidden="1">{"print 1.6",#N/A,FALSE,"Sheet1";"print 2.6",#N/A,FALSE,"Sheet1";"print 3.6",#N/A,FALSE,"Sheet1";"print 4.6",#N/A,FALSE,"Sheet1";"print 5.6",#N/A,FALSE,"Sheet1";"print 6.6",#N/A,FALSE,"Sheet1"}</definedName>
    <definedName name="asdfas" localSheetId="14" hidden="1">{"print 1.6",#N/A,FALSE,"Sheet1";"print 2.6",#N/A,FALSE,"Sheet1";"print 3.6",#N/A,FALSE,"Sheet1";"print 4.6",#N/A,FALSE,"Sheet1";"print 5.6",#N/A,FALSE,"Sheet1";"print 6.6",#N/A,FALSE,"Sheet1"}</definedName>
    <definedName name="asdfas" hidden="1">{"print 1.6",#N/A,FALSE,"Sheet1";"print 2.6",#N/A,FALSE,"Sheet1";"print 3.6",#N/A,FALSE,"Sheet1";"print 4.6",#N/A,FALSE,"Sheet1";"print 5.6",#N/A,FALSE,"Sheet1";"print 6.6",#N/A,FALSE,"Sheet1"}</definedName>
    <definedName name="asdfas_1" localSheetId="16" hidden="1">{"print 1.6",#N/A,FALSE,"Sheet1";"print 2.6",#N/A,FALSE,"Sheet1";"print 3.6",#N/A,FALSE,"Sheet1";"print 4.6",#N/A,FALSE,"Sheet1";"print 5.6",#N/A,FALSE,"Sheet1";"print 6.6",#N/A,FALSE,"Sheet1"}</definedName>
    <definedName name="asdfas_1" localSheetId="20" hidden="1">{"print 1.6",#N/A,FALSE,"Sheet1";"print 2.6",#N/A,FALSE,"Sheet1";"print 3.6",#N/A,FALSE,"Sheet1";"print 4.6",#N/A,FALSE,"Sheet1";"print 5.6",#N/A,FALSE,"Sheet1";"print 6.6",#N/A,FALSE,"Sheet1"}</definedName>
    <definedName name="asdfas_1" localSheetId="21" hidden="1">{"print 1.6",#N/A,FALSE,"Sheet1";"print 2.6",#N/A,FALSE,"Sheet1";"print 3.6",#N/A,FALSE,"Sheet1";"print 4.6",#N/A,FALSE,"Sheet1";"print 5.6",#N/A,FALSE,"Sheet1";"print 6.6",#N/A,FALSE,"Sheet1"}</definedName>
    <definedName name="asdfas_1" localSheetId="22" hidden="1">{"print 1.6",#N/A,FALSE,"Sheet1";"print 2.6",#N/A,FALSE,"Sheet1";"print 3.6",#N/A,FALSE,"Sheet1";"print 4.6",#N/A,FALSE,"Sheet1";"print 5.6",#N/A,FALSE,"Sheet1";"print 6.6",#N/A,FALSE,"Sheet1"}</definedName>
    <definedName name="asdfas_1" localSheetId="23" hidden="1">{"print 1.6",#N/A,FALSE,"Sheet1";"print 2.6",#N/A,FALSE,"Sheet1";"print 3.6",#N/A,FALSE,"Sheet1";"print 4.6",#N/A,FALSE,"Sheet1";"print 5.6",#N/A,FALSE,"Sheet1";"print 6.6",#N/A,FALSE,"Sheet1"}</definedName>
    <definedName name="asdfas_1" localSheetId="24" hidden="1">{"print 1.6",#N/A,FALSE,"Sheet1";"print 2.6",#N/A,FALSE,"Sheet1";"print 3.6",#N/A,FALSE,"Sheet1";"print 4.6",#N/A,FALSE,"Sheet1";"print 5.6",#N/A,FALSE,"Sheet1";"print 6.6",#N/A,FALSE,"Sheet1"}</definedName>
    <definedName name="asdfas_1" localSheetId="13" hidden="1">{"print 1.6",#N/A,FALSE,"Sheet1";"print 2.6",#N/A,FALSE,"Sheet1";"print 3.6",#N/A,FALSE,"Sheet1";"print 4.6",#N/A,FALSE,"Sheet1";"print 5.6",#N/A,FALSE,"Sheet1";"print 6.6",#N/A,FALSE,"Sheet1"}</definedName>
    <definedName name="asdfas_1" localSheetId="14" hidden="1">{"print 1.6",#N/A,FALSE,"Sheet1";"print 2.6",#N/A,FALSE,"Sheet1";"print 3.6",#N/A,FALSE,"Sheet1";"print 4.6",#N/A,FALSE,"Sheet1";"print 5.6",#N/A,FALSE,"Sheet1";"print 6.6",#N/A,FALSE,"Sheet1"}</definedName>
    <definedName name="asdfas_1" hidden="1">{"print 1.6",#N/A,FALSE,"Sheet1";"print 2.6",#N/A,FALSE,"Sheet1";"print 3.6",#N/A,FALSE,"Sheet1";"print 4.6",#N/A,FALSE,"Sheet1";"print 5.6",#N/A,FALSE,"Sheet1";"print 6.6",#N/A,FALSE,"Sheet1"}</definedName>
    <definedName name="asdfasaa" localSheetId="16" hidden="1">{"print 1.6",#N/A,FALSE,"Sheet1";"print 2.6",#N/A,FALSE,"Sheet1";"print 3.6",#N/A,FALSE,"Sheet1";"print 4.6",#N/A,FALSE,"Sheet1";"print 5.6",#N/A,FALSE,"Sheet1";"print 6.6",#N/A,FALSE,"Sheet1"}</definedName>
    <definedName name="asdfasaa" localSheetId="20" hidden="1">{"print 1.6",#N/A,FALSE,"Sheet1";"print 2.6",#N/A,FALSE,"Sheet1";"print 3.6",#N/A,FALSE,"Sheet1";"print 4.6",#N/A,FALSE,"Sheet1";"print 5.6",#N/A,FALSE,"Sheet1";"print 6.6",#N/A,FALSE,"Sheet1"}</definedName>
    <definedName name="asdfasaa" localSheetId="21" hidden="1">{"print 1.6",#N/A,FALSE,"Sheet1";"print 2.6",#N/A,FALSE,"Sheet1";"print 3.6",#N/A,FALSE,"Sheet1";"print 4.6",#N/A,FALSE,"Sheet1";"print 5.6",#N/A,FALSE,"Sheet1";"print 6.6",#N/A,FALSE,"Sheet1"}</definedName>
    <definedName name="asdfasaa" localSheetId="22" hidden="1">{"print 1.6",#N/A,FALSE,"Sheet1";"print 2.6",#N/A,FALSE,"Sheet1";"print 3.6",#N/A,FALSE,"Sheet1";"print 4.6",#N/A,FALSE,"Sheet1";"print 5.6",#N/A,FALSE,"Sheet1";"print 6.6",#N/A,FALSE,"Sheet1"}</definedName>
    <definedName name="asdfasaa" localSheetId="23" hidden="1">{"print 1.6",#N/A,FALSE,"Sheet1";"print 2.6",#N/A,FALSE,"Sheet1";"print 3.6",#N/A,FALSE,"Sheet1";"print 4.6",#N/A,FALSE,"Sheet1";"print 5.6",#N/A,FALSE,"Sheet1";"print 6.6",#N/A,FALSE,"Sheet1"}</definedName>
    <definedName name="asdfasaa" localSheetId="24" hidden="1">{"print 1.6",#N/A,FALSE,"Sheet1";"print 2.6",#N/A,FALSE,"Sheet1";"print 3.6",#N/A,FALSE,"Sheet1";"print 4.6",#N/A,FALSE,"Sheet1";"print 5.6",#N/A,FALSE,"Sheet1";"print 6.6",#N/A,FALSE,"Sheet1"}</definedName>
    <definedName name="asdfasaa" localSheetId="13" hidden="1">{"print 1.6",#N/A,FALSE,"Sheet1";"print 2.6",#N/A,FALSE,"Sheet1";"print 3.6",#N/A,FALSE,"Sheet1";"print 4.6",#N/A,FALSE,"Sheet1";"print 5.6",#N/A,FALSE,"Sheet1";"print 6.6",#N/A,FALSE,"Sheet1"}</definedName>
    <definedName name="asdfasaa" localSheetId="14" hidden="1">{"print 1.6",#N/A,FALSE,"Sheet1";"print 2.6",#N/A,FALSE,"Sheet1";"print 3.6",#N/A,FALSE,"Sheet1";"print 4.6",#N/A,FALSE,"Sheet1";"print 5.6",#N/A,FALSE,"Sheet1";"print 6.6",#N/A,FALSE,"Sheet1"}</definedName>
    <definedName name="asdfasaa" hidden="1">{"print 1.6",#N/A,FALSE,"Sheet1";"print 2.6",#N/A,FALSE,"Sheet1";"print 3.6",#N/A,FALSE,"Sheet1";"print 4.6",#N/A,FALSE,"Sheet1";"print 5.6",#N/A,FALSE,"Sheet1";"print 6.6",#N/A,FALSE,"Sheet1"}</definedName>
    <definedName name="asdfasaa_1" localSheetId="16" hidden="1">{"print 1.6",#N/A,FALSE,"Sheet1";"print 2.6",#N/A,FALSE,"Sheet1";"print 3.6",#N/A,FALSE,"Sheet1";"print 4.6",#N/A,FALSE,"Sheet1";"print 5.6",#N/A,FALSE,"Sheet1";"print 6.6",#N/A,FALSE,"Sheet1"}</definedName>
    <definedName name="asdfasaa_1" localSheetId="20" hidden="1">{"print 1.6",#N/A,FALSE,"Sheet1";"print 2.6",#N/A,FALSE,"Sheet1";"print 3.6",#N/A,FALSE,"Sheet1";"print 4.6",#N/A,FALSE,"Sheet1";"print 5.6",#N/A,FALSE,"Sheet1";"print 6.6",#N/A,FALSE,"Sheet1"}</definedName>
    <definedName name="asdfasaa_1" localSheetId="21" hidden="1">{"print 1.6",#N/A,FALSE,"Sheet1";"print 2.6",#N/A,FALSE,"Sheet1";"print 3.6",#N/A,FALSE,"Sheet1";"print 4.6",#N/A,FALSE,"Sheet1";"print 5.6",#N/A,FALSE,"Sheet1";"print 6.6",#N/A,FALSE,"Sheet1"}</definedName>
    <definedName name="asdfasaa_1" localSheetId="22" hidden="1">{"print 1.6",#N/A,FALSE,"Sheet1";"print 2.6",#N/A,FALSE,"Sheet1";"print 3.6",#N/A,FALSE,"Sheet1";"print 4.6",#N/A,FALSE,"Sheet1";"print 5.6",#N/A,FALSE,"Sheet1";"print 6.6",#N/A,FALSE,"Sheet1"}</definedName>
    <definedName name="asdfasaa_1" localSheetId="23" hidden="1">{"print 1.6",#N/A,FALSE,"Sheet1";"print 2.6",#N/A,FALSE,"Sheet1";"print 3.6",#N/A,FALSE,"Sheet1";"print 4.6",#N/A,FALSE,"Sheet1";"print 5.6",#N/A,FALSE,"Sheet1";"print 6.6",#N/A,FALSE,"Sheet1"}</definedName>
    <definedName name="asdfasaa_1" localSheetId="24" hidden="1">{"print 1.6",#N/A,FALSE,"Sheet1";"print 2.6",#N/A,FALSE,"Sheet1";"print 3.6",#N/A,FALSE,"Sheet1";"print 4.6",#N/A,FALSE,"Sheet1";"print 5.6",#N/A,FALSE,"Sheet1";"print 6.6",#N/A,FALSE,"Sheet1"}</definedName>
    <definedName name="asdfasaa_1" localSheetId="13" hidden="1">{"print 1.6",#N/A,FALSE,"Sheet1";"print 2.6",#N/A,FALSE,"Sheet1";"print 3.6",#N/A,FALSE,"Sheet1";"print 4.6",#N/A,FALSE,"Sheet1";"print 5.6",#N/A,FALSE,"Sheet1";"print 6.6",#N/A,FALSE,"Sheet1"}</definedName>
    <definedName name="asdfasaa_1" localSheetId="14" hidden="1">{"print 1.6",#N/A,FALSE,"Sheet1";"print 2.6",#N/A,FALSE,"Sheet1";"print 3.6",#N/A,FALSE,"Sheet1";"print 4.6",#N/A,FALSE,"Sheet1";"print 5.6",#N/A,FALSE,"Sheet1";"print 6.6",#N/A,FALSE,"Sheet1"}</definedName>
    <definedName name="asdfasaa_1" hidden="1">{"print 1.6",#N/A,FALSE,"Sheet1";"print 2.6",#N/A,FALSE,"Sheet1";"print 3.6",#N/A,FALSE,"Sheet1";"print 4.6",#N/A,FALSE,"Sheet1";"print 5.6",#N/A,FALSE,"Sheet1";"print 6.6",#N/A,FALSE,"Sheet1"}</definedName>
    <definedName name="asdfasdf" localSheetId="16" hidden="1">{"rtn",#N/A,FALSE,"RTN";"tables",#N/A,FALSE,"RTN";"cf",#N/A,FALSE,"CF";"stats",#N/A,FALSE,"Stats";"prop",#N/A,FALSE,"Prop"}</definedName>
    <definedName name="asdfasdf" localSheetId="20" hidden="1">{"rtn",#N/A,FALSE,"RTN";"tables",#N/A,FALSE,"RTN";"cf",#N/A,FALSE,"CF";"stats",#N/A,FALSE,"Stats";"prop",#N/A,FALSE,"Prop"}</definedName>
    <definedName name="asdfasdf" localSheetId="21" hidden="1">{"rtn",#N/A,FALSE,"RTN";"tables",#N/A,FALSE,"RTN";"cf",#N/A,FALSE,"CF";"stats",#N/A,FALSE,"Stats";"prop",#N/A,FALSE,"Prop"}</definedName>
    <definedName name="asdfasdf" localSheetId="22" hidden="1">{"rtn",#N/A,FALSE,"RTN";"tables",#N/A,FALSE,"RTN";"cf",#N/A,FALSE,"CF";"stats",#N/A,FALSE,"Stats";"prop",#N/A,FALSE,"Prop"}</definedName>
    <definedName name="asdfasdf" localSheetId="23" hidden="1">{"rtn",#N/A,FALSE,"RTN";"tables",#N/A,FALSE,"RTN";"cf",#N/A,FALSE,"CF";"stats",#N/A,FALSE,"Stats";"prop",#N/A,FALSE,"Prop"}</definedName>
    <definedName name="asdfasdf" localSheetId="24" hidden="1">{"rtn",#N/A,FALSE,"RTN";"tables",#N/A,FALSE,"RTN";"cf",#N/A,FALSE,"CF";"stats",#N/A,FALSE,"Stats";"prop",#N/A,FALSE,"Prop"}</definedName>
    <definedName name="asdfasdf" localSheetId="13" hidden="1">{"rtn",#N/A,FALSE,"RTN";"tables",#N/A,FALSE,"RTN";"cf",#N/A,FALSE,"CF";"stats",#N/A,FALSE,"Stats";"prop",#N/A,FALSE,"Prop"}</definedName>
    <definedName name="asdfasdf" localSheetId="14" hidden="1">{"rtn",#N/A,FALSE,"RTN";"tables",#N/A,FALSE,"RTN";"cf",#N/A,FALSE,"CF";"stats",#N/A,FALSE,"Stats";"prop",#N/A,FALSE,"Prop"}</definedName>
    <definedName name="asdfasdf" hidden="1">{"rtn",#N/A,FALSE,"RTN";"tables",#N/A,FALSE,"RTN";"cf",#N/A,FALSE,"CF";"stats",#N/A,FALSE,"Stats";"prop",#N/A,FALSE,"Prop"}</definedName>
    <definedName name="asdfasdf_1" localSheetId="16" hidden="1">{"rtn",#N/A,FALSE,"RTN";"tables",#N/A,FALSE,"RTN";"cf",#N/A,FALSE,"CF";"stats",#N/A,FALSE,"Stats";"prop",#N/A,FALSE,"Prop"}</definedName>
    <definedName name="asdfasdf_1" localSheetId="20" hidden="1">{"rtn",#N/A,FALSE,"RTN";"tables",#N/A,FALSE,"RTN";"cf",#N/A,FALSE,"CF";"stats",#N/A,FALSE,"Stats";"prop",#N/A,FALSE,"Prop"}</definedName>
    <definedName name="asdfasdf_1" localSheetId="21" hidden="1">{"rtn",#N/A,FALSE,"RTN";"tables",#N/A,FALSE,"RTN";"cf",#N/A,FALSE,"CF";"stats",#N/A,FALSE,"Stats";"prop",#N/A,FALSE,"Prop"}</definedName>
    <definedName name="asdfasdf_1" localSheetId="22" hidden="1">{"rtn",#N/A,FALSE,"RTN";"tables",#N/A,FALSE,"RTN";"cf",#N/A,FALSE,"CF";"stats",#N/A,FALSE,"Stats";"prop",#N/A,FALSE,"Prop"}</definedName>
    <definedName name="asdfasdf_1" localSheetId="23" hidden="1">{"rtn",#N/A,FALSE,"RTN";"tables",#N/A,FALSE,"RTN";"cf",#N/A,FALSE,"CF";"stats",#N/A,FALSE,"Stats";"prop",#N/A,FALSE,"Prop"}</definedName>
    <definedName name="asdfasdf_1" localSheetId="24" hidden="1">{"rtn",#N/A,FALSE,"RTN";"tables",#N/A,FALSE,"RTN";"cf",#N/A,FALSE,"CF";"stats",#N/A,FALSE,"Stats";"prop",#N/A,FALSE,"Prop"}</definedName>
    <definedName name="asdfasdf_1" localSheetId="13" hidden="1">{"rtn",#N/A,FALSE,"RTN";"tables",#N/A,FALSE,"RTN";"cf",#N/A,FALSE,"CF";"stats",#N/A,FALSE,"Stats";"prop",#N/A,FALSE,"Prop"}</definedName>
    <definedName name="asdfasdf_1" localSheetId="14" hidden="1">{"rtn",#N/A,FALSE,"RTN";"tables",#N/A,FALSE,"RTN";"cf",#N/A,FALSE,"CF";"stats",#N/A,FALSE,"Stats";"prop",#N/A,FALSE,"Prop"}</definedName>
    <definedName name="asdfasdf_1" hidden="1">{"rtn",#N/A,FALSE,"RTN";"tables",#N/A,FALSE,"RTN";"cf",#N/A,FALSE,"CF";"stats",#N/A,FALSE,"Stats";"prop",#N/A,FALSE,"Prop"}</definedName>
    <definedName name="asdfasfasd" localSheetId="11">ROW()-ROW(#REF!)-1</definedName>
    <definedName name="asdfasfasd" localSheetId="12">ROW()-ROW(#REF!)-1</definedName>
    <definedName name="asdfasfasd" localSheetId="13">ROW()-ROW(#REF!)-1</definedName>
    <definedName name="ass" localSheetId="16" hidden="1">{"print 1.6",#N/A,FALSE,"Sheet1";"print 2.6",#N/A,FALSE,"Sheet1";"print 3.6",#N/A,FALSE,"Sheet1";"print 4.6",#N/A,FALSE,"Sheet1";"print 5.6",#N/A,FALSE,"Sheet1";"print 6.6",#N/A,FALSE,"Sheet1"}</definedName>
    <definedName name="ass" localSheetId="20" hidden="1">{"print 1.6",#N/A,FALSE,"Sheet1";"print 2.6",#N/A,FALSE,"Sheet1";"print 3.6",#N/A,FALSE,"Sheet1";"print 4.6",#N/A,FALSE,"Sheet1";"print 5.6",#N/A,FALSE,"Sheet1";"print 6.6",#N/A,FALSE,"Sheet1"}</definedName>
    <definedName name="ass" localSheetId="21" hidden="1">{"print 1.6",#N/A,FALSE,"Sheet1";"print 2.6",#N/A,FALSE,"Sheet1";"print 3.6",#N/A,FALSE,"Sheet1";"print 4.6",#N/A,FALSE,"Sheet1";"print 5.6",#N/A,FALSE,"Sheet1";"print 6.6",#N/A,FALSE,"Sheet1"}</definedName>
    <definedName name="ass" localSheetId="22" hidden="1">{"print 1.6",#N/A,FALSE,"Sheet1";"print 2.6",#N/A,FALSE,"Sheet1";"print 3.6",#N/A,FALSE,"Sheet1";"print 4.6",#N/A,FALSE,"Sheet1";"print 5.6",#N/A,FALSE,"Sheet1";"print 6.6",#N/A,FALSE,"Sheet1"}</definedName>
    <definedName name="ass" localSheetId="23" hidden="1">{"print 1.6",#N/A,FALSE,"Sheet1";"print 2.6",#N/A,FALSE,"Sheet1";"print 3.6",#N/A,FALSE,"Sheet1";"print 4.6",#N/A,FALSE,"Sheet1";"print 5.6",#N/A,FALSE,"Sheet1";"print 6.6",#N/A,FALSE,"Sheet1"}</definedName>
    <definedName name="ass" localSheetId="24" hidden="1">{"print 1.6",#N/A,FALSE,"Sheet1";"print 2.6",#N/A,FALSE,"Sheet1";"print 3.6",#N/A,FALSE,"Sheet1";"print 4.6",#N/A,FALSE,"Sheet1";"print 5.6",#N/A,FALSE,"Sheet1";"print 6.6",#N/A,FALSE,"Sheet1"}</definedName>
    <definedName name="ass" localSheetId="13" hidden="1">{"print 1.6",#N/A,FALSE,"Sheet1";"print 2.6",#N/A,FALSE,"Sheet1";"print 3.6",#N/A,FALSE,"Sheet1";"print 4.6",#N/A,FALSE,"Sheet1";"print 5.6",#N/A,FALSE,"Sheet1";"print 6.6",#N/A,FALSE,"Sheet1"}</definedName>
    <definedName name="ass" localSheetId="14" hidden="1">{"print 1.6",#N/A,FALSE,"Sheet1";"print 2.6",#N/A,FALSE,"Sheet1";"print 3.6",#N/A,FALSE,"Sheet1";"print 4.6",#N/A,FALSE,"Sheet1";"print 5.6",#N/A,FALSE,"Sheet1";"print 6.6",#N/A,FALSE,"Sheet1"}</definedName>
    <definedName name="ass" hidden="1">{"print 1.6",#N/A,FALSE,"Sheet1";"print 2.6",#N/A,FALSE,"Sheet1";"print 3.6",#N/A,FALSE,"Sheet1";"print 4.6",#N/A,FALSE,"Sheet1";"print 5.6",#N/A,FALSE,"Sheet1";"print 6.6",#N/A,FALSE,"Sheet1"}</definedName>
    <definedName name="ass_1" localSheetId="16" hidden="1">{"print 1.6",#N/A,FALSE,"Sheet1";"print 2.6",#N/A,FALSE,"Sheet1";"print 3.6",#N/A,FALSE,"Sheet1";"print 4.6",#N/A,FALSE,"Sheet1";"print 5.6",#N/A,FALSE,"Sheet1";"print 6.6",#N/A,FALSE,"Sheet1"}</definedName>
    <definedName name="ass_1" localSheetId="20" hidden="1">{"print 1.6",#N/A,FALSE,"Sheet1";"print 2.6",#N/A,FALSE,"Sheet1";"print 3.6",#N/A,FALSE,"Sheet1";"print 4.6",#N/A,FALSE,"Sheet1";"print 5.6",#N/A,FALSE,"Sheet1";"print 6.6",#N/A,FALSE,"Sheet1"}</definedName>
    <definedName name="ass_1" localSheetId="21" hidden="1">{"print 1.6",#N/A,FALSE,"Sheet1";"print 2.6",#N/A,FALSE,"Sheet1";"print 3.6",#N/A,FALSE,"Sheet1";"print 4.6",#N/A,FALSE,"Sheet1";"print 5.6",#N/A,FALSE,"Sheet1";"print 6.6",#N/A,FALSE,"Sheet1"}</definedName>
    <definedName name="ass_1" localSheetId="22" hidden="1">{"print 1.6",#N/A,FALSE,"Sheet1";"print 2.6",#N/A,FALSE,"Sheet1";"print 3.6",#N/A,FALSE,"Sheet1";"print 4.6",#N/A,FALSE,"Sheet1";"print 5.6",#N/A,FALSE,"Sheet1";"print 6.6",#N/A,FALSE,"Sheet1"}</definedName>
    <definedName name="ass_1" localSheetId="23" hidden="1">{"print 1.6",#N/A,FALSE,"Sheet1";"print 2.6",#N/A,FALSE,"Sheet1";"print 3.6",#N/A,FALSE,"Sheet1";"print 4.6",#N/A,FALSE,"Sheet1";"print 5.6",#N/A,FALSE,"Sheet1";"print 6.6",#N/A,FALSE,"Sheet1"}</definedName>
    <definedName name="ass_1" localSheetId="24" hidden="1">{"print 1.6",#N/A,FALSE,"Sheet1";"print 2.6",#N/A,FALSE,"Sheet1";"print 3.6",#N/A,FALSE,"Sheet1";"print 4.6",#N/A,FALSE,"Sheet1";"print 5.6",#N/A,FALSE,"Sheet1";"print 6.6",#N/A,FALSE,"Sheet1"}</definedName>
    <definedName name="ass_1" localSheetId="13" hidden="1">{"print 1.6",#N/A,FALSE,"Sheet1";"print 2.6",#N/A,FALSE,"Sheet1";"print 3.6",#N/A,FALSE,"Sheet1";"print 4.6",#N/A,FALSE,"Sheet1";"print 5.6",#N/A,FALSE,"Sheet1";"print 6.6",#N/A,FALSE,"Sheet1"}</definedName>
    <definedName name="ass_1" localSheetId="14" hidden="1">{"print 1.6",#N/A,FALSE,"Sheet1";"print 2.6",#N/A,FALSE,"Sheet1";"print 3.6",#N/A,FALSE,"Sheet1";"print 4.6",#N/A,FALSE,"Sheet1";"print 5.6",#N/A,FALSE,"Sheet1";"print 6.6",#N/A,FALSE,"Sheet1"}</definedName>
    <definedName name="ass_1" hidden="1">{"print 1.6",#N/A,FALSE,"Sheet1";"print 2.6",#N/A,FALSE,"Sheet1";"print 3.6",#N/A,FALSE,"Sheet1";"print 4.6",#N/A,FALSE,"Sheet1";"print 5.6",#N/A,FALSE,"Sheet1";"print 6.6",#N/A,FALSE,"Sheet1"}</definedName>
    <definedName name="asss" localSheetId="16" hidden="1">{"rtn",#N/A,FALSE,"RTN";"tables",#N/A,FALSE,"RTN";"cf",#N/A,FALSE,"CF";"stats",#N/A,FALSE,"Stats";"prop",#N/A,FALSE,"Prop"}</definedName>
    <definedName name="asss" localSheetId="20" hidden="1">{"rtn",#N/A,FALSE,"RTN";"tables",#N/A,FALSE,"RTN";"cf",#N/A,FALSE,"CF";"stats",#N/A,FALSE,"Stats";"prop",#N/A,FALSE,"Prop"}</definedName>
    <definedName name="asss" localSheetId="21" hidden="1">{"rtn",#N/A,FALSE,"RTN";"tables",#N/A,FALSE,"RTN";"cf",#N/A,FALSE,"CF";"stats",#N/A,FALSE,"Stats";"prop",#N/A,FALSE,"Prop"}</definedName>
    <definedName name="asss" localSheetId="22" hidden="1">{"rtn",#N/A,FALSE,"RTN";"tables",#N/A,FALSE,"RTN";"cf",#N/A,FALSE,"CF";"stats",#N/A,FALSE,"Stats";"prop",#N/A,FALSE,"Prop"}</definedName>
    <definedName name="asss" localSheetId="23" hidden="1">{"rtn",#N/A,FALSE,"RTN";"tables",#N/A,FALSE,"RTN";"cf",#N/A,FALSE,"CF";"stats",#N/A,FALSE,"Stats";"prop",#N/A,FALSE,"Prop"}</definedName>
    <definedName name="asss" localSheetId="24" hidden="1">{"rtn",#N/A,FALSE,"RTN";"tables",#N/A,FALSE,"RTN";"cf",#N/A,FALSE,"CF";"stats",#N/A,FALSE,"Stats";"prop",#N/A,FALSE,"Prop"}</definedName>
    <definedName name="asss" localSheetId="13" hidden="1">{"rtn",#N/A,FALSE,"RTN";"tables",#N/A,FALSE,"RTN";"cf",#N/A,FALSE,"CF";"stats",#N/A,FALSE,"Stats";"prop",#N/A,FALSE,"Prop"}</definedName>
    <definedName name="asss" localSheetId="14" hidden="1">{"rtn",#N/A,FALSE,"RTN";"tables",#N/A,FALSE,"RTN";"cf",#N/A,FALSE,"CF";"stats",#N/A,FALSE,"Stats";"prop",#N/A,FALSE,"Prop"}</definedName>
    <definedName name="asss" hidden="1">{"rtn",#N/A,FALSE,"RTN";"tables",#N/A,FALSE,"RTN";"cf",#N/A,FALSE,"CF";"stats",#N/A,FALSE,"Stats";"prop",#N/A,FALSE,"Prop"}</definedName>
    <definedName name="asss_1" localSheetId="16" hidden="1">{"rtn",#N/A,FALSE,"RTN";"tables",#N/A,FALSE,"RTN";"cf",#N/A,FALSE,"CF";"stats",#N/A,FALSE,"Stats";"prop",#N/A,FALSE,"Prop"}</definedName>
    <definedName name="asss_1" localSheetId="20" hidden="1">{"rtn",#N/A,FALSE,"RTN";"tables",#N/A,FALSE,"RTN";"cf",#N/A,FALSE,"CF";"stats",#N/A,FALSE,"Stats";"prop",#N/A,FALSE,"Prop"}</definedName>
    <definedName name="asss_1" localSheetId="21" hidden="1">{"rtn",#N/A,FALSE,"RTN";"tables",#N/A,FALSE,"RTN";"cf",#N/A,FALSE,"CF";"stats",#N/A,FALSE,"Stats";"prop",#N/A,FALSE,"Prop"}</definedName>
    <definedName name="asss_1" localSheetId="22" hidden="1">{"rtn",#N/A,FALSE,"RTN";"tables",#N/A,FALSE,"RTN";"cf",#N/A,FALSE,"CF";"stats",#N/A,FALSE,"Stats";"prop",#N/A,FALSE,"Prop"}</definedName>
    <definedName name="asss_1" localSheetId="23" hidden="1">{"rtn",#N/A,FALSE,"RTN";"tables",#N/A,FALSE,"RTN";"cf",#N/A,FALSE,"CF";"stats",#N/A,FALSE,"Stats";"prop",#N/A,FALSE,"Prop"}</definedName>
    <definedName name="asss_1" localSheetId="24" hidden="1">{"rtn",#N/A,FALSE,"RTN";"tables",#N/A,FALSE,"RTN";"cf",#N/A,FALSE,"CF";"stats",#N/A,FALSE,"Stats";"prop",#N/A,FALSE,"Prop"}</definedName>
    <definedName name="asss_1" localSheetId="13" hidden="1">{"rtn",#N/A,FALSE,"RTN";"tables",#N/A,FALSE,"RTN";"cf",#N/A,FALSE,"CF";"stats",#N/A,FALSE,"Stats";"prop",#N/A,FALSE,"Prop"}</definedName>
    <definedName name="asss_1" localSheetId="14" hidden="1">{"rtn",#N/A,FALSE,"RTN";"tables",#N/A,FALSE,"RTN";"cf",#N/A,FALSE,"CF";"stats",#N/A,FALSE,"Stats";"prop",#N/A,FALSE,"Prop"}</definedName>
    <definedName name="asss_1" hidden="1">{"rtn",#N/A,FALSE,"RTN";"tables",#N/A,FALSE,"RTN";"cf",#N/A,FALSE,"CF";"stats",#N/A,FALSE,"Stats";"prop",#N/A,FALSE,"Prop"}</definedName>
    <definedName name="Bear" localSheetId="16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" localSheetId="20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" localSheetId="2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" localSheetId="2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" localSheetId="23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" localSheetId="24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LPH1" localSheetId="16" hidden="1">#REF!</definedName>
    <definedName name="BLPH1" localSheetId="20" hidden="1">#REF!</definedName>
    <definedName name="BLPH1" localSheetId="21" hidden="1">#REF!</definedName>
    <definedName name="BLPH1" localSheetId="22" hidden="1">#REF!</definedName>
    <definedName name="BLPH1" localSheetId="23" hidden="1">#REF!</definedName>
    <definedName name="BLPH1" localSheetId="24" hidden="1">#REF!</definedName>
    <definedName name="BLPH1" localSheetId="13" hidden="1">#REF!</definedName>
    <definedName name="BLPH1" hidden="1">#REF!</definedName>
    <definedName name="BLPH10" localSheetId="16" hidden="1">#REF!</definedName>
    <definedName name="BLPH10" localSheetId="20" hidden="1">#REF!</definedName>
    <definedName name="BLPH10" localSheetId="21" hidden="1">#REF!</definedName>
    <definedName name="BLPH10" localSheetId="22" hidden="1">#REF!</definedName>
    <definedName name="BLPH10" localSheetId="24" hidden="1">#REF!</definedName>
    <definedName name="BLPH10" localSheetId="13" hidden="1">#REF!</definedName>
    <definedName name="BLPH10" hidden="1">#REF!</definedName>
    <definedName name="BLPH11" localSheetId="16" hidden="1">#REF!</definedName>
    <definedName name="BLPH11" localSheetId="20" hidden="1">#REF!</definedName>
    <definedName name="BLPH11" localSheetId="21" hidden="1">#REF!</definedName>
    <definedName name="BLPH11" localSheetId="22" hidden="1">#REF!</definedName>
    <definedName name="BLPH11" localSheetId="24" hidden="1">#REF!</definedName>
    <definedName name="BLPH11" localSheetId="13" hidden="1">#REF!</definedName>
    <definedName name="BLPH11" hidden="1">#REF!</definedName>
    <definedName name="BLPH2" localSheetId="16" hidden="1">#REF!</definedName>
    <definedName name="BLPH2" localSheetId="20" hidden="1">#REF!</definedName>
    <definedName name="BLPH2" localSheetId="21" hidden="1">#REF!</definedName>
    <definedName name="BLPH2" localSheetId="22" hidden="1">#REF!</definedName>
    <definedName name="BLPH2" localSheetId="24" hidden="1">#REF!</definedName>
    <definedName name="BLPH2" localSheetId="13" hidden="1">#REF!</definedName>
    <definedName name="BLPH2" hidden="1">#REF!</definedName>
    <definedName name="BLPH3" localSheetId="16" hidden="1">#REF!</definedName>
    <definedName name="BLPH3" localSheetId="20" hidden="1">#REF!</definedName>
    <definedName name="BLPH3" localSheetId="21" hidden="1">#REF!</definedName>
    <definedName name="BLPH3" localSheetId="22" hidden="1">#REF!</definedName>
    <definedName name="BLPH3" localSheetId="24" hidden="1">#REF!</definedName>
    <definedName name="BLPH3" localSheetId="13" hidden="1">#REF!</definedName>
    <definedName name="BLPH3" hidden="1">#REF!</definedName>
    <definedName name="BLPH4" localSheetId="16" hidden="1">#REF!</definedName>
    <definedName name="BLPH4" localSheetId="20" hidden="1">#REF!</definedName>
    <definedName name="BLPH4" localSheetId="21" hidden="1">#REF!</definedName>
    <definedName name="BLPH4" localSheetId="22" hidden="1">#REF!</definedName>
    <definedName name="BLPH4" localSheetId="24" hidden="1">#REF!</definedName>
    <definedName name="BLPH4" localSheetId="13" hidden="1">#REF!</definedName>
    <definedName name="BLPH4" hidden="1">#REF!</definedName>
    <definedName name="BLPH5" localSheetId="16" hidden="1">#REF!</definedName>
    <definedName name="BLPH5" localSheetId="20" hidden="1">#REF!</definedName>
    <definedName name="BLPH5" localSheetId="21" hidden="1">#REF!</definedName>
    <definedName name="BLPH5" localSheetId="22" hidden="1">#REF!</definedName>
    <definedName name="BLPH5" localSheetId="24" hidden="1">#REF!</definedName>
    <definedName name="BLPH5" localSheetId="13" hidden="1">#REF!</definedName>
    <definedName name="BLPH5" hidden="1">#REF!</definedName>
    <definedName name="BLPH6" localSheetId="16" hidden="1">#REF!</definedName>
    <definedName name="BLPH6" localSheetId="20" hidden="1">#REF!</definedName>
    <definedName name="BLPH6" localSheetId="21" hidden="1">#REF!</definedName>
    <definedName name="BLPH6" localSheetId="22" hidden="1">#REF!</definedName>
    <definedName name="BLPH6" localSheetId="24" hidden="1">#REF!</definedName>
    <definedName name="BLPH6" localSheetId="13" hidden="1">#REF!</definedName>
    <definedName name="BLPH6" hidden="1">#REF!</definedName>
    <definedName name="BLPH7" localSheetId="16" hidden="1">#REF!</definedName>
    <definedName name="BLPH7" localSheetId="20" hidden="1">#REF!</definedName>
    <definedName name="BLPH7" localSheetId="21" hidden="1">#REF!</definedName>
    <definedName name="BLPH7" localSheetId="22" hidden="1">#REF!</definedName>
    <definedName name="BLPH7" localSheetId="24" hidden="1">#REF!</definedName>
    <definedName name="BLPH7" localSheetId="13" hidden="1">#REF!</definedName>
    <definedName name="BLPH7" hidden="1">#REF!</definedName>
    <definedName name="BLPH8" localSheetId="16" hidden="1">#REF!</definedName>
    <definedName name="BLPH8" localSheetId="20" hidden="1">#REF!</definedName>
    <definedName name="BLPH8" localSheetId="21" hidden="1">#REF!</definedName>
    <definedName name="BLPH8" localSheetId="22" hidden="1">#REF!</definedName>
    <definedName name="BLPH8" localSheetId="24" hidden="1">#REF!</definedName>
    <definedName name="BLPH8" localSheetId="13" hidden="1">#REF!</definedName>
    <definedName name="BLPH8" hidden="1">#REF!</definedName>
    <definedName name="BLPH9" localSheetId="16" hidden="1">#REF!</definedName>
    <definedName name="BLPH9" localSheetId="20" hidden="1">#REF!</definedName>
    <definedName name="BLPH9" localSheetId="21" hidden="1">#REF!</definedName>
    <definedName name="BLPH9" localSheetId="22" hidden="1">#REF!</definedName>
    <definedName name="BLPH9" localSheetId="24" hidden="1">#REF!</definedName>
    <definedName name="BLPH9" localSheetId="13" hidden="1">#REF!</definedName>
    <definedName name="BLPH9" hidden="1">#REF!</definedName>
    <definedName name="Choices_Wrapper" localSheetId="13">'Waterfall III Annual'!Choices_Wrapper</definedName>
    <definedName name="Choices_Wrapper" localSheetId="14">'Waterfall IV Annual'!Choices_Wrapper</definedName>
    <definedName name="ColDiff" localSheetId="13">COLUMN()-[0]!COL1STYR</definedName>
    <definedName name="ColDiff" localSheetId="14">COLUMN()-COL1STYR</definedName>
    <definedName name="D" localSheetId="16" hidden="1">{#N/A,#N/A,FALSE,"AD_Purch";#N/A,#N/A,FALSE,"Projections";#N/A,#N/A,FALSE,"DCF";#N/A,#N/A,FALSE,"Mkt Val"}</definedName>
    <definedName name="D" localSheetId="20" hidden="1">{#N/A,#N/A,FALSE,"AD_Purch";#N/A,#N/A,FALSE,"Projections";#N/A,#N/A,FALSE,"DCF";#N/A,#N/A,FALSE,"Mkt Val"}</definedName>
    <definedName name="D" localSheetId="21" hidden="1">{#N/A,#N/A,FALSE,"AD_Purch";#N/A,#N/A,FALSE,"Projections";#N/A,#N/A,FALSE,"DCF";#N/A,#N/A,FALSE,"Mkt Val"}</definedName>
    <definedName name="D" localSheetId="22" hidden="1">{#N/A,#N/A,FALSE,"AD_Purch";#N/A,#N/A,FALSE,"Projections";#N/A,#N/A,FALSE,"DCF";#N/A,#N/A,FALSE,"Mkt Val"}</definedName>
    <definedName name="D" localSheetId="23" hidden="1">{#N/A,#N/A,FALSE,"AD_Purch";#N/A,#N/A,FALSE,"Projections";#N/A,#N/A,FALSE,"DCF";#N/A,#N/A,FALSE,"Mkt Val"}</definedName>
    <definedName name="D" localSheetId="24" hidden="1">{#N/A,#N/A,FALSE,"AD_Purch";#N/A,#N/A,FALSE,"Projections";#N/A,#N/A,FALSE,"DCF";#N/A,#N/A,FALSE,"Mkt Val"}</definedName>
    <definedName name="D" hidden="1">{#N/A,#N/A,FALSE,"AD_Purch";#N/A,#N/A,FALSE,"Projections";#N/A,#N/A,FALSE,"DCF";#N/A,#N/A,FALSE,"Mkt Val"}</definedName>
    <definedName name="DATA_01" localSheetId="26" hidden="1">#REF!</definedName>
    <definedName name="DATA_01" localSheetId="10" hidden="1">#REF!</definedName>
    <definedName name="DATA_01" localSheetId="9" hidden="1">#REF!</definedName>
    <definedName name="DATA_01" localSheetId="17" hidden="1">#REF!</definedName>
    <definedName name="DATA_01" localSheetId="16" hidden="1">#REF!</definedName>
    <definedName name="DATA_01" localSheetId="20" hidden="1">#REF!</definedName>
    <definedName name="DATA_01" localSheetId="21" hidden="1">#REF!</definedName>
    <definedName name="DATA_01" localSheetId="22" hidden="1">#REF!</definedName>
    <definedName name="DATA_01" localSheetId="23" hidden="1">#REF!</definedName>
    <definedName name="DATA_01" localSheetId="24" hidden="1">#REF!</definedName>
    <definedName name="DATA_01" localSheetId="11" hidden="1">#REF!</definedName>
    <definedName name="DATA_01" localSheetId="12" hidden="1">#REF!</definedName>
    <definedName name="DATA_01" localSheetId="13" hidden="1">#REF!</definedName>
    <definedName name="DATA_01" localSheetId="14" hidden="1">#REF!</definedName>
    <definedName name="DATA_01" hidden="1">#REF!</definedName>
    <definedName name="dddddd" localSheetId="16" hidden="1">{#N/A,#N/A,FALSE,"CAPREIT"}</definedName>
    <definedName name="dddddd" localSheetId="20" hidden="1">{#N/A,#N/A,FALSE,"CAPREIT"}</definedName>
    <definedName name="dddddd" localSheetId="21" hidden="1">{#N/A,#N/A,FALSE,"CAPREIT"}</definedName>
    <definedName name="dddddd" localSheetId="22" hidden="1">{#N/A,#N/A,FALSE,"CAPREIT"}</definedName>
    <definedName name="dddddd" localSheetId="23" hidden="1">{#N/A,#N/A,FALSE,"CAPREIT"}</definedName>
    <definedName name="dddddd" localSheetId="24" hidden="1">{#N/A,#N/A,FALSE,"CAPREIT"}</definedName>
    <definedName name="dddddd" localSheetId="13" hidden="1">{#N/A,#N/A,FALSE,"CAPREIT"}</definedName>
    <definedName name="dddddd" localSheetId="14" hidden="1">{#N/A,#N/A,FALSE,"CAPREIT"}</definedName>
    <definedName name="dddddd" hidden="1">{#N/A,#N/A,FALSE,"CAPREIT"}</definedName>
    <definedName name="dddddd_1" localSheetId="16" hidden="1">{#N/A,#N/A,FALSE,"CAPREIT"}</definedName>
    <definedName name="dddddd_1" localSheetId="20" hidden="1">{#N/A,#N/A,FALSE,"CAPREIT"}</definedName>
    <definedName name="dddddd_1" localSheetId="21" hidden="1">{#N/A,#N/A,FALSE,"CAPREIT"}</definedName>
    <definedName name="dddddd_1" localSheetId="22" hidden="1">{#N/A,#N/A,FALSE,"CAPREIT"}</definedName>
    <definedName name="dddddd_1" localSheetId="23" hidden="1">{#N/A,#N/A,FALSE,"CAPREIT"}</definedName>
    <definedName name="dddddd_1" localSheetId="24" hidden="1">{#N/A,#N/A,FALSE,"CAPREIT"}</definedName>
    <definedName name="dddddd_1" localSheetId="13" hidden="1">{#N/A,#N/A,FALSE,"CAPREIT"}</definedName>
    <definedName name="dddddd_1" localSheetId="14" hidden="1">{#N/A,#N/A,FALSE,"CAPREIT"}</definedName>
    <definedName name="dddddd_1" hidden="1">{#N/A,#N/A,FALSE,"CAPREIT"}</definedName>
    <definedName name="ddddddd" localSheetId="16" hidden="1">{#N/A,#N/A,FALSE,"CAPREIT"}</definedName>
    <definedName name="ddddddd" localSheetId="20" hidden="1">{#N/A,#N/A,FALSE,"CAPREIT"}</definedName>
    <definedName name="ddddddd" localSheetId="21" hidden="1">{#N/A,#N/A,FALSE,"CAPREIT"}</definedName>
    <definedName name="ddddddd" localSheetId="22" hidden="1">{#N/A,#N/A,FALSE,"CAPREIT"}</definedName>
    <definedName name="ddddddd" localSheetId="23" hidden="1">{#N/A,#N/A,FALSE,"CAPREIT"}</definedName>
    <definedName name="ddddddd" localSheetId="24" hidden="1">{#N/A,#N/A,FALSE,"CAPREIT"}</definedName>
    <definedName name="ddddddd" localSheetId="13" hidden="1">{#N/A,#N/A,FALSE,"CAPREIT"}</definedName>
    <definedName name="ddddddd" localSheetId="14" hidden="1">{#N/A,#N/A,FALSE,"CAPREIT"}</definedName>
    <definedName name="ddddddd" hidden="1">{#N/A,#N/A,FALSE,"CAPREIT"}</definedName>
    <definedName name="ddddddd_1" localSheetId="16" hidden="1">{#N/A,#N/A,FALSE,"CAPREIT"}</definedName>
    <definedName name="ddddddd_1" localSheetId="20" hidden="1">{#N/A,#N/A,FALSE,"CAPREIT"}</definedName>
    <definedName name="ddddddd_1" localSheetId="21" hidden="1">{#N/A,#N/A,FALSE,"CAPREIT"}</definedName>
    <definedName name="ddddddd_1" localSheetId="22" hidden="1">{#N/A,#N/A,FALSE,"CAPREIT"}</definedName>
    <definedName name="ddddddd_1" localSheetId="23" hidden="1">{#N/A,#N/A,FALSE,"CAPREIT"}</definedName>
    <definedName name="ddddddd_1" localSheetId="24" hidden="1">{#N/A,#N/A,FALSE,"CAPREIT"}</definedName>
    <definedName name="ddddddd_1" localSheetId="13" hidden="1">{#N/A,#N/A,FALSE,"CAPREIT"}</definedName>
    <definedName name="ddddddd_1" localSheetId="14" hidden="1">{#N/A,#N/A,FALSE,"CAPREIT"}</definedName>
    <definedName name="ddddddd_1" hidden="1">{#N/A,#N/A,FALSE,"CAPREIT"}</definedName>
    <definedName name="DeleteBonus" localSheetId="13">'Waterfall III Annual'!DeleteBonus</definedName>
    <definedName name="DeleteBonus" localSheetId="14">'Waterfall IV Annual'!DeleteBonus</definedName>
    <definedName name="ds" localSheetId="16" hidden="1">{#N/A,#N/A,TRUE,"Summary";#N/A,#N/A,TRUE,"Unit Mix"}</definedName>
    <definedName name="ds" localSheetId="20" hidden="1">{#N/A,#N/A,TRUE,"Summary";#N/A,#N/A,TRUE,"Unit Mix"}</definedName>
    <definedName name="ds" localSheetId="21" hidden="1">{#N/A,#N/A,TRUE,"Summary";#N/A,#N/A,TRUE,"Unit Mix"}</definedName>
    <definedName name="ds" localSheetId="22" hidden="1">{#N/A,#N/A,TRUE,"Summary";#N/A,#N/A,TRUE,"Unit Mix"}</definedName>
    <definedName name="ds" localSheetId="23" hidden="1">{#N/A,#N/A,TRUE,"Summary";#N/A,#N/A,TRUE,"Unit Mix"}</definedName>
    <definedName name="ds" localSheetId="24" hidden="1">{#N/A,#N/A,TRUE,"Summary";#N/A,#N/A,TRUE,"Unit Mix"}</definedName>
    <definedName name="ds" hidden="1">{#N/A,#N/A,TRUE,"Summary";#N/A,#N/A,TRUE,"Unit Mix"}</definedName>
    <definedName name="Estimate" localSheetId="16" hidden="1">{#N/A,#N/A,FALSE,"Detail";#N/A,#N/A,FALSE,"Totals"}</definedName>
    <definedName name="Estimate" localSheetId="20" hidden="1">{#N/A,#N/A,FALSE,"Detail";#N/A,#N/A,FALSE,"Totals"}</definedName>
    <definedName name="Estimate" localSheetId="21" hidden="1">{#N/A,#N/A,FALSE,"Detail";#N/A,#N/A,FALSE,"Totals"}</definedName>
    <definedName name="Estimate" localSheetId="22" hidden="1">{#N/A,#N/A,FALSE,"Detail";#N/A,#N/A,FALSE,"Totals"}</definedName>
    <definedName name="Estimate" localSheetId="23" hidden="1">{#N/A,#N/A,FALSE,"Detail";#N/A,#N/A,FALSE,"Totals"}</definedName>
    <definedName name="Estimate" localSheetId="24" hidden="1">{#N/A,#N/A,FALSE,"Detail";#N/A,#N/A,FALSE,"Totals"}</definedName>
    <definedName name="Estimate" localSheetId="13" hidden="1">{#N/A,#N/A,FALSE,"Detail";#N/A,#N/A,FALSE,"Totals"}</definedName>
    <definedName name="Estimate" localSheetId="14" hidden="1">{#N/A,#N/A,FALSE,"Detail";#N/A,#N/A,FALSE,"Totals"}</definedName>
    <definedName name="Estimate" hidden="1">{#N/A,#N/A,FALSE,"Detail";#N/A,#N/A,FALSE,"Totals"}</definedName>
    <definedName name="Estimate_1" localSheetId="16" hidden="1">{#N/A,#N/A,FALSE,"Detail";#N/A,#N/A,FALSE,"Totals"}</definedName>
    <definedName name="Estimate_1" localSheetId="20" hidden="1">{#N/A,#N/A,FALSE,"Detail";#N/A,#N/A,FALSE,"Totals"}</definedName>
    <definedName name="Estimate_1" localSheetId="21" hidden="1">{#N/A,#N/A,FALSE,"Detail";#N/A,#N/A,FALSE,"Totals"}</definedName>
    <definedName name="Estimate_1" localSheetId="22" hidden="1">{#N/A,#N/A,FALSE,"Detail";#N/A,#N/A,FALSE,"Totals"}</definedName>
    <definedName name="Estimate_1" localSheetId="23" hidden="1">{#N/A,#N/A,FALSE,"Detail";#N/A,#N/A,FALSE,"Totals"}</definedName>
    <definedName name="Estimate_1" localSheetId="24" hidden="1">{#N/A,#N/A,FALSE,"Detail";#N/A,#N/A,FALSE,"Totals"}</definedName>
    <definedName name="Estimate_1" localSheetId="13" hidden="1">{#N/A,#N/A,FALSE,"Detail";#N/A,#N/A,FALSE,"Totals"}</definedName>
    <definedName name="Estimate_1" localSheetId="14" hidden="1">{#N/A,#N/A,FALSE,"Detail";#N/A,#N/A,FALSE,"Totals"}</definedName>
    <definedName name="Estimate_1" hidden="1">{#N/A,#N/A,FALSE,"Detail";#N/A,#N/A,FALSE,"Totals"}</definedName>
    <definedName name="fdfdfd" localSheetId="16" hidden="1">{#N/A,#N/A,FALSE,"CAPREIT"}</definedName>
    <definedName name="fdfdfd" localSheetId="20" hidden="1">{#N/A,#N/A,FALSE,"CAPREIT"}</definedName>
    <definedName name="fdfdfd" localSheetId="21" hidden="1">{#N/A,#N/A,FALSE,"CAPREIT"}</definedName>
    <definedName name="fdfdfd" localSheetId="22" hidden="1">{#N/A,#N/A,FALSE,"CAPREIT"}</definedName>
    <definedName name="fdfdfd" localSheetId="23" hidden="1">{#N/A,#N/A,FALSE,"CAPREIT"}</definedName>
    <definedName name="fdfdfd" localSheetId="24" hidden="1">{#N/A,#N/A,FALSE,"CAPREIT"}</definedName>
    <definedName name="fdfdfd" localSheetId="13" hidden="1">{#N/A,#N/A,FALSE,"CAPREIT"}</definedName>
    <definedName name="fdfdfd" localSheetId="14" hidden="1">{#N/A,#N/A,FALSE,"CAPREIT"}</definedName>
    <definedName name="fdfdfd" hidden="1">{#N/A,#N/A,FALSE,"CAPREIT"}</definedName>
    <definedName name="fdfdfd_1" localSheetId="16" hidden="1">{#N/A,#N/A,FALSE,"CAPREIT"}</definedName>
    <definedName name="fdfdfd_1" localSheetId="20" hidden="1">{#N/A,#N/A,FALSE,"CAPREIT"}</definedName>
    <definedName name="fdfdfd_1" localSheetId="21" hidden="1">{#N/A,#N/A,FALSE,"CAPREIT"}</definedName>
    <definedName name="fdfdfd_1" localSheetId="22" hidden="1">{#N/A,#N/A,FALSE,"CAPREIT"}</definedName>
    <definedName name="fdfdfd_1" localSheetId="23" hidden="1">{#N/A,#N/A,FALSE,"CAPREIT"}</definedName>
    <definedName name="fdfdfd_1" localSheetId="24" hidden="1">{#N/A,#N/A,FALSE,"CAPREIT"}</definedName>
    <definedName name="fdfdfd_1" localSheetId="13" hidden="1">{#N/A,#N/A,FALSE,"CAPREIT"}</definedName>
    <definedName name="fdfdfd_1" localSheetId="14" hidden="1">{#N/A,#N/A,FALSE,"CAPREIT"}</definedName>
    <definedName name="fdfdfd_1" hidden="1">{#N/A,#N/A,FALSE,"CAPREIT"}</definedName>
    <definedName name="fdfdfdf" localSheetId="16" hidden="1">{#N/A,#N/A,FALSE,"CAPREIT"}</definedName>
    <definedName name="fdfdfdf" localSheetId="20" hidden="1">{#N/A,#N/A,FALSE,"CAPREIT"}</definedName>
    <definedName name="fdfdfdf" localSheetId="21" hidden="1">{#N/A,#N/A,FALSE,"CAPREIT"}</definedName>
    <definedName name="fdfdfdf" localSheetId="22" hidden="1">{#N/A,#N/A,FALSE,"CAPREIT"}</definedName>
    <definedName name="fdfdfdf" localSheetId="23" hidden="1">{#N/A,#N/A,FALSE,"CAPREIT"}</definedName>
    <definedName name="fdfdfdf" localSheetId="24" hidden="1">{#N/A,#N/A,FALSE,"CAPREIT"}</definedName>
    <definedName name="fdfdfdf" localSheetId="13" hidden="1">{#N/A,#N/A,FALSE,"CAPREIT"}</definedName>
    <definedName name="fdfdfdf" localSheetId="14" hidden="1">{#N/A,#N/A,FALSE,"CAPREIT"}</definedName>
    <definedName name="fdfdfdf" hidden="1">{#N/A,#N/A,FALSE,"CAPREIT"}</definedName>
    <definedName name="fdfdfdf_1" localSheetId="16" hidden="1">{#N/A,#N/A,FALSE,"CAPREIT"}</definedName>
    <definedName name="fdfdfdf_1" localSheetId="20" hidden="1">{#N/A,#N/A,FALSE,"CAPREIT"}</definedName>
    <definedName name="fdfdfdf_1" localSheetId="21" hidden="1">{#N/A,#N/A,FALSE,"CAPREIT"}</definedName>
    <definedName name="fdfdfdf_1" localSheetId="22" hidden="1">{#N/A,#N/A,FALSE,"CAPREIT"}</definedName>
    <definedName name="fdfdfdf_1" localSheetId="23" hidden="1">{#N/A,#N/A,FALSE,"CAPREIT"}</definedName>
    <definedName name="fdfdfdf_1" localSheetId="24" hidden="1">{#N/A,#N/A,FALSE,"CAPREIT"}</definedName>
    <definedName name="fdfdfdf_1" localSheetId="13" hidden="1">{#N/A,#N/A,FALSE,"CAPREIT"}</definedName>
    <definedName name="fdfdfdf_1" localSheetId="14" hidden="1">{#N/A,#N/A,FALSE,"CAPREIT"}</definedName>
    <definedName name="fdfdfdf_1" hidden="1">{#N/A,#N/A,FALSE,"CAPREIT"}</definedName>
    <definedName name="fdfghdf" localSheetId="16" hidden="1">{"inputs raw data",#N/A,TRUE,"INPUT"}</definedName>
    <definedName name="fdfghdf" localSheetId="20" hidden="1">{"inputs raw data",#N/A,TRUE,"INPUT"}</definedName>
    <definedName name="fdfghdf" localSheetId="21" hidden="1">{"inputs raw data",#N/A,TRUE,"INPUT"}</definedName>
    <definedName name="fdfghdf" localSheetId="22" hidden="1">{"inputs raw data",#N/A,TRUE,"INPUT"}</definedName>
    <definedName name="fdfghdf" localSheetId="23" hidden="1">{"inputs raw data",#N/A,TRUE,"INPUT"}</definedName>
    <definedName name="fdfghdf" localSheetId="24" hidden="1">{"inputs raw data",#N/A,TRUE,"INPUT"}</definedName>
    <definedName name="fdfghdf" hidden="1">{"inputs raw data",#N/A,TRUE,"INPUT"}</definedName>
    <definedName name="hod" localSheetId="16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" localSheetId="20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" localSheetId="2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" localSheetId="2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" localSheetId="23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" localSheetId="24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uy" localSheetId="16" hidden="1">{#N/A,#N/A,FALSE,"AD_Purchase";#N/A,#N/A,FALSE,"Credit";#N/A,#N/A,FALSE,"PF Acquisition";#N/A,#N/A,FALSE,"PF Offering"}</definedName>
    <definedName name="houy" localSheetId="20" hidden="1">{#N/A,#N/A,FALSE,"AD_Purchase";#N/A,#N/A,FALSE,"Credit";#N/A,#N/A,FALSE,"PF Acquisition";#N/A,#N/A,FALSE,"PF Offering"}</definedName>
    <definedName name="houy" localSheetId="21" hidden="1">{#N/A,#N/A,FALSE,"AD_Purchase";#N/A,#N/A,FALSE,"Credit";#N/A,#N/A,FALSE,"PF Acquisition";#N/A,#N/A,FALSE,"PF Offering"}</definedName>
    <definedName name="houy" localSheetId="22" hidden="1">{#N/A,#N/A,FALSE,"AD_Purchase";#N/A,#N/A,FALSE,"Credit";#N/A,#N/A,FALSE,"PF Acquisition";#N/A,#N/A,FALSE,"PF Offering"}</definedName>
    <definedName name="houy" localSheetId="23" hidden="1">{#N/A,#N/A,FALSE,"AD_Purchase";#N/A,#N/A,FALSE,"Credit";#N/A,#N/A,FALSE,"PF Acquisition";#N/A,#N/A,FALSE,"PF Offering"}</definedName>
    <definedName name="houy" localSheetId="24" hidden="1">{#N/A,#N/A,FALSE,"AD_Purchase";#N/A,#N/A,FALSE,"Credit";#N/A,#N/A,FALSE,"PF Acquisition";#N/A,#N/A,FALSE,"PF Offering"}</definedName>
    <definedName name="houy" hidden="1">{#N/A,#N/A,FALSE,"AD_Purchase";#N/A,#N/A,FALSE,"Credit";#N/A,#N/A,FALSE,"PF Acquisition";#N/A,#N/A,FALSE,"PF Offering"}</definedName>
    <definedName name="IntroPrintArea" localSheetId="26" hidden="1">#REF!</definedName>
    <definedName name="IntroPrintArea" localSheetId="10" hidden="1">#REF!</definedName>
    <definedName name="IntroPrintArea" localSheetId="9" hidden="1">#REF!</definedName>
    <definedName name="IntroPrintArea" localSheetId="17" hidden="1">#REF!</definedName>
    <definedName name="IntroPrintArea" localSheetId="16" hidden="1">#REF!</definedName>
    <definedName name="IntroPrintArea" localSheetId="20" hidden="1">#REF!</definedName>
    <definedName name="IntroPrintArea" localSheetId="21" hidden="1">#REF!</definedName>
    <definedName name="IntroPrintArea" localSheetId="22" hidden="1">#REF!</definedName>
    <definedName name="IntroPrintArea" localSheetId="23" hidden="1">#REF!</definedName>
    <definedName name="IntroPrintArea" localSheetId="24" hidden="1">#REF!</definedName>
    <definedName name="IntroPrintArea" localSheetId="11" hidden="1">#REF!</definedName>
    <definedName name="IntroPrintArea" localSheetId="12" hidden="1">#REF!</definedName>
    <definedName name="IntroPrintArea" localSheetId="13" hidden="1">#REF!</definedName>
    <definedName name="IntroPrintArea" localSheetId="14" hidden="1">#REF!</definedName>
    <definedName name="IntroPrintArea" hidden="1">#REF!</definedName>
    <definedName name="IQ_1_4_CONSTRUCTION_GROSS_LOANS_FFIEC" hidden="1">"c13402"</definedName>
    <definedName name="IQ_1_4_CONSTRUCTION_LL_REC_DOM_FFIEC" hidden="1">"c12899"</definedName>
    <definedName name="IQ_1_4_CONSTRUCTION_LOAN_COMMITMENTS_UNUSED_FFIEC" hidden="1">"c13244"</definedName>
    <definedName name="IQ_1_4_CONSTRUCTION_LOANS_DUE_30_89_FFIEC" hidden="1">"c13257"</definedName>
    <definedName name="IQ_1_4_CONSTRUCTION_LOANS_DUE_90_FFIEC" hidden="1">"c13285"</definedName>
    <definedName name="IQ_1_4_CONSTRUCTION_LOANS_NON_ACCRUAL_FFIEC" hidden="1">"c13311"</definedName>
    <definedName name="IQ_1_4_CONSTRUCTION_RISK_BASED_FFIEC" hidden="1">"c13423"</definedName>
    <definedName name="IQ_1_4_FAMILY_JUNIOR_LIENS_CHARGE_OFFS_FDIC" hidden="1">"c6605"</definedName>
    <definedName name="IQ_1_4_FAMILY_JUNIOR_LIENS_NET_CHARGE_OFFS_FDIC" hidden="1">"c6643"</definedName>
    <definedName name="IQ_1_4_FAMILY_JUNIOR_LIENS_RECOVERIES_FDIC" hidden="1">"c6624"</definedName>
    <definedName name="IQ_1_4_FAMILY_RES_DOM_FFIEC" hidden="1">"c15269"</definedName>
    <definedName name="IQ_1_4_FAMILY_SENIOR_LIENS_CHARGE_OFFS_FDIC" hidden="1">"c6604"</definedName>
    <definedName name="IQ_1_4_FAMILY_SENIOR_LIENS_NET_CHARGE_OFFS_FDIC" hidden="1">"c6642"</definedName>
    <definedName name="IQ_1_4_FAMILY_SENIOR_LIENS_RECOVERIES_FDIC" hidden="1">"c6623"</definedName>
    <definedName name="IQ_1_4_HOME_EQUITY_NET_LOANS_FDIC" hidden="1">"c6441"</definedName>
    <definedName name="IQ_1_4_RESIDENTIAL_FIRST_LIENS_NET_LOANS_FDIC" hidden="1">"c6439"</definedName>
    <definedName name="IQ_1_4_RESIDENTIAL_JUNIOR_LIENS_NET_LOANS_FDIC" hidden="1">"c6440"</definedName>
    <definedName name="IQ_1_4_RESIDENTIAL_LOANS_FDIC" hidden="1">"c6310"</definedName>
    <definedName name="IQ_30YR_FIXED_MORTGAGE" hidden="1">"c6811"</definedName>
    <definedName name="IQ_30YR_FIXED_MORTGAGE_FC" hidden="1">"c7691"</definedName>
    <definedName name="IQ_30YR_FIXED_MORTGAGE_POP" hidden="1">"c7031"</definedName>
    <definedName name="IQ_30YR_FIXED_MORTGAGE_POP_FC" hidden="1">"c7911"</definedName>
    <definedName name="IQ_30YR_FIXED_MORTGAGE_YOY" hidden="1">"c7251"</definedName>
    <definedName name="IQ_30YR_FIXED_MORTGAGE_YOY_FC" hidden="1">"c8131"</definedName>
    <definedName name="IQ_ABS_AVAIL_SALE_FFIEC" hidden="1">"c12802"</definedName>
    <definedName name="IQ_ABS_FFIEC" hidden="1">"c12788"</definedName>
    <definedName name="IQ_ABS_INVEST_SECURITIES_FFIEC" hidden="1">"c13461"</definedName>
    <definedName name="IQ_ABS_PERIOD" hidden="1">"c13823"</definedName>
    <definedName name="IQ_ABS_PERIOD_EST" hidden="1">"c16122"</definedName>
    <definedName name="IQ_ACCEPTANCES_OTHER_FOREIGN_BANKS_LL_REC_FFIEC" hidden="1">"c15293"</definedName>
    <definedName name="IQ_ACCEPTANCES_OTHER_US_BANKS_LL_REC_FFIEC" hidden="1">"c15292"</definedName>
    <definedName name="IQ_ACCOUNT_CHANGE" hidden="1">"c1449"</definedName>
    <definedName name="IQ_ACCOUNT_CODE_INTEREST_PENALTIES" hidden="1">"c15741"</definedName>
    <definedName name="IQ_ACCOUNTING_FFIEC" hidden="1">"c13054"</definedName>
    <definedName name="IQ_ACCOUNTING_STANDARD" hidden="1">"c4539"</definedName>
    <definedName name="IQ_ACCOUNTING_STANDARD_CIQ" hidden="1">"c5092"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RUED_INTEREST_RECEIVABLE_FFIEC" hidden="1">"c12842"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DEP" hidden="1">"c1340"</definedName>
    <definedName name="IQ_ACCUMULATED_PENSION_OBLIGATION" localSheetId="20" hidden="1">"c2244"</definedName>
    <definedName name="IQ_ACCUMULATED_PENSION_OBLIGATION" localSheetId="21" hidden="1">"c2244"</definedName>
    <definedName name="IQ_ACCUMULATED_PENSION_OBLIGATION" localSheetId="22" hidden="1">"c2244"</definedName>
    <definedName name="IQ_ACCUMULATED_PENSION_OBLIGATION" localSheetId="23" hidden="1">"c2244"</definedName>
    <definedName name="IQ_ACCUMULATED_PENSION_OBLIGATION" localSheetId="24" hidden="1">"c2244"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_WIRELESS_SUB" hidden="1">"c2125"</definedName>
    <definedName name="IQ_ACQ_COSTS_CAPITALIZED" hidden="1">"c5"</definedName>
    <definedName name="IQ_ACQUIRE_REAL_ESTATE_CF" hidden="1">"c6"</definedName>
    <definedName name="IQ_ACQUIRED_BY_REPORTING_BANK_FDIC" hidden="1">"c6535"</definedName>
    <definedName name="IQ_ACQUISITION_COST_SUB" hidden="1">"c15807"</definedName>
    <definedName name="IQ_ACQUISITION_RE_ASSETS" hidden="1">"c1628"</definedName>
    <definedName name="IQ_ACTUAL_PRODUCTION_ALUM" hidden="1">"c9247"</definedName>
    <definedName name="IQ_ACTUAL_PRODUCTION_CATHODE_COP" hidden="1">"c9192"</definedName>
    <definedName name="IQ_ACTUAL_PRODUCTION_COAL" hidden="1">"c9821"</definedName>
    <definedName name="IQ_ACTUAL_PRODUCTION_COP" hidden="1">"c9191"</definedName>
    <definedName name="IQ_ACTUAL_PRODUCTION_DIAM" hidden="1">"c9671"</definedName>
    <definedName name="IQ_ACTUAL_PRODUCTION_GOLD" hidden="1">"c9032"</definedName>
    <definedName name="IQ_ACTUAL_PRODUCTION_IRON" hidden="1">"c9406"</definedName>
    <definedName name="IQ_ACTUAL_PRODUCTION_LEAD" hidden="1">"c9459"</definedName>
    <definedName name="IQ_ACTUAL_PRODUCTION_MANG" hidden="1">"c9512"</definedName>
    <definedName name="IQ_ACTUAL_PRODUCTION_MET_COAL" hidden="1">"c9761"</definedName>
    <definedName name="IQ_ACTUAL_PRODUCTION_MOLYB" hidden="1">"c9724"</definedName>
    <definedName name="IQ_ACTUAL_PRODUCTION_NICK" hidden="1">"c9300"</definedName>
    <definedName name="IQ_ACTUAL_PRODUCTION_PLAT" hidden="1">"c9138"</definedName>
    <definedName name="IQ_ACTUAL_PRODUCTION_SILVER" hidden="1">"c9085"</definedName>
    <definedName name="IQ_ACTUAL_PRODUCTION_STEAM" hidden="1">"c9791"</definedName>
    <definedName name="IQ_ACTUAL_PRODUCTION_TITAN" hidden="1">"c9565"</definedName>
    <definedName name="IQ_ACTUAL_PRODUCTION_URAN" hidden="1">"c9618"</definedName>
    <definedName name="IQ_ACTUAL_PRODUCTION_ZINC" hidden="1">"c9353"</definedName>
    <definedName name="IQ_AD" hidden="1">"c7"</definedName>
    <definedName name="IQ_ADD_PAID_IN" hidden="1">"c1344"</definedName>
    <definedName name="IQ_ADD_TAX_POSITIONS_CURRENT_YR" hidden="1">"c15733"</definedName>
    <definedName name="IQ_ADD_TAX_POSITIONS_PRIOR_YRS" hidden="1">"c15735"</definedName>
    <definedName name="IQ_ADDIN" hidden="1">"AUTO"</definedName>
    <definedName name="IQ_ADDITIONAL_NON_INT_INC_FDIC" hidden="1">"c6574"</definedName>
    <definedName name="IQ_ADDITIONS_NON_ACCRUAL_ASSET_DURING_QTR_FFIEC" hidden="1">"c15349"</definedName>
    <definedName name="IQ_ADJ_AVG_BANK_ASSETS" hidden="1">"c2671"</definedName>
    <definedName name="IQ_ADJUSTABLE_RATE_LOANS_FDIC" hidden="1">"c6375"</definedName>
    <definedName name="IQ_ADJUSTED_NAV_COVERED" hidden="1">"c9963"</definedName>
    <definedName name="IQ_ADJUSTED_NAV_GROUP" hidden="1">"c9949"</definedName>
    <definedName name="IQ_ADMIN_RATIO" hidden="1">"c2784"</definedName>
    <definedName name="IQ_ADVERTISING" hidden="1">"c2246"</definedName>
    <definedName name="IQ_ADVERTISING_MARKETING" hidden="1">"c1566"</definedName>
    <definedName name="IQ_ADVERTISING_MARKETING_EXPENSES_FFIEC" hidden="1">"c13048"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FFO" hidden="1">"c8756"</definedName>
    <definedName name="IQ_AFFO_DILUTED" hidden="1">"c16188"</definedName>
    <definedName name="IQ_AFFO_PER_SHARE_BASIC" hidden="1">"c8869"</definedName>
    <definedName name="IQ_AFFO_PER_SHARE_DILUTED" hidden="1">"c8870"</definedName>
    <definedName name="IQ_AFS_INVEST_SECURITIES_FFIEC" hidden="1">"c13456"</definedName>
    <definedName name="IQ_AFS_SECURITIES_TIER_1_FFIEC" hidden="1">"c13343"</definedName>
    <definedName name="IQ_AFTER_TAX_INCOME_FDIC" hidden="1">"c6583"</definedName>
    <definedName name="IQ_AG_PROD_FARM_LOANS_DOM_QUARTERLY_AVG_FFIEC" hidden="1">"c15477"</definedName>
    <definedName name="IQ_AGENCY" hidden="1">"c8960"</definedName>
    <definedName name="IQ_AGENCY_INVEST_SECURITIES_FFIEC" hidden="1">"c13458"</definedName>
    <definedName name="IQ_AGG_CORPORATE_SHARES" hidden="1">"c13781"</definedName>
    <definedName name="IQ_AGG_CORPORATE_VALUE" hidden="1">"c13774"</definedName>
    <definedName name="IQ_AGG_ESOP_SHARES" hidden="1">"c13782"</definedName>
    <definedName name="IQ_AGG_ESOP_VALUE" hidden="1">"c13775"</definedName>
    <definedName name="IQ_AGG_FOUNDATION_SHARES" hidden="1">"c13783"</definedName>
    <definedName name="IQ_AGG_FOUNDATION_VALUE" hidden="1">"c13776"</definedName>
    <definedName name="IQ_AGG_HEDGEFUND_SHARES" hidden="1">"c13785"</definedName>
    <definedName name="IQ_AGG_HEDGEFUND_VALUE" hidden="1">"c13778"</definedName>
    <definedName name="IQ_AGG_INSIDER_SHARES" hidden="1">"c13780"</definedName>
    <definedName name="IQ_AGG_INSIDER_VALUE" hidden="1">"c13773"</definedName>
    <definedName name="IQ_AGG_INSTITUTIONAL_SHARES" hidden="1">"c13779"</definedName>
    <definedName name="IQ_AGG_INSTITUTIONAL_VALUE" hidden="1">"c13772"</definedName>
    <definedName name="IQ_AGG_OTHER_SHARES" hidden="1">"c13784"</definedName>
    <definedName name="IQ_AGG_OTHER_VALUE" hidden="1">"c13777"</definedName>
    <definedName name="IQ_AGRICULTURAL_GROSS_LOANS_FFIEC" hidden="1">"c13413"</definedName>
    <definedName name="IQ_AGRICULTURAL_LOANS_FOREIGN_FFIEC" hidden="1">"c13481"</definedName>
    <definedName name="IQ_AGRICULTURAL_PRODUCTION_CHARGE_OFFS_FDIC" hidden="1">"c6597"</definedName>
    <definedName name="IQ_AGRICULTURAL_PRODUCTION_CHARGE_OFFS_LESS_THAN_300M_FDIC" hidden="1">"c6655"</definedName>
    <definedName name="IQ_AGRICULTURAL_PRODUCTION_NET_CHARGE_OFFS_FDIC" hidden="1">"c6635"</definedName>
    <definedName name="IQ_AGRICULTURAL_PRODUCTION_NET_CHARGE_OFFS_LESS_THAN_300M_FDIC" hidden="1">"c6657"</definedName>
    <definedName name="IQ_AGRICULTURAL_PRODUCTION_RECOVERIES_FDIC" hidden="1">"c6616"</definedName>
    <definedName name="IQ_AGRICULTURAL_PRODUCTION_RECOVERIES_LESS_THAN_300M_FDIC" hidden="1">"c6656"</definedName>
    <definedName name="IQ_AGRICULTURAL_RISK_BASED_FFIEC" hidden="1">"c13434"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AVG_PSGR_FARE" hidden="1">"c10029"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NUMBER_HRS_FLOWN" hidden="1">"c10037"</definedName>
    <definedName name="IQ_AIR_NUMBER_OPERATING_AIRCRAFT_AVG" hidden="1">"c10035"</definedName>
    <definedName name="IQ_AIR_NUMBER_TRIPS_FLOWN" hidden="1">"c10030"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EX_PER_ASK_EXCL_FUEL" hidden="1">"c10034"</definedName>
    <definedName name="IQ_AIR_OPEX_PER_ASM_EXCL_FUEL" hidden="1">"c10033"</definedName>
    <definedName name="IQ_AIR_OPTIONS" hidden="1">"c2837"</definedName>
    <definedName name="IQ_AIR_ORDERS" hidden="1">"c2836"</definedName>
    <definedName name="IQ_AIR_OWNED" hidden="1">"c2832"</definedName>
    <definedName name="IQ_AIR_PERCENTAGE_SALES_VIA_INTERNET" hidden="1">"c10036"</definedName>
    <definedName name="IQ_AIR_PSGR_HAUL_AVG_LENGTH_KM" hidden="1">"c10032"</definedName>
    <definedName name="IQ_AIR_PSGR_HAUL_AVG_LENGTH_MILES" hidden="1">"c10031"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_OTHER_DEPOSITS_FOREIGN_DEP_FFIEC" hidden="1">"c15347"</definedName>
    <definedName name="IQ_ALL_OTHER_INVEST_UNCONSOL_SUBS_FFIEC" hidden="1">"c15275"</definedName>
    <definedName name="IQ_ALL_OTHER_LEASES_CHARGE_OFFS_FFIEC" hidden="1">"c13185"</definedName>
    <definedName name="IQ_ALL_OTHER_LEASES_RECOV_FFIEC" hidden="1">"c13207"</definedName>
    <definedName name="IQ_ALL_OTHER_LOANS_CHARGE_OFFS_FFIEC" hidden="1">"c13183"</definedName>
    <definedName name="IQ_ALL_OTHER_LOANS_RECOV_FFIEC" hidden="1">"c13205"</definedName>
    <definedName name="IQ_ALL_OTHER_TRADING_LIABILITIES_DOM_FFIEC" hidden="1">"c12942"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_LL_LOSSES_FFIEC" hidden="1">"c12810"</definedName>
    <definedName name="IQ_ALLOWABLE_T2_CAPITAL_FFIEC" hidden="1">"c13150"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CHARGE_OFFS" hidden="1">"c24"</definedName>
    <definedName name="IQ_ALLOWANCE_CREDIT_LOSSES_OFF_BS_FFIEC" hidden="1">"c12871"</definedName>
    <definedName name="IQ_ALLOWANCE_LL_LOSSES_T2_FFIEC" hidden="1">"c13146"</definedName>
    <definedName name="IQ_ALLOWANCE_NON_PERF_LOANS" hidden="1">"c25"</definedName>
    <definedName name="IQ_ALLOWANCE_TOTAL_LOANS" hidden="1">"c26"</definedName>
    <definedName name="IQ_AMENDED_BALANCE_PREVIOUS_YR_FDIC" hidden="1">"c6499"</definedName>
    <definedName name="IQ_AMORT_EXP_IMPAIRMENT_OTHER_INTANGIBLE_ASSETS_FFIEC" hidden="1">"c13026"</definedName>
    <definedName name="IQ_AMORT_EXPENSE_FDIC" hidden="1">"c6677"</definedName>
    <definedName name="IQ_AMORTIZATION" hidden="1">"c1591"</definedName>
    <definedName name="IQ_AMORTIZED_COST_FDIC" hidden="1">"c6426"</definedName>
    <definedName name="IQ_AMOUNT_FINANCIAL_LOC_CONVEYED_FFIEC" hidden="1">"c13250"</definedName>
    <definedName name="IQ_AMOUNT_PERFORMANCE_LOC_CONVEYED_FFIEC" hidden="1">"c13252"</definedName>
    <definedName name="IQ_AMT_OUT" hidden="1">"c2145"</definedName>
    <definedName name="IQ_ANALYST_EMAIL" hidden="1">"c13738"</definedName>
    <definedName name="IQ_ANALYST_NAME" hidden="1">"c13736"</definedName>
    <definedName name="IQ_ANALYST_PHONE" hidden="1">"c13737"</definedName>
    <definedName name="IQ_ANALYST_START_DATE" hidden="1">"c13740"</definedName>
    <definedName name="IQ_ANNU_DISTRIBUTION_UNIT" hidden="1">"c3004"</definedName>
    <definedName name="IQ_ANNUAL_PREMIUM_EQUIVALENT_NEW_BUSINESS" hidden="1">"c9972"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NNUITY_SALES_FEES_COMMISSIONS_FFIEC" hidden="1">"c13007"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PPLICABLE_INCOME_TAXES_FTE_FFIEC" hidden="1">"c13853"</definedName>
    <definedName name="IQ_AR" hidden="1">"c40"</definedName>
    <definedName name="IQ_AR_BR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RPU_ANALOG_CABLE" hidden="1">"c2864"</definedName>
    <definedName name="IQ_ARPU_BASIC_CABLE" hidden="1">"c2866"</definedName>
    <definedName name="IQ_ARPU_BBAND" hidden="1">"c2867"</definedName>
    <definedName name="IQ_ARPU_DIG_CABLE" hidden="1">"c2865"</definedName>
    <definedName name="IQ_ARPU_PHONE" hidden="1">"c2868"</definedName>
    <definedName name="IQ_ARPU_POSTPAID_WIRELESS" hidden="1">"c15758"</definedName>
    <definedName name="IQ_ARPU_PREPAID_WIRELESS" hidden="1">"c15759"</definedName>
    <definedName name="IQ_ARPU_RETAIL_WIRELESS" hidden="1">"c15760"</definedName>
    <definedName name="IQ_ARPU_SATELLITE" hidden="1">"c15790"</definedName>
    <definedName name="IQ_ARPU_TOTAL" hidden="1">"c2869"</definedName>
    <definedName name="IQ_ARPU_WHOLESALE_WIRELESS" hidden="1">"c15761"</definedName>
    <definedName name="IQ_ARPU_WIRELESS" hidden="1">"c2126"</definedName>
    <definedName name="IQ_ASSET_BACKED_FDIC" hidden="1">"c6301"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SUPPLE" hidden="1">"c13812"</definedName>
    <definedName name="IQ_ASSET_WRITEDOWN_UTI" hidden="1">"c61"</definedName>
    <definedName name="IQ_ASSETS_AP" hidden="1">"c8883"</definedName>
    <definedName name="IQ_ASSETS_AP_ABS" hidden="1">"c8902"</definedName>
    <definedName name="IQ_ASSETS_CAP_LEASE_DEPR" hidden="1">"c2068"</definedName>
    <definedName name="IQ_ASSETS_CAP_LEASE_GROSS" hidden="1">"c2069"</definedName>
    <definedName name="IQ_ASSETS_FAIR_VALUE" hidden="1">"c13843"</definedName>
    <definedName name="IQ_ASSETS_HELD_FDIC" hidden="1">"c6305"</definedName>
    <definedName name="IQ_ASSETS_LEVEL_1" hidden="1">"c13839"</definedName>
    <definedName name="IQ_ASSETS_LEVEL_2" hidden="1">"c13840"</definedName>
    <definedName name="IQ_ASSETS_LEVEL_3" hidden="1">"c13841"</definedName>
    <definedName name="IQ_ASSETS_NAME_AP" hidden="1">"c8921"</definedName>
    <definedName name="IQ_ASSETS_NAME_AP_ABS" hidden="1">"c8940"</definedName>
    <definedName name="IQ_ASSETS_NETTING_OTHER_ADJUSTMENTS" hidden="1">"c13842"</definedName>
    <definedName name="IQ_ASSETS_OPER_LEASE_DEPR" hidden="1">"c2070"</definedName>
    <definedName name="IQ_ASSETS_OPER_LEASE_GROSS" hidden="1">"c2071"</definedName>
    <definedName name="IQ_ASSETS_PER_EMPLOYEE_FDIC" hidden="1">"c6737"</definedName>
    <definedName name="IQ_ASSETS_REPRICE_ASSETS_TOT_FFIEC" hidden="1">"c13454"</definedName>
    <definedName name="IQ_ASSETS_SOLD_1_4_FAMILY_LOANS_FDIC" hidden="1">"c6686"</definedName>
    <definedName name="IQ_ASSETS_SOLD_AUTO_LOANS_FDIC" hidden="1">"c6680"</definedName>
    <definedName name="IQ_ASSETS_SOLD_CL_LOANS_FDIC" hidden="1">"c6681"</definedName>
    <definedName name="IQ_ASSETS_SOLD_CREDIT_CARDS_RECEIVABLES_FDIC" hidden="1">"c6683"</definedName>
    <definedName name="IQ_ASSETS_SOLD_HOME_EQUITY_LINES_FDIC" hidden="1">"c6684"</definedName>
    <definedName name="IQ_ASSETS_SOLD_OTHER_CONSUMER_LOANS_FDIC" hidden="1">"c6682"</definedName>
    <definedName name="IQ_ASSETS_SOLD_OTHER_LOANS_FDIC" hidden="1">"c6685"</definedName>
    <definedName name="IQ_ASSIGNED_RESERVES_COAL" hidden="1">"c15912"</definedName>
    <definedName name="IQ_ASSIGNED_RESERVES_TO_TOTAL_RESERVES_COAL" hidden="1">"c15955"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LOSSES" hidden="1">"c15870"</definedName>
    <definedName name="IQ_ASSUMED_PC_EARNED" hidden="1">"c2746"</definedName>
    <definedName name="IQ_ASSUMED_PREMIUMS_EARNED_GROSS_PREMIUMS_EARNED" hidden="1">"c15886"</definedName>
    <definedName name="IQ_ASSUMED_PREMIUMS_WRITTEN_GROSS_PREMIUMS_WRITTEN" hidden="1">"c15884"</definedName>
    <definedName name="IQ_ASSUMED_WRITTEN" hidden="1">"c2725"</definedName>
    <definedName name="IQ_ATM_FEES_FFIEC" hidden="1">"c13042"</definedName>
    <definedName name="IQ_ATM_INTERCHANGE_EXPENSES_FFIEC" hidden="1">"c13056"</definedName>
    <definedName name="IQ_AUDITOR_NAME" hidden="1">"c1539"</definedName>
    <definedName name="IQ_AUDITOR_OPINION" hidden="1">"c1540"</definedName>
    <definedName name="IQ_AUM" hidden="1">"c10043"</definedName>
    <definedName name="IQ_AUM_EQUITY_FUNDS" hidden="1">"c10039"</definedName>
    <definedName name="IQ_AUM_FIXED_INCOME_FUNDS" hidden="1">"c10040"</definedName>
    <definedName name="IQ_AUM_MONEY_MARKET_FUNDS" hidden="1">"c10041"</definedName>
    <definedName name="IQ_AUM_OTHER" hidden="1">"c10042"</definedName>
    <definedName name="IQ_AUTO_LOANS_TOTAL_LOANS" hidden="1">"c15713"</definedName>
    <definedName name="IQ_AUTO_REGIST_NEW" hidden="1">"c6923"</definedName>
    <definedName name="IQ_AUTO_REGIST_NEW_APR" hidden="1">"c7583"</definedName>
    <definedName name="IQ_AUTO_REGIST_NEW_APR_FC" hidden="1">"c8463"</definedName>
    <definedName name="IQ_AUTO_REGIST_NEW_FC" hidden="1">"c7803"</definedName>
    <definedName name="IQ_AUTO_REGIST_NEW_POP" hidden="1">"c7143"</definedName>
    <definedName name="IQ_AUTO_REGIST_NEW_POP_FC" hidden="1">"c8023"</definedName>
    <definedName name="IQ_AUTO_REGIST_NEW_YOY" hidden="1">"c7363"</definedName>
    <definedName name="IQ_AUTO_REGIST_NEW_YOY_FC" hidden="1">"c8243"</definedName>
    <definedName name="IQ_AUTO_SALES_DOM" hidden="1">"c6852"</definedName>
    <definedName name="IQ_AUTO_SALES_DOM_APR" hidden="1">"c7512"</definedName>
    <definedName name="IQ_AUTO_SALES_DOM_APR_FC" hidden="1">"c8392"</definedName>
    <definedName name="IQ_AUTO_SALES_DOM_FC" hidden="1">"c7732"</definedName>
    <definedName name="IQ_AUTO_SALES_DOM_POP" hidden="1">"c7072"</definedName>
    <definedName name="IQ_AUTO_SALES_DOM_POP_FC" hidden="1">"c7952"</definedName>
    <definedName name="IQ_AUTO_SALES_DOM_YOY" hidden="1">"c7292"</definedName>
    <definedName name="IQ_AUTO_SALES_DOM_YOY_FC" hidden="1">"c8172"</definedName>
    <definedName name="IQ_AUTO_SALES_FOREIGN" hidden="1">"c6873"</definedName>
    <definedName name="IQ_AUTO_SALES_FOREIGN_APR" hidden="1">"c7533"</definedName>
    <definedName name="IQ_AUTO_SALES_FOREIGN_APR_FC" hidden="1">"c8413"</definedName>
    <definedName name="IQ_AUTO_SALES_FOREIGN_FC" hidden="1">"c7753"</definedName>
    <definedName name="IQ_AUTO_SALES_FOREIGN_POP" hidden="1">"c7093"</definedName>
    <definedName name="IQ_AUTO_SALES_FOREIGN_POP_FC" hidden="1">"c7973"</definedName>
    <definedName name="IQ_AUTO_SALES_FOREIGN_YOY" hidden="1">"c7313"</definedName>
    <definedName name="IQ_AUTO_SALES_FOREIGN_YOY_FC" hidden="1">"c8193"</definedName>
    <definedName name="IQ_AUTO_WRITTEN" hidden="1">"c62"</definedName>
    <definedName name="IQ_AVAIL_FOR_SALE_FAIR_VALUE_TOT_FFIEC" hidden="1">"c15399"</definedName>
    <definedName name="IQ_AVAIL_FOR_SALE_LEVEL_1_FFIEC" hidden="1">"c15421"</definedName>
    <definedName name="IQ_AVAIL_FOR_SALE_LEVEL_2_FFIEC" hidden="1">"c15434"</definedName>
    <definedName name="IQ_AVAIL_FOR_SALE_LEVEL_3_FFIEC" hidden="1">"c15447"</definedName>
    <definedName name="IQ_AVAILABLE_FOR_SALE_FDIC" hidden="1">"c6409"</definedName>
    <definedName name="IQ_AVAILABLE_SALE_SEC_FFIEC" hidden="1">"c12791"</definedName>
    <definedName name="IQ_AVERAGE_ASSETS_FDIC" hidden="1">"c6362"</definedName>
    <definedName name="IQ_AVERAGE_ASSETS_QUART_FDIC" hidden="1">"c6363"</definedName>
    <definedName name="IQ_AVERAGE_DEPOSITS" hidden="1">"c15256"</definedName>
    <definedName name="IQ_AVERAGE_EARNING_ASSETS_FDIC" hidden="1">"c6748"</definedName>
    <definedName name="IQ_AVERAGE_EQUITY_FDIC" hidden="1">"c6749"</definedName>
    <definedName name="IQ_AVERAGE_INTEREST_BEARING_DEPOSITS" hidden="1">"c15254"</definedName>
    <definedName name="IQ_AVERAGE_LOANS_FDIC" hidden="1">"c6750"</definedName>
    <definedName name="IQ_AVERAGE_LOANS_HFI" hidden="1">"c15251"</definedName>
    <definedName name="IQ_AVERAGE_LOANS_HFS" hidden="1">"c15252"</definedName>
    <definedName name="IQ_AVERAGE_NON_INTEREST_BEARING_DEPOSITS" hidden="1">"c15255"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CIQ" hidden="1">"c3612"</definedName>
    <definedName name="IQ_AVG_BROKER_REC_NO" hidden="1">"c64"</definedName>
    <definedName name="IQ_AVG_BROKER_REC_NO_CIQ" hidden="1">"c4657"</definedName>
    <definedName name="IQ_AVG_BROKER_REC_NO_THOM" hidden="1">"c5094"</definedName>
    <definedName name="IQ_AVG_BROKER_REC_THOM" hidden="1">"c3648"</definedName>
    <definedName name="IQ_AVG_CALORIFIC_VALUE_COAL" hidden="1">"c9828"</definedName>
    <definedName name="IQ_AVG_CALORIFIC_VALUE_MET_COAL" hidden="1">"c9764"</definedName>
    <definedName name="IQ_AVG_CALORIFIC_VALUE_STEAM" hidden="1">"c9794"</definedName>
    <definedName name="IQ_AVG_DAILY_VOL" hidden="1">"c65"</definedName>
    <definedName name="IQ_AVG_EMPLOYEES" hidden="1">"c6019"</definedName>
    <definedName name="IQ_AVG_GRADE_ALUM" hidden="1">"c9254"</definedName>
    <definedName name="IQ_AVG_GRADE_COP" hidden="1">"c9201"</definedName>
    <definedName name="IQ_AVG_GRADE_DIAM" hidden="1">"c9678"</definedName>
    <definedName name="IQ_AVG_GRADE_GOLD" hidden="1">"c9039"</definedName>
    <definedName name="IQ_AVG_GRADE_IRON" hidden="1">"c9413"</definedName>
    <definedName name="IQ_AVG_GRADE_LEAD" hidden="1">"c9466"</definedName>
    <definedName name="IQ_AVG_GRADE_MANG" hidden="1">"c9519"</definedName>
    <definedName name="IQ_AVG_GRADE_MOLYB" hidden="1">"c9731"</definedName>
    <definedName name="IQ_AVG_GRADE_NICK" hidden="1">"c9307"</definedName>
    <definedName name="IQ_AVG_GRADE_PLAT" hidden="1">"c9145"</definedName>
    <definedName name="IQ_AVG_GRADE_SILVER" hidden="1">"c9092"</definedName>
    <definedName name="IQ_AVG_GRADE_TITAN" hidden="1">"c9572"</definedName>
    <definedName name="IQ_AVG_GRADE_URAN" hidden="1">"c9625"</definedName>
    <definedName name="IQ_AVG_GRADE_ZINC" hidden="1">"c9360"</definedName>
    <definedName name="IQ_AVG_INDUSTRY_REC" hidden="1">"c4455"</definedName>
    <definedName name="IQ_AVG_INDUSTRY_REC_CIQ" hidden="1">"c4984"</definedName>
    <definedName name="IQ_AVG_INDUSTRY_REC_NO" hidden="1">"c4454"</definedName>
    <definedName name="IQ_AVG_INDUSTRY_REC_NO_CIQ" hidden="1">"c4983"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INV_HOMEBUILDING" hidden="1">"c15812"</definedName>
    <definedName name="IQ_AVG_INV_HOMES" hidden="1">"c15810"</definedName>
    <definedName name="IQ_AVG_INV_LAND_LOTS" hidden="1">"c15811"</definedName>
    <definedName name="IQ_AVG_MKTCAP" hidden="1">"c80"</definedName>
    <definedName name="IQ_AVG_PRICE" hidden="1">"c81"</definedName>
    <definedName name="IQ_AVG_PRICE_TARGET" hidden="1">"c82"</definedName>
    <definedName name="IQ_AVG_PRODUCTION_PER_MINE_ALUM" hidden="1">"c9249"</definedName>
    <definedName name="IQ_AVG_PRODUCTION_PER_MINE_COAL" hidden="1">"c9823"</definedName>
    <definedName name="IQ_AVG_PRODUCTION_PER_MINE_COP" hidden="1">"c9194"</definedName>
    <definedName name="IQ_AVG_PRODUCTION_PER_MINE_DIAM" hidden="1">"c9673"</definedName>
    <definedName name="IQ_AVG_PRODUCTION_PER_MINE_GOLD" hidden="1">"c9034"</definedName>
    <definedName name="IQ_AVG_PRODUCTION_PER_MINE_IRON" hidden="1">"c9408"</definedName>
    <definedName name="IQ_AVG_PRODUCTION_PER_MINE_LEAD" hidden="1">"c9461"</definedName>
    <definedName name="IQ_AVG_PRODUCTION_PER_MINE_MANG" hidden="1">"c9514"</definedName>
    <definedName name="IQ_AVG_PRODUCTION_PER_MINE_MOLYB" hidden="1">"c9726"</definedName>
    <definedName name="IQ_AVG_PRODUCTION_PER_MINE_NICK" hidden="1">"c9302"</definedName>
    <definedName name="IQ_AVG_PRODUCTION_PER_MINE_PLAT" hidden="1">"c9140"</definedName>
    <definedName name="IQ_AVG_PRODUCTION_PER_MINE_SILVER" hidden="1">"c9087"</definedName>
    <definedName name="IQ_AVG_PRODUCTION_PER_MINE_TITAN" hidden="1">"c9567"</definedName>
    <definedName name="IQ_AVG_PRODUCTION_PER_MINE_URAN" hidden="1">"c9620"</definedName>
    <definedName name="IQ_AVG_PRODUCTION_PER_MINE_ZINC" hidden="1">"c9355"</definedName>
    <definedName name="IQ_AVG_REAL_PRICE_POST_TREAT_REFINING_ALUM" hidden="1">"c9259"</definedName>
    <definedName name="IQ_AVG_REAL_PRICE_POST_TREAT_REFINING_COP" hidden="1">"c9206"</definedName>
    <definedName name="IQ_AVG_REAL_PRICE_POST_TREAT_REFINING_DIAM" hidden="1">"c9683"</definedName>
    <definedName name="IQ_AVG_REAL_PRICE_POST_TREAT_REFINING_GOLD" hidden="1">"c9044"</definedName>
    <definedName name="IQ_AVG_REAL_PRICE_POST_TREAT_REFINING_IRON" hidden="1">"c9418"</definedName>
    <definedName name="IQ_AVG_REAL_PRICE_POST_TREAT_REFINING_LEAD" hidden="1">"c9471"</definedName>
    <definedName name="IQ_AVG_REAL_PRICE_POST_TREAT_REFINING_MANG" hidden="1">"c9524"</definedName>
    <definedName name="IQ_AVG_REAL_PRICE_POST_TREAT_REFINING_MOLYB" hidden="1">"c9736"</definedName>
    <definedName name="IQ_AVG_REAL_PRICE_POST_TREAT_REFINING_NICK" hidden="1">"c9311"</definedName>
    <definedName name="IQ_AVG_REAL_PRICE_POST_TREAT_REFINING_PLAT" hidden="1">"c9150"</definedName>
    <definedName name="IQ_AVG_REAL_PRICE_POST_TREAT_REFINING_SILVER" hidden="1">"c9097"</definedName>
    <definedName name="IQ_AVG_REAL_PRICE_POST_TREAT_REFINING_TITAN" hidden="1">"c9577"</definedName>
    <definedName name="IQ_AVG_REAL_PRICE_POST_TREAT_REFINING_URAN" hidden="1">"c9630"</definedName>
    <definedName name="IQ_AVG_REAL_PRICE_POST_TREAT_REFINING_ZINC" hidden="1">"c9365"</definedName>
    <definedName name="IQ_AVG_REAL_PRICE_PRE_TREAT_REFINING_ALUM" hidden="1">"c9258"</definedName>
    <definedName name="IQ_AVG_REAL_PRICE_PRE_TREAT_REFINING_COP" hidden="1">"c9205"</definedName>
    <definedName name="IQ_AVG_REAL_PRICE_PRE_TREAT_REFINING_DIAM" hidden="1">"c9682"</definedName>
    <definedName name="IQ_AVG_REAL_PRICE_PRE_TREAT_REFINING_GOLD" hidden="1">"c9043"</definedName>
    <definedName name="IQ_AVG_REAL_PRICE_PRE_TREAT_REFINING_IRON" hidden="1">"c9417"</definedName>
    <definedName name="IQ_AVG_REAL_PRICE_PRE_TREAT_REFINING_LEAD" hidden="1">"c9470"</definedName>
    <definedName name="IQ_AVG_REAL_PRICE_PRE_TREAT_REFINING_MANG" hidden="1">"c9523"</definedName>
    <definedName name="IQ_AVG_REAL_PRICE_PRE_TREAT_REFINING_MOLYB" hidden="1">"c9735"</definedName>
    <definedName name="IQ_AVG_REAL_PRICE_PRE_TREAT_REFINING_NICK" hidden="1">"c9312"</definedName>
    <definedName name="IQ_AVG_REAL_PRICE_PRE_TREAT_REFINING_PLAT" hidden="1">"c9149"</definedName>
    <definedName name="IQ_AVG_REAL_PRICE_PRE_TREAT_REFINING_SILVER" hidden="1">"c9096"</definedName>
    <definedName name="IQ_AVG_REAL_PRICE_PRE_TREAT_REFINING_TITAN" hidden="1">"c9576"</definedName>
    <definedName name="IQ_AVG_REAL_PRICE_PRE_TREAT_REFINING_URAN" hidden="1">"c9629"</definedName>
    <definedName name="IQ_AVG_REAL_PRICE_PRE_TREAT_REFINING_ZINC" hidden="1">"c9364"</definedName>
    <definedName name="IQ_AVG_REALIZED_PRICE_AFTER_HEDGING_ALUM" hidden="1">"c9257"</definedName>
    <definedName name="IQ_AVG_REALIZED_PRICE_AFTER_HEDGING_COAL" hidden="1">"c9830"</definedName>
    <definedName name="IQ_AVG_REALIZED_PRICE_AFTER_HEDGING_COP" hidden="1">"c9204"</definedName>
    <definedName name="IQ_AVG_REALIZED_PRICE_AFTER_HEDGING_DIAM" hidden="1">"c9681"</definedName>
    <definedName name="IQ_AVG_REALIZED_PRICE_AFTER_HEDGING_GOLD" hidden="1">"c9042"</definedName>
    <definedName name="IQ_AVG_REALIZED_PRICE_AFTER_HEDGING_IRON" hidden="1">"c9416"</definedName>
    <definedName name="IQ_AVG_REALIZED_PRICE_AFTER_HEDGING_LEAD" hidden="1">"c9469"</definedName>
    <definedName name="IQ_AVG_REALIZED_PRICE_AFTER_HEDGING_MANG" hidden="1">"c9522"</definedName>
    <definedName name="IQ_AVG_REALIZED_PRICE_AFTER_HEDGING_MET_COAL" hidden="1">"c9766"</definedName>
    <definedName name="IQ_AVG_REALIZED_PRICE_AFTER_HEDGING_MOLYB" hidden="1">"c9734"</definedName>
    <definedName name="IQ_AVG_REALIZED_PRICE_AFTER_HEDGING_NICK" hidden="1">"c9310"</definedName>
    <definedName name="IQ_AVG_REALIZED_PRICE_AFTER_HEDGING_PLAT" hidden="1">"c9148"</definedName>
    <definedName name="IQ_AVG_REALIZED_PRICE_AFTER_HEDGING_SILVER" hidden="1">"c9095"</definedName>
    <definedName name="IQ_AVG_REALIZED_PRICE_AFTER_HEDGING_STEAM" hidden="1">"c9796"</definedName>
    <definedName name="IQ_AVG_REALIZED_PRICE_AFTER_HEDGING_TITAN" hidden="1">"c9575"</definedName>
    <definedName name="IQ_AVG_REALIZED_PRICE_AFTER_HEDGING_URAN" hidden="1">"c9628"</definedName>
    <definedName name="IQ_AVG_REALIZED_PRICE_AFTER_HEDGING_ZINC" hidden="1">"c9363"</definedName>
    <definedName name="IQ_AVG_REALIZED_PRICE_BEFORE_HEDGING_ALUM" hidden="1">"c9256"</definedName>
    <definedName name="IQ_AVG_REALIZED_PRICE_BEFORE_HEDGING_COAL" hidden="1">"c9829"</definedName>
    <definedName name="IQ_AVG_REALIZED_PRICE_BEFORE_HEDGING_COP" hidden="1">"c9203"</definedName>
    <definedName name="IQ_AVG_REALIZED_PRICE_BEFORE_HEDGING_DIAM" hidden="1">"c9680"</definedName>
    <definedName name="IQ_AVG_REALIZED_PRICE_BEFORE_HEDGING_GOLD" hidden="1">"c9041"</definedName>
    <definedName name="IQ_AVG_REALIZED_PRICE_BEFORE_HEDGING_IRON" hidden="1">"c9415"</definedName>
    <definedName name="IQ_AVG_REALIZED_PRICE_BEFORE_HEDGING_LEAD" hidden="1">"c9468"</definedName>
    <definedName name="IQ_AVG_REALIZED_PRICE_BEFORE_HEDGING_MANG" hidden="1">"c9521"</definedName>
    <definedName name="IQ_AVG_REALIZED_PRICE_BEFORE_HEDGING_MET_COAL" hidden="1">"c9765"</definedName>
    <definedName name="IQ_AVG_REALIZED_PRICE_BEFORE_HEDGING_MOLYB" hidden="1">"c9733"</definedName>
    <definedName name="IQ_AVG_REALIZED_PRICE_BEFORE_HEDGING_NICK" hidden="1">"c9309"</definedName>
    <definedName name="IQ_AVG_REALIZED_PRICE_BEFORE_HEDGING_PLAT" hidden="1">"c9147"</definedName>
    <definedName name="IQ_AVG_REALIZED_PRICE_BEFORE_HEDGING_SILVER" hidden="1">"c9094"</definedName>
    <definedName name="IQ_AVG_REALIZED_PRICE_BEFORE_HEDGING_STEAM" hidden="1">"c9795"</definedName>
    <definedName name="IQ_AVG_REALIZED_PRICE_BEFORE_HEDGING_TITAN" hidden="1">"c9574"</definedName>
    <definedName name="IQ_AVG_REALIZED_PRICE_BEFORE_HEDGING_URAN" hidden="1">"c9627"</definedName>
    <definedName name="IQ_AVG_REALIZED_PRICE_BEFORE_HEDGING_ZINC" hidden="1">"c9362"</definedName>
    <definedName name="IQ_AVG_SHAREOUTSTANDING" hidden="1">"c83"</definedName>
    <definedName name="IQ_AVG_TEMP_EMPLOYEES" hidden="1">"c6020"</definedName>
    <definedName name="IQ_AVG_TEV" hidden="1">"c84"</definedName>
    <definedName name="IQ_AVG_TOTAL_ASSETS_LEVERAGE_CAPITAL_FFIEC" hidden="1">"c13159"</definedName>
    <definedName name="IQ_AVG_TOTAL_ASSETS_LEVERAGE_RATIO_FFIEC" hidden="1">"c13154"</definedName>
    <definedName name="IQ_AVG_VOLUME" hidden="1">"c1346"</definedName>
    <definedName name="IQ_AVG_WAGES" hidden="1">"c6812"</definedName>
    <definedName name="IQ_AVG_WAGES_APR" hidden="1">"c7472"</definedName>
    <definedName name="IQ_AVG_WAGES_APR_FC" hidden="1">"c8352"</definedName>
    <definedName name="IQ_AVG_WAGES_FC" hidden="1">"c7692"</definedName>
    <definedName name="IQ_AVG_WAGES_POP" hidden="1">"c7032"</definedName>
    <definedName name="IQ_AVG_WAGES_POP_FC" hidden="1">"c7912"</definedName>
    <definedName name="IQ_AVG_WAGES_YOY" hidden="1">"c7252"</definedName>
    <definedName name="IQ_AVG_WAGES_YOY_FC" hidden="1">"c8132"</definedName>
    <definedName name="IQ_BALANCE_GOODS_APR_FC_UNUSED" hidden="1">"c8353"</definedName>
    <definedName name="IQ_BALANCE_GOODS_APR_FC_UNUSED_UNUSED_UNUSED" hidden="1">"c8353"</definedName>
    <definedName name="IQ_BALANCE_GOODS_APR_UNUSED" hidden="1">"c7473"</definedName>
    <definedName name="IQ_BALANCE_GOODS_APR_UNUSED_UNUSED_UNUSED" hidden="1">"c7473"</definedName>
    <definedName name="IQ_BALANCE_GOODS_FC_UNUSED" hidden="1">"c7693"</definedName>
    <definedName name="IQ_BALANCE_GOODS_FC_UNUSED_UNUSED_UNUSED" hidden="1">"c7693"</definedName>
    <definedName name="IQ_BALANCE_GOODS_POP_FC_UNUSED" hidden="1">"c7913"</definedName>
    <definedName name="IQ_BALANCE_GOODS_POP_FC_UNUSED_UNUSED_UNUSED" hidden="1">"c7913"</definedName>
    <definedName name="IQ_BALANCE_GOODS_POP_UNUSED" hidden="1">"c7033"</definedName>
    <definedName name="IQ_BALANCE_GOODS_POP_UNUSED_UNUSED_UNUSED" hidden="1">"c7033"</definedName>
    <definedName name="IQ_BALANCE_GOODS_REAL" hidden="1">"c6952"</definedName>
    <definedName name="IQ_BALANCE_GOODS_REAL_APR" hidden="1">"c7612"</definedName>
    <definedName name="IQ_BALANCE_GOODS_REAL_APR_FC" hidden="1">"c8492"</definedName>
    <definedName name="IQ_BALANCE_GOODS_REAL_FC" hidden="1">"c7832"</definedName>
    <definedName name="IQ_BALANCE_GOODS_REAL_POP" hidden="1">"c7172"</definedName>
    <definedName name="IQ_BALANCE_GOODS_REAL_POP_FC" hidden="1">"c8052"</definedName>
    <definedName name="IQ_BALANCE_GOODS_REAL_SAAR" hidden="1">"c6953"</definedName>
    <definedName name="IQ_BALANCE_GOODS_REAL_SAAR_APR" hidden="1">"c7613"</definedName>
    <definedName name="IQ_BALANCE_GOODS_REAL_SAAR_APR_FC" hidden="1">"c8493"</definedName>
    <definedName name="IQ_BALANCE_GOODS_REAL_SAAR_FC" hidden="1">"c7833"</definedName>
    <definedName name="IQ_BALANCE_GOODS_REAL_SAAR_POP" hidden="1">"c7173"</definedName>
    <definedName name="IQ_BALANCE_GOODS_REAL_SAAR_POP_FC" hidden="1">"c8053"</definedName>
    <definedName name="IQ_BALANCE_GOODS_REAL_SAAR_USD_APR_FC" hidden="1">"c11893"</definedName>
    <definedName name="IQ_BALANCE_GOODS_REAL_SAAR_USD_FC" hidden="1">"c11890"</definedName>
    <definedName name="IQ_BALANCE_GOODS_REAL_SAAR_USD_POP_FC" hidden="1">"c11891"</definedName>
    <definedName name="IQ_BALANCE_GOODS_REAL_SAAR_USD_YOY_FC" hidden="1">"c11892"</definedName>
    <definedName name="IQ_BALANCE_GOODS_REAL_SAAR_YOY" hidden="1">"c7393"</definedName>
    <definedName name="IQ_BALANCE_GOODS_REAL_SAAR_YOY_FC" hidden="1">"c8273"</definedName>
    <definedName name="IQ_BALANCE_GOODS_REAL_USD_APR_FC" hidden="1">"c11889"</definedName>
    <definedName name="IQ_BALANCE_GOODS_REAL_USD_FC" hidden="1">"c11886"</definedName>
    <definedName name="IQ_BALANCE_GOODS_REAL_USD_POP_FC" hidden="1">"c11887"</definedName>
    <definedName name="IQ_BALANCE_GOODS_REAL_USD_YOY_FC" hidden="1">"c11888"</definedName>
    <definedName name="IQ_BALANCE_GOODS_REAL_YOY" hidden="1">"c7392"</definedName>
    <definedName name="IQ_BALANCE_GOODS_REAL_YOY_FC" hidden="1">"c8272"</definedName>
    <definedName name="IQ_BALANCE_GOODS_SAAR" hidden="1">"c6814"</definedName>
    <definedName name="IQ_BALANCE_GOODS_SAAR_APR" hidden="1">"c7474"</definedName>
    <definedName name="IQ_BALANCE_GOODS_SAAR_APR_FC" hidden="1">"c8354"</definedName>
    <definedName name="IQ_BALANCE_GOODS_SAAR_FC" hidden="1">"c7694"</definedName>
    <definedName name="IQ_BALANCE_GOODS_SAAR_POP" hidden="1">"c7034"</definedName>
    <definedName name="IQ_BALANCE_GOODS_SAAR_POP_FC" hidden="1">"c7914"</definedName>
    <definedName name="IQ_BALANCE_GOODS_SAAR_USD_APR_FC" hidden="1">"c11762"</definedName>
    <definedName name="IQ_BALANCE_GOODS_SAAR_USD_FC" hidden="1">"c11759"</definedName>
    <definedName name="IQ_BALANCE_GOODS_SAAR_USD_POP_FC" hidden="1">"c11760"</definedName>
    <definedName name="IQ_BALANCE_GOODS_SAAR_USD_YOY_FC" hidden="1">"c11761"</definedName>
    <definedName name="IQ_BALANCE_GOODS_SAAR_YOY" hidden="1">"c7254"</definedName>
    <definedName name="IQ_BALANCE_GOODS_SAAR_YOY_FC" hidden="1">"c8134"</definedName>
    <definedName name="IQ_BALANCE_GOODS_UNUSED" hidden="1">"c6813"</definedName>
    <definedName name="IQ_BALANCE_GOODS_UNUSED_UNUSED_UNUSED" hidden="1">"c6813"</definedName>
    <definedName name="IQ_BALANCE_GOODS_USD_APR_FC" hidden="1">"c11758"</definedName>
    <definedName name="IQ_BALANCE_GOODS_USD_FC" hidden="1">"c11755"</definedName>
    <definedName name="IQ_BALANCE_GOODS_USD_POP_FC" hidden="1">"c11756"</definedName>
    <definedName name="IQ_BALANCE_GOODS_USD_YOY_FC" hidden="1">"c11757"</definedName>
    <definedName name="IQ_BALANCE_GOODS_YOY_FC_UNUSED" hidden="1">"c8133"</definedName>
    <definedName name="IQ_BALANCE_GOODS_YOY_FC_UNUSED_UNUSED_UNUSED" hidden="1">"c8133"</definedName>
    <definedName name="IQ_BALANCE_GOODS_YOY_UNUSED" hidden="1">"c7253"</definedName>
    <definedName name="IQ_BALANCE_GOODS_YOY_UNUSED_UNUSED_UNUSED" hidden="1">"c7253"</definedName>
    <definedName name="IQ_BALANCE_SERV_APR_FC_UNUSED" hidden="1">"c8355"</definedName>
    <definedName name="IQ_BALANCE_SERV_APR_FC_UNUSED_UNUSED_UNUSED" hidden="1">"c8355"</definedName>
    <definedName name="IQ_BALANCE_SERV_APR_UNUSED" hidden="1">"c7475"</definedName>
    <definedName name="IQ_BALANCE_SERV_APR_UNUSED_UNUSED_UNUSED" hidden="1">"c7475"</definedName>
    <definedName name="IQ_BALANCE_SERV_FC_UNUSED" hidden="1">"c7695"</definedName>
    <definedName name="IQ_BALANCE_SERV_FC_UNUSED_UNUSED_UNUSED" hidden="1">"c7695"</definedName>
    <definedName name="IQ_BALANCE_SERV_POP_FC_UNUSED" hidden="1">"c7915"</definedName>
    <definedName name="IQ_BALANCE_SERV_POP_FC_UNUSED_UNUSED_UNUSED" hidden="1">"c7915"</definedName>
    <definedName name="IQ_BALANCE_SERV_POP_UNUSED" hidden="1">"c7035"</definedName>
    <definedName name="IQ_BALANCE_SERV_POP_UNUSED_UNUSED_UNUSED" hidden="1">"c7035"</definedName>
    <definedName name="IQ_BALANCE_SERV_SAAR" hidden="1">"c6816"</definedName>
    <definedName name="IQ_BALANCE_SERV_SAAR_APR" hidden="1">"c7476"</definedName>
    <definedName name="IQ_BALANCE_SERV_SAAR_APR_FC" hidden="1">"c8356"</definedName>
    <definedName name="IQ_BALANCE_SERV_SAAR_FC" hidden="1">"c7696"</definedName>
    <definedName name="IQ_BALANCE_SERV_SAAR_POP" hidden="1">"c7036"</definedName>
    <definedName name="IQ_BALANCE_SERV_SAAR_POP_FC" hidden="1">"c7916"</definedName>
    <definedName name="IQ_BALANCE_SERV_SAAR_YOY" hidden="1">"c7256"</definedName>
    <definedName name="IQ_BALANCE_SERV_SAAR_YOY_FC" hidden="1">"c8136"</definedName>
    <definedName name="IQ_BALANCE_SERV_UNUSED" hidden="1">"c6815"</definedName>
    <definedName name="IQ_BALANCE_SERV_UNUSED_UNUSED_UNUSED" hidden="1">"c6815"</definedName>
    <definedName name="IQ_BALANCE_SERV_USD_APR_FC" hidden="1">"c11766"</definedName>
    <definedName name="IQ_BALANCE_SERV_USD_FC" hidden="1">"c11763"</definedName>
    <definedName name="IQ_BALANCE_SERV_USD_POP_FC" hidden="1">"c11764"</definedName>
    <definedName name="IQ_BALANCE_SERV_USD_YOY_FC" hidden="1">"c11765"</definedName>
    <definedName name="IQ_BALANCE_SERV_YOY_FC_UNUSED" hidden="1">"c8135"</definedName>
    <definedName name="IQ_BALANCE_SERV_YOY_FC_UNUSED_UNUSED_UNUSED" hidden="1">"c8135"</definedName>
    <definedName name="IQ_BALANCE_SERV_YOY_UNUSED" hidden="1">"c7255"</definedName>
    <definedName name="IQ_BALANCE_SERV_YOY_UNUSED_UNUSED_UNUSED" hidden="1">"c7255"</definedName>
    <definedName name="IQ_BALANCE_SERVICES_REAL" hidden="1">"c6954"</definedName>
    <definedName name="IQ_BALANCE_SERVICES_REAL_APR" hidden="1">"c7614"</definedName>
    <definedName name="IQ_BALANCE_SERVICES_REAL_APR_FC" hidden="1">"c8494"</definedName>
    <definedName name="IQ_BALANCE_SERVICES_REAL_FC" hidden="1">"c7834"</definedName>
    <definedName name="IQ_BALANCE_SERVICES_REAL_POP" hidden="1">"c7174"</definedName>
    <definedName name="IQ_BALANCE_SERVICES_REAL_POP_FC" hidden="1">"c8054"</definedName>
    <definedName name="IQ_BALANCE_SERVICES_REAL_SAAR" hidden="1">"c6955"</definedName>
    <definedName name="IQ_BALANCE_SERVICES_REAL_SAAR_APR" hidden="1">"c7615"</definedName>
    <definedName name="IQ_BALANCE_SERVICES_REAL_SAAR_APR_FC" hidden="1">"c8495"</definedName>
    <definedName name="IQ_BALANCE_SERVICES_REAL_SAAR_FC" hidden="1">"c7835"</definedName>
    <definedName name="IQ_BALANCE_SERVICES_REAL_SAAR_POP" hidden="1">"c7175"</definedName>
    <definedName name="IQ_BALANCE_SERVICES_REAL_SAAR_POP_FC" hidden="1">"c8055"</definedName>
    <definedName name="IQ_BALANCE_SERVICES_REAL_SAAR_YOY" hidden="1">"c7395"</definedName>
    <definedName name="IQ_BALANCE_SERVICES_REAL_SAAR_YOY_FC" hidden="1">"c8275"</definedName>
    <definedName name="IQ_BALANCE_SERVICES_REAL_USD_APR_FC" hidden="1">"c11897"</definedName>
    <definedName name="IQ_BALANCE_SERVICES_REAL_USD_FC" hidden="1">"c11894"</definedName>
    <definedName name="IQ_BALANCE_SERVICES_REAL_USD_POP_FC" hidden="1">"c11895"</definedName>
    <definedName name="IQ_BALANCE_SERVICES_REAL_USD_YOY_FC" hidden="1">"c11896"</definedName>
    <definedName name="IQ_BALANCE_SERVICES_REAL_YOY" hidden="1">"c7394"</definedName>
    <definedName name="IQ_BALANCE_SERVICES_REAL_YOY_FC" hidden="1">"c8274"</definedName>
    <definedName name="IQ_BALANCE_TRADE_APR_FC_UNUSED" hidden="1">"c8357"</definedName>
    <definedName name="IQ_BALANCE_TRADE_APR_FC_UNUSED_UNUSED_UNUSED" hidden="1">"c8357"</definedName>
    <definedName name="IQ_BALANCE_TRADE_APR_UNUSED" hidden="1">"c7477"</definedName>
    <definedName name="IQ_BALANCE_TRADE_APR_UNUSED_UNUSED_UNUSED" hidden="1">"c7477"</definedName>
    <definedName name="IQ_BALANCE_TRADE_FC_UNUSED" hidden="1">"c7697"</definedName>
    <definedName name="IQ_BALANCE_TRADE_FC_UNUSED_UNUSED_UNUSED" hidden="1">"c7697"</definedName>
    <definedName name="IQ_BALANCE_TRADE_POP_FC_UNUSED" hidden="1">"c7917"</definedName>
    <definedName name="IQ_BALANCE_TRADE_POP_FC_UNUSED_UNUSED_UNUSED" hidden="1">"c7917"</definedName>
    <definedName name="IQ_BALANCE_TRADE_POP_UNUSED" hidden="1">"c7037"</definedName>
    <definedName name="IQ_BALANCE_TRADE_POP_UNUSED_UNUSED_UNUSED" hidden="1">"c7037"</definedName>
    <definedName name="IQ_BALANCE_TRADE_REAL" hidden="1">"c6956"</definedName>
    <definedName name="IQ_BALANCE_TRADE_REAL_APR" hidden="1">"c7616"</definedName>
    <definedName name="IQ_BALANCE_TRADE_REAL_APR_FC" hidden="1">"c8496"</definedName>
    <definedName name="IQ_BALANCE_TRADE_REAL_FC" hidden="1">"c7836"</definedName>
    <definedName name="IQ_BALANCE_TRADE_REAL_POP" hidden="1">"c7176"</definedName>
    <definedName name="IQ_BALANCE_TRADE_REAL_POP_FC" hidden="1">"c8056"</definedName>
    <definedName name="IQ_BALANCE_TRADE_REAL_SAAR" hidden="1">"c6957"</definedName>
    <definedName name="IQ_BALANCE_TRADE_REAL_SAAR_APR" hidden="1">"c7617"</definedName>
    <definedName name="IQ_BALANCE_TRADE_REAL_SAAR_APR_FC" hidden="1">"c8497"</definedName>
    <definedName name="IQ_BALANCE_TRADE_REAL_SAAR_FC" hidden="1">"c7837"</definedName>
    <definedName name="IQ_BALANCE_TRADE_REAL_SAAR_POP" hidden="1">"c7177"</definedName>
    <definedName name="IQ_BALANCE_TRADE_REAL_SAAR_POP_FC" hidden="1">"c8057"</definedName>
    <definedName name="IQ_BALANCE_TRADE_REAL_SAAR_USD_APR_FC" hidden="1">"c11905"</definedName>
    <definedName name="IQ_BALANCE_TRADE_REAL_SAAR_USD_FC" hidden="1">"c11902"</definedName>
    <definedName name="IQ_BALANCE_TRADE_REAL_SAAR_USD_POP_FC" hidden="1">"c11903"</definedName>
    <definedName name="IQ_BALANCE_TRADE_REAL_SAAR_USD_YOY_FC" hidden="1">"c11904"</definedName>
    <definedName name="IQ_BALANCE_TRADE_REAL_SAAR_YOY" hidden="1">"c7397"</definedName>
    <definedName name="IQ_BALANCE_TRADE_REAL_SAAR_YOY_FC" hidden="1">"c8277"</definedName>
    <definedName name="IQ_BALANCE_TRADE_REAL_USD_APR_FC" hidden="1">"c11901"</definedName>
    <definedName name="IQ_BALANCE_TRADE_REAL_USD_FC" hidden="1">"c11898"</definedName>
    <definedName name="IQ_BALANCE_TRADE_REAL_USD_POP_FC" hidden="1">"c11899"</definedName>
    <definedName name="IQ_BALANCE_TRADE_REAL_USD_YOY_FC" hidden="1">"c11900"</definedName>
    <definedName name="IQ_BALANCE_TRADE_REAL_YOY" hidden="1">"c7396"</definedName>
    <definedName name="IQ_BALANCE_TRADE_REAL_YOY_FC" hidden="1">"c8276"</definedName>
    <definedName name="IQ_BALANCE_TRADE_SAAR" hidden="1">"c6818"</definedName>
    <definedName name="IQ_BALANCE_TRADE_SAAR_APR" hidden="1">"c7478"</definedName>
    <definedName name="IQ_BALANCE_TRADE_SAAR_APR_FC" hidden="1">"c8358"</definedName>
    <definedName name="IQ_BALANCE_TRADE_SAAR_FC" hidden="1">"c7698"</definedName>
    <definedName name="IQ_BALANCE_TRADE_SAAR_POP" hidden="1">"c7038"</definedName>
    <definedName name="IQ_BALANCE_TRADE_SAAR_POP_FC" hidden="1">"c7918"</definedName>
    <definedName name="IQ_BALANCE_TRADE_SAAR_USD_APR_FC" hidden="1">"c11774"</definedName>
    <definedName name="IQ_BALANCE_TRADE_SAAR_USD_FC" hidden="1">"c11771"</definedName>
    <definedName name="IQ_BALANCE_TRADE_SAAR_USD_POP_FC" hidden="1">"c11772"</definedName>
    <definedName name="IQ_BALANCE_TRADE_SAAR_USD_YOY_FC" hidden="1">"c11773"</definedName>
    <definedName name="IQ_BALANCE_TRADE_SAAR_YOY" hidden="1">"c7258"</definedName>
    <definedName name="IQ_BALANCE_TRADE_SAAR_YOY_FC" hidden="1">"c8138"</definedName>
    <definedName name="IQ_BALANCE_TRADE_UNUSED" hidden="1">"c6817"</definedName>
    <definedName name="IQ_BALANCE_TRADE_UNUSED_UNUSED_UNUSED" hidden="1">"c6817"</definedName>
    <definedName name="IQ_BALANCE_TRADE_USD_APR_FC" hidden="1">"c11770"</definedName>
    <definedName name="IQ_BALANCE_TRADE_USD_FC" hidden="1">"c11767"</definedName>
    <definedName name="IQ_BALANCE_TRADE_USD_POP_FC" hidden="1">"c11768"</definedName>
    <definedName name="IQ_BALANCE_TRADE_USD_YOY_FC" hidden="1">"c11769"</definedName>
    <definedName name="IQ_BALANCE_TRADE_YOY_FC_UNUSED" hidden="1">"c8137"</definedName>
    <definedName name="IQ_BALANCE_TRADE_YOY_FC_UNUSED_UNUSED_UNUSED" hidden="1">"c8137"</definedName>
    <definedName name="IQ_BALANCE_TRADE_YOY_UNUSED" hidden="1">"c7257"</definedName>
    <definedName name="IQ_BALANCE_TRADE_YOY_UNUSED_UNUSED_UNUSED" hidden="1">"c7257"</definedName>
    <definedName name="IQ_BALANCES_DUE_DEPOSITORY_INSTITUTIONS_FDIC" hidden="1">"c6389"</definedName>
    <definedName name="IQ_BALANCES_DUE_FOREIGN_FDIC" hidden="1">"c6391"</definedName>
    <definedName name="IQ_BALANCES_DUE_FRB_FDIC" hidden="1">"c6393"</definedName>
    <definedName name="IQ_BANK_BENEFICIARY_FDIC" hidden="1">"c6505"</definedName>
    <definedName name="IQ_BANK_DEBT" hidden="1">"c2544"</definedName>
    <definedName name="IQ_BANK_DEBT_PCT" hidden="1">"c2545"</definedName>
    <definedName name="IQ_BANK_GUARANTOR_FDIC" hidden="1">"c6506"</definedName>
    <definedName name="IQ_BANK_LOAN_LIST" hidden="1">"c13507"</definedName>
    <definedName name="IQ_BANK_PREMISES_FDIC" hidden="1">"c6329"</definedName>
    <definedName name="IQ_BANK_SECURITIZATION_1_4_FAMILY_LOANS_FDIC" hidden="1">"c6721"</definedName>
    <definedName name="IQ_BANK_SECURITIZATION_AUTO_LOANS_FDIC" hidden="1">"c6715"</definedName>
    <definedName name="IQ_BANK_SECURITIZATION_CL_LOANS_FDIC" hidden="1">"c6716"</definedName>
    <definedName name="IQ_BANK_SECURITIZATION_CREDIT_CARDS_RECEIVABLES_FDIC" hidden="1">"c6718"</definedName>
    <definedName name="IQ_BANK_SECURITIZATION_HOME_EQUITY_LINES_FDIC" hidden="1">"c6719"</definedName>
    <definedName name="IQ_BANK_SECURITIZATION_OTHER_CONSUMER_LOANS_FDIC" hidden="1">"c6717"</definedName>
    <definedName name="IQ_BANK_SECURITIZATION_OTHER_LOANS_FDIC" hidden="1">"c6720"</definedName>
    <definedName name="IQ_BANKING_FEES_OPERATING_INC_FFIEC" hidden="1">"c13386"</definedName>
    <definedName name="IQ_BANKS_FOREIGN_COUNTRIES_NON_TRANS_ACCTS_FFIEC" hidden="1">"c15326"</definedName>
    <definedName name="IQ_BANKS_FOREIGN_COUNTRIES_TOTAL_DEPOSITS_FDIC" hidden="1">"c6475"</definedName>
    <definedName name="IQ_BANKS_FOREIGN_COUNTRIES_TRANS_ACCTS_FFIEC" hidden="1">"c15318"</definedName>
    <definedName name="IQ_BASE_RENT" hidden="1">"c16017"</definedName>
    <definedName name="IQ_BASE_RENT_OPERATING_LEASE_EXPIRING_AFTER_FIVE" hidden="1">"c16107"</definedName>
    <definedName name="IQ_BASE_RENT_OPERATING_LEASE_EXPIRING_CY" hidden="1">"c16101"</definedName>
    <definedName name="IQ_BASE_RENT_OPERATING_LEASE_EXPIRING_CY1" hidden="1">"c16102"</definedName>
    <definedName name="IQ_BASE_RENT_OPERATING_LEASE_EXPIRING_CY2" hidden="1">"c16103"</definedName>
    <definedName name="IQ_BASE_RENT_OPERATING_LEASE_EXPIRING_CY3" hidden="1">"c16104"</definedName>
    <definedName name="IQ_BASE_RENT_OPERATING_LEASE_EXPIRING_CY4" hidden="1">"c16105"</definedName>
    <definedName name="IQ_BASE_RENT_OPERATING_LEASE_EXPIRING_NEXT_FIVE" hidden="1">"c16106"</definedName>
    <definedName name="IQ_BASE_RENT_OPERATING_LEASE_EXPIRING_TOTAL" hidden="1">"c16108"</definedName>
    <definedName name="IQ_BASE_RENT_RENTAL_REVENUE" hidden="1">"c16062"</definedName>
    <definedName name="IQ_BASIC_EPS_EXCL" hidden="1">"c85"</definedName>
    <definedName name="IQ_BASIC_EPS_INCL" hidden="1">"c86"</definedName>
    <definedName name="IQ_BASIC_NAV_SHARES" hidden="1">"c16012"</definedName>
    <definedName name="IQ_BASIC_NORMAL_EPS" hidden="1">"c1592"</definedName>
    <definedName name="IQ_BASIC_OUTSTANDING_CURRENT_EST" hidden="1">"c4128"</definedName>
    <definedName name="IQ_BASIC_OUTSTANDING_CURRENT_EST_CIQ" hidden="1">"c4541"</definedName>
    <definedName name="IQ_BASIC_OUTSTANDING_CURRENT_HIGH_EST" hidden="1">"c4129"</definedName>
    <definedName name="IQ_BASIC_OUTSTANDING_CURRENT_HIGH_EST_CIQ" hidden="1">"c4542"</definedName>
    <definedName name="IQ_BASIC_OUTSTANDING_CURRENT_LOW_EST" hidden="1">"c4130"</definedName>
    <definedName name="IQ_BASIC_OUTSTANDING_CURRENT_LOW_EST_CIQ" hidden="1">"c4543"</definedName>
    <definedName name="IQ_BASIC_OUTSTANDING_CURRENT_MEDIAN_EST" hidden="1">"c4131"</definedName>
    <definedName name="IQ_BASIC_OUTSTANDING_CURRENT_MEDIAN_EST_CIQ" hidden="1">"c4544"</definedName>
    <definedName name="IQ_BASIC_OUTSTANDING_CURRENT_NUM_EST" hidden="1">"c4132"</definedName>
    <definedName name="IQ_BASIC_OUTSTANDING_CURRENT_NUM_EST_CIQ" hidden="1">"c4545"</definedName>
    <definedName name="IQ_BASIC_OUTSTANDING_CURRENT_STDDEV_EST" hidden="1">"c4133"</definedName>
    <definedName name="IQ_BASIC_OUTSTANDING_CURRENT_STDDEV_EST_CIQ" hidden="1">"c4546"</definedName>
    <definedName name="IQ_BASIC_OUTSTANDING_EST" hidden="1">"c4134"</definedName>
    <definedName name="IQ_BASIC_OUTSTANDING_EST_CIQ" hidden="1">"c4547"</definedName>
    <definedName name="IQ_BASIC_OUTSTANDING_HIGH_EST" hidden="1">"c4135"</definedName>
    <definedName name="IQ_BASIC_OUTSTANDING_HIGH_EST_CIQ" hidden="1">"c4548"</definedName>
    <definedName name="IQ_BASIC_OUTSTANDING_LOW_EST" hidden="1">"c4136"</definedName>
    <definedName name="IQ_BASIC_OUTSTANDING_LOW_EST_CIQ" hidden="1">"c4549"</definedName>
    <definedName name="IQ_BASIC_OUTSTANDING_MEDIAN_EST" hidden="1">"c4137"</definedName>
    <definedName name="IQ_BASIC_OUTSTANDING_MEDIAN_EST_CIQ" hidden="1">"c4550"</definedName>
    <definedName name="IQ_BASIC_OUTSTANDING_NUM_EST" hidden="1">"c4138"</definedName>
    <definedName name="IQ_BASIC_OUTSTANDING_NUM_EST_CIQ" hidden="1">"c4551"</definedName>
    <definedName name="IQ_BASIC_OUTSTANDING_STDDEV_EST" hidden="1">"c4139"</definedName>
    <definedName name="IQ_BASIC_OUTSTANDING_STDDEV_EST_CIQ" hidden="1">"c4552"</definedName>
    <definedName name="IQ_BASIC_WEIGHT" hidden="1">"c87"</definedName>
    <definedName name="IQ_BASIC_WEIGHT_EST" hidden="1">"c4140"</definedName>
    <definedName name="IQ_BASIC_WEIGHT_EST_CIQ" hidden="1">"c4553"</definedName>
    <definedName name="IQ_BASIC_WEIGHT_HIGH_EST" hidden="1">"c4142"</definedName>
    <definedName name="IQ_BASIC_WEIGHT_HIGH_EST_CIQ" hidden="1">"c4554"</definedName>
    <definedName name="IQ_BASIC_WEIGHT_LOW_EST" hidden="1">"c4143"</definedName>
    <definedName name="IQ_BASIC_WEIGHT_LOW_EST_CIQ" hidden="1">"c4555"</definedName>
    <definedName name="IQ_BASIC_WEIGHT_MEDIAN_EST" hidden="1">"c4144"</definedName>
    <definedName name="IQ_BASIC_WEIGHT_MEDIAN_EST_CIQ" hidden="1">"c4556"</definedName>
    <definedName name="IQ_BASIC_WEIGHT_NUM_EST" hidden="1">"c4145"</definedName>
    <definedName name="IQ_BASIC_WEIGHT_NUM_EST_CIQ" hidden="1">"c4557"</definedName>
    <definedName name="IQ_BASIC_WEIGHT_STDDEV_EST" hidden="1">"c4146"</definedName>
    <definedName name="IQ_BASIC_WEIGHT_STDDEV_EST_CIQ" hidden="1">"c4558"</definedName>
    <definedName name="IQ_BENCHMARK_SECURITY" hidden="1">"c2154"</definedName>
    <definedName name="IQ_BENCHMARK_SPRD" hidden="1">"c2153"</definedName>
    <definedName name="IQ_BENCHMARK_YIELD" hidden="1">"c8955"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localSheetId="20" hidden="1">"c11749"</definedName>
    <definedName name="IQ_BIG_INT_BEAR_CD" localSheetId="21" hidden="1">"c11749"</definedName>
    <definedName name="IQ_BIG_INT_BEAR_CD" localSheetId="22" hidden="1">"c11749"</definedName>
    <definedName name="IQ_BIG_INT_BEAR_CD" localSheetId="23" hidden="1">"c11749"</definedName>
    <definedName name="IQ_BIG_INT_BEAR_CD" localSheetId="24" hidden="1">"c11749"</definedName>
    <definedName name="IQ_BIG_INT_BEAR_CD" hidden="1">"c11749"</definedName>
    <definedName name="IQ_BOARD_MEMBER" hidden="1">"c96"</definedName>
    <definedName name="IQ_BOARD_MEMBER_ASSISTANT_EMAIL" hidden="1">"c15179"</definedName>
    <definedName name="IQ_BOARD_MEMBER_ASSISTANT_FAX" hidden="1">"c15181"</definedName>
    <definedName name="IQ_BOARD_MEMBER_ASSISTANT_NAME" hidden="1">"c15178"</definedName>
    <definedName name="IQ_BOARD_MEMBER_ASSISTANT_PHONE" hidden="1">"c15180"</definedName>
    <definedName name="IQ_BOARD_MEMBER_BACKGROUND" hidden="1">"c2101"</definedName>
    <definedName name="IQ_BOARD_MEMBER_DIRECT_FAX" hidden="1">"c15176"</definedName>
    <definedName name="IQ_BOARD_MEMBER_DIRECT_PHONE" hidden="1">"c15175"</definedName>
    <definedName name="IQ_BOARD_MEMBER_EMAIL" hidden="1">"c15177"</definedName>
    <definedName name="IQ_BOARD_MEMBER_ID" hidden="1">"c13756"</definedName>
    <definedName name="IQ_BOARD_MEMBER_MAIN_FAX" hidden="1">"c15174"</definedName>
    <definedName name="IQ_BOARD_MEMBER_MAIN_PHONE" hidden="1">"c15173"</definedName>
    <definedName name="IQ_BOARD_MEMBER_OFFICE_ADDRESS" hidden="1">"c15172"</definedName>
    <definedName name="IQ_BOARD_MEMBER_TITLE" hidden="1">"c97"</definedName>
    <definedName name="IQ_BOND_COUPON" hidden="1">"c2183"</definedName>
    <definedName name="IQ_BOND_COUPON_TYPE" hidden="1">"c2184"</definedName>
    <definedName name="IQ_BOND_LIST" hidden="1">"c13505"</definedName>
    <definedName name="IQ_BOND_PRICE" hidden="1">"c2162"</definedName>
    <definedName name="IQ_BORROWED_MONEY_QUARTERLY_AVG_FFIEC" hidden="1">"c13091"</definedName>
    <definedName name="IQ_BORROWINGS_LESS_1YR_ASSETS_TOT_FFIEC" hidden="1">"c13450"</definedName>
    <definedName name="IQ_BROK_COMISSION" hidden="1">"c98"</definedName>
    <definedName name="IQ_BROK_COMMISSION" hidden="1">"c3514"</definedName>
    <definedName name="IQ_BROKER_DEPOSIT_LESS_THAN_100000_1_YR_LESS_FFIEC" hidden="1">"c15307"</definedName>
    <definedName name="IQ_BROKER_DEPOSIT_LESS_THAN_100000_1_YR_MORE_FFIEC" hidden="1">"c15308"</definedName>
    <definedName name="IQ_BROKER_DEPOSIT_LESS_THAN_100000_FFIEC" hidden="1">"c15306"</definedName>
    <definedName name="IQ_BROKER_DEPOSIT_MORE_THAN_100000_1_YR_LESS_FFIEC" hidden="1">"c15310"</definedName>
    <definedName name="IQ_BROKER_DEPOSIT_MORE_THAN_100000_1_YR_MORE_FFIEC" hidden="1">"c15311"</definedName>
    <definedName name="IQ_BROKER_DEPOSIT_MORE_THAN_100000_FFIEC" hidden="1">"c15309"</definedName>
    <definedName name="IQ_BROKERED_DEPOSITS_FDIC" hidden="1">"c6486"</definedName>
    <definedName name="IQ_BUDGET_BALANCE_APR_FC_UNUSED" hidden="1">"c8359"</definedName>
    <definedName name="IQ_BUDGET_BALANCE_APR_FC_UNUSED_UNUSED_UNUSED" hidden="1">"c8359"</definedName>
    <definedName name="IQ_BUDGET_BALANCE_APR_UNUSED" hidden="1">"c7479"</definedName>
    <definedName name="IQ_BUDGET_BALANCE_APR_UNUSED_UNUSED_UNUSED" hidden="1">"c7479"</definedName>
    <definedName name="IQ_BUDGET_BALANCE_FC_UNUSED" hidden="1">"c7699"</definedName>
    <definedName name="IQ_BUDGET_BALANCE_FC_UNUSED_UNUSED_UNUSED" hidden="1">"c7699"</definedName>
    <definedName name="IQ_BUDGET_BALANCE_POP_FC_UNUSED" hidden="1">"c7919"</definedName>
    <definedName name="IQ_BUDGET_BALANCE_POP_FC_UNUSED_UNUSED_UNUSED" hidden="1">"c7919"</definedName>
    <definedName name="IQ_BUDGET_BALANCE_POP_UNUSED" hidden="1">"c7039"</definedName>
    <definedName name="IQ_BUDGET_BALANCE_POP_UNUSED_UNUSED_UNUSED" hidden="1">"c7039"</definedName>
    <definedName name="IQ_BUDGET_BALANCE_SAAR" hidden="1">"c6820"</definedName>
    <definedName name="IQ_BUDGET_BALANCE_SAAR_APR" hidden="1">"c7480"</definedName>
    <definedName name="IQ_BUDGET_BALANCE_SAAR_APR_FC" hidden="1">"c8360"</definedName>
    <definedName name="IQ_BUDGET_BALANCE_SAAR_FC" hidden="1">"c7700"</definedName>
    <definedName name="IQ_BUDGET_BALANCE_SAAR_POP" hidden="1">"c7040"</definedName>
    <definedName name="IQ_BUDGET_BALANCE_SAAR_POP_FC" hidden="1">"c7920"</definedName>
    <definedName name="IQ_BUDGET_BALANCE_SAAR_YOY" hidden="1">"c7260"</definedName>
    <definedName name="IQ_BUDGET_BALANCE_SAAR_YOY_FC" hidden="1">"c8140"</definedName>
    <definedName name="IQ_BUDGET_BALANCE_UNUSED" hidden="1">"c6819"</definedName>
    <definedName name="IQ_BUDGET_BALANCE_UNUSED_UNUSED_UNUSED" hidden="1">"c6819"</definedName>
    <definedName name="IQ_BUDGET_BALANCE_YOY_FC_UNUSED" hidden="1">"c8139"</definedName>
    <definedName name="IQ_BUDGET_BALANCE_YOY_FC_UNUSED_UNUSED_UNUSED" hidden="1">"c8139"</definedName>
    <definedName name="IQ_BUDGET_BALANCE_YOY_UNUSED" hidden="1">"c7259"</definedName>
    <definedName name="IQ_BUDGET_BALANCE_YOY_UNUSED_UNUSED_UNUSED" hidden="1">"c7259"</definedName>
    <definedName name="IQ_BUDGET_RECEIPTS_APR_FC_UNUSED" hidden="1">"c8361"</definedName>
    <definedName name="IQ_BUDGET_RECEIPTS_APR_FC_UNUSED_UNUSED_UNUSED" hidden="1">"c8361"</definedName>
    <definedName name="IQ_BUDGET_RECEIPTS_APR_UNUSED" hidden="1">"c7481"</definedName>
    <definedName name="IQ_BUDGET_RECEIPTS_APR_UNUSED_UNUSED_UNUSED" hidden="1">"c7481"</definedName>
    <definedName name="IQ_BUDGET_RECEIPTS_FC_UNUSED" hidden="1">"c7701"</definedName>
    <definedName name="IQ_BUDGET_RECEIPTS_FC_UNUSED_UNUSED_UNUSED" hidden="1">"c7701"</definedName>
    <definedName name="IQ_BUDGET_RECEIPTS_POP_FC_UNUSED" hidden="1">"c7921"</definedName>
    <definedName name="IQ_BUDGET_RECEIPTS_POP_FC_UNUSED_UNUSED_UNUSED" hidden="1">"c7921"</definedName>
    <definedName name="IQ_BUDGET_RECEIPTS_POP_UNUSED" hidden="1">"c7041"</definedName>
    <definedName name="IQ_BUDGET_RECEIPTS_POP_UNUSED_UNUSED_UNUSED" hidden="1">"c7041"</definedName>
    <definedName name="IQ_BUDGET_RECEIPTS_UNUSED" hidden="1">"c6821"</definedName>
    <definedName name="IQ_BUDGET_RECEIPTS_UNUSED_UNUSED_UNUSED" hidden="1">"c6821"</definedName>
    <definedName name="IQ_BUDGET_RECEIPTS_YOY_FC_UNUSED" hidden="1">"c8141"</definedName>
    <definedName name="IQ_BUDGET_RECEIPTS_YOY_FC_UNUSED_UNUSED_UNUSED" hidden="1">"c8141"</definedName>
    <definedName name="IQ_BUDGET_RECEIPTS_YOY_UNUSED" hidden="1">"c7261"</definedName>
    <definedName name="IQ_BUDGET_RECEIPTS_YOY_UNUSED_UNUSED_UNUSED" hidden="1">"c7261"</definedName>
    <definedName name="IQ_BUDGET_SPENDING" hidden="1">"c6822"</definedName>
    <definedName name="IQ_BUDGET_SPENDING_APR" hidden="1">"c7482"</definedName>
    <definedName name="IQ_BUDGET_SPENDING_APR_FC" hidden="1">"c8362"</definedName>
    <definedName name="IQ_BUDGET_SPENDING_FC" hidden="1">"c7702"</definedName>
    <definedName name="IQ_BUDGET_SPENDING_POP" hidden="1">"c7042"</definedName>
    <definedName name="IQ_BUDGET_SPENDING_POP_FC" hidden="1">"c7922"</definedName>
    <definedName name="IQ_BUDGET_SPENDING_REAL" hidden="1">"c6958"</definedName>
    <definedName name="IQ_BUDGET_SPENDING_REAL_APR" hidden="1">"c7618"</definedName>
    <definedName name="IQ_BUDGET_SPENDING_REAL_APR_FC" hidden="1">"c8498"</definedName>
    <definedName name="IQ_BUDGET_SPENDING_REAL_FC" hidden="1">"c7838"</definedName>
    <definedName name="IQ_BUDGET_SPENDING_REAL_POP" hidden="1">"c7178"</definedName>
    <definedName name="IQ_BUDGET_SPENDING_REAL_POP_FC" hidden="1">"c8058"</definedName>
    <definedName name="IQ_BUDGET_SPENDING_REAL_SAAR" hidden="1">"c6959"</definedName>
    <definedName name="IQ_BUDGET_SPENDING_REAL_SAAR_APR" hidden="1">"c7619"</definedName>
    <definedName name="IQ_BUDGET_SPENDING_REAL_SAAR_APR_FC" hidden="1">"c8499"</definedName>
    <definedName name="IQ_BUDGET_SPENDING_REAL_SAAR_FC" hidden="1">"c7839"</definedName>
    <definedName name="IQ_BUDGET_SPENDING_REAL_SAAR_POP" hidden="1">"c7179"</definedName>
    <definedName name="IQ_BUDGET_SPENDING_REAL_SAAR_POP_FC" hidden="1">"c8059"</definedName>
    <definedName name="IQ_BUDGET_SPENDING_REAL_SAAR_USD" hidden="1">"c11906"</definedName>
    <definedName name="IQ_BUDGET_SPENDING_REAL_SAAR_USD_APR" hidden="1">"c11909"</definedName>
    <definedName name="IQ_BUDGET_SPENDING_REAL_SAAR_USD_POP" hidden="1">"c11907"</definedName>
    <definedName name="IQ_BUDGET_SPENDING_REAL_SAAR_USD_YOY" hidden="1">"c11908"</definedName>
    <definedName name="IQ_BUDGET_SPENDING_REAL_SAAR_YOY" hidden="1">"c7399"</definedName>
    <definedName name="IQ_BUDGET_SPENDING_REAL_SAAR_YOY_FC" hidden="1">"c8279"</definedName>
    <definedName name="IQ_BUDGET_SPENDING_REAL_YOY" hidden="1">"c7398"</definedName>
    <definedName name="IQ_BUDGET_SPENDING_REAL_YOY_FC" hidden="1">"c8278"</definedName>
    <definedName name="IQ_BUDGET_SPENDING_SAAR" hidden="1">"c6823"</definedName>
    <definedName name="IQ_BUDGET_SPENDING_SAAR_APR" hidden="1">"c7483"</definedName>
    <definedName name="IQ_BUDGET_SPENDING_SAAR_APR_FC" hidden="1">"c8363"</definedName>
    <definedName name="IQ_BUDGET_SPENDING_SAAR_FC" hidden="1">"c7703"</definedName>
    <definedName name="IQ_BUDGET_SPENDING_SAAR_POP" hidden="1">"c7043"</definedName>
    <definedName name="IQ_BUDGET_SPENDING_SAAR_POP_FC" hidden="1">"c7923"</definedName>
    <definedName name="IQ_BUDGET_SPENDING_SAAR_USD_APR_FC" hidden="1">"c11782"</definedName>
    <definedName name="IQ_BUDGET_SPENDING_SAAR_USD_FC" hidden="1">"c11779"</definedName>
    <definedName name="IQ_BUDGET_SPENDING_SAAR_USD_POP_FC" hidden="1">"c11780"</definedName>
    <definedName name="IQ_BUDGET_SPENDING_SAAR_USD_YOY_FC" hidden="1">"c11781"</definedName>
    <definedName name="IQ_BUDGET_SPENDING_SAAR_YOY" hidden="1">"c7263"</definedName>
    <definedName name="IQ_BUDGET_SPENDING_SAAR_YOY_FC" hidden="1">"c8143"</definedName>
    <definedName name="IQ_BUDGET_SPENDING_USD_APR_FC" hidden="1">"c11778"</definedName>
    <definedName name="IQ_BUDGET_SPENDING_USD_FC" hidden="1">"c11775"</definedName>
    <definedName name="IQ_BUDGET_SPENDING_USD_POP_FC" hidden="1">"c11776"</definedName>
    <definedName name="IQ_BUDGET_SPENDING_USD_YOY_FC" hidden="1">"c11777"</definedName>
    <definedName name="IQ_BUDGET_SPENDING_YOY" hidden="1">"c7262"</definedName>
    <definedName name="IQ_BUDGET_SPENDING_YOY_FC" hidden="1">"c8142"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DESCRIPTION" hidden="1">"c15589"</definedName>
    <definedName name="IQ_BUS_SEG_DESCRIPTION_ABS" hidden="1">"c15577"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IC" hidden="1">"c15588"</definedName>
    <definedName name="IQ_BUS_SEG_NAIC_ABS" hidden="1">"c15576"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PRIMARY_GIC" hidden="1">"c15584"</definedName>
    <definedName name="IQ_BUS_SEG_PRIMARY_GIC_ABS" hidden="1">"c15572"</definedName>
    <definedName name="IQ_BUS_SEG_PRIMARY_SIC" hidden="1">"c15586"</definedName>
    <definedName name="IQ_BUS_SEG_PRIMARY_SIC_ABS" hidden="1">"c15574"</definedName>
    <definedName name="IQ_BUS_SEG_REV" hidden="1">"c4068"</definedName>
    <definedName name="IQ_BUS_SEG_REV_ABS" hidden="1">"c4090"</definedName>
    <definedName name="IQ_BUS_SEG_REV_TOTAL" hidden="1">"c4106"</definedName>
    <definedName name="IQ_BUS_SEG_SECONDARY_GIC" hidden="1">"c15585"</definedName>
    <definedName name="IQ_BUS_SEG_SECONDARY_GIC_ABS" hidden="1">"c15573"</definedName>
    <definedName name="IQ_BUS_SEG_SECONDARY_SIC" hidden="1">"c15587"</definedName>
    <definedName name="IQ_BUS_SEG_SECONDARY_SIC_ABS" hidden="1">"c15575"</definedName>
    <definedName name="IQ_BUSINESS_COMBINATIONS_FFIEC" hidden="1">"c12967"</definedName>
    <definedName name="IQ_BUSINESS_DESCRIPTION" hidden="1">"c322"</definedName>
    <definedName name="IQ_BV_ACT_OR_EST_CIQ" hidden="1">"c5068"</definedName>
    <definedName name="IQ_BV_EST" hidden="1">"c5624"</definedName>
    <definedName name="IQ_BV_EST_CIQ" hidden="1">"c4737"</definedName>
    <definedName name="IQ_BV_HIGH_EST" hidden="1">"c5626"</definedName>
    <definedName name="IQ_BV_HIGH_EST_CIQ" hidden="1">"c4739"</definedName>
    <definedName name="IQ_BV_LOW_EST" hidden="1">"c5627"</definedName>
    <definedName name="IQ_BV_LOW_EST_CIQ" hidden="1">"c4740"</definedName>
    <definedName name="IQ_BV_MEDIAN_EST" hidden="1">"c5625"</definedName>
    <definedName name="IQ_BV_MEDIAN_EST_CIQ" hidden="1">"c4738"</definedName>
    <definedName name="IQ_BV_NUM_EST" hidden="1">"c5628"</definedName>
    <definedName name="IQ_BV_NUM_EST_CIQ" hidden="1">"c4741"</definedName>
    <definedName name="IQ_BV_OVER_SHARES" hidden="1">"c1349"</definedName>
    <definedName name="IQ_BV_SHARE" hidden="1">"c100"</definedName>
    <definedName name="IQ_BV_SHARE_ACT_OR_EST" hidden="1">"c3587"</definedName>
    <definedName name="IQ_BV_SHARE_ACT_OR_EST_CIQ" hidden="1">"c5072"</definedName>
    <definedName name="IQ_BV_SHARE_ACT_OR_EST_THOM" hidden="1">"c5312"</definedName>
    <definedName name="IQ_BV_SHARE_EST" hidden="1">"c3541"</definedName>
    <definedName name="IQ_BV_SHARE_EST_CIQ" hidden="1">"c3800"</definedName>
    <definedName name="IQ_BV_SHARE_EST_THOM" hidden="1">"c4020"</definedName>
    <definedName name="IQ_BV_SHARE_HIGH_EST" hidden="1">"c3542"</definedName>
    <definedName name="IQ_BV_SHARE_HIGH_EST_CIQ" hidden="1">"c3802"</definedName>
    <definedName name="IQ_BV_SHARE_HIGH_EST_THOM" hidden="1">"c4022"</definedName>
    <definedName name="IQ_BV_SHARE_LOW_EST" hidden="1">"c3543"</definedName>
    <definedName name="IQ_BV_SHARE_LOW_EST_CIQ" hidden="1">"c3803"</definedName>
    <definedName name="IQ_BV_SHARE_LOW_EST_THOM" hidden="1">"c4023"</definedName>
    <definedName name="IQ_BV_SHARE_MEDIAN_EST" hidden="1">"c3544"</definedName>
    <definedName name="IQ_BV_SHARE_MEDIAN_EST_CIQ" hidden="1">"c3801"</definedName>
    <definedName name="IQ_BV_SHARE_MEDIAN_EST_THOM" hidden="1">"c4021"</definedName>
    <definedName name="IQ_BV_SHARE_NUM_EST" hidden="1">"c3539"</definedName>
    <definedName name="IQ_BV_SHARE_NUM_EST_CIQ" hidden="1">"c3804"</definedName>
    <definedName name="IQ_BV_SHARE_NUM_EST_THOM" hidden="1">"c4024"</definedName>
    <definedName name="IQ_BV_SHARE_STDDEV_EST" hidden="1">"c3540"</definedName>
    <definedName name="IQ_BV_SHARE_STDDEV_EST_CIQ" hidden="1">"c3805"</definedName>
    <definedName name="IQ_BV_SHARE_STDDEV_EST_THOM" hidden="1">"c4025"</definedName>
    <definedName name="IQ_BV_STDDEV_EST" hidden="1">"c5629"</definedName>
    <definedName name="IQ_BV_STDDEV_EST_CIQ" hidden="1">"c4742"</definedName>
    <definedName name="IQ_CA_AP" hidden="1">"c8881"</definedName>
    <definedName name="IQ_CA_AP_ABS" hidden="1">"c8900"</definedName>
    <definedName name="IQ_CA_NAME_AP" hidden="1">"c8919"</definedName>
    <definedName name="IQ_CA_NAME_AP_ABS" hidden="1">"c8938"</definedName>
    <definedName name="IQ_CABLE_ARPU" localSheetId="20" hidden="1">"c2869"</definedName>
    <definedName name="IQ_CABLE_ARPU" localSheetId="21" hidden="1">"c2869"</definedName>
    <definedName name="IQ_CABLE_ARPU" localSheetId="22" hidden="1">"c2869"</definedName>
    <definedName name="IQ_CABLE_ARPU" localSheetId="23" hidden="1">"c2869"</definedName>
    <definedName name="IQ_CABLE_ARPU" localSheetId="24" hidden="1">"c2869"</definedName>
    <definedName name="IQ_CABLE_ARPU" hidden="1">"c2869"</definedName>
    <definedName name="IQ_CABLE_ARPU_ANALOG" localSheetId="20" hidden="1">"c2864"</definedName>
    <definedName name="IQ_CABLE_ARPU_ANALOG" localSheetId="21" hidden="1">"c2864"</definedName>
    <definedName name="IQ_CABLE_ARPU_ANALOG" localSheetId="22" hidden="1">"c2864"</definedName>
    <definedName name="IQ_CABLE_ARPU_ANALOG" localSheetId="23" hidden="1">"c2864"</definedName>
    <definedName name="IQ_CABLE_ARPU_ANALOG" localSheetId="24" hidden="1">"c2864"</definedName>
    <definedName name="IQ_CABLE_ARPU_ANALOG" hidden="1">"c2864"</definedName>
    <definedName name="IQ_CABLE_ARPU_BASIC" localSheetId="20" hidden="1">"c2866"</definedName>
    <definedName name="IQ_CABLE_ARPU_BASIC" localSheetId="21" hidden="1">"c2866"</definedName>
    <definedName name="IQ_CABLE_ARPU_BASIC" localSheetId="22" hidden="1">"c2866"</definedName>
    <definedName name="IQ_CABLE_ARPU_BASIC" localSheetId="23" hidden="1">"c2866"</definedName>
    <definedName name="IQ_CABLE_ARPU_BASIC" localSheetId="24" hidden="1">"c2866"</definedName>
    <definedName name="IQ_CABLE_ARPU_BASIC" hidden="1">"c2866"</definedName>
    <definedName name="IQ_CABLE_ARPU_BBAND" localSheetId="20" hidden="1">"c2867"</definedName>
    <definedName name="IQ_CABLE_ARPU_BBAND" localSheetId="21" hidden="1">"c2867"</definedName>
    <definedName name="IQ_CABLE_ARPU_BBAND" localSheetId="22" hidden="1">"c2867"</definedName>
    <definedName name="IQ_CABLE_ARPU_BBAND" localSheetId="23" hidden="1">"c2867"</definedName>
    <definedName name="IQ_CABLE_ARPU_BBAND" localSheetId="24" hidden="1">"c2867"</definedName>
    <definedName name="IQ_CABLE_ARPU_BBAND" hidden="1">"c2867"</definedName>
    <definedName name="IQ_CABLE_ARPU_DIG" localSheetId="20" hidden="1">"c2865"</definedName>
    <definedName name="IQ_CABLE_ARPU_DIG" localSheetId="21" hidden="1">"c2865"</definedName>
    <definedName name="IQ_CABLE_ARPU_DIG" localSheetId="22" hidden="1">"c2865"</definedName>
    <definedName name="IQ_CABLE_ARPU_DIG" localSheetId="23" hidden="1">"c2865"</definedName>
    <definedName name="IQ_CABLE_ARPU_DIG" localSheetId="24" hidden="1">"c2865"</definedName>
    <definedName name="IQ_CABLE_ARPU_DIG" hidden="1">"c2865"</definedName>
    <definedName name="IQ_CABLE_ARPU_PHONE" localSheetId="20" hidden="1">"c2868"</definedName>
    <definedName name="IQ_CABLE_ARPU_PHONE" localSheetId="21" hidden="1">"c2868"</definedName>
    <definedName name="IQ_CABLE_ARPU_PHONE" localSheetId="22" hidden="1">"c2868"</definedName>
    <definedName name="IQ_CABLE_ARPU_PHONE" localSheetId="23" hidden="1">"c2868"</definedName>
    <definedName name="IQ_CABLE_ARPU_PHONE" localSheetId="24" hidden="1">"c2868"</definedName>
    <definedName name="IQ_CABLE_ARPU_PHONE" hidden="1">"c2868"</definedName>
    <definedName name="IQ_CABLE_BASIC_PENETRATION" localSheetId="20" hidden="1">"c2850"</definedName>
    <definedName name="IQ_CABLE_BASIC_PENETRATION" localSheetId="21" hidden="1">"c2850"</definedName>
    <definedName name="IQ_CABLE_BASIC_PENETRATION" localSheetId="22" hidden="1">"c2850"</definedName>
    <definedName name="IQ_CABLE_BASIC_PENETRATION" localSheetId="23" hidden="1">"c2850"</definedName>
    <definedName name="IQ_CABLE_BASIC_PENETRATION" localSheetId="24" hidden="1">"c2850"</definedName>
    <definedName name="IQ_CABLE_BASIC_PENETRATION" hidden="1">"c2850"</definedName>
    <definedName name="IQ_CABLE_BBAND_PENETRATION" localSheetId="20" hidden="1">"c2852"</definedName>
    <definedName name="IQ_CABLE_BBAND_PENETRATION" localSheetId="21" hidden="1">"c2852"</definedName>
    <definedName name="IQ_CABLE_BBAND_PENETRATION" localSheetId="22" hidden="1">"c2852"</definedName>
    <definedName name="IQ_CABLE_BBAND_PENETRATION" localSheetId="23" hidden="1">"c2852"</definedName>
    <definedName name="IQ_CABLE_BBAND_PENETRATION" localSheetId="24" hidden="1">"c2852"</definedName>
    <definedName name="IQ_CABLE_BBAND_PENETRATION" hidden="1">"c2852"</definedName>
    <definedName name="IQ_CABLE_BBAND_PENETRATION_THP" localSheetId="20" hidden="1">"c2851"</definedName>
    <definedName name="IQ_CABLE_BBAND_PENETRATION_THP" localSheetId="21" hidden="1">"c2851"</definedName>
    <definedName name="IQ_CABLE_BBAND_PENETRATION_THP" localSheetId="22" hidden="1">"c2851"</definedName>
    <definedName name="IQ_CABLE_BBAND_PENETRATION_THP" localSheetId="23" hidden="1">"c2851"</definedName>
    <definedName name="IQ_CABLE_BBAND_PENETRATION_THP" localSheetId="24" hidden="1">"c2851"</definedName>
    <definedName name="IQ_CABLE_BBAND_PENETRATION_THP" hidden="1">"c2851"</definedName>
    <definedName name="IQ_CABLE_CHURN" localSheetId="20" hidden="1">"c2874"</definedName>
    <definedName name="IQ_CABLE_CHURN" localSheetId="21" hidden="1">"c2874"</definedName>
    <definedName name="IQ_CABLE_CHURN" localSheetId="22" hidden="1">"c2874"</definedName>
    <definedName name="IQ_CABLE_CHURN" localSheetId="23" hidden="1">"c2874"</definedName>
    <definedName name="IQ_CABLE_CHURN" localSheetId="24" hidden="1">"c2874"</definedName>
    <definedName name="IQ_CABLE_CHURN" hidden="1">"c2874"</definedName>
    <definedName name="IQ_CABLE_CHURN_BASIC" localSheetId="20" hidden="1">"c2871"</definedName>
    <definedName name="IQ_CABLE_CHURN_BASIC" localSheetId="21" hidden="1">"c2871"</definedName>
    <definedName name="IQ_CABLE_CHURN_BASIC" localSheetId="22" hidden="1">"c2871"</definedName>
    <definedName name="IQ_CABLE_CHURN_BASIC" localSheetId="23" hidden="1">"c2871"</definedName>
    <definedName name="IQ_CABLE_CHURN_BASIC" localSheetId="24" hidden="1">"c2871"</definedName>
    <definedName name="IQ_CABLE_CHURN_BASIC" hidden="1">"c2871"</definedName>
    <definedName name="IQ_CABLE_CHURN_BBAND" localSheetId="20" hidden="1">"c2872"</definedName>
    <definedName name="IQ_CABLE_CHURN_BBAND" localSheetId="21" hidden="1">"c2872"</definedName>
    <definedName name="IQ_CABLE_CHURN_BBAND" localSheetId="22" hidden="1">"c2872"</definedName>
    <definedName name="IQ_CABLE_CHURN_BBAND" localSheetId="23" hidden="1">"c2872"</definedName>
    <definedName name="IQ_CABLE_CHURN_BBAND" localSheetId="24" hidden="1">"c2872"</definedName>
    <definedName name="IQ_CABLE_CHURN_BBAND" hidden="1">"c2872"</definedName>
    <definedName name="IQ_CABLE_CHURN_DIG" localSheetId="20" hidden="1">"c2870"</definedName>
    <definedName name="IQ_CABLE_CHURN_DIG" localSheetId="21" hidden="1">"c2870"</definedName>
    <definedName name="IQ_CABLE_CHURN_DIG" localSheetId="22" hidden="1">"c2870"</definedName>
    <definedName name="IQ_CABLE_CHURN_DIG" localSheetId="23" hidden="1">"c2870"</definedName>
    <definedName name="IQ_CABLE_CHURN_DIG" localSheetId="24" hidden="1">"c2870"</definedName>
    <definedName name="IQ_CABLE_CHURN_DIG" hidden="1">"c2870"</definedName>
    <definedName name="IQ_CABLE_CHURN_PHONE" localSheetId="20" hidden="1">"c2873"</definedName>
    <definedName name="IQ_CABLE_CHURN_PHONE" localSheetId="21" hidden="1">"c2873"</definedName>
    <definedName name="IQ_CABLE_CHURN_PHONE" localSheetId="22" hidden="1">"c2873"</definedName>
    <definedName name="IQ_CABLE_CHURN_PHONE" localSheetId="23" hidden="1">"c2873"</definedName>
    <definedName name="IQ_CABLE_CHURN_PHONE" localSheetId="24" hidden="1">"c2873"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localSheetId="20" hidden="1">"c2848"</definedName>
    <definedName name="IQ_CABLE_MILES_PASSED" localSheetId="21" hidden="1">"c2848"</definedName>
    <definedName name="IQ_CABLE_MILES_PASSED" localSheetId="22" hidden="1">"c2848"</definedName>
    <definedName name="IQ_CABLE_MILES_PASSED" localSheetId="23" hidden="1">"c2848"</definedName>
    <definedName name="IQ_CABLE_MILES_PASSED" localSheetId="24" hidden="1">"c2848"</definedName>
    <definedName name="IQ_CABLE_MILES_PASSED" hidden="1">"c2848"</definedName>
    <definedName name="IQ_CABLE_OTHER_REV" localSheetId="20" hidden="1">"c2882"</definedName>
    <definedName name="IQ_CABLE_OTHER_REV" localSheetId="21" hidden="1">"c2882"</definedName>
    <definedName name="IQ_CABLE_OTHER_REV" localSheetId="22" hidden="1">"c2882"</definedName>
    <definedName name="IQ_CABLE_OTHER_REV" localSheetId="23" hidden="1">"c2882"</definedName>
    <definedName name="IQ_CABLE_OTHER_REV" localSheetId="24" hidden="1">"c2882"</definedName>
    <definedName name="IQ_CABLE_OTHER_REV" hidden="1">"c2882"</definedName>
    <definedName name="IQ_CABLE_PHONE_PENETRATION" localSheetId="20" hidden="1">"c2853"</definedName>
    <definedName name="IQ_CABLE_PHONE_PENETRATION" localSheetId="21" hidden="1">"c2853"</definedName>
    <definedName name="IQ_CABLE_PHONE_PENETRATION" localSheetId="22" hidden="1">"c2853"</definedName>
    <definedName name="IQ_CABLE_PHONE_PENETRATION" localSheetId="23" hidden="1">"c2853"</definedName>
    <definedName name="IQ_CABLE_PHONE_PENETRATION" localSheetId="24" hidden="1">"c2853"</definedName>
    <definedName name="IQ_CABLE_PHONE_PENETRATION" hidden="1">"c2853"</definedName>
    <definedName name="IQ_CABLE_PROGRAMMING_COSTS" localSheetId="20" hidden="1">"c2884"</definedName>
    <definedName name="IQ_CABLE_PROGRAMMING_COSTS" localSheetId="21" hidden="1">"c2884"</definedName>
    <definedName name="IQ_CABLE_PROGRAMMING_COSTS" localSheetId="22" hidden="1">"c2884"</definedName>
    <definedName name="IQ_CABLE_PROGRAMMING_COSTS" localSheetId="23" hidden="1">"c2884"</definedName>
    <definedName name="IQ_CABLE_PROGRAMMING_COSTS" localSheetId="24" hidden="1">"c2884"</definedName>
    <definedName name="IQ_CABLE_PROGRAMMING_COSTS" hidden="1">"c2884"</definedName>
    <definedName name="IQ_CABLE_REV_ADVERT" localSheetId="20" hidden="1">"c2880"</definedName>
    <definedName name="IQ_CABLE_REV_ADVERT" localSheetId="21" hidden="1">"c2880"</definedName>
    <definedName name="IQ_CABLE_REV_ADVERT" localSheetId="22" hidden="1">"c2880"</definedName>
    <definedName name="IQ_CABLE_REV_ADVERT" localSheetId="23" hidden="1">"c2880"</definedName>
    <definedName name="IQ_CABLE_REV_ADVERT" localSheetId="24" hidden="1">"c2880"</definedName>
    <definedName name="IQ_CABLE_REV_ADVERT" hidden="1">"c2880"</definedName>
    <definedName name="IQ_CABLE_REV_ANALOG" localSheetId="20" hidden="1">"c2875"</definedName>
    <definedName name="IQ_CABLE_REV_ANALOG" localSheetId="21" hidden="1">"c2875"</definedName>
    <definedName name="IQ_CABLE_REV_ANALOG" localSheetId="22" hidden="1">"c2875"</definedName>
    <definedName name="IQ_CABLE_REV_ANALOG" localSheetId="23" hidden="1">"c2875"</definedName>
    <definedName name="IQ_CABLE_REV_ANALOG" localSheetId="24" hidden="1">"c2875"</definedName>
    <definedName name="IQ_CABLE_REV_ANALOG" hidden="1">"c2875"</definedName>
    <definedName name="IQ_CABLE_REV_BASIC" localSheetId="20" hidden="1">"c2877"</definedName>
    <definedName name="IQ_CABLE_REV_BASIC" localSheetId="21" hidden="1">"c2877"</definedName>
    <definedName name="IQ_CABLE_REV_BASIC" localSheetId="22" hidden="1">"c2877"</definedName>
    <definedName name="IQ_CABLE_REV_BASIC" localSheetId="23" hidden="1">"c2877"</definedName>
    <definedName name="IQ_CABLE_REV_BASIC" localSheetId="24" hidden="1">"c2877"</definedName>
    <definedName name="IQ_CABLE_REV_BASIC" hidden="1">"c2877"</definedName>
    <definedName name="IQ_CABLE_REV_BBAND" localSheetId="20" hidden="1">"c2878"</definedName>
    <definedName name="IQ_CABLE_REV_BBAND" localSheetId="21" hidden="1">"c2878"</definedName>
    <definedName name="IQ_CABLE_REV_BBAND" localSheetId="22" hidden="1">"c2878"</definedName>
    <definedName name="IQ_CABLE_REV_BBAND" localSheetId="23" hidden="1">"c2878"</definedName>
    <definedName name="IQ_CABLE_REV_BBAND" localSheetId="24" hidden="1">"c2878"</definedName>
    <definedName name="IQ_CABLE_REV_BBAND" hidden="1">"c2878"</definedName>
    <definedName name="IQ_CABLE_REV_COMMERCIAL" localSheetId="20" hidden="1">"c2881"</definedName>
    <definedName name="IQ_CABLE_REV_COMMERCIAL" localSheetId="21" hidden="1">"c2881"</definedName>
    <definedName name="IQ_CABLE_REV_COMMERCIAL" localSheetId="22" hidden="1">"c2881"</definedName>
    <definedName name="IQ_CABLE_REV_COMMERCIAL" localSheetId="23" hidden="1">"c2881"</definedName>
    <definedName name="IQ_CABLE_REV_COMMERCIAL" localSheetId="24" hidden="1">"c2881"</definedName>
    <definedName name="IQ_CABLE_REV_COMMERCIAL" hidden="1">"c2881"</definedName>
    <definedName name="IQ_CABLE_REV_DIG" localSheetId="20" hidden="1">"c2876"</definedName>
    <definedName name="IQ_CABLE_REV_DIG" localSheetId="21" hidden="1">"c2876"</definedName>
    <definedName name="IQ_CABLE_REV_DIG" localSheetId="22" hidden="1">"c2876"</definedName>
    <definedName name="IQ_CABLE_REV_DIG" localSheetId="23" hidden="1">"c2876"</definedName>
    <definedName name="IQ_CABLE_REV_DIG" localSheetId="24" hidden="1">"c2876"</definedName>
    <definedName name="IQ_CABLE_REV_DIG" hidden="1">"c2876"</definedName>
    <definedName name="IQ_CABLE_REV_PHONE" localSheetId="20" hidden="1">"c2879"</definedName>
    <definedName name="IQ_CABLE_REV_PHONE" localSheetId="21" hidden="1">"c2879"</definedName>
    <definedName name="IQ_CABLE_REV_PHONE" localSheetId="22" hidden="1">"c2879"</definedName>
    <definedName name="IQ_CABLE_REV_PHONE" localSheetId="23" hidden="1">"c2879"</definedName>
    <definedName name="IQ_CABLE_REV_PHONE" localSheetId="24" hidden="1">"c2879"</definedName>
    <definedName name="IQ_CABLE_REV_PHONE" hidden="1">"c2879"</definedName>
    <definedName name="IQ_CABLE_RGU" localSheetId="20" hidden="1">"c2863"</definedName>
    <definedName name="IQ_CABLE_RGU" localSheetId="21" hidden="1">"c2863"</definedName>
    <definedName name="IQ_CABLE_RGU" localSheetId="22" hidden="1">"c2863"</definedName>
    <definedName name="IQ_CABLE_RGU" localSheetId="23" hidden="1">"c2863"</definedName>
    <definedName name="IQ_CABLE_RGU" localSheetId="24" hidden="1">"c2863"</definedName>
    <definedName name="IQ_CABLE_RGU" hidden="1">"c2863"</definedName>
    <definedName name="IQ_CABLE_SUBS_ANALOG" localSheetId="20" hidden="1">"c2855"</definedName>
    <definedName name="IQ_CABLE_SUBS_ANALOG" localSheetId="21" hidden="1">"c2855"</definedName>
    <definedName name="IQ_CABLE_SUBS_ANALOG" localSheetId="22" hidden="1">"c2855"</definedName>
    <definedName name="IQ_CABLE_SUBS_ANALOG" localSheetId="23" hidden="1">"c2855"</definedName>
    <definedName name="IQ_CABLE_SUBS_ANALOG" localSheetId="24" hidden="1">"c2855"</definedName>
    <definedName name="IQ_CABLE_SUBS_ANALOG" hidden="1">"c2855"</definedName>
    <definedName name="IQ_CABLE_SUBS_BASIC" localSheetId="20" hidden="1">"c2857"</definedName>
    <definedName name="IQ_CABLE_SUBS_BASIC" localSheetId="21" hidden="1">"c2857"</definedName>
    <definedName name="IQ_CABLE_SUBS_BASIC" localSheetId="22" hidden="1">"c2857"</definedName>
    <definedName name="IQ_CABLE_SUBS_BASIC" localSheetId="23" hidden="1">"c2857"</definedName>
    <definedName name="IQ_CABLE_SUBS_BASIC" localSheetId="24" hidden="1">"c2857"</definedName>
    <definedName name="IQ_CABLE_SUBS_BASIC" hidden="1">"c2857"</definedName>
    <definedName name="IQ_CABLE_SUBS_BBAND" localSheetId="20" hidden="1">"c2858"</definedName>
    <definedName name="IQ_CABLE_SUBS_BBAND" localSheetId="21" hidden="1">"c2858"</definedName>
    <definedName name="IQ_CABLE_SUBS_BBAND" localSheetId="22" hidden="1">"c2858"</definedName>
    <definedName name="IQ_CABLE_SUBS_BBAND" localSheetId="23" hidden="1">"c2858"</definedName>
    <definedName name="IQ_CABLE_SUBS_BBAND" localSheetId="24" hidden="1">"c2858"</definedName>
    <definedName name="IQ_CABLE_SUBS_BBAND" hidden="1">"c2858"</definedName>
    <definedName name="IQ_CABLE_SUBS_BUNDLED" localSheetId="20" hidden="1">"c2861"</definedName>
    <definedName name="IQ_CABLE_SUBS_BUNDLED" localSheetId="21" hidden="1">"c2861"</definedName>
    <definedName name="IQ_CABLE_SUBS_BUNDLED" localSheetId="22" hidden="1">"c2861"</definedName>
    <definedName name="IQ_CABLE_SUBS_BUNDLED" localSheetId="23" hidden="1">"c2861"</definedName>
    <definedName name="IQ_CABLE_SUBS_BUNDLED" localSheetId="24" hidden="1">"c2861"</definedName>
    <definedName name="IQ_CABLE_SUBS_BUNDLED" hidden="1">"c2861"</definedName>
    <definedName name="IQ_CABLE_SUBS_BUS_PHONE" hidden="1">"c15773"</definedName>
    <definedName name="IQ_CABLE_SUBS_DIG" localSheetId="20" hidden="1">"c2856"</definedName>
    <definedName name="IQ_CABLE_SUBS_DIG" localSheetId="21" hidden="1">"c2856"</definedName>
    <definedName name="IQ_CABLE_SUBS_DIG" localSheetId="22" hidden="1">"c2856"</definedName>
    <definedName name="IQ_CABLE_SUBS_DIG" localSheetId="23" hidden="1">"c2856"</definedName>
    <definedName name="IQ_CABLE_SUBS_DIG" localSheetId="24" hidden="1">"c2856"</definedName>
    <definedName name="IQ_CABLE_SUBS_DIG" hidden="1">"c2856"</definedName>
    <definedName name="IQ_CABLE_SUBS_LONG_DIST_PHONE" hidden="1">"c15775"</definedName>
    <definedName name="IQ_CABLE_SUBS_NON_VIDEO" localSheetId="20" hidden="1">"c2860"</definedName>
    <definedName name="IQ_CABLE_SUBS_NON_VIDEO" localSheetId="21" hidden="1">"c2860"</definedName>
    <definedName name="IQ_CABLE_SUBS_NON_VIDEO" localSheetId="22" hidden="1">"c2860"</definedName>
    <definedName name="IQ_CABLE_SUBS_NON_VIDEO" localSheetId="23" hidden="1">"c2860"</definedName>
    <definedName name="IQ_CABLE_SUBS_NON_VIDEO" localSheetId="24" hidden="1">"c2860"</definedName>
    <definedName name="IQ_CABLE_SUBS_NON_VIDEO" hidden="1">"c2860"</definedName>
    <definedName name="IQ_CABLE_SUBS_PHONE" localSheetId="20" hidden="1">"c2859"</definedName>
    <definedName name="IQ_CABLE_SUBS_PHONE" localSheetId="21" hidden="1">"c2859"</definedName>
    <definedName name="IQ_CABLE_SUBS_PHONE" localSheetId="22" hidden="1">"c2859"</definedName>
    <definedName name="IQ_CABLE_SUBS_PHONE" localSheetId="23" hidden="1">"c2859"</definedName>
    <definedName name="IQ_CABLE_SUBS_PHONE" localSheetId="24" hidden="1">"c2859"</definedName>
    <definedName name="IQ_CABLE_SUBS_PHONE" hidden="1">"c2859"</definedName>
    <definedName name="IQ_CABLE_SUBS_RES_PHONE" hidden="1">"c15772"</definedName>
    <definedName name="IQ_CABLE_SUBS_SATELITE" hidden="1">"c15771"</definedName>
    <definedName name="IQ_CABLE_SUBS_TOTAL" localSheetId="20" hidden="1">"c2862"</definedName>
    <definedName name="IQ_CABLE_SUBS_TOTAL" localSheetId="21" hidden="1">"c2862"</definedName>
    <definedName name="IQ_CABLE_SUBS_TOTAL" localSheetId="22" hidden="1">"c2862"</definedName>
    <definedName name="IQ_CABLE_SUBS_TOTAL" localSheetId="23" hidden="1">"c2862"</definedName>
    <definedName name="IQ_CABLE_SUBS_TOTAL" localSheetId="24" hidden="1">"c2862"</definedName>
    <definedName name="IQ_CABLE_SUBS_TOTAL" hidden="1">"c2862"</definedName>
    <definedName name="IQ_CABLE_SUBS_WHOLE_PHONE" hidden="1">"c15774"</definedName>
    <definedName name="IQ_CABLE_THP" hidden="1">"c2847"</definedName>
    <definedName name="IQ_CABLE_TOTAL_PENETRATION" hidden="1">"c2854"</definedName>
    <definedName name="IQ_CABLE_TOTAL_REV" localSheetId="20" hidden="1">"c2883"</definedName>
    <definedName name="IQ_CABLE_TOTAL_REV" localSheetId="21" hidden="1">"c2883"</definedName>
    <definedName name="IQ_CABLE_TOTAL_REV" localSheetId="22" hidden="1">"c2883"</definedName>
    <definedName name="IQ_CABLE_TOTAL_REV" localSheetId="23" hidden="1">"c2883"</definedName>
    <definedName name="IQ_CABLE_TOTAL_REV" localSheetId="24" hidden="1">"c2883"</definedName>
    <definedName name="IQ_CABLE_TOTAL_REV" hidden="1">"c2883"</definedName>
    <definedName name="IQ_CAL_Q" hidden="1">"c101"</definedName>
    <definedName name="IQ_CAL_Q_EST" hidden="1">"c6796"</definedName>
    <definedName name="IQ_CAL_Q_EST_CIQ" hidden="1">"c6808"</definedName>
    <definedName name="IQ_CAL_Q_EST_THOM" hidden="1">"c6804"</definedName>
    <definedName name="IQ_CAL_Y" hidden="1">"c102"</definedName>
    <definedName name="IQ_CAL_Y_EST" hidden="1">"c6797"</definedName>
    <definedName name="IQ_CAL_Y_EST_CIQ" hidden="1">"c6809"</definedName>
    <definedName name="IQ_CAL_Y_EST_THOM" hidden="1">"c6805"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INVEST_CABLE" hidden="1">"c15794"</definedName>
    <definedName name="IQ_CAP_INVEST_COMMERCIAL" hidden="1">"c15800"</definedName>
    <definedName name="IQ_CAP_INVEST_CUST_PREMISE_EQUIP" hidden="1">"c15795"</definedName>
    <definedName name="IQ_CAP_INVEST_LINE_EXTENSIONS" hidden="1">"c15797"</definedName>
    <definedName name="IQ_CAP_INVEST_SCALABLE_INFRASTRUCTURE" hidden="1">"c15796"</definedName>
    <definedName name="IQ_CAP_INVEST_SUPPORT" hidden="1">"c15799"</definedName>
    <definedName name="IQ_CAP_INVEST_UPGRADE_REBUILD" hidden="1">"c15798"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_UTIL_RATE" hidden="1">"c6824"</definedName>
    <definedName name="IQ_CAP_UTIL_RATE_POP" hidden="1">"c7044"</definedName>
    <definedName name="IQ_CAP_UTIL_RATE_YOY" hidden="1">"c7264"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ACT_OR_EST" hidden="1">"c3584"</definedName>
    <definedName name="IQ_CAPEX_ACT_OR_EST_CIQ" hidden="1">"c5071"</definedName>
    <definedName name="IQ_CAPEX_ACT_OR_EST_THOM" hidden="1">"c5546"</definedName>
    <definedName name="IQ_CAPEX_BNK" hidden="1">"c110"</definedName>
    <definedName name="IQ_CAPEX_BR" hidden="1">"c111"</definedName>
    <definedName name="IQ_CAPEX_EST" hidden="1">"c3523"</definedName>
    <definedName name="IQ_CAPEX_EST_CIQ" hidden="1">"c3807"</definedName>
    <definedName name="IQ_CAPEX_EST_THOM" hidden="1">"c5502"</definedName>
    <definedName name="IQ_CAPEX_FIN" hidden="1">"c112"</definedName>
    <definedName name="IQ_CAPEX_GUIDANCE" hidden="1">"c4150"</definedName>
    <definedName name="IQ_CAPEX_HIGH_EST" hidden="1">"c3524"</definedName>
    <definedName name="IQ_CAPEX_HIGH_EST_CIQ" hidden="1">"c3809"</definedName>
    <definedName name="IQ_CAPEX_HIGH_EST_THOM" hidden="1">"c5504"</definedName>
    <definedName name="IQ_CAPEX_HIGH_GUIDANCE" hidden="1">"c4180"</definedName>
    <definedName name="IQ_CAPEX_INS" hidden="1">"c113"</definedName>
    <definedName name="IQ_CAPEX_LOW_EST" hidden="1">"c3525"</definedName>
    <definedName name="IQ_CAPEX_LOW_EST_CIQ" hidden="1">"c3810"</definedName>
    <definedName name="IQ_CAPEX_LOW_EST_THOM" hidden="1">"c5505"</definedName>
    <definedName name="IQ_CAPEX_LOW_GUIDANCE" hidden="1">"c4220"</definedName>
    <definedName name="IQ_CAPEX_MEDIAN_EST" hidden="1">"c3526"</definedName>
    <definedName name="IQ_CAPEX_MEDIAN_EST_CIQ" hidden="1">"c3808"</definedName>
    <definedName name="IQ_CAPEX_MEDIAN_EST_THOM" hidden="1">"c5503"</definedName>
    <definedName name="IQ_CAPEX_NUM_EST" hidden="1">"c3521"</definedName>
    <definedName name="IQ_CAPEX_NUM_EST_CIQ" hidden="1">"c3811"</definedName>
    <definedName name="IQ_CAPEX_NUM_EST_THOM" hidden="1">"c5506"</definedName>
    <definedName name="IQ_CAPEX_STDDEV_EST" hidden="1">"c3522"</definedName>
    <definedName name="IQ_CAPEX_STDDEV_EST_CIQ" hidden="1">"c3812"</definedName>
    <definedName name="IQ_CAPEX_STDDEV_EST_THOM" hidden="1">"c5507"</definedName>
    <definedName name="IQ_CAPEX_UTI" hidden="1">"c114"</definedName>
    <definedName name="IQ_CAPITAL_ALLOCATION_ADJUSTMENT_FOREIGN_FFIEC" hidden="1">"c15389"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_RAISED_PERIOD_COVERED" hidden="1">"c9959"</definedName>
    <definedName name="IQ_CAPITAL_RAISED_PERIOD_GROUP" hidden="1">"c9945"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localSheetId="20" hidden="1">"c116"</definedName>
    <definedName name="IQ_CASH_ACQUIRE_CF" localSheetId="21" hidden="1">"c116"</definedName>
    <definedName name="IQ_CASH_ACQUIRE_CF" localSheetId="22" hidden="1">"c116"</definedName>
    <definedName name="IQ_CASH_ACQUIRE_CF" localSheetId="23" hidden="1">"c116"</definedName>
    <definedName name="IQ_CASH_ACQUIRE_CF" localSheetId="24" hidden="1">"c116"</definedName>
    <definedName name="IQ_CASH_ACQUIRE_CF" hidden="1">"c116"</definedName>
    <definedName name="IQ_CASH_BALANCES_DUE_FFIEC" hidden="1">"c12773"</definedName>
    <definedName name="IQ_CASH_BANKS_FOREIGN_COUNTRIES_DOM_FFIEC" hidden="1">"c15289"</definedName>
    <definedName name="IQ_CASH_COLLECTION_UNPOSTED_DEBITS_CURRENCY_FFIEC" hidden="1">"c15279"</definedName>
    <definedName name="IQ_CASH_COLLECTION_UNPOSTED_DEBITS_DOM_FFIEC" hidden="1">"c15286"</definedName>
    <definedName name="IQ_CASH_CONVERSION" hidden="1">"c117"</definedName>
    <definedName name="IQ_CASH_COST_ALUM" hidden="1">"c9252"</definedName>
    <definedName name="IQ_CASH_COST_COAL" hidden="1">"c9825"</definedName>
    <definedName name="IQ_CASH_COST_COP" hidden="1">"c9199"</definedName>
    <definedName name="IQ_CASH_COST_DIAM" hidden="1">"c9676"</definedName>
    <definedName name="IQ_CASH_COST_GOLD" hidden="1">"c9037"</definedName>
    <definedName name="IQ_CASH_COST_IRON" hidden="1">"c9411"</definedName>
    <definedName name="IQ_CASH_COST_LEAD" hidden="1">"c9464"</definedName>
    <definedName name="IQ_CASH_COST_MANG" hidden="1">"c9517"</definedName>
    <definedName name="IQ_CASH_COST_MET_COAL" hidden="1">"c9762"</definedName>
    <definedName name="IQ_CASH_COST_MOLYB" hidden="1">"c9729"</definedName>
    <definedName name="IQ_CASH_COST_NICK" hidden="1">"c9305"</definedName>
    <definedName name="IQ_CASH_COST_PER_SUB" hidden="1">"c15763"</definedName>
    <definedName name="IQ_CASH_COST_PLAT" hidden="1">"c9143"</definedName>
    <definedName name="IQ_CASH_COST_SILVER" hidden="1">"c9090"</definedName>
    <definedName name="IQ_CASH_COST_STEAM" hidden="1">"c9792"</definedName>
    <definedName name="IQ_CASH_COST_TITAN" hidden="1">"c9570"</definedName>
    <definedName name="IQ_CASH_COST_URAN" hidden="1">"c9623"</definedName>
    <definedName name="IQ_CASH_COST_ZINC" hidden="1">"c9358"</definedName>
    <definedName name="IQ_CASH_DEPOSITORY_INSTIT_US_DOM_FFIEC" hidden="1">"c15288"</definedName>
    <definedName name="IQ_CASH_DIVIDENDS_NET_INCOME_FDIC" hidden="1">"c6738"</definedName>
    <definedName name="IQ_CASH_DUE_BANKS" hidden="1">"c1351"</definedName>
    <definedName name="IQ_CASH_DUE_OTHER_FED_RESERVE_BANKS_DOM_FFIEC" hidden="1">"c15290"</definedName>
    <definedName name="IQ_CASH_DUE_OTHER_FED_RESERVE_BANKS_FFIEC" hidden="1">"c15284"</definedName>
    <definedName name="IQ_CASH_DUE_US_BRANCH_FOREIGN_BANK_FFIEC" hidden="1">"c15280"</definedName>
    <definedName name="IQ_CASH_EPS_ACT_OR_EST" hidden="1">"c5638"</definedName>
    <definedName name="IQ_CASH_EPS_ACT_OR_EST_THOM" hidden="1">"c5646"</definedName>
    <definedName name="IQ_CASH_EPS_EST" hidden="1">"c5631"</definedName>
    <definedName name="IQ_CASH_EPS_EST_THOM" hidden="1">"c5639"</definedName>
    <definedName name="IQ_CASH_EPS_HIGH_EST" hidden="1">"c5633"</definedName>
    <definedName name="IQ_CASH_EPS_HIGH_EST_THOM" hidden="1">"c5641"</definedName>
    <definedName name="IQ_CASH_EPS_LOW_EST" hidden="1">"c5634"</definedName>
    <definedName name="IQ_CASH_EPS_LOW_EST_THOM" hidden="1">"c5642"</definedName>
    <definedName name="IQ_CASH_EPS_MEDIAN_EST" hidden="1">"c5632"</definedName>
    <definedName name="IQ_CASH_EPS_MEDIAN_EST_THOM" hidden="1">"c5640"</definedName>
    <definedName name="IQ_CASH_EPS_NUM_EST" hidden="1">"c5635"</definedName>
    <definedName name="IQ_CASH_EPS_NUM_EST_THOM" hidden="1">"c5643"</definedName>
    <definedName name="IQ_CASH_EPS_STDDEV_EST" hidden="1">"c5636"</definedName>
    <definedName name="IQ_CASH_EPS_STDDEV_EST_THOM" hidden="1">"c5644"</definedName>
    <definedName name="IQ_CASH_EQUIV" hidden="1">"c118"</definedName>
    <definedName name="IQ_CASH_FINAN" hidden="1">"c119"</definedName>
    <definedName name="IQ_CASH_FINAN_AP" hidden="1">"c8890"</definedName>
    <definedName name="IQ_CASH_FINAN_AP_ABS" hidden="1">"c8909"</definedName>
    <definedName name="IQ_CASH_FINAN_NAME_AP" hidden="1">"c8928"</definedName>
    <definedName name="IQ_CASH_FINAN_NAME_AP_ABS" hidden="1">"c8947"</definedName>
    <definedName name="IQ_CASH_FINAN_SUBTOTAL_AP" hidden="1">"c10111"</definedName>
    <definedName name="IQ_CASH_FLOW_ACT_OR_EST" hidden="1">"c4154"</definedName>
    <definedName name="IQ_CASH_FLOW_ACT_OR_EST_CIQ" hidden="1">"c4566"</definedName>
    <definedName name="IQ_CASH_FLOW_EST" hidden="1">"c4153"</definedName>
    <definedName name="IQ_CASH_FLOW_EST_CIQ" hidden="1">"c4565"</definedName>
    <definedName name="IQ_CASH_FLOW_HIGH_EST" hidden="1">"c4156"</definedName>
    <definedName name="IQ_CASH_FLOW_HIGH_EST_CIQ" hidden="1">"c4568"</definedName>
    <definedName name="IQ_CASH_FLOW_LOW_EST" hidden="1">"c4157"</definedName>
    <definedName name="IQ_CASH_FLOW_LOW_EST_CIQ" hidden="1">"c4569"</definedName>
    <definedName name="IQ_CASH_FLOW_MEDIAN_EST" hidden="1">"c4158"</definedName>
    <definedName name="IQ_CASH_FLOW_MEDIAN_EST_CIQ" hidden="1">"c4570"</definedName>
    <definedName name="IQ_CASH_FLOW_NUM_EST" hidden="1">"c4159"</definedName>
    <definedName name="IQ_CASH_FLOW_NUM_EST_CIQ" hidden="1">"c4571"</definedName>
    <definedName name="IQ_CASH_FLOW_STDDEV_EST" hidden="1">"c4160"</definedName>
    <definedName name="IQ_CASH_FLOW_STDDEV_EST_CIQ" hidden="1">"c4572"</definedName>
    <definedName name="IQ_CASH_FOREIGN_BRANCH_OTHER_US_BANKS_FFIEC" hidden="1">"c15282"</definedName>
    <definedName name="IQ_CASH_IN_PROCESS_FDIC" hidden="1">"c6386"</definedName>
    <definedName name="IQ_CASH_INTEREST" hidden="1">"c120"</definedName>
    <definedName name="IQ_CASH_INTEREST_FINAN" hidden="1">"c6295"</definedName>
    <definedName name="IQ_CASH_INTEREST_INVEST" hidden="1">"c6294"</definedName>
    <definedName name="IQ_CASH_INTEREST_NET" hidden="1">"c12753"</definedName>
    <definedName name="IQ_CASH_INTEREST_OPER" hidden="1">"c6293"</definedName>
    <definedName name="IQ_CASH_INTEREST_RECEIVED" hidden="1">"c12754"</definedName>
    <definedName name="IQ_CASH_INVEST" hidden="1">"c121"</definedName>
    <definedName name="IQ_CASH_INVEST_AP" hidden="1">"c8889"</definedName>
    <definedName name="IQ_CASH_INVEST_AP_ABS" hidden="1">"c8908"</definedName>
    <definedName name="IQ_CASH_INVEST_NAME_AP" hidden="1">"c8927"</definedName>
    <definedName name="IQ_CASH_INVEST_NAME_AP_ABS" hidden="1">"c8946"</definedName>
    <definedName name="IQ_CASH_INVEST_SUBTOTAL_AP" hidden="1">"c8991"</definedName>
    <definedName name="IQ_CASH_OPER" hidden="1">"c122"</definedName>
    <definedName name="IQ_CASH_OPER_ACT_OR_EST" hidden="1">"c4164"</definedName>
    <definedName name="IQ_CASH_OPER_ACT_OR_EST_CIQ" hidden="1">"c4576"</definedName>
    <definedName name="IQ_CASH_OPER_AP" hidden="1">"c8888"</definedName>
    <definedName name="IQ_CASH_OPER_AP_ABS" hidden="1">"c8907"</definedName>
    <definedName name="IQ_CASH_OPER_EST" hidden="1">"c4163"</definedName>
    <definedName name="IQ_CASH_OPER_EST_CIQ" hidden="1">"c4575"</definedName>
    <definedName name="IQ_CASH_OPER_GUIDANCE" hidden="1">"c4165"</definedName>
    <definedName name="IQ_CASH_OPER_HIGH_EST" hidden="1">"c4166"</definedName>
    <definedName name="IQ_CASH_OPER_HIGH_EST_CIQ" hidden="1">"c4578"</definedName>
    <definedName name="IQ_CASH_OPER_HIGH_GUIDANCE" hidden="1">"c4185"</definedName>
    <definedName name="IQ_CASH_OPER_LOW_EST" hidden="1">"c4244"</definedName>
    <definedName name="IQ_CASH_OPER_LOW_EST_CIQ" hidden="1">"c4768"</definedName>
    <definedName name="IQ_CASH_OPER_LOW_GUIDANCE" hidden="1">"c4225"</definedName>
    <definedName name="IQ_CASH_OPER_MEDIAN_EST" hidden="1">"c4245"</definedName>
    <definedName name="IQ_CASH_OPER_MEDIAN_EST_CIQ" hidden="1">"c4771"</definedName>
    <definedName name="IQ_CASH_OPER_NAME_AP" hidden="1">"c8926"</definedName>
    <definedName name="IQ_CASH_OPER_NAME_AP_ABS" hidden="1">"c8945"</definedName>
    <definedName name="IQ_CASH_OPER_NUM_EST" hidden="1">"c4246"</definedName>
    <definedName name="IQ_CASH_OPER_NUM_EST_CIQ" hidden="1">"c4772"</definedName>
    <definedName name="IQ_CASH_OPER_STDDEV_EST" hidden="1">"c4247"</definedName>
    <definedName name="IQ_CASH_OPER_STDDEV_EST_CIQ" hidden="1">"c4773"</definedName>
    <definedName name="IQ_CASH_OPER_SUBTOTAL_AP" hidden="1">"c8990"</definedName>
    <definedName name="IQ_CASH_OTHER_ADJ_AP" hidden="1">"c8891"</definedName>
    <definedName name="IQ_CASH_OTHER_ADJ_AP_ABS" hidden="1">"c8910"</definedName>
    <definedName name="IQ_CASH_OTHER_ADJ_NAME_AP" hidden="1">"c8929"</definedName>
    <definedName name="IQ_CASH_OTHER_ADJ_NAME_AP_ABS" hidden="1">"c8948"</definedName>
    <definedName name="IQ_CASH_OTHER_BANKS_FOREIGN_COUNTRIES_FFIEC" hidden="1">"c15283"</definedName>
    <definedName name="IQ_CASH_OTHER_US_COMM_BANK_DEP_INSTIT_FFIEC" hidden="1">"c15281"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ST_INVEST_EST" hidden="1">"c4249"</definedName>
    <definedName name="IQ_CASH_ST_INVEST_EST_CIQ" hidden="1">"c4775"</definedName>
    <definedName name="IQ_CASH_ST_INVEST_HIGH_EST" hidden="1">"c4251"</definedName>
    <definedName name="IQ_CASH_ST_INVEST_HIGH_EST_CIQ" hidden="1">"c4777"</definedName>
    <definedName name="IQ_CASH_ST_INVEST_LOW_EST" hidden="1">"c4252"</definedName>
    <definedName name="IQ_CASH_ST_INVEST_LOW_EST_CIQ" hidden="1">"c4778"</definedName>
    <definedName name="IQ_CASH_ST_INVEST_MEDIAN_EST" hidden="1">"c4253"</definedName>
    <definedName name="IQ_CASH_ST_INVEST_MEDIAN_EST_CIQ" hidden="1">"c4779"</definedName>
    <definedName name="IQ_CASH_ST_INVEST_NUM_EST" hidden="1">"c4254"</definedName>
    <definedName name="IQ_CASH_ST_INVEST_NUM_EST_CIQ" hidden="1">"c4780"</definedName>
    <definedName name="IQ_CASH_ST_INVEST_STDDEV_EST" hidden="1">"c4255"</definedName>
    <definedName name="IQ_CASH_ST_INVEST_STDDEV_EST_CIQ" hidden="1">"c4781"</definedName>
    <definedName name="IQ_CASH_STRUCTURED_PRODUCTS_AVAIL_SALE_FFIEC" hidden="1">"c15263"</definedName>
    <definedName name="IQ_CASH_STRUCTURED_PRODUCTS_FFIEC" hidden="1">"c15260"</definedName>
    <definedName name="IQ_CASH_TAXES" hidden="1">"c125"</definedName>
    <definedName name="IQ_CASH_TAXES_FINAN" hidden="1">"c6292"</definedName>
    <definedName name="IQ_CASH_TAXES_INVEST" hidden="1">"c6291"</definedName>
    <definedName name="IQ_CASH_TAXES_OPER" hidden="1">"c6290"</definedName>
    <definedName name="IQ_CATASTROPHIC_LOSS_RATIO" hidden="1">"c15881"</definedName>
    <definedName name="IQ_CCE_FDIC" hidden="1">"c6296"</definedName>
    <definedName name="IQ_CDS_5YR_CIQID" hidden="1">"c11751"</definedName>
    <definedName name="IQ_CDS_ASK" hidden="1">"c6027"</definedName>
    <definedName name="IQ_CDS_BID" hidden="1">"c6026"</definedName>
    <definedName name="IQ_CDS_COUPON" hidden="1">"c15234"</definedName>
    <definedName name="IQ_CDS_CURRENCY" hidden="1">"c6031"</definedName>
    <definedName name="IQ_CDS_DERIVATIVES_BENEFICIARY_FFIEC" hidden="1">"c13119"</definedName>
    <definedName name="IQ_CDS_DERIVATIVES_GUARANTOR_FFIEC" hidden="1">"c13112"</definedName>
    <definedName name="IQ_CDS_EVAL_DATE" hidden="1">"c6029"</definedName>
    <definedName name="IQ_CDS_LIST" hidden="1">"c13510"</definedName>
    <definedName name="IQ_CDS_LOAN_LIST" hidden="1">"c13518"</definedName>
    <definedName name="IQ_CDS_MID" hidden="1">"c6028"</definedName>
    <definedName name="IQ_CDS_NAME" hidden="1">"c6034"</definedName>
    <definedName name="IQ_CDS_NEXT_SERIES_ID" hidden="1">"c15231"</definedName>
    <definedName name="IQ_CDS_PREV_SERIES_ID" hidden="1">"c15232"</definedName>
    <definedName name="IQ_CDS_PRICE_TYPE" hidden="1">"c15233"</definedName>
    <definedName name="IQ_CDS_SENIOR_LIST" hidden="1">"c13508"</definedName>
    <definedName name="IQ_CDS_SUB_LIST" hidden="1">"c13509"</definedName>
    <definedName name="IQ_CDS_TERM" hidden="1">"c6030"</definedName>
    <definedName name="IQ_CDS_TYPE" hidden="1">"c6025"</definedName>
    <definedName name="IQ_CEDED_AH_EARNED" hidden="1">"c2743"</definedName>
    <definedName name="IQ_CEDED_CLAIM_ADJ_EXP_RESERVE_BOP" hidden="1">"c15875"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LOSSES" hidden="1">"c15872"</definedName>
    <definedName name="IQ_CEDED_PC_EARNED" hidden="1">"c2748"</definedName>
    <definedName name="IQ_CEDED_PREMIUMS_EARNED_GROSS_PREMIUMS_EARNED" hidden="1">"c15887"</definedName>
    <definedName name="IQ_CEDED_PREMIUMS_WRITTEN_GROSS_PREMIUMS_WRITTEN" hidden="1">"c15885"</definedName>
    <definedName name="IQ_CEDED_WRITTEN" hidden="1">"c2727"</definedName>
    <definedName name="IQ_CEO_ID" hidden="1">"c15210"</definedName>
    <definedName name="IQ_CEO_NAME" hidden="1">"c15209"</definedName>
    <definedName name="IQ_CERTIFIED_OFFICIAL_CHECKS_TRANS_ACCTS_FFIEC" hidden="1">"c15320"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FO_ID" hidden="1">"c15212"</definedName>
    <definedName name="IQ_CFO_NAME" hidden="1">"c15211"</definedName>
    <definedName name="IQ_CFPS_ACT_OR_EST" hidden="1">"c2217"</definedName>
    <definedName name="IQ_CFPS_ACT_OR_EST_CIQ" hidden="1">"c5061"</definedName>
    <definedName name="IQ_CFPS_ACT_OR_EST_THOM" hidden="1">"c5301"</definedName>
    <definedName name="IQ_CFPS_DET_EST_REUT_CURRENCY_CURRENCY_REUT" hidden="1">"c12526"</definedName>
    <definedName name="IQ_CFPS_EST" hidden="1">"c1667"</definedName>
    <definedName name="IQ_CFPS_EST_CIQ" hidden="1">"c3675"</definedName>
    <definedName name="IQ_CFPS_EST_THOM" hidden="1">"c4006"</definedName>
    <definedName name="IQ_CFPS_GUIDANCE" hidden="1">"c4256"</definedName>
    <definedName name="IQ_CFPS_HIGH_EST" hidden="1">"c1669"</definedName>
    <definedName name="IQ_CFPS_HIGH_EST_CIQ" hidden="1">"c3677"</definedName>
    <definedName name="IQ_CFPS_HIGH_EST_THOM" hidden="1">"c4008"</definedName>
    <definedName name="IQ_CFPS_HIGH_GUIDANCE" hidden="1">"c4167"</definedName>
    <definedName name="IQ_CFPS_LOW_EST" hidden="1">"c1670"</definedName>
    <definedName name="IQ_CFPS_LOW_EST_CIQ" hidden="1">"c3678"</definedName>
    <definedName name="IQ_CFPS_LOW_EST_THOM" hidden="1">"c4009"</definedName>
    <definedName name="IQ_CFPS_LOW_GUIDANCE" hidden="1">"c4207"</definedName>
    <definedName name="IQ_CFPS_MEDIAN_EST" hidden="1">"c1668"</definedName>
    <definedName name="IQ_CFPS_MEDIAN_EST_CIQ" hidden="1">"c3676"</definedName>
    <definedName name="IQ_CFPS_MEDIAN_EST_THOM" hidden="1">"c4007"</definedName>
    <definedName name="IQ_CFPS_NUM_EST" hidden="1">"c1671"</definedName>
    <definedName name="IQ_CFPS_NUM_EST_CIQ" hidden="1">"c3679"</definedName>
    <definedName name="IQ_CFPS_NUM_EST_THOM" hidden="1">"c4010"</definedName>
    <definedName name="IQ_CFPS_STDDEV_EST" hidden="1">"c1672"</definedName>
    <definedName name="IQ_CFPS_STDDEV_EST_CIQ" hidden="1">"c3680"</definedName>
    <definedName name="IQ_CFPS_STDDEV_EST_THOM" hidden="1">"c4011"</definedName>
    <definedName name="IQ_CH" hidden="1">110000</definedName>
    <definedName name="IQ_CHAIRMAN_ID" hidden="1">"c15218"</definedName>
    <definedName name="IQ_CHAIRMAN_NAME" hidden="1">"c15217"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F_TAX_TOTAL" hidden="1">"c15557"</definedName>
    <definedName name="IQ_CHANGE_DEPOSIT_ACCT" hidden="1">"c148"</definedName>
    <definedName name="IQ_CHANGE_FAIR_VALUE_FINANCIAL_LIAB_T1_FFIEC" hidden="1">"c13138"</definedName>
    <definedName name="IQ_CHANGE_FAIR_VALUE_OPTIONS_FFIEC" hidden="1">"c13045"</definedName>
    <definedName name="IQ_CHANGE_INC_TAX" hidden="1">"c149"</definedName>
    <definedName name="IQ_CHANGE_INS_RES_LIAB" hidden="1">"c150"</definedName>
    <definedName name="IQ_CHANGE_INVENT" hidden="1">"c6826"</definedName>
    <definedName name="IQ_CHANGE_INVENT_APR" hidden="1">"c7486"</definedName>
    <definedName name="IQ_CHANGE_INVENT_POP" hidden="1">"c7046"</definedName>
    <definedName name="IQ_CHANGE_INVENT_REAL_APR_FC_UNUSED" hidden="1">"c8500"</definedName>
    <definedName name="IQ_CHANGE_INVENT_REAL_APR_FC_UNUSED_UNUSED_UNUSED" hidden="1">"c8500"</definedName>
    <definedName name="IQ_CHANGE_INVENT_REAL_APR_UNUSED" hidden="1">"c7620"</definedName>
    <definedName name="IQ_CHANGE_INVENT_REAL_APR_UNUSED_UNUSED_UNUSED" hidden="1">"c7620"</definedName>
    <definedName name="IQ_CHANGE_INVENT_REAL_FC_UNUSED" hidden="1">"c7840"</definedName>
    <definedName name="IQ_CHANGE_INVENT_REAL_FC_UNUSED_UNUSED_UNUSED" hidden="1">"c7840"</definedName>
    <definedName name="IQ_CHANGE_INVENT_REAL_POP_FC_UNUSED" hidden="1">"c8060"</definedName>
    <definedName name="IQ_CHANGE_INVENT_REAL_POP_FC_UNUSED_UNUSED_UNUSED" hidden="1">"c8060"</definedName>
    <definedName name="IQ_CHANGE_INVENT_REAL_POP_UNUSED" hidden="1">"c7180"</definedName>
    <definedName name="IQ_CHANGE_INVENT_REAL_POP_UNUSED_UNUSED_UNUSED" hidden="1">"c7180"</definedName>
    <definedName name="IQ_CHANGE_INVENT_REAL_SAAR" hidden="1">"c6962"</definedName>
    <definedName name="IQ_CHANGE_INVENT_REAL_SAAR_APR" hidden="1">"c7622"</definedName>
    <definedName name="IQ_CHANGE_INVENT_REAL_SAAR_APR_FC" hidden="1">"c8502"</definedName>
    <definedName name="IQ_CHANGE_INVENT_REAL_SAAR_FC" hidden="1">"c7842"</definedName>
    <definedName name="IQ_CHANGE_INVENT_REAL_SAAR_POP" hidden="1">"c7182"</definedName>
    <definedName name="IQ_CHANGE_INVENT_REAL_SAAR_POP_FC" hidden="1">"c8062"</definedName>
    <definedName name="IQ_CHANGE_INVENT_REAL_SAAR_USD_APR_FC" hidden="1">"c11917"</definedName>
    <definedName name="IQ_CHANGE_INVENT_REAL_SAAR_USD_FC" hidden="1">"c11914"</definedName>
    <definedName name="IQ_CHANGE_INVENT_REAL_SAAR_USD_POP_FC" hidden="1">"c11915"</definedName>
    <definedName name="IQ_CHANGE_INVENT_REAL_SAAR_USD_YOY_FC" hidden="1">"c11916"</definedName>
    <definedName name="IQ_CHANGE_INVENT_REAL_SAAR_YOY" hidden="1">"c7402"</definedName>
    <definedName name="IQ_CHANGE_INVENT_REAL_SAAR_YOY_FC" hidden="1">"c8282"</definedName>
    <definedName name="IQ_CHANGE_INVENT_REAL_UNUSED" hidden="1">"c6960"</definedName>
    <definedName name="IQ_CHANGE_INVENT_REAL_UNUSED_UNUSED_UNUSED" hidden="1">"c6960"</definedName>
    <definedName name="IQ_CHANGE_INVENT_REAL_USD_APR_FC" hidden="1">"c11913"</definedName>
    <definedName name="IQ_CHANGE_INVENT_REAL_USD_FC" hidden="1">"c11910"</definedName>
    <definedName name="IQ_CHANGE_INVENT_REAL_USD_POP_FC" hidden="1">"c11911"</definedName>
    <definedName name="IQ_CHANGE_INVENT_REAL_USD_YOY_FC" hidden="1">"c11912"</definedName>
    <definedName name="IQ_CHANGE_INVENT_REAL_YOY_FC_UNUSED" hidden="1">"c8280"</definedName>
    <definedName name="IQ_CHANGE_INVENT_REAL_YOY_FC_UNUSED_UNUSED_UNUSED" hidden="1">"c8280"</definedName>
    <definedName name="IQ_CHANGE_INVENT_REAL_YOY_UNUSED" hidden="1">"c7400"</definedName>
    <definedName name="IQ_CHANGE_INVENT_REAL_YOY_UNUSED_UNUSED_UNUSED" hidden="1">"c7400"</definedName>
    <definedName name="IQ_CHANGE_INVENT_SAAR" hidden="1">"c6827"</definedName>
    <definedName name="IQ_CHANGE_INVENT_SAAR_APR" hidden="1">"c7487"</definedName>
    <definedName name="IQ_CHANGE_INVENT_SAAR_APR_FC" hidden="1">"c8367"</definedName>
    <definedName name="IQ_CHANGE_INVENT_SAAR_FC" hidden="1">"c7707"</definedName>
    <definedName name="IQ_CHANGE_INVENT_SAAR_POP" hidden="1">"c7047"</definedName>
    <definedName name="IQ_CHANGE_INVENT_SAAR_POP_FC" hidden="1">"c7927"</definedName>
    <definedName name="IQ_CHANGE_INVENT_SAAR_YOY" hidden="1">"c7267"</definedName>
    <definedName name="IQ_CHANGE_INVENT_SAAR_YOY_FC" hidden="1">"c8147"</definedName>
    <definedName name="IQ_CHANGE_INVENT_YOY" hidden="1">"c7266"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PRIVATE_INVENT" hidden="1">"c6828"</definedName>
    <definedName name="IQ_CHANGE_PRIVATE_INVENT_APR" hidden="1">"c7488"</definedName>
    <definedName name="IQ_CHANGE_PRIVATE_INVENT_APR_FC" hidden="1">"c8368"</definedName>
    <definedName name="IQ_CHANGE_PRIVATE_INVENT_FC" hidden="1">"c7708"</definedName>
    <definedName name="IQ_CHANGE_PRIVATE_INVENT_POP" hidden="1">"c7048"</definedName>
    <definedName name="IQ_CHANGE_PRIVATE_INVENT_POP_FC" hidden="1">"c7928"</definedName>
    <definedName name="IQ_CHANGE_PRIVATE_INVENT_YOY" hidden="1">"c7268"</definedName>
    <definedName name="IQ_CHANGE_PRIVATE_INVENT_YOY_FC" hidden="1">"c8148"</definedName>
    <definedName name="IQ_CHANGE_TRADING_ASSETS" hidden="1">"c159"</definedName>
    <definedName name="IQ_CHANGE_UNEARN_REV" hidden="1">"c160"</definedName>
    <definedName name="IQ_CHANGE_UNRECOG_TAX_BENEFIT_1_YR_MAX" hidden="1">"c15747"</definedName>
    <definedName name="IQ_CHANGE_UNRECOG_TAX_BENEFIT_1_YR_MIN" hidden="1">"c15746"</definedName>
    <definedName name="IQ_CHANGE_WORK_CAP" hidden="1">"c161"</definedName>
    <definedName name="IQ_CHANGES_WORK_CAP" hidden="1">"c1357"</definedName>
    <definedName name="IQ_CHARGE_OFFS_1_4_FAMILY_FDIC" hidden="1">"c6756"</definedName>
    <definedName name="IQ_CHARGE_OFFS_1_4_FAMILY_LOANS_FDIC" hidden="1">"c6714"</definedName>
    <definedName name="IQ_CHARGE_OFFS_AUTO_LOANS_FDIC" hidden="1">"c6708"</definedName>
    <definedName name="IQ_CHARGE_OFFS_CL_LOANS_FDIC" hidden="1">"c6709"</definedName>
    <definedName name="IQ_CHARGE_OFFS_COMMERCIAL_INDUSTRIAL_FDIC" hidden="1">"c6759"</definedName>
    <definedName name="IQ_CHARGE_OFFS_COMMERCIAL_RE_FDIC" hidden="1">"c6754"</definedName>
    <definedName name="IQ_CHARGE_OFFS_COMMERCIAL_RE_NOT_SECURED_FDIC" hidden="1">"c6764"</definedName>
    <definedName name="IQ_CHARGE_OFFS_CONSTRUCTION_DEVELOPMENT_FDIC" hidden="1">"c6753"</definedName>
    <definedName name="IQ_CHARGE_OFFS_CREDIT_CARDS_FDIC" hidden="1">"c6761"</definedName>
    <definedName name="IQ_CHARGE_OFFS_CREDIT_CARDS_RECEIVABLES_FDIC" hidden="1">"c6711"</definedName>
    <definedName name="IQ_CHARGE_OFFS_GROSS" hidden="1">"c162"</definedName>
    <definedName name="IQ_CHARGE_OFFS_HOME_EQUITY_FDIC" hidden="1">"c6757"</definedName>
    <definedName name="IQ_CHARGE_OFFS_HOME_EQUITY_LINES_FDIC" hidden="1">"c6712"</definedName>
    <definedName name="IQ_CHARGE_OFFS_INDIVIDUALS_FDIC" hidden="1">"c6760"</definedName>
    <definedName name="IQ_CHARGE_OFFS_MULTI_FAMILY_FDIC" hidden="1">"c6755"</definedName>
    <definedName name="IQ_CHARGE_OFFS_NET" hidden="1">"c163"</definedName>
    <definedName name="IQ_CHARGE_OFFS_OTHER_1_4_FAMILY_FDIC" hidden="1">"c6758"</definedName>
    <definedName name="IQ_CHARGE_OFFS_OTHER_CONSUMER_LOANS_FDIC" hidden="1">"c6710"</definedName>
    <definedName name="IQ_CHARGE_OFFS_OTHER_INDIVIDUAL_FDIC" hidden="1">"c6762"</definedName>
    <definedName name="IQ_CHARGE_OFFS_OTHER_LOANS_FDIC" hidden="1">"c6763"</definedName>
    <definedName name="IQ_CHARGE_OFFS_OTHER_LOANS_OTHER_FDIC" hidden="1">"c6713"</definedName>
    <definedName name="IQ_CHARGE_OFFS_RE_LOANS_FDIC" hidden="1">"c6752"</definedName>
    <definedName name="IQ_CHARGE_OFFS_RECOVERED" hidden="1">"c164"</definedName>
    <definedName name="IQ_CHARGE_OFFS_TOTAL_AVG_LOANS" hidden="1">"c165"</definedName>
    <definedName name="IQ_CHICAGO_PMI" hidden="1">"c6829"</definedName>
    <definedName name="IQ_CHICAGO_PMI_APR" hidden="1">"c7489"</definedName>
    <definedName name="IQ_CHICAGO_PMI_APR_FC" hidden="1">"c8369"</definedName>
    <definedName name="IQ_CHICAGO_PMI_FC" hidden="1">"c7709"</definedName>
    <definedName name="IQ_CHICAGO_PMI_POP" hidden="1">"c7049"</definedName>
    <definedName name="IQ_CHICAGO_PMI_POP_FC" hidden="1">"c7929"</definedName>
    <definedName name="IQ_CHICAGO_PMI_YOY" hidden="1">"c7269"</definedName>
    <definedName name="IQ_CHICAGO_PMI_YOY_FC" hidden="1">"c8149"</definedName>
    <definedName name="IQ_CHURN_BASIC_CABLE" hidden="1">"c2871"</definedName>
    <definedName name="IQ_CHURN_BBAND" hidden="1">"c2872"</definedName>
    <definedName name="IQ_CHURN_DIG_CABLE" hidden="1">"c2870"</definedName>
    <definedName name="IQ_CHURN_PHONE" hidden="1">"c2873"</definedName>
    <definedName name="IQ_CHURN_POSTPAID_WIRELESS" hidden="1">"c2121"</definedName>
    <definedName name="IQ_CHURN_PREPAID_WIRELESS" hidden="1">"c2120"</definedName>
    <definedName name="IQ_CHURN_SATELLITE" hidden="1">"c15791"</definedName>
    <definedName name="IQ_CHURN_TOTAL" hidden="1">"c2874"</definedName>
    <definedName name="IQ_CHURN_TOTAL_WIRELESS" hidden="1">"c2122"</definedName>
    <definedName name="IQ_CITY" hidden="1">"c166"</definedName>
    <definedName name="IQ_CL_AP" hidden="1">"c8884"</definedName>
    <definedName name="IQ_CL_AP_ABS" hidden="1">"c8903"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NAME_AP" hidden="1">"c8922"</definedName>
    <definedName name="IQ_CL_NAME_AP_ABS" hidden="1">"c8941"</definedName>
    <definedName name="IQ_CL_OBLIGATION_IMMEDIATE" hidden="1">"c2253"</definedName>
    <definedName name="IQ_CLAIMS_ADJUSTMENT_EXP_PC_FFIEC" hidden="1">"c13100"</definedName>
    <definedName name="IQ_CLASS_MARKETCAP" hidden="1">"c13512"</definedName>
    <definedName name="IQ_CLASS_SHARESOUTSTANDING" hidden="1">"c13513"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D_END_1_4_FAM_LOANS_TOT_LOANS_FFIEC" hidden="1">"c13866"</definedName>
    <definedName name="IQ_CLOSED_END_1_4_FIRST_LIENS_TRADING_DOM_FFIEC" hidden="1">"c12928"</definedName>
    <definedName name="IQ_CLOSED_END_1_4_JR_LIENS_LL_REC_DOM_FFIEC" hidden="1">"c12904"</definedName>
    <definedName name="IQ_CLOSED_END_1_4_JUNIOR_LIENS_TRADING_DOM_FFIEC" hidden="1">"c12929"</definedName>
    <definedName name="IQ_CLOSED_END_SEC_1_4_1ST_LIENS_CHARGE_OFFS_FFIEC" hidden="1">"c13169"</definedName>
    <definedName name="IQ_CLOSED_END_SEC_1_4_1ST_LIENS_DUE_30_89_FFIEC" hidden="1">"c13261"</definedName>
    <definedName name="IQ_CLOSED_END_SEC_1_4_1ST_LIENS_DUE_90_FFIEC" hidden="1">"c13289"</definedName>
    <definedName name="IQ_CLOSED_END_SEC_1_4_1ST_LIENS_NON_ACCRUAL_FFIEC" hidden="1">"c13315"</definedName>
    <definedName name="IQ_CLOSED_END_SEC_1_4_1ST_LIENS_RECOV_FFIEC" hidden="1">"c13191"</definedName>
    <definedName name="IQ_CLOSED_END_SEC_1_4_JR_LIENS_CHARGE_OFFS_FFIEC" hidden="1">"c13170"</definedName>
    <definedName name="IQ_CLOSED_END_SEC_1_4_JR_LIENS_DUE_30_89_FFIEC" hidden="1">"c13262"</definedName>
    <definedName name="IQ_CLOSED_END_SEC_1_4_JR_LIENS_DUE_90_FFIEC" hidden="1">"c13290"</definedName>
    <definedName name="IQ_CLOSED_END_SEC_1_4_JR_LIENS_NON_ACCRUAL_FFIEC" hidden="1">"c13316"</definedName>
    <definedName name="IQ_CLOSED_END_SEC_1_4_JR_LIENS_RECOV_FFIEC" hidden="1">"c13192"</definedName>
    <definedName name="IQ_CLOSED_END_SEC_1_4_RESIDENT_CHARGE_OFFS_FFIEC" hidden="1">"c15397"</definedName>
    <definedName name="IQ_CLOSED_END_SEC_1_4_RESIDENT_DUE_30_89_FFIEC" hidden="1">"c15413"</definedName>
    <definedName name="IQ_CLOSED_END_SEC_1_4_RESIDENT_DUE_90_FFIEC" hidden="1">"c15417"</definedName>
    <definedName name="IQ_CLOSED_END_SEC_1_4_RESIDENT_NON_ACCRUAL_FFIEC" hidden="1">"c15460"</definedName>
    <definedName name="IQ_CLOSED_END_SEC_1_4_RESIDENT_RECOV_FFIEC" hidden="1">"c15398"</definedName>
    <definedName name="IQ_CLOSED_END_SECURED_1_4_FIRST_LIENS_LL_REC_DOM_FFIEC" hidden="1">"c12903"</definedName>
    <definedName name="IQ_CLOSED_LOANS_GROSS_LOANS_FFIEC" hidden="1">"c13399"</definedName>
    <definedName name="IQ_CLOSED_LOANS_RISK_BASED_FFIEC" hidden="1">"c13420"</definedName>
    <definedName name="IQ_CLOSEPRICE" hidden="1">"c174"</definedName>
    <definedName name="IQ_CLOSEPRICE_ADJ" hidden="1">"c2115"</definedName>
    <definedName name="IQ_CMBS_ISSUED_AVAIL_SALE_FFIEC" hidden="1">"c12800"</definedName>
    <definedName name="IQ_CMBS_ISSUED_FFIEC" hidden="1">"c12786"</definedName>
    <definedName name="IQ_CMO_FDIC" hidden="1">"c6406"</definedName>
    <definedName name="IQ_COAL_SALES_TO_OPERATING_REVENUE_COAL" hidden="1">"c15954"</definedName>
    <definedName name="IQ_COGS" hidden="1">"c175"</definedName>
    <definedName name="IQ_COLLATERAL_TYPE" hidden="1">"c8954"</definedName>
    <definedName name="IQ_COLLECTION_DOMESTIC_FDIC" hidden="1">"c6387"</definedName>
    <definedName name="IQ_COM_TARGET_PRICE" hidden="1">"c13606"</definedName>
    <definedName name="IQ_COM_TARGET_PRICE_CIQ" hidden="1">"c13599"</definedName>
    <definedName name="IQ_COM_TARGET_PRICE_HIGH" hidden="1">"c13607"</definedName>
    <definedName name="IQ_COM_TARGET_PRICE_HIGH_CIQ" hidden="1">"c13600"</definedName>
    <definedName name="IQ_COM_TARGET_PRICE_LOW" hidden="1">"c13608"</definedName>
    <definedName name="IQ_COM_TARGET_PRICE_LOW_CIQ" hidden="1">"c13601"</definedName>
    <definedName name="IQ_COM_TARGET_PRICE_MEDIAN" hidden="1">"c13609"</definedName>
    <definedName name="IQ_COM_TARGET_PRICE_MEDIAN_CIQ" hidden="1">"c13602"</definedName>
    <definedName name="IQ_COM_TARGET_PRICE_NUM" hidden="1">"c13604"</definedName>
    <definedName name="IQ_COM_TARGET_PRICE_NUM_CIQ" hidden="1">"c13597"</definedName>
    <definedName name="IQ_COM_TARGET_PRICE_STDDEV" hidden="1">"c13605"</definedName>
    <definedName name="IQ_COM_TARGET_PRICE_STDDEV_CIQ" hidden="1">"c13598"</definedName>
    <definedName name="IQ_COMBINED_RATIO" hidden="1">"c176"</definedName>
    <definedName name="IQ_COMM_BANKS_OTHER_DEP_INST_US_TRANS_ACCTS_FFIEC" hidden="1">"c15317"</definedName>
    <definedName name="IQ_COMM_BANKS_OTHER_INST_US_NON_TRANS_ACCTS_FFIEC" hidden="1">"c15325"</definedName>
    <definedName name="IQ_COMM_IND_LOANS_TOT_LOANS_FFIEC" hidden="1">"c13874"</definedName>
    <definedName name="IQ_COMM_INDUSTRIAL_LL_REC_FFIEC" hidden="1">"c18880"</definedName>
    <definedName name="IQ_COMM_INDUSTRIAL_LOANS_FFIEC" hidden="1">"c12821"</definedName>
    <definedName name="IQ_COMM_INDUSTRIAL_NON_US_LL_REC_FFIEC" hidden="1">"c12888"</definedName>
    <definedName name="IQ_COMM_INDUSTRIAL_US_LL_REC_FFIEC" hidden="1">"c12887"</definedName>
    <definedName name="IQ_COMM_RE_FARM_LOANS_TOT_LOANS_FFIEC" hidden="1">"c13872"</definedName>
    <definedName name="IQ_COMM_RE_NONFARM_NONRES_TOT_LOANS_FFIEC" hidden="1">"c13871"</definedName>
    <definedName name="IQ_COMMERCIAL_BANKS_DEPOSITS_FOREIGN_FDIC" hidden="1">"c6480"</definedName>
    <definedName name="IQ_COMMERCIAL_BANKS_LOANS_FDIC" hidden="1">"c6434"</definedName>
    <definedName name="IQ_COMMERCIAL_BANKS_NONTRANSACTION_ACCOUNTS_FDIC" hidden="1">"c6548"</definedName>
    <definedName name="IQ_COMMERCIAL_BANKS_TOTAL_DEPOSITS_FDIC" hidden="1">"c6474"</definedName>
    <definedName name="IQ_COMMERCIAL_BANKS_TOTAL_LOANS_FOREIGN_FDIC" hidden="1">"c6444"</definedName>
    <definedName name="IQ_COMMERCIAL_BANKS_TRANSACTION_ACCOUNTS_FDIC" hidden="1">"c6540"</definedName>
    <definedName name="IQ_COMMERCIAL_DOM" hidden="1">"c177"</definedName>
    <definedName name="IQ_COMMERCIAL_FIRE_WRITTEN" hidden="1">"c178"</definedName>
    <definedName name="IQ_COMMERCIAL_INDUSTRIAL_CHARGE_OFFS_FDIC" hidden="1">"c6598"</definedName>
    <definedName name="IQ_COMMERCIAL_INDUSTRIAL_DOM_QUARTERLY_AVG_FFIEC" hidden="1">"c15478"</definedName>
    <definedName name="IQ_COMMERCIAL_INDUSTRIAL_GROSS_LOANS_FFIEC" hidden="1">"c13410"</definedName>
    <definedName name="IQ_COMMERCIAL_INDUSTRIAL_LOANS_DUE_30_89_FFIEC" hidden="1">"c13271"</definedName>
    <definedName name="IQ_COMMERCIAL_INDUSTRIAL_LOANS_DUE_90_FFIEC" hidden="1">"c13297"</definedName>
    <definedName name="IQ_COMMERCIAL_INDUSTRIAL_LOANS_LL_REC_DOM_FFIEC" hidden="1">"c12910"</definedName>
    <definedName name="IQ_COMMERCIAL_INDUSTRIAL_LOANS_NET_FDIC" hidden="1">"c6317"</definedName>
    <definedName name="IQ_COMMERCIAL_INDUSTRIAL_LOANS_NON_ACCRUAL_FFIEC" hidden="1">"c13323"</definedName>
    <definedName name="IQ_COMMERCIAL_INDUSTRIAL_NET_CHARGE_OFFS_FDIC" hidden="1">"c6636"</definedName>
    <definedName name="IQ_COMMERCIAL_INDUSTRIAL_NON_US_CHARGE_OFFS_FFIEC" hidden="1">"c13179"</definedName>
    <definedName name="IQ_COMMERCIAL_INDUSTRIAL_NON_US_DUE_30_89_FFIEC" hidden="1">"c15415"</definedName>
    <definedName name="IQ_COMMERCIAL_INDUSTRIAL_NON_US_DUE_90_FFIEC" hidden="1">"c15419"</definedName>
    <definedName name="IQ_COMMERCIAL_INDUSTRIAL_NON_US_NON_ACCRUAL_FFIEC" hidden="1">"c15464"</definedName>
    <definedName name="IQ_COMMERCIAL_INDUSTRIAL_NON_US_RECOV_FFIEC" hidden="1">"c13201"</definedName>
    <definedName name="IQ_COMMERCIAL_INDUSTRIAL_RECOVERIES_FDIC" hidden="1">"c6617"</definedName>
    <definedName name="IQ_COMMERCIAL_INDUSTRIAL_RISK_BASED_FFIEC" hidden="1">"c13431"</definedName>
    <definedName name="IQ_COMMERCIAL_INDUSTRIAL_TOTAL_LOANS_FOREIGN_FDIC" hidden="1">"c6451"</definedName>
    <definedName name="IQ_COMMERCIAL_INDUSTRIAL_TRADING_DOM_FFIEC" hidden="1">"c12932"</definedName>
    <definedName name="IQ_COMMERCIAL_INDUSTRIAL_US_CHARGE_OFFS_FFIEC" hidden="1">"c13178"</definedName>
    <definedName name="IQ_COMMERCIAL_INDUSTRIAL_US_DUE_30_89_FFIEC" hidden="1">"c15414"</definedName>
    <definedName name="IQ_COMMERCIAL_INDUSTRIAL_US_DUE_90_FFIEC" hidden="1">"c15418"</definedName>
    <definedName name="IQ_COMMERCIAL_INDUSTRIAL_US_NON_ACCRUAL_FFIEC" hidden="1">"c15463"</definedName>
    <definedName name="IQ_COMMERCIAL_INDUSTRIAL_US_RECOV_FFIEC" hidden="1">"c13200"</definedName>
    <definedName name="IQ_COMMERCIAL_INVEST_CABLE_INVEST" hidden="1">"c15806"</definedName>
    <definedName name="IQ_COMMERCIAL_LOANS_TOTAL_LOANS" hidden="1">"c15709"</definedName>
    <definedName name="IQ_COMMERCIAL_MORT" hidden="1">"c179"</definedName>
    <definedName name="IQ_COMMERCIAL_OTHER_LOC_FFIEC" hidden="1">"c13253"</definedName>
    <definedName name="IQ_COMMERCIAL_PAPER_ASSETS_TOT_FFIEC" hidden="1">"c13449"</definedName>
    <definedName name="IQ_COMMERCIAL_PAPER_FFIEC" hidden="1">"c12863"</definedName>
    <definedName name="IQ_COMMERCIAL_RE_CONSTRUCTION_LAND_DEV_FDIC" hidden="1">"c6526"</definedName>
    <definedName name="IQ_COMMERCIAL_RE_GROSS_LOANS_FFIEC" hidden="1">"c13400"</definedName>
    <definedName name="IQ_COMMERCIAL_RE_LOANS_FDIC" hidden="1">"c6312"</definedName>
    <definedName name="IQ_COMMERCIAL_RE_LOANS_TOTAL_LOANS" hidden="1">"c15710"</definedName>
    <definedName name="IQ_COMMERCIAL_RE_RISK_BASED_FFIEC" hidden="1">"c13421"</definedName>
    <definedName name="IQ_COMMISS_FEES" hidden="1">"c180"</definedName>
    <definedName name="IQ_COMMISSION_DEF" hidden="1">"c181"</definedName>
    <definedName name="IQ_COMMITMENTS_BUY_SEC_OTHER_OFF_BS_FFIEC" hidden="1">"c13128"</definedName>
    <definedName name="IQ_COMMITMENTS_COMMERCIAL_RE_UNUSED_FFIEC" hidden="1">"c13243"</definedName>
    <definedName name="IQ_COMMITMENTS_MATURITY_EXCEEDING_1YR_FDIC" hidden="1">"c6531"</definedName>
    <definedName name="IQ_COMMITMENTS_NOT_SECURED_RE_FDIC" hidden="1">"c6528"</definedName>
    <definedName name="IQ_COMMITMENTS_SECURED_RE_FDIC" hidden="1">"c6527"</definedName>
    <definedName name="IQ_COMMITMENTS_SELL_SEC_OTHER_OFF_BS_FFIEC" hidden="1">"c13129"</definedName>
    <definedName name="IQ_COMMODITY_EXPOSURE_FFIEC" hidden="1">"c13061"</definedName>
    <definedName name="IQ_COMMODITY_EXPOSURES_FDIC" hidden="1">"c6665"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FDIC" hidden="1">"c6350"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hidden="1">"c1358"</definedName>
    <definedName name="IQ_COMMON_STOCK_FFIEC" hidden="1">"c12876"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NOTE" hidden="1">"c6792"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ICKER_NO_EXCH" hidden="1">"c15490"</definedName>
    <definedName name="IQ_COMPANY_TYPE" hidden="1">"c2096"</definedName>
    <definedName name="IQ_COMPANY_WEBSITE" hidden="1">"c220"</definedName>
    <definedName name="IQ_COMPANY_ZIP" hidden="1">"c221"</definedName>
    <definedName name="IQ_COMPETITOR_ALL" hidden="1">"c13754"</definedName>
    <definedName name="IQ_COMPETITOR_NAMED_BY_COMPANY" hidden="1">"c13751"</definedName>
    <definedName name="IQ_COMPETITOR_NAMED_BY_COMPETITOR" hidden="1">"c13752"</definedName>
    <definedName name="IQ_COMPETITOR_NAMED_BY_THIRDPARTY" hidden="1">"c13753"</definedName>
    <definedName name="IQ_COMPOSITE_CYCLICAL_IND" hidden="1">"c6830"</definedName>
    <definedName name="IQ_COMPOSITE_CYCLICAL_IND_APR" hidden="1">"c7490"</definedName>
    <definedName name="IQ_COMPOSITE_CYCLICAL_IND_APR_FC" hidden="1">"c8370"</definedName>
    <definedName name="IQ_COMPOSITE_CYCLICAL_IND_FC" hidden="1">"c7710"</definedName>
    <definedName name="IQ_COMPOSITE_CYCLICAL_IND_POP" hidden="1">"c7050"</definedName>
    <definedName name="IQ_COMPOSITE_CYCLICAL_IND_POP_FC" hidden="1">"c7930"</definedName>
    <definedName name="IQ_COMPOSITE_CYCLICAL_IND_YOY" hidden="1">"c7270"</definedName>
    <definedName name="IQ_COMPOSITE_CYCLICAL_IND_YOY_FC" hidden="1">"c8150"</definedName>
    <definedName name="IQ_CONSOL_BEDS" hidden="1">"c8782"</definedName>
    <definedName name="IQ_CONSOL_PROP_OPERATIONAL" hidden="1">"c8758"</definedName>
    <definedName name="IQ_CONSOL_PROP_OTHER_OWNED" hidden="1">"c8760"</definedName>
    <definedName name="IQ_CONSOL_PROP_TOTAL" hidden="1">"c8761"</definedName>
    <definedName name="IQ_CONSOL_PROP_UNDEVELOPED" hidden="1">"c8759"</definedName>
    <definedName name="IQ_CONSOL_ROOMS" hidden="1">"c8786"</definedName>
    <definedName name="IQ_CONSOL_SQ_FT_OPERATIONAL" hidden="1">"c8774"</definedName>
    <definedName name="IQ_CONSOL_SQ_FT_OTHER_OWNED" hidden="1">"c8776"</definedName>
    <definedName name="IQ_CONSOL_SQ_FT_TOTAL" hidden="1">"c8777"</definedName>
    <definedName name="IQ_CONSOL_SQ_FT_UNDEVELOPED" hidden="1">"c8775"</definedName>
    <definedName name="IQ_CONSOL_UNITS_OPERATIONAL" hidden="1">"c8766"</definedName>
    <definedName name="IQ_CONSOL_UNITS_OTHER_OWNED" hidden="1">"c8768"</definedName>
    <definedName name="IQ_CONSOL_UNITS_TOTAL" hidden="1">"c8769"</definedName>
    <definedName name="IQ_CONSOL_UNITS_UNDEVELOPED" hidden="1">"c8767"</definedName>
    <definedName name="IQ_CONSOLIDATED_ASSETS_QUARTERLY_AVG_FFIEC" hidden="1">"c13087"</definedName>
    <definedName name="IQ_CONSOLIDATED_NI_FOREIGN_FFIEC" hidden="1">"c15396"</definedName>
    <definedName name="IQ_CONST_LAND_DEV_LOANS_TOT_LOANS_FFIEC" hidden="1">"c13865"</definedName>
    <definedName name="IQ_CONST_LAND_DEVELOP_OTHER_DOM_CHARGE_OFFS_FFIEC" hidden="1">"c13628"</definedName>
    <definedName name="IQ_CONST_LAND_DEVELOP_OTHER_DOM_RECOV_FFIEC" hidden="1">"c13632"</definedName>
    <definedName name="IQ_CONSTRUCTION_DEV_LOANS_FDIC" hidden="1">"c6313"</definedName>
    <definedName name="IQ_CONSTRUCTION_LAND_DEV_DOM_FFIEC" hidden="1">"c15267"</definedName>
    <definedName name="IQ_CONSTRUCTION_LAND_DEVELOPMENT_CHARGE_OFFS_FDIC" hidden="1">"c6594"</definedName>
    <definedName name="IQ_CONSTRUCTION_LAND_DEVELOPMENT_NET_CHARGE_OFFS_FDIC" hidden="1">"c6632"</definedName>
    <definedName name="IQ_CONSTRUCTION_LAND_DEVELOPMENT_RECOVERIES_FDIC" hidden="1">"c6613"</definedName>
    <definedName name="IQ_CONSTRUCTION_LL_REC_DOM_FFIEC" hidden="1">"c12900"</definedName>
    <definedName name="IQ_CONSTRUCTION_LOANS" hidden="1">"c222"</definedName>
    <definedName name="IQ_CONSTRUCTION_LOANS_DOM_DUE_30_89_FFIEC" hidden="1">"c13256"</definedName>
    <definedName name="IQ_CONSTRUCTION_LOANS_DOM_DUE_90_FFIEC" hidden="1">"c13284"</definedName>
    <definedName name="IQ_CONSTRUCTION_LOANS_DOM_NON_ACCRUAL_FFIEC" hidden="1">"c13310"</definedName>
    <definedName name="IQ_CONSTRUCTION_LOANS_GROSS_LOANS_FFIEC" hidden="1">"c13401"</definedName>
    <definedName name="IQ_CONSTRUCTION_LOANS_TOTAL_LOANS" hidden="1">"c15711"</definedName>
    <definedName name="IQ_CONSTRUCTION_RISK_BASED_FFIEC" hidden="1">"c13422"</definedName>
    <definedName name="IQ_CONSULTING_FFIEC" hidden="1">"c13055"</definedName>
    <definedName name="IQ_CONSUMER_COMFORT" hidden="1">"c6831"</definedName>
    <definedName name="IQ_CONSUMER_COMFORT_APR" hidden="1">"c7491"</definedName>
    <definedName name="IQ_CONSUMER_COMFORT_APR_FC" hidden="1">"c8371"</definedName>
    <definedName name="IQ_CONSUMER_COMFORT_FC" hidden="1">"c7711"</definedName>
    <definedName name="IQ_CONSUMER_COMFORT_POP" hidden="1">"c7051"</definedName>
    <definedName name="IQ_CONSUMER_COMFORT_POP_FC" hidden="1">"c7931"</definedName>
    <definedName name="IQ_CONSUMER_CONFIDENCE" hidden="1">"c6832"</definedName>
    <definedName name="IQ_CONSUMER_CONFIDENCE_APR" hidden="1">"c7492"</definedName>
    <definedName name="IQ_CONSUMER_CONFIDENCE_APR_FC" hidden="1">"c8372"</definedName>
    <definedName name="IQ_CONSUMER_CONFIDENCE_FC" hidden="1">"c7712"</definedName>
    <definedName name="IQ_CONSUMER_CONFIDENCE_POP" hidden="1">"c7052"</definedName>
    <definedName name="IQ_CONSUMER_CONFIDENCE_POP_FC" hidden="1">"c7932"</definedName>
    <definedName name="IQ_CONSUMER_CONFIDENCE_YOY" hidden="1">"c7272"</definedName>
    <definedName name="IQ_CONSUMER_CONFIDENCE_YOY_FC" hidden="1">"c8152"</definedName>
    <definedName name="IQ_CONSUMER_LEASES_LL_REC_FFIEC" hidden="1">"c12895"</definedName>
    <definedName name="IQ_CONSUMER_LENDING" hidden="1">"c6833"</definedName>
    <definedName name="IQ_CONSUMER_LENDING_APR" hidden="1">"c7493"</definedName>
    <definedName name="IQ_CONSUMER_LENDING_APR_FC" hidden="1">"c8373"</definedName>
    <definedName name="IQ_CONSUMER_LENDING_FC" hidden="1">"c7713"</definedName>
    <definedName name="IQ_CONSUMER_LENDING_GROSS" hidden="1">"c6878"</definedName>
    <definedName name="IQ_CONSUMER_LENDING_GROSS_APR" hidden="1">"c7538"</definedName>
    <definedName name="IQ_CONSUMER_LENDING_GROSS_APR_FC" hidden="1">"c8418"</definedName>
    <definedName name="IQ_CONSUMER_LENDING_GROSS_FC" hidden="1">"c7758"</definedName>
    <definedName name="IQ_CONSUMER_LENDING_GROSS_POP" hidden="1">"c7098"</definedName>
    <definedName name="IQ_CONSUMER_LENDING_GROSS_POP_FC" hidden="1">"c7978"</definedName>
    <definedName name="IQ_CONSUMER_LENDING_GROSS_YOY" hidden="1">"c7318"</definedName>
    <definedName name="IQ_CONSUMER_LENDING_GROSS_YOY_FC" hidden="1">"c8198"</definedName>
    <definedName name="IQ_CONSUMER_LENDING_NET" hidden="1">"c6922"</definedName>
    <definedName name="IQ_CONSUMER_LENDING_NET_APR" hidden="1">"c7582"</definedName>
    <definedName name="IQ_CONSUMER_LENDING_NET_APR_FC" hidden="1">"c8462"</definedName>
    <definedName name="IQ_CONSUMER_LENDING_NET_FC" hidden="1">"c7802"</definedName>
    <definedName name="IQ_CONSUMER_LENDING_NET_POP" hidden="1">"c7142"</definedName>
    <definedName name="IQ_CONSUMER_LENDING_NET_POP_FC" hidden="1">"c8022"</definedName>
    <definedName name="IQ_CONSUMER_LENDING_NET_YOY" hidden="1">"c7362"</definedName>
    <definedName name="IQ_CONSUMER_LENDING_NET_YOY_FC" hidden="1">"c8242"</definedName>
    <definedName name="IQ_CONSUMER_LENDING_POP" hidden="1">"c7053"</definedName>
    <definedName name="IQ_CONSUMER_LENDING_POP_FC" hidden="1">"c7933"</definedName>
    <definedName name="IQ_CONSUMER_LENDING_TOTAL" hidden="1">"c7018"</definedName>
    <definedName name="IQ_CONSUMER_LENDING_TOTAL_APR" hidden="1">"c7678"</definedName>
    <definedName name="IQ_CONSUMER_LENDING_TOTAL_APR_FC" hidden="1">"c8558"</definedName>
    <definedName name="IQ_CONSUMER_LENDING_TOTAL_FC" hidden="1">"c7898"</definedName>
    <definedName name="IQ_CONSUMER_LENDING_TOTAL_POP" hidden="1">"c7238"</definedName>
    <definedName name="IQ_CONSUMER_LENDING_TOTAL_POP_FC" hidden="1">"c8118"</definedName>
    <definedName name="IQ_CONSUMER_LENDING_TOTAL_YOY" hidden="1">"c7458"</definedName>
    <definedName name="IQ_CONSUMER_LENDING_TOTAL_YOY_FC" hidden="1">"c8338"</definedName>
    <definedName name="IQ_CONSUMER_LENDING_YOY" hidden="1">"c7273"</definedName>
    <definedName name="IQ_CONSUMER_LENDING_YOY_FC" hidden="1">"c8153"</definedName>
    <definedName name="IQ_CONSUMER_LOANS" hidden="1">"c223"</definedName>
    <definedName name="IQ_CONSUMER_LOANS_LL_REC_DOM_FFIEC" hidden="1">"c12911"</definedName>
    <definedName name="IQ_CONSUMER_LOANS_TOT_LOANS_FFIEC" hidden="1">"c13875"</definedName>
    <definedName name="IQ_CONSUMER_LOANS_TOTAL_LOANS" hidden="1">"c15712"</definedName>
    <definedName name="IQ_CONSUMER_SPENDING" hidden="1">"c6834"</definedName>
    <definedName name="IQ_CONSUMER_SPENDING_APR" hidden="1">"c7494"</definedName>
    <definedName name="IQ_CONSUMER_SPENDING_APR_FC" hidden="1">"c8374"</definedName>
    <definedName name="IQ_CONSUMER_SPENDING_DURABLE" hidden="1">"c6835"</definedName>
    <definedName name="IQ_CONSUMER_SPENDING_DURABLE_APR" hidden="1">"c7495"</definedName>
    <definedName name="IQ_CONSUMER_SPENDING_DURABLE_APR_FC" hidden="1">"c8375"</definedName>
    <definedName name="IQ_CONSUMER_SPENDING_DURABLE_FC" hidden="1">"c7715"</definedName>
    <definedName name="IQ_CONSUMER_SPENDING_DURABLE_POP" hidden="1">"c7055"</definedName>
    <definedName name="IQ_CONSUMER_SPENDING_DURABLE_POP_FC" hidden="1">"c7935"</definedName>
    <definedName name="IQ_CONSUMER_SPENDING_DURABLE_REAL" hidden="1">"c6964"</definedName>
    <definedName name="IQ_CONSUMER_SPENDING_DURABLE_REAL_APR" hidden="1">"c7624"</definedName>
    <definedName name="IQ_CONSUMER_SPENDING_DURABLE_REAL_APR_FC" hidden="1">"c8504"</definedName>
    <definedName name="IQ_CONSUMER_SPENDING_DURABLE_REAL_FC" hidden="1">"c7844"</definedName>
    <definedName name="IQ_CONSUMER_SPENDING_DURABLE_REAL_POP" hidden="1">"c7184"</definedName>
    <definedName name="IQ_CONSUMER_SPENDING_DURABLE_REAL_POP_FC" hidden="1">"c8064"</definedName>
    <definedName name="IQ_CONSUMER_SPENDING_DURABLE_REAL_SAAR" hidden="1">"c6965"</definedName>
    <definedName name="IQ_CONSUMER_SPENDING_DURABLE_REAL_SAAR_APR" hidden="1">"c7625"</definedName>
    <definedName name="IQ_CONSUMER_SPENDING_DURABLE_REAL_SAAR_APR_FC" hidden="1">"c8505"</definedName>
    <definedName name="IQ_CONSUMER_SPENDING_DURABLE_REAL_SAAR_FC" hidden="1">"c7845"</definedName>
    <definedName name="IQ_CONSUMER_SPENDING_DURABLE_REAL_SAAR_POP" hidden="1">"c7185"</definedName>
    <definedName name="IQ_CONSUMER_SPENDING_DURABLE_REAL_SAAR_POP_FC" hidden="1">"c8065"</definedName>
    <definedName name="IQ_CONSUMER_SPENDING_DURABLE_REAL_SAAR_YOY" hidden="1">"c7405"</definedName>
    <definedName name="IQ_CONSUMER_SPENDING_DURABLE_REAL_SAAR_YOY_FC" hidden="1">"c8285"</definedName>
    <definedName name="IQ_CONSUMER_SPENDING_DURABLE_REAL_YOY" hidden="1">"c7404"</definedName>
    <definedName name="IQ_CONSUMER_SPENDING_DURABLE_REAL_YOY_FC" hidden="1">"c8284"</definedName>
    <definedName name="IQ_CONSUMER_SPENDING_DURABLE_YOY" hidden="1">"c7275"</definedName>
    <definedName name="IQ_CONSUMER_SPENDING_DURABLE_YOY_FC" hidden="1">"c8155"</definedName>
    <definedName name="IQ_CONSUMER_SPENDING_FC" hidden="1">"c7714"</definedName>
    <definedName name="IQ_CONSUMER_SPENDING_NONDURABLE" hidden="1">"c6836"</definedName>
    <definedName name="IQ_CONSUMER_SPENDING_NONDURABLE_APR" hidden="1">"c7496"</definedName>
    <definedName name="IQ_CONSUMER_SPENDING_NONDURABLE_APR_FC" hidden="1">"c8376"</definedName>
    <definedName name="IQ_CONSUMER_SPENDING_NONDURABLE_FC" hidden="1">"c7716"</definedName>
    <definedName name="IQ_CONSUMER_SPENDING_NONDURABLE_POP" hidden="1">"c7056"</definedName>
    <definedName name="IQ_CONSUMER_SPENDING_NONDURABLE_POP_FC" hidden="1">"c7936"</definedName>
    <definedName name="IQ_CONSUMER_SPENDING_NONDURABLE_REAL" hidden="1">"c6966"</definedName>
    <definedName name="IQ_CONSUMER_SPENDING_NONDURABLE_REAL_APR" hidden="1">"c7626"</definedName>
    <definedName name="IQ_CONSUMER_SPENDING_NONDURABLE_REAL_APR_FC" hidden="1">"c8506"</definedName>
    <definedName name="IQ_CONSUMER_SPENDING_NONDURABLE_REAL_FC" hidden="1">"c7846"</definedName>
    <definedName name="IQ_CONSUMER_SPENDING_NONDURABLE_REAL_POP" hidden="1">"c7186"</definedName>
    <definedName name="IQ_CONSUMER_SPENDING_NONDURABLE_REAL_POP_FC" hidden="1">"c8066"</definedName>
    <definedName name="IQ_CONSUMER_SPENDING_NONDURABLE_REAL_SAAR" hidden="1">"c6967"</definedName>
    <definedName name="IQ_CONSUMER_SPENDING_NONDURABLE_REAL_SAAR_APR" hidden="1">"c7627"</definedName>
    <definedName name="IQ_CONSUMER_SPENDING_NONDURABLE_REAL_SAAR_APR_FC" hidden="1">"c8507"</definedName>
    <definedName name="IQ_CONSUMER_SPENDING_NONDURABLE_REAL_SAAR_FC" hidden="1">"c7847"</definedName>
    <definedName name="IQ_CONSUMER_SPENDING_NONDURABLE_REAL_SAAR_POP" hidden="1">"c7187"</definedName>
    <definedName name="IQ_CONSUMER_SPENDING_NONDURABLE_REAL_SAAR_POP_FC" hidden="1">"c8067"</definedName>
    <definedName name="IQ_CONSUMER_SPENDING_NONDURABLE_REAL_SAAR_YOY" hidden="1">"c7407"</definedName>
    <definedName name="IQ_CONSUMER_SPENDING_NONDURABLE_REAL_SAAR_YOY_FC" hidden="1">"c8287"</definedName>
    <definedName name="IQ_CONSUMER_SPENDING_NONDURABLE_REAL_YOY" hidden="1">"c7406"</definedName>
    <definedName name="IQ_CONSUMER_SPENDING_NONDURABLE_REAL_YOY_FC" hidden="1">"c8286"</definedName>
    <definedName name="IQ_CONSUMER_SPENDING_NONDURABLE_YOY" hidden="1">"c7276"</definedName>
    <definedName name="IQ_CONSUMER_SPENDING_NONDURABLE_YOY_FC" hidden="1">"c8156"</definedName>
    <definedName name="IQ_CONSUMER_SPENDING_POP" hidden="1">"c7054"</definedName>
    <definedName name="IQ_CONSUMER_SPENDING_POP_FC" hidden="1">"c7934"</definedName>
    <definedName name="IQ_CONSUMER_SPENDING_REAL" hidden="1">"c6963"</definedName>
    <definedName name="IQ_CONSUMER_SPENDING_REAL_APR" hidden="1">"c7623"</definedName>
    <definedName name="IQ_CONSUMER_SPENDING_REAL_APR_FC" hidden="1">"c8503"</definedName>
    <definedName name="IQ_CONSUMER_SPENDING_REAL_FC" hidden="1">"c7843"</definedName>
    <definedName name="IQ_CONSUMER_SPENDING_REAL_POP" hidden="1">"c7183"</definedName>
    <definedName name="IQ_CONSUMER_SPENDING_REAL_POP_FC" hidden="1">"c8063"</definedName>
    <definedName name="IQ_CONSUMER_SPENDING_REAL_SAAR" hidden="1">"c6968"</definedName>
    <definedName name="IQ_CONSUMER_SPENDING_REAL_SAAR_APR" hidden="1">"c7628"</definedName>
    <definedName name="IQ_CONSUMER_SPENDING_REAL_SAAR_APR_FC" hidden="1">"c8508"</definedName>
    <definedName name="IQ_CONSUMER_SPENDING_REAL_SAAR_FC" hidden="1">"c7848"</definedName>
    <definedName name="IQ_CONSUMER_SPENDING_REAL_SAAR_POP" hidden="1">"c7188"</definedName>
    <definedName name="IQ_CONSUMER_SPENDING_REAL_SAAR_POP_FC" hidden="1">"c8068"</definedName>
    <definedName name="IQ_CONSUMER_SPENDING_REAL_SAAR_YOY" hidden="1">"c7408"</definedName>
    <definedName name="IQ_CONSUMER_SPENDING_REAL_SAAR_YOY_FC" hidden="1">"c8288"</definedName>
    <definedName name="IQ_CONSUMER_SPENDING_REAL_USD_APR_FC" hidden="1">"c11921"</definedName>
    <definedName name="IQ_CONSUMER_SPENDING_REAL_USD_FC" hidden="1">"c11918"</definedName>
    <definedName name="IQ_CONSUMER_SPENDING_REAL_USD_POP_FC" hidden="1">"c11919"</definedName>
    <definedName name="IQ_CONSUMER_SPENDING_REAL_USD_YOY_FC" hidden="1">"c11920"</definedName>
    <definedName name="IQ_CONSUMER_SPENDING_REAL_YOY" hidden="1">"c7403"</definedName>
    <definedName name="IQ_CONSUMER_SPENDING_REAL_YOY_FC" hidden="1">"c8283"</definedName>
    <definedName name="IQ_CONSUMER_SPENDING_SERVICES" hidden="1">"c6837"</definedName>
    <definedName name="IQ_CONSUMER_SPENDING_SERVICES_APR" hidden="1">"c7497"</definedName>
    <definedName name="IQ_CONSUMER_SPENDING_SERVICES_APR_FC" hidden="1">"c8377"</definedName>
    <definedName name="IQ_CONSUMER_SPENDING_SERVICES_FC" hidden="1">"c7717"</definedName>
    <definedName name="IQ_CONSUMER_SPENDING_SERVICES_POP" hidden="1">"c7057"</definedName>
    <definedName name="IQ_CONSUMER_SPENDING_SERVICES_POP_FC" hidden="1">"c7937"</definedName>
    <definedName name="IQ_CONSUMER_SPENDING_SERVICES_REAL" hidden="1">"c6969"</definedName>
    <definedName name="IQ_CONSUMER_SPENDING_SERVICES_REAL_APR" hidden="1">"c7629"</definedName>
    <definedName name="IQ_CONSUMER_SPENDING_SERVICES_REAL_APR_FC" hidden="1">"c8509"</definedName>
    <definedName name="IQ_CONSUMER_SPENDING_SERVICES_REAL_FC" hidden="1">"c7849"</definedName>
    <definedName name="IQ_CONSUMER_SPENDING_SERVICES_REAL_POP" hidden="1">"c7189"</definedName>
    <definedName name="IQ_CONSUMER_SPENDING_SERVICES_REAL_POP_FC" hidden="1">"c8069"</definedName>
    <definedName name="IQ_CONSUMER_SPENDING_SERVICES_REAL_SAAR" hidden="1">"c6970"</definedName>
    <definedName name="IQ_CONSUMER_SPENDING_SERVICES_REAL_SAAR_APR" hidden="1">"c7630"</definedName>
    <definedName name="IQ_CONSUMER_SPENDING_SERVICES_REAL_SAAR_APR_FC" hidden="1">"c8510"</definedName>
    <definedName name="IQ_CONSUMER_SPENDING_SERVICES_REAL_SAAR_FC" hidden="1">"c7850"</definedName>
    <definedName name="IQ_CONSUMER_SPENDING_SERVICES_REAL_SAAR_POP" hidden="1">"c7190"</definedName>
    <definedName name="IQ_CONSUMER_SPENDING_SERVICES_REAL_SAAR_POP_FC" hidden="1">"c8070"</definedName>
    <definedName name="IQ_CONSUMER_SPENDING_SERVICES_REAL_SAAR_YOY" hidden="1">"c7410"</definedName>
    <definedName name="IQ_CONSUMER_SPENDING_SERVICES_REAL_SAAR_YOY_FC" hidden="1">"c8290"</definedName>
    <definedName name="IQ_CONSUMER_SPENDING_SERVICES_REAL_YOY" hidden="1">"c7409"</definedName>
    <definedName name="IQ_CONSUMER_SPENDING_SERVICES_REAL_YOY_FC" hidden="1">"c8289"</definedName>
    <definedName name="IQ_CONSUMER_SPENDING_SERVICES_YOY" hidden="1">"c7277"</definedName>
    <definedName name="IQ_CONSUMER_SPENDING_SERVICES_YOY_FC" hidden="1">"c8157"</definedName>
    <definedName name="IQ_CONSUMER_SPENDING_YOY" hidden="1">"c7274"</definedName>
    <definedName name="IQ_CONSUMER_SPENDING_YOY_FC" hidden="1">"c8154"</definedName>
    <definedName name="IQ_CONTINGENT_LIABILITIES" hidden="1">"c18873"</definedName>
    <definedName name="IQ_CONTRACT_OBLIGATION_AFTER_FIVE" hidden="1">"c15691"</definedName>
    <definedName name="IQ_CONTRACT_OBLIGATION_CY" hidden="1">"c15685"</definedName>
    <definedName name="IQ_CONTRACT_OBLIGATION_CY1" hidden="1">"c15686"</definedName>
    <definedName name="IQ_CONTRACT_OBLIGATION_CY2" hidden="1">"c15687"</definedName>
    <definedName name="IQ_CONTRACT_OBLIGATION_CY3" hidden="1">"c15688"</definedName>
    <definedName name="IQ_CONTRACT_OBLIGATION_CY4" hidden="1">"c15689"</definedName>
    <definedName name="IQ_CONTRACT_OBLIGATION_NEXT_FIVE" hidden="1">"c15690"</definedName>
    <definedName name="IQ_CONTRACT_OBLIGATION_TOTAL" hidden="1">"c15692"</definedName>
    <definedName name="IQ_CONTRACTS_OTHER_COMMODITIES_EQUITIES._FDIC" hidden="1">"c6522"</definedName>
    <definedName name="IQ_CONTRACTS_OTHER_COMMODITIES_EQUITIES_FDIC" hidden="1">"c6522"</definedName>
    <definedName name="IQ_CONTRIBUTOR_CIQID" hidden="1">"c13742"</definedName>
    <definedName name="IQ_CONTRIBUTOR_NAME" hidden="1">"c13735"</definedName>
    <definedName name="IQ_CONTRIBUTOR_START_DATE" hidden="1">"c13741"</definedName>
    <definedName name="IQ_CONV_DATE" hidden="1">"c2191"</definedName>
    <definedName name="IQ_CONV_EXP_DATE" hidden="1">"c3043"</definedName>
    <definedName name="IQ_CONV_PARITY" hidden="1">"c16197"</definedName>
    <definedName name="IQ_CONV_PREMIUM" hidden="1">"c2195"</definedName>
    <definedName name="IQ_CONV_PRICE" hidden="1">"c2193"</definedName>
    <definedName name="IQ_CONV_PRICE_ISSUE" hidden="1">"c16195"</definedName>
    <definedName name="IQ_CONV_PRICE_PREM_ISSUE" hidden="1">"c16196"</definedName>
    <definedName name="IQ_CONV_PRICE_PREMIUM" hidden="1">"c16198"</definedName>
    <definedName name="IQ_CONV_PT_PREMIUM" hidden="1">"c16199"</definedName>
    <definedName name="IQ_CONV_PT_PREMIUM_PCT" hidden="1">"c16200"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SION_COMMON_FFIEC" hidden="1">"c12964"</definedName>
    <definedName name="IQ_CONVERSION_PREF_FFIEC" hidden="1">"c12962"</definedName>
    <definedName name="IQ_CONVERT" hidden="1">"c2536"</definedName>
    <definedName name="IQ_CONVERT_PCT" hidden="1">"c2537"</definedName>
    <definedName name="IQ_CONVEXITY" hidden="1">"c2182"</definedName>
    <definedName name="IQ_CONVEYED_TO_OTHERS_FDIC" hidden="1">"c6534"</definedName>
    <definedName name="IQ_COO_ID" hidden="1">"c15222"</definedName>
    <definedName name="IQ_COO_NAME" hidden="1">"c15221"</definedName>
    <definedName name="IQ_CORE_CAPITAL_RATIO_FDIC" hidden="1">"c6745"</definedName>
    <definedName name="IQ_CORE_DEPOSITS_ASSETS_TOT_FFIEC" hidden="1">"c13442"</definedName>
    <definedName name="IQ_CORE_DEPOSITS_FFIEC" hidden="1">"c13862"</definedName>
    <definedName name="IQ_CORE_DEPOSITS_TOT_DEPOSITS_FFIEC" hidden="1">"c13911"</definedName>
    <definedName name="IQ_CORE_TIER_ONE_CAPITAL" hidden="1">"c15244"</definedName>
    <definedName name="IQ_CORE_TIER_ONE_CAPITAL_RATIO" hidden="1">"c15240"</definedName>
    <definedName name="IQ_CORP_GOODS_PRICE_INDEX_APR_FC_UNUSED" hidden="1">"c8381"</definedName>
    <definedName name="IQ_CORP_GOODS_PRICE_INDEX_APR_FC_UNUSED_UNUSED_UNUSED" hidden="1">"c8381"</definedName>
    <definedName name="IQ_CORP_GOODS_PRICE_INDEX_APR_UNUSED" hidden="1">"c7501"</definedName>
    <definedName name="IQ_CORP_GOODS_PRICE_INDEX_APR_UNUSED_UNUSED_UNUSED" hidden="1">"c7501"</definedName>
    <definedName name="IQ_CORP_GOODS_PRICE_INDEX_FC_UNUSED" hidden="1">"c7721"</definedName>
    <definedName name="IQ_CORP_GOODS_PRICE_INDEX_FC_UNUSED_UNUSED_UNUSED" hidden="1">"c7721"</definedName>
    <definedName name="IQ_CORP_GOODS_PRICE_INDEX_POP_FC_UNUSED" hidden="1">"c7941"</definedName>
    <definedName name="IQ_CORP_GOODS_PRICE_INDEX_POP_FC_UNUSED_UNUSED_UNUSED" hidden="1">"c7941"</definedName>
    <definedName name="IQ_CORP_GOODS_PRICE_INDEX_POP_UNUSED" hidden="1">"c7061"</definedName>
    <definedName name="IQ_CORP_GOODS_PRICE_INDEX_POP_UNUSED_UNUSED_UNUSED" hidden="1">"c7061"</definedName>
    <definedName name="IQ_CORP_GOODS_PRICE_INDEX_UNUSED" hidden="1">"c6841"</definedName>
    <definedName name="IQ_CORP_GOODS_PRICE_INDEX_UNUSED_UNUSED_UNUSED" hidden="1">"c6841"</definedName>
    <definedName name="IQ_CORP_GOODS_PRICE_INDEX_YOY_FC_UNUSED" hidden="1">"c8161"</definedName>
    <definedName name="IQ_CORP_GOODS_PRICE_INDEX_YOY_FC_UNUSED_UNUSED_UNUSED" hidden="1">"c8161"</definedName>
    <definedName name="IQ_CORP_GOODS_PRICE_INDEX_YOY_UNUSED" hidden="1">"c7281"</definedName>
    <definedName name="IQ_CORP_GOODS_PRICE_INDEX_YOY_UNUSED_UNUSED_UNUSED" hidden="1">"c7281"</definedName>
    <definedName name="IQ_CORP_PROFITS" hidden="1">"c6843"</definedName>
    <definedName name="IQ_CORP_PROFITS_AFTER_TAX_SAAR" hidden="1">"c6842"</definedName>
    <definedName name="IQ_CORP_PROFITS_AFTER_TAX_SAAR_APR" hidden="1">"c7502"</definedName>
    <definedName name="IQ_CORP_PROFITS_AFTER_TAX_SAAR_APR_FC" hidden="1">"c8382"</definedName>
    <definedName name="IQ_CORP_PROFITS_AFTER_TAX_SAAR_FC" hidden="1">"c7722"</definedName>
    <definedName name="IQ_CORP_PROFITS_AFTER_TAX_SAAR_POP" hidden="1">"c7062"</definedName>
    <definedName name="IQ_CORP_PROFITS_AFTER_TAX_SAAR_POP_FC" hidden="1">"c7942"</definedName>
    <definedName name="IQ_CORP_PROFITS_AFTER_TAX_SAAR_YOY" hidden="1">"c7282"</definedName>
    <definedName name="IQ_CORP_PROFITS_AFTER_TAX_SAAR_YOY_FC" hidden="1">"c8162"</definedName>
    <definedName name="IQ_CORP_PROFITS_APR" hidden="1">"c7503"</definedName>
    <definedName name="IQ_CORP_PROFITS_APR_FC" hidden="1">"c8383"</definedName>
    <definedName name="IQ_CORP_PROFITS_FC" hidden="1">"c7723"</definedName>
    <definedName name="IQ_CORP_PROFITS_POP" hidden="1">"c7063"</definedName>
    <definedName name="IQ_CORP_PROFITS_POP_FC" hidden="1">"c7943"</definedName>
    <definedName name="IQ_CORP_PROFITS_SAAR" hidden="1">"c6844"</definedName>
    <definedName name="IQ_CORP_PROFITS_SAAR_APR" hidden="1">"c7504"</definedName>
    <definedName name="IQ_CORP_PROFITS_SAAR_APR_FC" hidden="1">"c8384"</definedName>
    <definedName name="IQ_CORP_PROFITS_SAAR_FC" hidden="1">"c7724"</definedName>
    <definedName name="IQ_CORP_PROFITS_SAAR_POP" hidden="1">"c7064"</definedName>
    <definedName name="IQ_CORP_PROFITS_SAAR_POP_FC" hidden="1">"c7944"</definedName>
    <definedName name="IQ_CORP_PROFITS_SAAR_YOY" hidden="1">"c7284"</definedName>
    <definedName name="IQ_CORP_PROFITS_SAAR_YOY_FC" hidden="1">"c8164"</definedName>
    <definedName name="IQ_CORP_PROFITS_YOY" hidden="1">"c7283"</definedName>
    <definedName name="IQ_CORP_PROFITS_YOY_FC" hidden="1">"c8163"</definedName>
    <definedName name="IQ_CORPORATE_OVER_TOTAL" hidden="1">"c13767"</definedName>
    <definedName name="IQ_COST_BORROWED_FUNDS_FFIEC" hidden="1">"c13492"</definedName>
    <definedName name="IQ_COST_BORROWING" hidden="1">"c2936"</definedName>
    <definedName name="IQ_COST_BORROWINGS" hidden="1">"c225"</definedName>
    <definedName name="IQ_COST_CAPITAL_NEW_BUSINESS" hidden="1">"c9968"</definedName>
    <definedName name="IQ_COST_FOREIGN_DEPOSITS_FFIEC" hidden="1">"c13490"</definedName>
    <definedName name="IQ_COST_FUNDS" hidden="1">"c15726"</definedName>
    <definedName name="IQ_COST_FUNDS_PURCHASED_FFIEC" hidden="1">"c13491"</definedName>
    <definedName name="IQ_COST_INT_DEPOSITS_FFIEC" hidden="1">"c13489"</definedName>
    <definedName name="IQ_COST_OF_FUNDING_ASSETS_FDIC" hidden="1">"c6725"</definedName>
    <definedName name="IQ_COST_REV" hidden="1">"c226"</definedName>
    <definedName name="IQ_COST_REVENUE" hidden="1">"c1359"</definedName>
    <definedName name="IQ_COST_SALES_COAL" hidden="1">"c15933"</definedName>
    <definedName name="IQ_COST_SALES_PER_UNIT_SOLD_COAL" hidden="1">"c15944"</definedName>
    <definedName name="IQ_COST_SALES_TO_SALES_COAL" hidden="1">"c15951"</definedName>
    <definedName name="IQ_COST_SAVINGS" hidden="1">"c227"</definedName>
    <definedName name="IQ_COST_SERVICE" hidden="1">"c228"</definedName>
    <definedName name="IQ_COST_SOLVENCY_CAPITAL_COVERED" hidden="1">"c9965"</definedName>
    <definedName name="IQ_COST_SOLVENCY_CAPITAL_GROUP" hidden="1">"c9951"</definedName>
    <definedName name="IQ_COST_TOTAL_BORROWINGS" hidden="1">"c229"</definedName>
    <definedName name="IQ_COUNTRY_NAME" hidden="1">"c230"</definedName>
    <definedName name="IQ_COUNTRY_NAME_ECON" hidden="1">"c11752"</definedName>
    <definedName name="IQ_COUPON_FORMULA" hidden="1">"c8965"</definedName>
    <definedName name="IQ_COVERAGE_RATIO" hidden="1">"c15243"</definedName>
    <definedName name="IQ_COVERED_POPS" hidden="1">"c2124"</definedName>
    <definedName name="IQ_COVERED_WIRELESS_POPS" hidden="1">"c2124"</definedName>
    <definedName name="IQ_CP" hidden="1">"c2495"</definedName>
    <definedName name="IQ_CP_PCT" hidden="1">"c2496"</definedName>
    <definedName name="IQ_CPI" hidden="1">"c6845"</definedName>
    <definedName name="IQ_CPI_APR" hidden="1">"c7505"</definedName>
    <definedName name="IQ_CPI_APR_FC" hidden="1">"c8385"</definedName>
    <definedName name="IQ_CPI_CORE" hidden="1">"c6838"</definedName>
    <definedName name="IQ_CPI_CORE_APR" hidden="1">"c7498"</definedName>
    <definedName name="IQ_CPI_CORE_POP" hidden="1">"c7058"</definedName>
    <definedName name="IQ_CPI_CORE_YOY" hidden="1">"c7278"</definedName>
    <definedName name="IQ_CPI_FC" hidden="1">"c7725"</definedName>
    <definedName name="IQ_CPI_POP" hidden="1">"c7065"</definedName>
    <definedName name="IQ_CPI_POP_FC" hidden="1">"c7945"</definedName>
    <definedName name="IQ_CPI_YOY" hidden="1">"c7285"</definedName>
    <definedName name="IQ_CPI_YOY_FC" hidden="1">"c8165"</definedName>
    <definedName name="IQ_CQ" hidden="1">5000</definedName>
    <definedName name="IQ_CREDIT_CARD_CHARGE_OFFS_FDIC" hidden="1">"c6652"</definedName>
    <definedName name="IQ_CREDIT_CARD_FEE_BNK" hidden="1">"c231"</definedName>
    <definedName name="IQ_CREDIT_CARD_FEE_FIN" hidden="1">"c1583"</definedName>
    <definedName name="IQ_CREDIT_CARD_GROSS_LOANS_FFIEC" hidden="1">"c13412"</definedName>
    <definedName name="IQ_CREDIT_CARD_INTERCHANGE_FEES_FFIEC" hidden="1">"c13046"</definedName>
    <definedName name="IQ_CREDIT_CARD_LINES_FDIC" hidden="1">"c6525"</definedName>
    <definedName name="IQ_CREDIT_CARD_LINES_UNUSED_FFIEC" hidden="1">"c13242"</definedName>
    <definedName name="IQ_CREDIT_CARD_LOANS_CHARGE_OFFS_FFIEC" hidden="1">"c13180"</definedName>
    <definedName name="IQ_CREDIT_CARD_LOANS_DOM_QUARTERLY_AVG_FFIEC" hidden="1">"c15480"</definedName>
    <definedName name="IQ_CREDIT_CARD_LOANS_DUE_30_89_FFIEC" hidden="1">"c13272"</definedName>
    <definedName name="IQ_CREDIT_CARD_LOANS_DUE_90_FFIEC" hidden="1">"c13298"</definedName>
    <definedName name="IQ_CREDIT_CARD_LOANS_FDIC" hidden="1">"c6319"</definedName>
    <definedName name="IQ_CREDIT_CARD_LOANS_NON_ACCRUAL_FFIEC" hidden="1">"c13324"</definedName>
    <definedName name="IQ_CREDIT_CARD_LOANS_RECOV_FFIEC" hidden="1">"c13202"</definedName>
    <definedName name="IQ_CREDIT_CARD_NET_CHARGE_OFFS_FDIC" hidden="1">"c6654"</definedName>
    <definedName name="IQ_CREDIT_CARD_RECOVERIES_FDIC" hidden="1">"c6653"</definedName>
    <definedName name="IQ_CREDIT_CARD_RISK_BASED_FFIEC" hidden="1">"c13433"</definedName>
    <definedName name="IQ_CREDIT_CARDS_CONSUMER_LOANS_FFIEC" hidden="1">"c12822"</definedName>
    <definedName name="IQ_CREDIT_CARDS_LL_REC_FFIEC" hidden="1">"c12889"</definedName>
    <definedName name="IQ_CREDIT_CARDS_LOANS_TRADING_DOM_FFIEC" hidden="1">"c12933"</definedName>
    <definedName name="IQ_CREDIT_EXPOSURE" hidden="1">"c10038"</definedName>
    <definedName name="IQ_CREDIT_EXPOSURE_FFIEC" hidden="1">"c13062"</definedName>
    <definedName name="IQ_CREDIT_LOSS_CF" hidden="1">"c232"</definedName>
    <definedName name="IQ_CREDIT_LOSS_PROVISION_NET_CHARGE_OFFS_FDIC" hidden="1">"c6734"</definedName>
    <definedName name="IQ_CREDIT_LOSSES_DERIVATIVES_FFIEC" hidden="1">"c13068"</definedName>
    <definedName name="IQ_CREDIT_OPTIONS_DERIVATIVES_BENEFICIARY_FFIEC" hidden="1">"c13121"</definedName>
    <definedName name="IQ_CREDIT_OPTIONS_DERIVATIVES_GUARANTOR_FFIEC" hidden="1">"c13114"</definedName>
    <definedName name="IQ_CUMULATIVE_PREFERREDS_T2_FFIEC" hidden="1">"c13145"</definedName>
    <definedName name="IQ_CUMULATIVE_SPLIT_FACTOR" hidden="1">"c2094"</definedName>
    <definedName name="IQ_CURR_ACCT_BALANCE_APR_FC_UNUSED" hidden="1">"c8387"</definedName>
    <definedName name="IQ_CURR_ACCT_BALANCE_APR_FC_UNUSED_UNUSED_UNUSED" hidden="1">"c8387"</definedName>
    <definedName name="IQ_CURR_ACCT_BALANCE_APR_UNUSED" hidden="1">"c7507"</definedName>
    <definedName name="IQ_CURR_ACCT_BALANCE_APR_UNUSED_UNUSED_UNUSED" hidden="1">"c7507"</definedName>
    <definedName name="IQ_CURR_ACCT_BALANCE_FC_UNUSED" hidden="1">"c7727"</definedName>
    <definedName name="IQ_CURR_ACCT_BALANCE_FC_UNUSED_UNUSED_UNUSED" hidden="1">"c7727"</definedName>
    <definedName name="IQ_CURR_ACCT_BALANCE_PCT" hidden="1">"c6846"</definedName>
    <definedName name="IQ_CURR_ACCT_BALANCE_PCT_FC" hidden="1">"c7726"</definedName>
    <definedName name="IQ_CURR_ACCT_BALANCE_PCT_POP" hidden="1">"c7066"</definedName>
    <definedName name="IQ_CURR_ACCT_BALANCE_PCT_POP_FC" hidden="1">"c7946"</definedName>
    <definedName name="IQ_CURR_ACCT_BALANCE_PCT_YOY" hidden="1">"c7286"</definedName>
    <definedName name="IQ_CURR_ACCT_BALANCE_PCT_YOY_FC" hidden="1">"c8166"</definedName>
    <definedName name="IQ_CURR_ACCT_BALANCE_POP_FC_UNUSED" hidden="1">"c7947"</definedName>
    <definedName name="IQ_CURR_ACCT_BALANCE_POP_FC_UNUSED_UNUSED_UNUSED" hidden="1">"c7947"</definedName>
    <definedName name="IQ_CURR_ACCT_BALANCE_POP_UNUSED" hidden="1">"c7067"</definedName>
    <definedName name="IQ_CURR_ACCT_BALANCE_POP_UNUSED_UNUSED_UNUSED" hidden="1">"c7067"</definedName>
    <definedName name="IQ_CURR_ACCT_BALANCE_SAAR" hidden="1">"c6848"</definedName>
    <definedName name="IQ_CURR_ACCT_BALANCE_SAAR_APR" hidden="1">"c7508"</definedName>
    <definedName name="IQ_CURR_ACCT_BALANCE_SAAR_APR_FC" hidden="1">"c8388"</definedName>
    <definedName name="IQ_CURR_ACCT_BALANCE_SAAR_FC" hidden="1">"c7728"</definedName>
    <definedName name="IQ_CURR_ACCT_BALANCE_SAAR_POP" hidden="1">"c7068"</definedName>
    <definedName name="IQ_CURR_ACCT_BALANCE_SAAR_POP_FC" hidden="1">"c7948"</definedName>
    <definedName name="IQ_CURR_ACCT_BALANCE_SAAR_USD_APR_FC" hidden="1">"c11797"</definedName>
    <definedName name="IQ_CURR_ACCT_BALANCE_SAAR_USD_FC" hidden="1">"c11794"</definedName>
    <definedName name="IQ_CURR_ACCT_BALANCE_SAAR_USD_POP_FC" hidden="1">"c11795"</definedName>
    <definedName name="IQ_CURR_ACCT_BALANCE_SAAR_USD_YOY_FC" hidden="1">"c11796"</definedName>
    <definedName name="IQ_CURR_ACCT_BALANCE_SAAR_YOY" hidden="1">"c7288"</definedName>
    <definedName name="IQ_CURR_ACCT_BALANCE_SAAR_YOY_FC" hidden="1">"c8168"</definedName>
    <definedName name="IQ_CURR_ACCT_BALANCE_UNUSED" hidden="1">"c6847"</definedName>
    <definedName name="IQ_CURR_ACCT_BALANCE_UNUSED_UNUSED_UNUSED" hidden="1">"c6847"</definedName>
    <definedName name="IQ_CURR_ACCT_BALANCE_USD" hidden="1">"c11786"</definedName>
    <definedName name="IQ_CURR_ACCT_BALANCE_USD_APR" hidden="1">"c11789"</definedName>
    <definedName name="IQ_CURR_ACCT_BALANCE_USD_APR_FC" hidden="1">"c11793"</definedName>
    <definedName name="IQ_CURR_ACCT_BALANCE_USD_FC" hidden="1">"c11790"</definedName>
    <definedName name="IQ_CURR_ACCT_BALANCE_USD_POP" hidden="1">"c11787"</definedName>
    <definedName name="IQ_CURR_ACCT_BALANCE_USD_POP_FC" hidden="1">"c11791"</definedName>
    <definedName name="IQ_CURR_ACCT_BALANCE_USD_YOY" hidden="1">"c11788"</definedName>
    <definedName name="IQ_CURR_ACCT_BALANCE_USD_YOY_FC" hidden="1">"c11792"</definedName>
    <definedName name="IQ_CURR_ACCT_BALANCE_YOY_FC_UNUSED" hidden="1">"c8167"</definedName>
    <definedName name="IQ_CURR_ACCT_BALANCE_YOY_FC_UNUSED_UNUSED_UNUSED" hidden="1">"c8167"</definedName>
    <definedName name="IQ_CURR_ACCT_BALANCE_YOY_UNUSED" hidden="1">"c7287"</definedName>
    <definedName name="IQ_CURR_ACCT_BALANCE_YOY_UNUSED_UNUSED_UNUSED" hidden="1">"c7287"</definedName>
    <definedName name="IQ_CURR_ACCT_INC_RECEIPTS" hidden="1">"c6849"</definedName>
    <definedName name="IQ_CURR_ACCT_INC_RECEIPTS_APR" hidden="1">"c7509"</definedName>
    <definedName name="IQ_CURR_ACCT_INC_RECEIPTS_APR_FC" hidden="1">"c8389"</definedName>
    <definedName name="IQ_CURR_ACCT_INC_RECEIPTS_FC" hidden="1">"c7729"</definedName>
    <definedName name="IQ_CURR_ACCT_INC_RECEIPTS_POP" hidden="1">"c7069"</definedName>
    <definedName name="IQ_CURR_ACCT_INC_RECEIPTS_POP_FC" hidden="1">"c7949"</definedName>
    <definedName name="IQ_CURR_ACCT_INC_RECEIPTS_YOY" hidden="1">"c7289"</definedName>
    <definedName name="IQ_CURR_ACCT_INC_RECEIPTS_YOY_FC" hidden="1">"c8169"</definedName>
    <definedName name="IQ_CURR_DOMESTIC_TAXES" hidden="1">"c2074"</definedName>
    <definedName name="IQ_CURR_FOREIGN_TAXES" hidden="1">"c2075"</definedName>
    <definedName name="IQ_CURRENCY_COIN_DOM_FFIEC" hidden="1">"c15287"</definedName>
    <definedName name="IQ_CURRENCY_COIN_DOMESTIC_FDIC" hidden="1">"c6388"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T_BENCHMARK" hidden="1">"c6780"</definedName>
    <definedName name="IQ_CURRENT_BENCHMARK_CIQID" hidden="1">"c6781"</definedName>
    <definedName name="IQ_CURRENT_BENCHMARK_MATURITY" hidden="1">"c6782"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UST_PREMISE_EQUIP_CABLE_INVEST" hidden="1">"c15801"</definedName>
    <definedName name="IQ_CUSTOMER_LIAB_ACCEPTANCES_OUT_FFIEC" hidden="1">"c12835"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" hidden="1">"c6207"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ILY" hidden="1">500000</definedName>
    <definedName name="IQ_DATA_PROCESSING_EXP_FFIEC" hidden="1">"c13047"</definedName>
    <definedName name="IQ_DATED_DATE" hidden="1">"c2185"</definedName>
    <definedName name="IQ_DAY_COUNT" hidden="1">"c2161"</definedName>
    <definedName name="IQ_DAYS_COVER_SHORT" hidden="1">"c1578"</definedName>
    <definedName name="IQ_DAYS_DELAY" hidden="1">"c8963"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1_5_INVEST_SECURITIES_FFIEC" hidden="1">"c13465"</definedName>
    <definedName name="IQ_DEBT_ADJ" hidden="1">"c2515"</definedName>
    <definedName name="IQ_DEBT_ADJ_PCT" hidden="1">"c2516"</definedName>
    <definedName name="IQ_DEBT_EQUITY_EST" hidden="1">"c4257"</definedName>
    <definedName name="IQ_DEBT_EQUITY_EST_CIQ" hidden="1">"c4783"</definedName>
    <definedName name="IQ_DEBT_EQUITY_HIGH_EST" hidden="1">"c4258"</definedName>
    <definedName name="IQ_DEBT_EQUITY_HIGH_EST_CIQ" hidden="1">"c4784"</definedName>
    <definedName name="IQ_DEBT_EQUITY_LOW_EST" hidden="1">"c4259"</definedName>
    <definedName name="IQ_DEBT_EQUITY_LOW_EST_CIQ" hidden="1">"c4785"</definedName>
    <definedName name="IQ_DEBT_EQUITY_MEDIAN_EST" hidden="1">"c4260"</definedName>
    <definedName name="IQ_DEBT_EQUITY_MEDIAN_EST_CIQ" hidden="1">"c4786"</definedName>
    <definedName name="IQ_DEBT_EQUITY_NUM_EST" hidden="1">"c4261"</definedName>
    <definedName name="IQ_DEBT_EQUITY_NUM_EST_CIQ" hidden="1">"c4787"</definedName>
    <definedName name="IQ_DEBT_EQUITY_STDDEV_EST" hidden="1">"c4262"</definedName>
    <definedName name="IQ_DEBT_EQUITY_STDDEV_EST_CIQ" hidden="1">"c4788"</definedName>
    <definedName name="IQ_DEBT_EQUIV_NET_PBO" hidden="1">"c2938"</definedName>
    <definedName name="IQ_DEBT_EQUIV_OPER_LEASE" hidden="1">"c2935"</definedName>
    <definedName name="IQ_DEBT_LESS_1YR_INVEST_SECURITIES_FFIEC" hidden="1">"c13464"</definedName>
    <definedName name="IQ_DEBT_MATURING_MORE_THAN_ONE_YEAR_FFIEC" hidden="1">"c13164"</definedName>
    <definedName name="IQ_DEBT_MATURING_WITHIN_ONE_YEAR_FFIEC" hidden="1">"c13163"</definedName>
    <definedName name="IQ_DEBT_SEC_OVER_5YR_INVEST_SECURITIES_FFIEC" hidden="1">"c13466"</definedName>
    <definedName name="IQ_DEBT_SECURITIES_FOREIGN_FFIEC" hidden="1">"c13484"</definedName>
    <definedName name="IQ_DEBT_SECURITIES_OTHER_ASSETS_DUE_30_89_FFIEC" hidden="1">"c13279"</definedName>
    <definedName name="IQ_DEBT_SECURITIES_OTHER_ASSETS_DUE_90_FFIEC" hidden="1">"c13305"</definedName>
    <definedName name="IQ_DEBT_SECURITIES_OTHER_ASSETS_NON_ACCRUAL_FFIEC" hidden="1">"c13331"</definedName>
    <definedName name="IQ_DECREASE_INT_EXPENSE_FFIEC" hidden="1">"c13064"</definedName>
    <definedName name="IQ_DEDUCTIONS_TOTAL_RISK_BASED_CAPITAL_FFIEC" hidden="1">"c13152"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SPENDING_REAL_SAAR" hidden="1">"c6971"</definedName>
    <definedName name="IQ_DEF_SPENDING_REAL_SAAR_APR" hidden="1">"c7631"</definedName>
    <definedName name="IQ_DEF_SPENDING_REAL_SAAR_APR_FC" hidden="1">"c8511"</definedName>
    <definedName name="IQ_DEF_SPENDING_REAL_SAAR_FC" hidden="1">"c7851"</definedName>
    <definedName name="IQ_DEF_SPENDING_REAL_SAAR_POP" hidden="1">"c7191"</definedName>
    <definedName name="IQ_DEF_SPENDING_REAL_SAAR_POP_FC" hidden="1">"c8071"</definedName>
    <definedName name="IQ_DEF_SPENDING_REAL_SAAR_YOY" hidden="1">"c7411"</definedName>
    <definedName name="IQ_DEF_SPENDING_REAL_SAAR_YOY_FC" hidden="1">"c8291"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ERRED_CONTINGENT_RENT" hidden="1">"c16181"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_ASSETS_FFIEC" hidden="1">"c12843"</definedName>
    <definedName name="IQ_DEFERRED_TAX_ASSETS_T1_FFIEC" hidden="1">"c13141"</definedName>
    <definedName name="IQ_DEFERRED_TAX_LIAB_FFIEC" hidden="1">"c12870"</definedName>
    <definedName name="IQ_DEFERRED_TAX_NAV" hidden="1">"c16003"</definedName>
    <definedName name="IQ_DEFERRED_TAX_NNAV" hidden="1">"c16008"</definedName>
    <definedName name="IQ_DEFERRED_TAXES" hidden="1">"c1356"</definedName>
    <definedName name="IQ_DELIVERED_HOMES_NEW_ORDERS" hidden="1">"c15821"</definedName>
    <definedName name="IQ_DELIVERED_HOMES_PRICE_NEW_ORDER_PRICE" hidden="1">"c15822"</definedName>
    <definedName name="IQ_DEMAND_DEP" hidden="1">"c320"</definedName>
    <definedName name="IQ_DEMAND_DEPOSITS_COMMERCIAL_BANK_SUBS_FFIEC" hidden="1">"c12945"</definedName>
    <definedName name="IQ_DEMAND_DEPOSITS_FDIC" hidden="1">"c6489"</definedName>
    <definedName name="IQ_DEMAND_DEPOSITS_TOT_DEPOSITS_FFIEC" hidden="1">"c13902"</definedName>
    <definedName name="IQ_DEPOSIT_ACCOUNTS_LESS_THAN_100K_FDIC" hidden="1">"c6494"</definedName>
    <definedName name="IQ_DEPOSIT_ACCOUNTS_MORE_THAN_100K_FDIC" hidden="1">"c6492"</definedName>
    <definedName name="IQ_DEPOSITORY_INST_ACCEPTANCES_LL_REC_DOM_FFIEC" hidden="1">"c12908"</definedName>
    <definedName name="IQ_DEPOSITORY_INST_GROSS_LOANS_FFIEC" hidden="1">"c13409"</definedName>
    <definedName name="IQ_DEPOSITORY_INST_RISK_BASED_FFIEC" hidden="1">"c13430"</definedName>
    <definedName name="IQ_DEPOSITORY_INSTITUTIONS_CHARGE_OFFS_FDIC" hidden="1">"c6596"</definedName>
    <definedName name="IQ_DEPOSITORY_INSTITUTIONS_NET_CHARGE_OFFS_FDIC" hidden="1">"c6634"</definedName>
    <definedName name="IQ_DEPOSITORY_INSTITUTIONS_RECOVERIES_FDIC" hidden="1">"c6615"</definedName>
    <definedName name="IQ_DEPOSITS_100K_MORE_ASSETS_TOT_FFIEC" hidden="1">"c13444"</definedName>
    <definedName name="IQ_DEPOSITS_DOM_FFIEC" hidden="1">"c12850"</definedName>
    <definedName name="IQ_DEPOSITS_FAIR_VALUE_TOT_FFIEC" hidden="1">"c13213"</definedName>
    <definedName name="IQ_DEPOSITS_FIN" hidden="1">"c321"</definedName>
    <definedName name="IQ_DEPOSITS_FOREIGN_BANKS_FOREIGN_AGENCIES_FFIEC" hidden="1">"c15344"</definedName>
    <definedName name="IQ_DEPOSITS_FOREIGN_FFIEC" hidden="1">"c12853"</definedName>
    <definedName name="IQ_DEPOSITS_HELD_DOMESTIC_FDIC" hidden="1">"c6340"</definedName>
    <definedName name="IQ_DEPOSITS_HELD_FOREIGN_FDIC" hidden="1">"c6341"</definedName>
    <definedName name="IQ_DEPOSITS_INTEREST_SECURITIES" hidden="1">"c5509"</definedName>
    <definedName name="IQ_DEPOSITS_LESS_100K_COMMERCIAL_BANK_SUBS_FFIEC" hidden="1">"c12948"</definedName>
    <definedName name="IQ_DEPOSITS_LESS_THAN_100K_AFTER_THREE_YEARS_FDIC" hidden="1">"c6464"</definedName>
    <definedName name="IQ_DEPOSITS_LESS_THAN_100K_THREE_MONTHS_FDIC" hidden="1">"c6461"</definedName>
    <definedName name="IQ_DEPOSITS_LESS_THAN_100K_THREE_YEARS_FDIC" hidden="1">"c6463"</definedName>
    <definedName name="IQ_DEPOSITS_LESS_THAN_100K_TWELVE_MONTHS_FDIC" hidden="1">"c6462"</definedName>
    <definedName name="IQ_DEPOSITS_LEVEL_1_FFIEC" hidden="1">"c13221"</definedName>
    <definedName name="IQ_DEPOSITS_LEVEL_2_FFIEC" hidden="1">"c13229"</definedName>
    <definedName name="IQ_DEPOSITS_LEVEL_3_FFIEC" hidden="1">"c13237"</definedName>
    <definedName name="IQ_DEPOSITS_MORE_100K_COMMERCIAL_BANK_SUBS_FFIEC" hidden="1">"c12949"</definedName>
    <definedName name="IQ_DEPOSITS_MORE_THAN_100K_AFTER_THREE_YEARS_FDIC" hidden="1">"c6469"</definedName>
    <definedName name="IQ_DEPOSITS_MORE_THAN_100K_THREE_MONTHS_FDIC" hidden="1">"c6466"</definedName>
    <definedName name="IQ_DEPOSITS_MORE_THAN_100K_THREE_YEARS_FDIC" hidden="1">"c6468"</definedName>
    <definedName name="IQ_DEPOSITS_MORE_THAN_100K_TWELVE_MONTHS_FDIC" hidden="1">"c6467"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RIVATIVE_ASSETS_FAIR_VALUE_TOT_FFIEC" hidden="1">"c15403"</definedName>
    <definedName name="IQ_DERIVATIVE_ASSETS_LEVEL_1_FFIEC" hidden="1">"c15425"</definedName>
    <definedName name="IQ_DERIVATIVE_ASSETS_LEVEL_2_FFIEC" hidden="1">"c15438"</definedName>
    <definedName name="IQ_DERIVATIVE_ASSETS_LEVEL_3_FFIEC" hidden="1">"c15451"</definedName>
    <definedName name="IQ_DERIVATIVE_LIABILITIES_FAIR_VALUE_TOT_FFIEC" hidden="1">"c15407"</definedName>
    <definedName name="IQ_DERIVATIVE_LIABILITIES_LEVEL_1_FFIEC" hidden="1">"c15429"</definedName>
    <definedName name="IQ_DERIVATIVE_LIABILITIES_LEVEL_2_FFIEC" hidden="1">"c15442"</definedName>
    <definedName name="IQ_DERIVATIVE_LIABILITIES_LEVEL_3_FFIEC" hidden="1">"c15455"</definedName>
    <definedName name="IQ_DERIVATIVES_FDIC" hidden="1">"c6523"</definedName>
    <definedName name="IQ_DERIVATIVES_NEGATIVE_FAIR_VALUE_DOM_FFIEC" hidden="1">"c12943"</definedName>
    <definedName name="IQ_DERIVATIVES_NEGATIVE_VALUE_FFIEC" hidden="1">"c12861"</definedName>
    <definedName name="IQ_DERIVATIVES_POS_FAIR_VALUE_FFIEC" hidden="1">"c12827"</definedName>
    <definedName name="IQ_DERIVATIVES_POSITIVE_FAIR_VALUE_TRADING_DOM_FFIEC" hidden="1">"c12938"</definedName>
    <definedName name="IQ_DESCRIPTION_LONG" hidden="1">"c1520"</definedName>
    <definedName name="IQ_DEVELOP_LAND" hidden="1">"c323"</definedName>
    <definedName name="IQ_DEVELOPMENT_EXPENSE" hidden="1">"c16040"</definedName>
    <definedName name="IQ_DEVELOPMENT_REVENUE" hidden="1">"c16024"</definedName>
    <definedName name="IQ_DIC" hidden="1">"c13834"</definedName>
    <definedName name="IQ_DIFF_LASTCLOSE_TARGET_PRICE" hidden="1">"c1854"</definedName>
    <definedName name="IQ_DIFF_LASTCLOSE_TARGET_PRICE_CIQ" hidden="1">"c4767"</definedName>
    <definedName name="IQ_DIFF_LASTCLOSE_TARGET_PRICE_THOM" hidden="1">"c5278"</definedName>
    <definedName name="IQ_DIG_SUB_BASIC_SUB" hidden="1">"c15788"</definedName>
    <definedName name="IQ_DIGITAL_SUB_TOTAL_HOMES_PASSED" hidden="1">"c15769"</definedName>
    <definedName name="IQ_DIGITAL_VIDEO_PENETRATION" hidden="1">"c15768"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OUTSTANDING_CURRENT_EST" hidden="1">"c4263"</definedName>
    <definedName name="IQ_DILUT_OUTSTANDING_CURRENT_EST_CIQ" hidden="1">"c4789"</definedName>
    <definedName name="IQ_DILUT_OUTSTANDING_CURRENT_HIGH_EST" hidden="1">"c4264"</definedName>
    <definedName name="IQ_DILUT_OUTSTANDING_CURRENT_HIGH_EST_CIQ" hidden="1">"c4790"</definedName>
    <definedName name="IQ_DILUT_OUTSTANDING_CURRENT_LOW_EST" hidden="1">"c4265"</definedName>
    <definedName name="IQ_DILUT_OUTSTANDING_CURRENT_LOW_EST_CIQ" hidden="1">"c4791"</definedName>
    <definedName name="IQ_DILUT_OUTSTANDING_CURRENT_MEDIAN_EST" hidden="1">"c4266"</definedName>
    <definedName name="IQ_DILUT_OUTSTANDING_CURRENT_MEDIAN_EST_CIQ" hidden="1">"c4792"</definedName>
    <definedName name="IQ_DILUT_OUTSTANDING_CURRENT_NUM_EST" hidden="1">"c4267"</definedName>
    <definedName name="IQ_DILUT_OUTSTANDING_CURRENT_NUM_EST_CIQ" hidden="1">"c4793"</definedName>
    <definedName name="IQ_DILUT_OUTSTANDING_CURRENT_STDDEV_EST" hidden="1">"c4268"</definedName>
    <definedName name="IQ_DILUT_OUTSTANDING_CURRENT_STDDEV_EST_CIQ" hidden="1">"c4794"</definedName>
    <definedName name="IQ_DILUT_WEIGHT" hidden="1">"c326"</definedName>
    <definedName name="IQ_DILUT_WEIGHT_EST" hidden="1">"c4269"</definedName>
    <definedName name="IQ_DILUT_WEIGHT_EST_CIQ" hidden="1">"c4795"</definedName>
    <definedName name="IQ_DILUT_WEIGHT_HIGH_EST" hidden="1">"c4271"</definedName>
    <definedName name="IQ_DILUT_WEIGHT_HIGH_EST_CIQ" hidden="1">"c4796"</definedName>
    <definedName name="IQ_DILUT_WEIGHT_LOW_EST" hidden="1">"c4272"</definedName>
    <definedName name="IQ_DILUT_WEIGHT_LOW_EST_CIQ" hidden="1">"c4797"</definedName>
    <definedName name="IQ_DILUT_WEIGHT_MEDIAN_EST" hidden="1">"c4273"</definedName>
    <definedName name="IQ_DILUT_WEIGHT_MEDIAN_EST_CIQ" hidden="1">"c4798"</definedName>
    <definedName name="IQ_DILUT_WEIGHT_NUM_EST" hidden="1">"c4274"</definedName>
    <definedName name="IQ_DILUT_WEIGHT_NUM_EST_CIQ" hidden="1">"c4799"</definedName>
    <definedName name="IQ_DILUT_WEIGHT_STDDEV_EST" hidden="1">"c4275"</definedName>
    <definedName name="IQ_DILUT_WEIGHT_STDDEV_EST_CIQ" hidden="1">"c4800"</definedName>
    <definedName name="IQ_DILUTED_EPRA_NAV" hidden="1">"c16005"</definedName>
    <definedName name="IQ_DILUTED_EPRA_NAV_SHARE_RE" hidden="1">"c16014"</definedName>
    <definedName name="IQ_DILUTED_EPRA_NNAV" hidden="1">"c16010"</definedName>
    <definedName name="IQ_DILUTED_EPRA_NNAV_SHARE_RE" hidden="1">"c16015"</definedName>
    <definedName name="IQ_DILUTED_NAV_RE" hidden="1">"c15998"</definedName>
    <definedName name="IQ_DILUTED_NAV_SHARE_RE" hidden="1">"c16013"</definedName>
    <definedName name="IQ_DILUTED_NAV_SHARES" hidden="1">"c16016"</definedName>
    <definedName name="IQ_DILUTION_EFFECT_NAV" hidden="1">"c15997"</definedName>
    <definedName name="IQ_DIRECT_AH_EARNED" hidden="1">"c2740"</definedName>
    <definedName name="IQ_DIRECT_EARNED" hidden="1">"c2730"</definedName>
    <definedName name="IQ_DIRECT_INDIRECT_RE_VENTURES_FFIEC" hidden="1">"c15266"</definedName>
    <definedName name="IQ_DIRECT_INDIRECT_RE_VENTURES_UNCONSOL_FFIEC" hidden="1">"c15274"</definedName>
    <definedName name="IQ_DIRECT_LIFE_EARNED" hidden="1">"c2735"</definedName>
    <definedName name="IQ_DIRECT_LIFE_IN_FORCE" hidden="1">"c2765"</definedName>
    <definedName name="IQ_DIRECT_LOSSES" hidden="1">"c15869"</definedName>
    <definedName name="IQ_DIRECT_PC_EARNED" hidden="1">"c2745"</definedName>
    <definedName name="IQ_DIRECT_WRITTEN" hidden="1">"c2724"</definedName>
    <definedName name="IQ_DIRECTORS_FEES_FFIEC" hidden="1">"c13049"</definedName>
    <definedName name="IQ_DISALLOWED_DEFERRED_TAX_ASSETS_FFIEC" hidden="1">"c13157"</definedName>
    <definedName name="IQ_DISALLOWED_GOODWILL_INTANGIBLE_ASSETS_FFIEC" hidden="1">"c13155"</definedName>
    <definedName name="IQ_DISALLOWED_GOODWILL_INTANGIBLES_T1_FFIEC" hidden="1">"c13137"</definedName>
    <definedName name="IQ_DISALLOWED_SERVICING_ASSETS_FFIEC" hidden="1">"c13156"</definedName>
    <definedName name="IQ_DISALLOWED_SERVICING_ASSETS_T1_FFIEC" hidden="1">"c13140"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CRETIONARY_CAPEX" hidden="1">"c16183"</definedName>
    <definedName name="IQ_DISPOSABLE_PERSONAL_INC" hidden="1">"c6850"</definedName>
    <definedName name="IQ_DISPOSABLE_PERSONAL_INC_APR" hidden="1">"c7510"</definedName>
    <definedName name="IQ_DISPOSABLE_PERSONAL_INC_APR_FC" hidden="1">"c8390"</definedName>
    <definedName name="IQ_DISPOSABLE_PERSONAL_INC_FC" hidden="1">"c7730"</definedName>
    <definedName name="IQ_DISPOSABLE_PERSONAL_INC_POP" hidden="1">"c7070"</definedName>
    <definedName name="IQ_DISPOSABLE_PERSONAL_INC_POP_FC" hidden="1">"c7950"</definedName>
    <definedName name="IQ_DISPOSABLE_PERSONAL_INC_REAL" hidden="1">"c11922"</definedName>
    <definedName name="IQ_DISPOSABLE_PERSONAL_INC_REAL_APR" hidden="1">"c11925"</definedName>
    <definedName name="IQ_DISPOSABLE_PERSONAL_INC_REAL_POP" hidden="1">"c11923"</definedName>
    <definedName name="IQ_DISPOSABLE_PERSONAL_INC_REAL_YOY" hidden="1">"c11924"</definedName>
    <definedName name="IQ_DISPOSABLE_PERSONAL_INC_SAAR" hidden="1">"c6851"</definedName>
    <definedName name="IQ_DISPOSABLE_PERSONAL_INC_SAAR_APR" hidden="1">"c7511"</definedName>
    <definedName name="IQ_DISPOSABLE_PERSONAL_INC_SAAR_APR_FC" hidden="1">"c8391"</definedName>
    <definedName name="IQ_DISPOSABLE_PERSONAL_INC_SAAR_FC" hidden="1">"c7731"</definedName>
    <definedName name="IQ_DISPOSABLE_PERSONAL_INC_SAAR_POP" hidden="1">"c7071"</definedName>
    <definedName name="IQ_DISPOSABLE_PERSONAL_INC_SAAR_POP_FC" hidden="1">"c7951"</definedName>
    <definedName name="IQ_DISPOSABLE_PERSONAL_INC_SAAR_USD_APR_FC" hidden="1">"c11805"</definedName>
    <definedName name="IQ_DISPOSABLE_PERSONAL_INC_SAAR_USD_FC" hidden="1">"c11802"</definedName>
    <definedName name="IQ_DISPOSABLE_PERSONAL_INC_SAAR_USD_POP_FC" hidden="1">"c11803"</definedName>
    <definedName name="IQ_DISPOSABLE_PERSONAL_INC_SAAR_USD_YOY_FC" hidden="1">"c11804"</definedName>
    <definedName name="IQ_DISPOSABLE_PERSONAL_INC_SAAR_YOY" hidden="1">"c7291"</definedName>
    <definedName name="IQ_DISPOSABLE_PERSONAL_INC_SAAR_YOY_FC" hidden="1">"c8171"</definedName>
    <definedName name="IQ_DISPOSABLE_PERSONAL_INC_USD_APR_FC" hidden="1">"c11801"</definedName>
    <definedName name="IQ_DISPOSABLE_PERSONAL_INC_USD_FC" hidden="1">"c11798"</definedName>
    <definedName name="IQ_DISPOSABLE_PERSONAL_INC_USD_POP_FC" hidden="1">"c11799"</definedName>
    <definedName name="IQ_DISPOSABLE_PERSONAL_INC_USD_YOY_FC" hidden="1">"c11800"</definedName>
    <definedName name="IQ_DISPOSABLE_PERSONAL_INC_YOY" hidden="1">"c7290"</definedName>
    <definedName name="IQ_DISPOSABLE_PERSONAL_INC_YOY_FC" hidden="1">"c8170"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ACT_OR_EST_CIQ" hidden="1">"c4803"</definedName>
    <definedName name="IQ_DISTRIBUTABLE_CASH_EST" hidden="1">"c4277"</definedName>
    <definedName name="IQ_DISTRIBUTABLE_CASH_EST_CIQ" hidden="1">"c4802"</definedName>
    <definedName name="IQ_DISTRIBUTABLE_CASH_GUIDANCE" hidden="1">"c4279"</definedName>
    <definedName name="IQ_DISTRIBUTABLE_CASH_HIGH_EST" hidden="1">"c4280"</definedName>
    <definedName name="IQ_DISTRIBUTABLE_CASH_HIGH_EST_CIQ" hidden="1">"c4805"</definedName>
    <definedName name="IQ_DISTRIBUTABLE_CASH_HIGH_GUIDANCE" hidden="1">"c4198"</definedName>
    <definedName name="IQ_DISTRIBUTABLE_CASH_LOW_EST" hidden="1">"c4281"</definedName>
    <definedName name="IQ_DISTRIBUTABLE_CASH_LOW_EST_CIQ" hidden="1">"c4806"</definedName>
    <definedName name="IQ_DISTRIBUTABLE_CASH_LOW_GUIDANCE" hidden="1">"c4238"</definedName>
    <definedName name="IQ_DISTRIBUTABLE_CASH_MEDIAN_EST" hidden="1">"c4282"</definedName>
    <definedName name="IQ_DISTRIBUTABLE_CASH_MEDIAN_EST_CIQ" hidden="1">"c4807"</definedName>
    <definedName name="IQ_DISTRIBUTABLE_CASH_NUM_EST" hidden="1">"c4283"</definedName>
    <definedName name="IQ_DISTRIBUTABLE_CASH_NUM_EST_CIQ" hidden="1">"c4808"</definedName>
    <definedName name="IQ_DISTRIBUTABLE_CASH_PAYOUT" hidden="1">"c3005"</definedName>
    <definedName name="IQ_DISTRIBUTABLE_CASH_PER_SHARE_DILUTED" hidden="1">"c16191"</definedName>
    <definedName name="IQ_DISTRIBUTABLE_CASH_SHARE" hidden="1">"c3003"</definedName>
    <definedName name="IQ_DISTRIBUTABLE_CASH_SHARE_ACT_OR_EST" hidden="1">"c4286"</definedName>
    <definedName name="IQ_DISTRIBUTABLE_CASH_SHARE_ACT_OR_EST_CIQ" hidden="1">"c4811"</definedName>
    <definedName name="IQ_DISTRIBUTABLE_CASH_SHARE_EST" hidden="1">"c4285"</definedName>
    <definedName name="IQ_DISTRIBUTABLE_CASH_SHARE_EST_CIQ" hidden="1">"c4810"</definedName>
    <definedName name="IQ_DISTRIBUTABLE_CASH_SHARE_GUIDANCE" hidden="1">"c4287"</definedName>
    <definedName name="IQ_DISTRIBUTABLE_CASH_SHARE_HIGH_EST" hidden="1">"c4288"</definedName>
    <definedName name="IQ_DISTRIBUTABLE_CASH_SHARE_HIGH_EST_CIQ" hidden="1">"c4813"</definedName>
    <definedName name="IQ_DISTRIBUTABLE_CASH_SHARE_HIGH_GUIDANCE" hidden="1">"c4199"</definedName>
    <definedName name="IQ_DISTRIBUTABLE_CASH_SHARE_LOW_EST" hidden="1">"c4289"</definedName>
    <definedName name="IQ_DISTRIBUTABLE_CASH_SHARE_LOW_EST_CIQ" hidden="1">"c4814"</definedName>
    <definedName name="IQ_DISTRIBUTABLE_CASH_SHARE_LOW_GUIDANCE" hidden="1">"c4239"</definedName>
    <definedName name="IQ_DISTRIBUTABLE_CASH_SHARE_MEDIAN_EST" hidden="1">"c4290"</definedName>
    <definedName name="IQ_DISTRIBUTABLE_CASH_SHARE_MEDIAN_EST_CIQ" hidden="1">"c4815"</definedName>
    <definedName name="IQ_DISTRIBUTABLE_CASH_SHARE_NUM_EST" hidden="1">"c4291"</definedName>
    <definedName name="IQ_DISTRIBUTABLE_CASH_SHARE_NUM_EST_CIQ" hidden="1">"c4816"</definedName>
    <definedName name="IQ_DISTRIBUTABLE_CASH_SHARE_STDDEV_EST" hidden="1">"c4292"</definedName>
    <definedName name="IQ_DISTRIBUTABLE_CASH_SHARE_STDDEV_EST_CIQ" hidden="1">"c4817"</definedName>
    <definedName name="IQ_DISTRIBUTABLE_CASH_SHARES_BASIC" hidden="1">"c16189"</definedName>
    <definedName name="IQ_DISTRIBUTABLE_CASH_SHARES_DILUTED" hidden="1">"c16190"</definedName>
    <definedName name="IQ_DISTRIBUTABLE_CASH_STDDEV_EST" hidden="1">"c4294"</definedName>
    <definedName name="IQ_DISTRIBUTABLE_CASH_STDDEV_EST_CIQ" hidden="1">"c4819"</definedName>
    <definedName name="IQ_DIV_AMOUNT" hidden="1">"c3041"</definedName>
    <definedName name="IQ_DIV_PAYMENT_DATE" localSheetId="20" hidden="1">"c2205"</definedName>
    <definedName name="IQ_DIV_PAYMENT_DATE" localSheetId="21" hidden="1">"c2205"</definedName>
    <definedName name="IQ_DIV_PAYMENT_DATE" localSheetId="22" hidden="1">"c2205"</definedName>
    <definedName name="IQ_DIV_PAYMENT_DATE" localSheetId="23" hidden="1">"c2205"</definedName>
    <definedName name="IQ_DIV_PAYMENT_DATE" localSheetId="24" hidden="1">"c2205"</definedName>
    <definedName name="IQ_DIV_PAYMENT_DATE" hidden="1">"c2205"</definedName>
    <definedName name="IQ_DIV_PAYMENT_TYPE" hidden="1">"c12752"</definedName>
    <definedName name="IQ_DIV_RECORD_DATE" localSheetId="20" hidden="1">"c2204"</definedName>
    <definedName name="IQ_DIV_RECORD_DATE" localSheetId="21" hidden="1">"c2204"</definedName>
    <definedName name="IQ_DIV_RECORD_DATE" localSheetId="22" hidden="1">"c2204"</definedName>
    <definedName name="IQ_DIV_RECORD_DATE" localSheetId="23" hidden="1">"c2204"</definedName>
    <definedName name="IQ_DIV_RECORD_DATE" localSheetId="24" hidden="1">"c2204"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EST" hidden="1">"c4296"</definedName>
    <definedName name="IQ_DIVIDEND_EST_CIQ" hidden="1">"c4821"</definedName>
    <definedName name="IQ_DIVIDEND_HIGH_EST" hidden="1">"c4297"</definedName>
    <definedName name="IQ_DIVIDEND_HIGH_EST_CIQ" hidden="1">"c4822"</definedName>
    <definedName name="IQ_DIVIDEND_LOW_EST" hidden="1">"c4298"</definedName>
    <definedName name="IQ_DIVIDEND_LOW_EST_CIQ" hidden="1">"c4823"</definedName>
    <definedName name="IQ_DIVIDEND_MEDIAN_EST" hidden="1">"c4299"</definedName>
    <definedName name="IQ_DIVIDEND_MEDIAN_EST_CIQ" hidden="1">"c4824"</definedName>
    <definedName name="IQ_DIVIDEND_NUM_EST" hidden="1">"c4300"</definedName>
    <definedName name="IQ_DIVIDEND_NUM_EST_CIQ" hidden="1">"c4825"</definedName>
    <definedName name="IQ_DIVIDEND_STDDEV_EST" hidden="1">"c4301"</definedName>
    <definedName name="IQ_DIVIDEND_STDDEV_EST_CIQ" hidden="1">"c4826"</definedName>
    <definedName name="IQ_DIVIDEND_YIELD" hidden="1">"c332"</definedName>
    <definedName name="IQ_DIVIDENDS_DECLARED_COMMON_FDIC" hidden="1">"c6659"</definedName>
    <definedName name="IQ_DIVIDENDS_DECLARED_COMMON_FFIEC" hidden="1">"c12969"</definedName>
    <definedName name="IQ_DIVIDENDS_DECLARED_PREFERRED_FDIC" hidden="1">"c6658"</definedName>
    <definedName name="IQ_DIVIDENDS_DECLARED_PREFERRED_FFIEC" hidden="1">"c12968"</definedName>
    <definedName name="IQ_DIVIDENDS_FDIC" hidden="1">"c6660"</definedName>
    <definedName name="IQ_DIVIDENDS_NET_INCOME_FFIEC" hidden="1">"c13349"</definedName>
    <definedName name="IQ_DIVIDENDS_PAID_DECLARED_PERIOD_COVERED" hidden="1">"c9960"</definedName>
    <definedName name="IQ_DIVIDENDS_PAID_DECLARED_PERIOD_GROUP" hidden="1">"c9946"</definedName>
    <definedName name="IQ_DNB_OTHER_EXP_INC_TAX_US" hidden="1">"c6787"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OM_OFFICE_DEPOSITS_TOT_DEPOSITS_FFIEC" hidden="1">"c13910"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PS_ACT_OR_EST" hidden="1">"c2218"</definedName>
    <definedName name="IQ_DPS_ACT_OR_EST_CIQ" hidden="1">"c5062"</definedName>
    <definedName name="IQ_DPS_ACT_OR_EST_THOM" hidden="1">"c5302"</definedName>
    <definedName name="IQ_DPS_EST" hidden="1">"c1674"</definedName>
    <definedName name="IQ_DPS_EST_BOTTOM_UP" hidden="1">"c5493"</definedName>
    <definedName name="IQ_DPS_EST_BOTTOM_UP_CIQ" hidden="1">"c12030"</definedName>
    <definedName name="IQ_DPS_EST_CIQ" hidden="1">"c3682"</definedName>
    <definedName name="IQ_DPS_EST_THOM" hidden="1">"c4013"</definedName>
    <definedName name="IQ_DPS_GUIDANCE" hidden="1">"c4302"</definedName>
    <definedName name="IQ_DPS_HIGH_EST" hidden="1">"c1676"</definedName>
    <definedName name="IQ_DPS_HIGH_EST_CIQ" hidden="1">"c3684"</definedName>
    <definedName name="IQ_DPS_HIGH_EST_THOM" hidden="1">"c4015"</definedName>
    <definedName name="IQ_DPS_HIGH_GUIDANCE" hidden="1">"c4168"</definedName>
    <definedName name="IQ_DPS_LOW_EST" hidden="1">"c1677"</definedName>
    <definedName name="IQ_DPS_LOW_EST_CIQ" hidden="1">"c3685"</definedName>
    <definedName name="IQ_DPS_LOW_EST_THOM" hidden="1">"c4016"</definedName>
    <definedName name="IQ_DPS_LOW_GUIDANCE" hidden="1">"c4208"</definedName>
    <definedName name="IQ_DPS_MEDIAN_EST" hidden="1">"c1675"</definedName>
    <definedName name="IQ_DPS_MEDIAN_EST_CIQ" hidden="1">"c3683"</definedName>
    <definedName name="IQ_DPS_MEDIAN_EST_THOM" hidden="1">"c4014"</definedName>
    <definedName name="IQ_DPS_NUM_EST" hidden="1">"c1678"</definedName>
    <definedName name="IQ_DPS_NUM_EST_CIQ" hidden="1">"c3686"</definedName>
    <definedName name="IQ_DPS_NUM_EST_THOM" hidden="1">"c4017"</definedName>
    <definedName name="IQ_DPS_STDDEV_EST" hidden="1">"c1679"</definedName>
    <definedName name="IQ_DPS_STDDEV_EST_CIQ" hidden="1">"c3687"</definedName>
    <definedName name="IQ_DPS_STDDEV_EST_THOM" hidden="1">"c4018"</definedName>
    <definedName name="IQ_DURABLE_INVENTORIES" hidden="1">"c6853"</definedName>
    <definedName name="IQ_DURABLE_INVENTORIES_APR" hidden="1">"c7513"</definedName>
    <definedName name="IQ_DURABLE_INVENTORIES_APR_FC" hidden="1">"c8393"</definedName>
    <definedName name="IQ_DURABLE_INVENTORIES_FC" hidden="1">"c7733"</definedName>
    <definedName name="IQ_DURABLE_INVENTORIES_POP" hidden="1">"c7073"</definedName>
    <definedName name="IQ_DURABLE_INVENTORIES_POP_FC" hidden="1">"c7953"</definedName>
    <definedName name="IQ_DURABLE_INVENTORIES_YOY" hidden="1">"c7293"</definedName>
    <definedName name="IQ_DURABLE_INVENTORIES_YOY_FC" hidden="1">"c8173"</definedName>
    <definedName name="IQ_DURABLE_ORDERS" hidden="1">"c6854"</definedName>
    <definedName name="IQ_DURABLE_ORDERS_APR" hidden="1">"c7514"</definedName>
    <definedName name="IQ_DURABLE_ORDERS_APR_FC" hidden="1">"c8394"</definedName>
    <definedName name="IQ_DURABLE_ORDERS_FC" hidden="1">"c7734"</definedName>
    <definedName name="IQ_DURABLE_ORDERS_POP" hidden="1">"c7074"</definedName>
    <definedName name="IQ_DURABLE_ORDERS_POP_FC" hidden="1">"c7954"</definedName>
    <definedName name="IQ_DURABLE_ORDERS_YOY" hidden="1">"c7294"</definedName>
    <definedName name="IQ_DURABLE_ORDERS_YOY_FC" hidden="1">"c8174"</definedName>
    <definedName name="IQ_DURABLE_SHIPMENTS" hidden="1">"c6855"</definedName>
    <definedName name="IQ_DURABLE_SHIPMENTS_APR" hidden="1">"c7515"</definedName>
    <definedName name="IQ_DURABLE_SHIPMENTS_APR_FC" hidden="1">"c8395"</definedName>
    <definedName name="IQ_DURABLE_SHIPMENTS_FC" hidden="1">"c7735"</definedName>
    <definedName name="IQ_DURABLE_SHIPMENTS_POP" hidden="1">"c7075"</definedName>
    <definedName name="IQ_DURABLE_SHIPMENTS_POP_FC" hidden="1">"c7955"</definedName>
    <definedName name="IQ_DURABLE_SHIPMENTS_YOY" hidden="1">"c7295"</definedName>
    <definedName name="IQ_DURABLE_SHIPMENTS_YOY_FC" hidden="1">"c8175"</definedName>
    <definedName name="IQ_DURATION" hidden="1">"c2181"</definedName>
    <definedName name="IQ_EARNING_ASSET_INT_BEAR_LIABILITIES" hidden="1">"c15703"</definedName>
    <definedName name="IQ_EARNING_ASSET_YIELD" hidden="1">"c343"</definedName>
    <definedName name="IQ_EARNING_ASSETS_AVG_ASSETS_FFIEC" hidden="1">"c13354"</definedName>
    <definedName name="IQ_EARNING_ASSETS_FDIC" hidden="1">"c6360"</definedName>
    <definedName name="IQ_EARNING_ASSETS_QUARTERLY_AVG_FFIEC" hidden="1">"c13086"</definedName>
    <definedName name="IQ_EARNING_ASSETS_REPRICE_ASSETS_TOT_FFIEC" hidden="1">"c13451"</definedName>
    <definedName name="IQ_EARNING_ASSETS_YIELD_FDIC" hidden="1">"c6724"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CIQ" hidden="1">"c4656"</definedName>
    <definedName name="IQ_EARNINGS_ANNOUNCE_DATE_THOM" hidden="1">"c5093"</definedName>
    <definedName name="IQ_EARNINGS_CO_FFIEC" hidden="1">"c13032"</definedName>
    <definedName name="IQ_EARNINGS_CONT_OPS_HOMEBUILDING_SALES" hidden="1">"c15817"</definedName>
    <definedName name="IQ_EARNINGS_COVERAGE_LOSSES_FFIEC" hidden="1">"c13351"</definedName>
    <definedName name="IQ_EARNINGS_COVERAGE_NET_CHARGE_OFFS_FDIC" hidden="1">"c6735"</definedName>
    <definedName name="IQ_EARNINGS_LIFE_INSURANCE_FFIEC" hidden="1">"c13041"</definedName>
    <definedName name="IQ_EARNINGS_PERIOD_COVERED" hidden="1">"c9958"</definedName>
    <definedName name="IQ_EARNINGS_PERIOD_GROUP" hidden="1">"c9944"</definedName>
    <definedName name="IQ_EBIT" hidden="1">"c352"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ACT_OR_EST" hidden="1">"c2219"</definedName>
    <definedName name="IQ_EBIT_ACT_OR_EST_CIQ" hidden="1">"c5063"</definedName>
    <definedName name="IQ_EBIT_ACT_OR_EST_THOM" hidden="1">"c5303"</definedName>
    <definedName name="IQ_EBIT_EQ_INC" hidden="1">"c3498"</definedName>
    <definedName name="IQ_EBIT_EQ_INC_EXCL_SBC" hidden="1">"c3502"</definedName>
    <definedName name="IQ_EBIT_EST" hidden="1">"c1681"</definedName>
    <definedName name="IQ_EBIT_EST_CIQ" hidden="1">"c4674"</definedName>
    <definedName name="IQ_EBIT_EST_THOM" hidden="1">"c5105"</definedName>
    <definedName name="IQ_EBIT_EXCL_SBC" hidden="1">"c3082"</definedName>
    <definedName name="IQ_EBIT_GUIDANCE" hidden="1">"c4303"</definedName>
    <definedName name="IQ_EBIT_GW_ACT_OR_EST" hidden="1">"c4306"</definedName>
    <definedName name="IQ_EBIT_GW_ACT_OR_EST_CIQ" hidden="1">"c4831"</definedName>
    <definedName name="IQ_EBIT_GW_EST" hidden="1">"c4305"</definedName>
    <definedName name="IQ_EBIT_GW_EST_CIQ" hidden="1">"c4830"</definedName>
    <definedName name="IQ_EBIT_GW_HIGH_EST" hidden="1">"c4308"</definedName>
    <definedName name="IQ_EBIT_GW_HIGH_EST_CIQ" hidden="1">"c4833"</definedName>
    <definedName name="IQ_EBIT_GW_LOW_EST" hidden="1">"c4309"</definedName>
    <definedName name="IQ_EBIT_GW_LOW_EST_CIQ" hidden="1">"c4834"</definedName>
    <definedName name="IQ_EBIT_GW_MEDIAN_EST" hidden="1">"c4310"</definedName>
    <definedName name="IQ_EBIT_GW_MEDIAN_EST_CIQ" hidden="1">"c4835"</definedName>
    <definedName name="IQ_EBIT_GW_NUM_EST" hidden="1">"c4311"</definedName>
    <definedName name="IQ_EBIT_GW_NUM_EST_CIQ" hidden="1">"c4836"</definedName>
    <definedName name="IQ_EBIT_GW_STDDEV_EST" hidden="1">"c4312"</definedName>
    <definedName name="IQ_EBIT_GW_STDDEV_EST_CIQ" hidden="1">"c4837"</definedName>
    <definedName name="IQ_EBIT_HIGH_EST" hidden="1">"c1683"</definedName>
    <definedName name="IQ_EBIT_HIGH_EST_CIQ" hidden="1">"c4676"</definedName>
    <definedName name="IQ_EBIT_HIGH_EST_THOM" hidden="1">"c5107"</definedName>
    <definedName name="IQ_EBIT_HIGH_GUIDANCE" hidden="1">"c4172"</definedName>
    <definedName name="IQ_EBIT_HOMEBUILDING_SALES" hidden="1">"c15815"</definedName>
    <definedName name="IQ_EBIT_INT" hidden="1">"c360"</definedName>
    <definedName name="IQ_EBIT_LOW_EST" hidden="1">"c1684"</definedName>
    <definedName name="IQ_EBIT_LOW_EST_CIQ" hidden="1">"c4677"</definedName>
    <definedName name="IQ_EBIT_LOW_EST_THOM" hidden="1">"c5108"</definedName>
    <definedName name="IQ_EBIT_LOW_GUIDANCE" hidden="1">"c4212"</definedName>
    <definedName name="IQ_EBIT_MARGIN" hidden="1">"c359"</definedName>
    <definedName name="IQ_EBIT_MEDIAN_EST" hidden="1">"c1682"</definedName>
    <definedName name="IQ_EBIT_MEDIAN_EST_CIQ" hidden="1">"c4675"</definedName>
    <definedName name="IQ_EBIT_MEDIAN_EST_THOM" hidden="1">"c5106"</definedName>
    <definedName name="IQ_EBIT_NUM_EST" hidden="1">"c1685"</definedName>
    <definedName name="IQ_EBIT_NUM_EST_CIQ" hidden="1">"c4678"</definedName>
    <definedName name="IQ_EBIT_NUM_EST_THOM" hidden="1">"c5109"</definedName>
    <definedName name="IQ_EBIT_OVER_IE" hidden="1">"c1369"</definedName>
    <definedName name="IQ_EBIT_SBC_ACT_OR_EST" hidden="1">"c4316"</definedName>
    <definedName name="IQ_EBIT_SBC_ACT_OR_EST_CIQ" hidden="1">"c4841"</definedName>
    <definedName name="IQ_EBIT_SBC_EST" hidden="1">"c4315"</definedName>
    <definedName name="IQ_EBIT_SBC_EST_CIQ" hidden="1">"c4840"</definedName>
    <definedName name="IQ_EBIT_SBC_GW_ACT_OR_EST" hidden="1">"c4320"</definedName>
    <definedName name="IQ_EBIT_SBC_GW_ACT_OR_EST_CIQ" hidden="1">"c4845"</definedName>
    <definedName name="IQ_EBIT_SBC_GW_EST" hidden="1">"c4319"</definedName>
    <definedName name="IQ_EBIT_SBC_GW_EST_CIQ" hidden="1">"c4844"</definedName>
    <definedName name="IQ_EBIT_SBC_GW_HIGH_EST" hidden="1">"c4322"</definedName>
    <definedName name="IQ_EBIT_SBC_GW_HIGH_EST_CIQ" hidden="1">"c4847"</definedName>
    <definedName name="IQ_EBIT_SBC_GW_LOW_EST" hidden="1">"c4323"</definedName>
    <definedName name="IQ_EBIT_SBC_GW_LOW_EST_CIQ" hidden="1">"c4848"</definedName>
    <definedName name="IQ_EBIT_SBC_GW_MEDIAN_EST" hidden="1">"c4324"</definedName>
    <definedName name="IQ_EBIT_SBC_GW_MEDIAN_EST_CIQ" hidden="1">"c4849"</definedName>
    <definedName name="IQ_EBIT_SBC_GW_NUM_EST" hidden="1">"c4325"</definedName>
    <definedName name="IQ_EBIT_SBC_GW_NUM_EST_CIQ" hidden="1">"c4850"</definedName>
    <definedName name="IQ_EBIT_SBC_GW_STDDEV_EST" hidden="1">"c4326"</definedName>
    <definedName name="IQ_EBIT_SBC_GW_STDDEV_EST_CIQ" hidden="1">"c4851"</definedName>
    <definedName name="IQ_EBIT_SBC_HIGH_EST" hidden="1">"c4328"</definedName>
    <definedName name="IQ_EBIT_SBC_HIGH_EST_CIQ" hidden="1">"c4853"</definedName>
    <definedName name="IQ_EBIT_SBC_LOW_EST" hidden="1">"c4329"</definedName>
    <definedName name="IQ_EBIT_SBC_LOW_EST_CIQ" hidden="1">"c4854"</definedName>
    <definedName name="IQ_EBIT_SBC_MEDIAN_EST" hidden="1">"c4330"</definedName>
    <definedName name="IQ_EBIT_SBC_MEDIAN_EST_CIQ" hidden="1">"c4855"</definedName>
    <definedName name="IQ_EBIT_SBC_NUM_EST" hidden="1">"c4331"</definedName>
    <definedName name="IQ_EBIT_SBC_NUM_EST_CIQ" hidden="1">"c4856"</definedName>
    <definedName name="IQ_EBIT_SBC_STDDEV_EST" hidden="1">"c4332"</definedName>
    <definedName name="IQ_EBIT_SBC_STDDEV_EST_CIQ" hidden="1">"c4857"</definedName>
    <definedName name="IQ_EBIT_STDDEV_EST" hidden="1">"c1686"</definedName>
    <definedName name="IQ_EBIT_STDDEV_EST_CIQ" hidden="1">"c4679"</definedName>
    <definedName name="IQ_EBIT_STDDEV_EST_THOM" hidden="1">"c5110"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ACT_OR_EST" hidden="1">"c2215"</definedName>
    <definedName name="IQ_EBITDA_ACT_OR_EST_CIQ" hidden="1">"c5060"</definedName>
    <definedName name="IQ_EBITDA_ACT_OR_EST_THOM" hidden="1">"c5300"</definedName>
    <definedName name="IQ_EBITDA_CAPEX_INT" hidden="1">"c368"</definedName>
    <definedName name="IQ_EBITDA_CAPEX_OVER_TOTAL_IE" hidden="1">"c1370"</definedName>
    <definedName name="IQ_EBITDA_DET_EST_REUT_CURRENCY_CURRENCY_REUT" hidden="1">"c12529"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CIQ" hidden="1">"c3622"</definedName>
    <definedName name="IQ_EBITDA_EST_THOM" hidden="1">"c3658"</definedName>
    <definedName name="IQ_EBITDA_EXCL_SBC" hidden="1">"c3081"</definedName>
    <definedName name="IQ_EBITDA_GUIDANCE" hidden="1">"c4334"</definedName>
    <definedName name="IQ_EBITDA_HIGH_EST" hidden="1">"c370"</definedName>
    <definedName name="IQ_EBITDA_HIGH_EST_CIQ" hidden="1">"c3624"</definedName>
    <definedName name="IQ_EBITDA_HIGH_EST_THOM" hidden="1">"c3660"</definedName>
    <definedName name="IQ_EBITDA_HIGH_GUIDANCE" hidden="1">"c4170"</definedName>
    <definedName name="IQ_EBITDA_HOMEBUILDING_SALES" hidden="1">"c15814"</definedName>
    <definedName name="IQ_EBITDA_INT" hidden="1">"c373"</definedName>
    <definedName name="IQ_EBITDA_LOW_EST" hidden="1">"c371"</definedName>
    <definedName name="IQ_EBITDA_LOW_EST_CIQ" hidden="1">"c3625"</definedName>
    <definedName name="IQ_EBITDA_LOW_EST_THOM" hidden="1">"c3661"</definedName>
    <definedName name="IQ_EBITDA_LOW_GUIDANCE" hidden="1">"c4210"</definedName>
    <definedName name="IQ_EBITDA_MARGIN" hidden="1">"c372"</definedName>
    <definedName name="IQ_EBITDA_MEDIAN_EST" hidden="1">"c1663"</definedName>
    <definedName name="IQ_EBITDA_MEDIAN_EST_CIQ" hidden="1">"c3623"</definedName>
    <definedName name="IQ_EBITDA_MEDIAN_EST_THOM" hidden="1">"c3659"</definedName>
    <definedName name="IQ_EBITDA_NUM_EST" hidden="1">"c374"</definedName>
    <definedName name="IQ_EBITDA_NUM_EST_CIQ" hidden="1">"c3626"</definedName>
    <definedName name="IQ_EBITDA_NUM_EST_THOM" hidden="1">"c3662"</definedName>
    <definedName name="IQ_EBITDA_OVER_TOTAL_IE" hidden="1">"c1371"</definedName>
    <definedName name="IQ_EBITDA_SBC_ACT_OR_EST" hidden="1">"c4337"</definedName>
    <definedName name="IQ_EBITDA_SBC_ACT_OR_EST_CIQ" hidden="1">"c4862"</definedName>
    <definedName name="IQ_EBITDA_SBC_EST" hidden="1">"c4336"</definedName>
    <definedName name="IQ_EBITDA_SBC_EST_CIQ" hidden="1">"c4861"</definedName>
    <definedName name="IQ_EBITDA_SBC_HIGH_EST" hidden="1">"c4339"</definedName>
    <definedName name="IQ_EBITDA_SBC_HIGH_EST_CIQ" hidden="1">"c4864"</definedName>
    <definedName name="IQ_EBITDA_SBC_LOW_EST" hidden="1">"c4340"</definedName>
    <definedName name="IQ_EBITDA_SBC_LOW_EST_CIQ" hidden="1">"c4865"</definedName>
    <definedName name="IQ_EBITDA_SBC_MEDIAN_EST" hidden="1">"c4341"</definedName>
    <definedName name="IQ_EBITDA_SBC_MEDIAN_EST_CIQ" hidden="1">"c4866"</definedName>
    <definedName name="IQ_EBITDA_SBC_NUM_EST" hidden="1">"c4342"</definedName>
    <definedName name="IQ_EBITDA_SBC_NUM_EST_CIQ" hidden="1">"c4867"</definedName>
    <definedName name="IQ_EBITDA_SBC_STDDEV_EST" hidden="1">"c4343"</definedName>
    <definedName name="IQ_EBITDA_SBC_STDDEV_EST_CIQ" hidden="1">"c4868"</definedName>
    <definedName name="IQ_EBITDA_STDDEV_EST" hidden="1">"c375"</definedName>
    <definedName name="IQ_EBITDA_STDDEV_EST_CIQ" hidden="1">"c3627"</definedName>
    <definedName name="IQ_EBITDA_STDDEV_EST_THOM" hidden="1">"c3663"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FIEC" hidden="1">"c13029"</definedName>
    <definedName name="IQ_EBT_FIN" hidden="1">"c386"</definedName>
    <definedName name="IQ_EBT_FTE_FFIEC" hidden="1">"c13037"</definedName>
    <definedName name="IQ_EBT_GAAP_GUIDANCE" hidden="1">"c4345"</definedName>
    <definedName name="IQ_EBT_GAAP_HIGH_GUIDANCE" hidden="1">"c4174"</definedName>
    <definedName name="IQ_EBT_GAAP_LOW_GUIDANCE" hidden="1">"c4214"</definedName>
    <definedName name="IQ_EBT_GUIDANCE" hidden="1">"c4346"</definedName>
    <definedName name="IQ_EBT_GW_GUIDANCE" hidden="1">"c4347"</definedName>
    <definedName name="IQ_EBT_GW_HIGH_GUIDANCE" hidden="1">"c4175"</definedName>
    <definedName name="IQ_EBT_GW_LOW_GUIDANCE" hidden="1">"c4215"</definedName>
    <definedName name="IQ_EBT_HIGH_GUIDANCE" hidden="1">"c4173"</definedName>
    <definedName name="IQ_EBT_HOMEBUILDING_SALES" hidden="1">"c15816"</definedName>
    <definedName name="IQ_EBT_INCL_MARGIN" hidden="1">"c387"</definedName>
    <definedName name="IQ_EBT_INS" hidden="1">"c388"</definedName>
    <definedName name="IQ_EBT_LOW_GUIDANCE" hidden="1">"c4213"</definedName>
    <definedName name="IQ_EBT_RE" hidden="1">"c6215"</definedName>
    <definedName name="IQ_EBT_REIT" hidden="1">"c389"</definedName>
    <definedName name="IQ_EBT_SBC_ACT_OR_EST" hidden="1">"c4350"</definedName>
    <definedName name="IQ_EBT_SBC_ACT_OR_EST_CIQ" hidden="1">"c4875"</definedName>
    <definedName name="IQ_EBT_SBC_EST" hidden="1">"c4349"</definedName>
    <definedName name="IQ_EBT_SBC_EST_CIQ" hidden="1">"c4874"</definedName>
    <definedName name="IQ_EBT_SBC_GW_ACT_OR_EST" hidden="1">"c4354"</definedName>
    <definedName name="IQ_EBT_SBC_GW_ACT_OR_EST_CIQ" hidden="1">"c4879"</definedName>
    <definedName name="IQ_EBT_SBC_GW_EST" hidden="1">"c4353"</definedName>
    <definedName name="IQ_EBT_SBC_GW_EST_CIQ" hidden="1">"c4878"</definedName>
    <definedName name="IQ_EBT_SBC_GW_HIGH_EST" hidden="1">"c4356"</definedName>
    <definedName name="IQ_EBT_SBC_GW_HIGH_EST_CIQ" hidden="1">"c4881"</definedName>
    <definedName name="IQ_EBT_SBC_GW_LOW_EST" hidden="1">"c4357"</definedName>
    <definedName name="IQ_EBT_SBC_GW_LOW_EST_CIQ" hidden="1">"c4882"</definedName>
    <definedName name="IQ_EBT_SBC_GW_MEDIAN_EST" hidden="1">"c4358"</definedName>
    <definedName name="IQ_EBT_SBC_GW_MEDIAN_EST_CIQ" hidden="1">"c4883"</definedName>
    <definedName name="IQ_EBT_SBC_GW_NUM_EST" hidden="1">"c4359"</definedName>
    <definedName name="IQ_EBT_SBC_GW_NUM_EST_CIQ" hidden="1">"c4884"</definedName>
    <definedName name="IQ_EBT_SBC_GW_STDDEV_EST" hidden="1">"c4360"</definedName>
    <definedName name="IQ_EBT_SBC_GW_STDDEV_EST_CIQ" hidden="1">"c4885"</definedName>
    <definedName name="IQ_EBT_SBC_HIGH_EST" hidden="1">"c4362"</definedName>
    <definedName name="IQ_EBT_SBC_HIGH_EST_CIQ" hidden="1">"c4887"</definedName>
    <definedName name="IQ_EBT_SBC_LOW_EST" hidden="1">"c4363"</definedName>
    <definedName name="IQ_EBT_SBC_LOW_EST_CIQ" hidden="1">"c4888"</definedName>
    <definedName name="IQ_EBT_SBC_MEDIAN_EST" hidden="1">"c4364"</definedName>
    <definedName name="IQ_EBT_SBC_MEDIAN_EST_CIQ" hidden="1">"c4889"</definedName>
    <definedName name="IQ_EBT_SBC_NUM_EST" hidden="1">"c4365"</definedName>
    <definedName name="IQ_EBT_SBC_NUM_EST_CIQ" hidden="1">"c4890"</definedName>
    <definedName name="IQ_EBT_SBC_STDDEV_EST" hidden="1">"c4366"</definedName>
    <definedName name="IQ_EBT_SBC_STDDEV_EST_CIQ" hidden="1">"c4891"</definedName>
    <definedName name="IQ_EBT_SUBTOTAL_AP" hidden="1">"c8982"</definedName>
    <definedName name="IQ_EBT_UTI" hidden="1">"c390"</definedName>
    <definedName name="IQ_ECO_METRIC_6825_UNUSED" hidden="1">"c6825"</definedName>
    <definedName name="IQ_ECO_METRIC_6825_UNUSED_UNUSED_UNUSED" hidden="1">"c6825"</definedName>
    <definedName name="IQ_ECO_METRIC_6839_UNUSED" hidden="1">"c6839"</definedName>
    <definedName name="IQ_ECO_METRIC_6839_UNUSED_UNUSED_UNUSED" hidden="1">"c6839"</definedName>
    <definedName name="IQ_ECO_METRIC_6896_UNUSED" hidden="1">"c6896"</definedName>
    <definedName name="IQ_ECO_METRIC_6896_UNUSED_UNUSED_UNUSED" hidden="1">"c6896"</definedName>
    <definedName name="IQ_ECO_METRIC_6897_UNUSED" hidden="1">"c6897"</definedName>
    <definedName name="IQ_ECO_METRIC_6897_UNUSED_UNUSED_UNUSED" hidden="1">"c6897"</definedName>
    <definedName name="IQ_ECO_METRIC_6927" hidden="1">"c6927"</definedName>
    <definedName name="IQ_ECO_METRIC_6988_UNUSED" hidden="1">"c6988"</definedName>
    <definedName name="IQ_ECO_METRIC_6988_UNUSED_UNUSED_UNUSED" hidden="1">"c6988"</definedName>
    <definedName name="IQ_ECO_METRIC_7045_UNUSED" hidden="1">"c7045"</definedName>
    <definedName name="IQ_ECO_METRIC_7045_UNUSED_UNUSED_UNUSED" hidden="1">"c7045"</definedName>
    <definedName name="IQ_ECO_METRIC_7059_UNUSED" hidden="1">"c7059"</definedName>
    <definedName name="IQ_ECO_METRIC_7059_UNUSED_UNUSED_UNUSED" hidden="1">"c7059"</definedName>
    <definedName name="IQ_ECO_METRIC_7116_UNUSED" hidden="1">"c7116"</definedName>
    <definedName name="IQ_ECO_METRIC_7116_UNUSED_UNUSED_UNUSED" hidden="1">"c7116"</definedName>
    <definedName name="IQ_ECO_METRIC_7117_UNUSED" hidden="1">"c7117"</definedName>
    <definedName name="IQ_ECO_METRIC_7117_UNUSED_UNUSED_UNUSED" hidden="1">"c7117"</definedName>
    <definedName name="IQ_ECO_METRIC_7147" hidden="1">"c7147"</definedName>
    <definedName name="IQ_ECO_METRIC_7208_UNUSED" hidden="1">"c7208"</definedName>
    <definedName name="IQ_ECO_METRIC_7208_UNUSED_UNUSED_UNUSED" hidden="1">"c7208"</definedName>
    <definedName name="IQ_ECO_METRIC_7265_UNUSED" hidden="1">"c7265"</definedName>
    <definedName name="IQ_ECO_METRIC_7265_UNUSED_UNUSED_UNUSED" hidden="1">"c7265"</definedName>
    <definedName name="IQ_ECO_METRIC_7279_UNUSED" hidden="1">"c7279"</definedName>
    <definedName name="IQ_ECO_METRIC_7279_UNUSED_UNUSED_UNUSED" hidden="1">"c7279"</definedName>
    <definedName name="IQ_ECO_METRIC_7336_UNUSED" hidden="1">"c7336"</definedName>
    <definedName name="IQ_ECO_METRIC_7336_UNUSED_UNUSED_UNUSED" hidden="1">"c7336"</definedName>
    <definedName name="IQ_ECO_METRIC_7337_UNUSED" hidden="1">"c7337"</definedName>
    <definedName name="IQ_ECO_METRIC_7337_UNUSED_UNUSED_UNUSED" hidden="1">"c7337"</definedName>
    <definedName name="IQ_ECO_METRIC_7367" hidden="1">"c7367"</definedName>
    <definedName name="IQ_ECO_METRIC_7428_UNUSED" hidden="1">"c7428"</definedName>
    <definedName name="IQ_ECO_METRIC_7428_UNUSED_UNUSED_UNUSED" hidden="1">"c7428"</definedName>
    <definedName name="IQ_ECO_METRIC_7556_UNUSED" hidden="1">"c7556"</definedName>
    <definedName name="IQ_ECO_METRIC_7556_UNUSED_UNUSED_UNUSED" hidden="1">"c7556"</definedName>
    <definedName name="IQ_ECO_METRIC_7557_UNUSED" hidden="1">"c7557"</definedName>
    <definedName name="IQ_ECO_METRIC_7557_UNUSED_UNUSED_UNUSED" hidden="1">"c7557"</definedName>
    <definedName name="IQ_ECO_METRIC_7587" hidden="1">"c7587"</definedName>
    <definedName name="IQ_ECO_METRIC_7648_UNUSED" hidden="1">"c7648"</definedName>
    <definedName name="IQ_ECO_METRIC_7648_UNUSED_UNUSED_UNUSED" hidden="1">"c7648"</definedName>
    <definedName name="IQ_ECO_METRIC_7704" hidden="1">"c7704"</definedName>
    <definedName name="IQ_ECO_METRIC_7705_UNUSED" hidden="1">"c7705"</definedName>
    <definedName name="IQ_ECO_METRIC_7705_UNUSED_UNUSED_UNUSED" hidden="1">"c7705"</definedName>
    <definedName name="IQ_ECO_METRIC_7706" hidden="1">"c7706"</definedName>
    <definedName name="IQ_ECO_METRIC_7718" hidden="1">"c7718"</definedName>
    <definedName name="IQ_ECO_METRIC_7719_UNUSED" hidden="1">"c7719"</definedName>
    <definedName name="IQ_ECO_METRIC_7719_UNUSED_UNUSED_UNUSED" hidden="1">"c7719"</definedName>
    <definedName name="IQ_ECO_METRIC_7776_UNUSED" hidden="1">"c7776"</definedName>
    <definedName name="IQ_ECO_METRIC_7776_UNUSED_UNUSED_UNUSED" hidden="1">"c7776"</definedName>
    <definedName name="IQ_ECO_METRIC_7777_UNUSED" hidden="1">"c7777"</definedName>
    <definedName name="IQ_ECO_METRIC_7777_UNUSED_UNUSED_UNUSED" hidden="1">"c7777"</definedName>
    <definedName name="IQ_ECO_METRIC_7807" hidden="1">"c7807"</definedName>
    <definedName name="IQ_ECO_METRIC_7811" hidden="1">"c7811"</definedName>
    <definedName name="IQ_ECO_METRIC_7868_UNUSED" hidden="1">"c7868"</definedName>
    <definedName name="IQ_ECO_METRIC_7868_UNUSED_UNUSED_UNUSED" hidden="1">"c7868"</definedName>
    <definedName name="IQ_ECO_METRIC_7873" hidden="1">"c7873"</definedName>
    <definedName name="IQ_ECO_METRIC_7924" hidden="1">"c7924"</definedName>
    <definedName name="IQ_ECO_METRIC_7925_UNUSED" hidden="1">"c7925"</definedName>
    <definedName name="IQ_ECO_METRIC_7925_UNUSED_UNUSED_UNUSED" hidden="1">"c7925"</definedName>
    <definedName name="IQ_ECO_METRIC_7926" hidden="1">"c7926"</definedName>
    <definedName name="IQ_ECO_METRIC_7938" hidden="1">"c7938"</definedName>
    <definedName name="IQ_ECO_METRIC_7939_UNUSED" hidden="1">"c7939"</definedName>
    <definedName name="IQ_ECO_METRIC_7939_UNUSED_UNUSED_UNUSED" hidden="1">"c7939"</definedName>
    <definedName name="IQ_ECO_METRIC_7996_UNUSED" hidden="1">"c7996"</definedName>
    <definedName name="IQ_ECO_METRIC_7996_UNUSED_UNUSED_UNUSED" hidden="1">"c7996"</definedName>
    <definedName name="IQ_ECO_METRIC_7997_UNUSED" hidden="1">"c7997"</definedName>
    <definedName name="IQ_ECO_METRIC_7997_UNUSED_UNUSED_UNUSED" hidden="1">"c7997"</definedName>
    <definedName name="IQ_ECO_METRIC_8027" hidden="1">"c8027"</definedName>
    <definedName name="IQ_ECO_METRIC_8031" hidden="1">"c8031"</definedName>
    <definedName name="IQ_ECO_METRIC_8088_UNUSED" hidden="1">"c8088"</definedName>
    <definedName name="IQ_ECO_METRIC_8088_UNUSED_UNUSED_UNUSED" hidden="1">"c8088"</definedName>
    <definedName name="IQ_ECO_METRIC_8093" hidden="1">"c8093"</definedName>
    <definedName name="IQ_ECO_METRIC_8144" hidden="1">"c8144"</definedName>
    <definedName name="IQ_ECO_METRIC_8145_UNUSED" hidden="1">"c8145"</definedName>
    <definedName name="IQ_ECO_METRIC_8145_UNUSED_UNUSED_UNUSED" hidden="1">"c8145"</definedName>
    <definedName name="IQ_ECO_METRIC_8146" hidden="1">"c8146"</definedName>
    <definedName name="IQ_ECO_METRIC_8158" hidden="1">"c8158"</definedName>
    <definedName name="IQ_ECO_METRIC_8159_UNUSED" hidden="1">"c8159"</definedName>
    <definedName name="IQ_ECO_METRIC_8159_UNUSED_UNUSED_UNUSED" hidden="1">"c8159"</definedName>
    <definedName name="IQ_ECO_METRIC_8216_UNUSED" hidden="1">"c8216"</definedName>
    <definedName name="IQ_ECO_METRIC_8216_UNUSED_UNUSED_UNUSED" hidden="1">"c8216"</definedName>
    <definedName name="IQ_ECO_METRIC_8217_UNUSED" hidden="1">"c8217"</definedName>
    <definedName name="IQ_ECO_METRIC_8217_UNUSED_UNUSED_UNUSED" hidden="1">"c8217"</definedName>
    <definedName name="IQ_ECO_METRIC_8247" hidden="1">"c8247"</definedName>
    <definedName name="IQ_ECO_METRIC_8251" hidden="1">"c8251"</definedName>
    <definedName name="IQ_ECO_METRIC_8308_UNUSED" hidden="1">"c8308"</definedName>
    <definedName name="IQ_ECO_METRIC_8308_UNUSED_UNUSED_UNUSED" hidden="1">"c8308"</definedName>
    <definedName name="IQ_ECO_METRIC_8313" hidden="1">"c8313"</definedName>
    <definedName name="IQ_ECO_METRIC_8366" hidden="1">"c8366"</definedName>
    <definedName name="IQ_ECO_METRIC_8378" hidden="1">"c8378"</definedName>
    <definedName name="IQ_ECO_METRIC_8436_UNUSED" hidden="1">"c8436"</definedName>
    <definedName name="IQ_ECO_METRIC_8436_UNUSED_UNUSED_UNUSED" hidden="1">"c8436"</definedName>
    <definedName name="IQ_ECO_METRIC_8437_UNUSED" hidden="1">"c8437"</definedName>
    <definedName name="IQ_ECO_METRIC_8437_UNUSED_UNUSED_UNUSED" hidden="1">"c8437"</definedName>
    <definedName name="IQ_ECO_METRIC_8467" hidden="1">"c8467"</definedName>
    <definedName name="IQ_ECO_METRIC_8471" hidden="1">"c8471"</definedName>
    <definedName name="IQ_ECO_METRIC_8528_UNUSED" hidden="1">"c8528"</definedName>
    <definedName name="IQ_ECO_METRIC_8528_UNUSED_UNUSED_UNUSED" hidden="1">"c8528"</definedName>
    <definedName name="IQ_ECO_METRIC_8533" hidden="1">"c8533"</definedName>
    <definedName name="IQ_ECS_AUTHORIZED_SHARES" hidden="1">"c5583"</definedName>
    <definedName name="IQ_ECS_AUTHORIZED_SHARES_ABS" hidden="1">"c5597"</definedName>
    <definedName name="IQ_ECS_AUTHORIZED_SHARES_OTHER" hidden="1">"c15613"</definedName>
    <definedName name="IQ_ECS_AUTHORIZED_SHARES_OTHER_ABS" hidden="1">"c15630"</definedName>
    <definedName name="IQ_ECS_CONVERT_FACTOR" hidden="1">"c5581"</definedName>
    <definedName name="IQ_ECS_CONVERT_FACTOR_ABS" hidden="1">"c5595"</definedName>
    <definedName name="IQ_ECS_CONVERT_FACTOR_OTHER" hidden="1">"c15611"</definedName>
    <definedName name="IQ_ECS_CONVERT_FACTOR_OTHER_ABS" hidden="1">"c15628"</definedName>
    <definedName name="IQ_ECS_CONVERT_INTO" hidden="1">"c5580"</definedName>
    <definedName name="IQ_ECS_CONVERT_INTO_ABS" hidden="1">"c5594"</definedName>
    <definedName name="IQ_ECS_CONVERT_INTO_OTHER" hidden="1">"c15610"</definedName>
    <definedName name="IQ_ECS_CONVERT_INTO_OTHER_ABS" hidden="1">"c15627"</definedName>
    <definedName name="IQ_ECS_CONVERT_PRIMARY_FACTOR" hidden="1">"c15592"</definedName>
    <definedName name="IQ_ECS_CONVERT_PRIMARY_FACTOR_ABS" hidden="1">"c15596"</definedName>
    <definedName name="IQ_ECS_CONVERT_TYPE" hidden="1">"c5579"</definedName>
    <definedName name="IQ_ECS_CONVERT_TYPE_ABS" hidden="1">"c5593"</definedName>
    <definedName name="IQ_ECS_CONVERT_TYPE_OTHER" hidden="1">"c15609"</definedName>
    <definedName name="IQ_ECS_CONVERT_TYPE_OTHER_ABS" hidden="1">"c15626"</definedName>
    <definedName name="IQ_ECS_INACTIVE_DATE" hidden="1">"c5576"</definedName>
    <definedName name="IQ_ECS_INACTIVE_DATE_ABS" hidden="1">"c5590"</definedName>
    <definedName name="IQ_ECS_INACTIVE_DATE_OTHER" hidden="1">"c15606"</definedName>
    <definedName name="IQ_ECS_INACTIVE_DATE_OTHER_ABS" hidden="1">"c15623"</definedName>
    <definedName name="IQ_ECS_NAME" hidden="1">"c5571"</definedName>
    <definedName name="IQ_ECS_NAME_ABS" hidden="1">"c5585"</definedName>
    <definedName name="IQ_ECS_NAME_OTHER" hidden="1">"c15599"</definedName>
    <definedName name="IQ_ECS_NAME_OTHER_ABS" hidden="1">"c15616"</definedName>
    <definedName name="IQ_ECS_NUM_SHAREHOLDERS" hidden="1">"c5584"</definedName>
    <definedName name="IQ_ECS_NUM_SHAREHOLDERS_ABS" hidden="1">"c5598"</definedName>
    <definedName name="IQ_ECS_NUM_SHAREHOLDERS_OTHER" hidden="1">"c15615"</definedName>
    <definedName name="IQ_ECS_NUM_SHAREHOLDERS_OTHER_ABS" hidden="1">"c15632"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PAR_VALUE_CURRENCY_OTHER" hidden="1">"c15608"</definedName>
    <definedName name="IQ_ECS_PAR_VALUE_CURRENCY_OTHER_ABS" hidden="1">"c15625"</definedName>
    <definedName name="IQ_ECS_PAR_VALUE_OTHER" hidden="1">"c15607"</definedName>
    <definedName name="IQ_ECS_PAR_VALUE_OTHER_ABS" hidden="1">"c15624"</definedName>
    <definedName name="IQ_ECS_PARTICIPATE_FLAG" hidden="1">"c15591"</definedName>
    <definedName name="IQ_ECS_PARTICIPATE_FLAG_ABS" hidden="1">"c15595"</definedName>
    <definedName name="IQ_ECS_PARTICIPATE_FLAG_OTHER" hidden="1">"c15614"</definedName>
    <definedName name="IQ_ECS_PARTICIPATE_FLAG_OTHER_ABS" hidden="1">"c15631"</definedName>
    <definedName name="IQ_ECS_SHARES_OUT_BS_DATE" hidden="1">"c5572"</definedName>
    <definedName name="IQ_ECS_SHARES_OUT_BS_DATE_ABS" hidden="1">"c5586"</definedName>
    <definedName name="IQ_ECS_SHARES_OUT_BS_DATE_OTHER" hidden="1">"c15600"</definedName>
    <definedName name="IQ_ECS_SHARES_OUT_BS_DATE_OTHER_ABS" hidden="1">"c15617"</definedName>
    <definedName name="IQ_ECS_SHARES_OUT_FILING_DATE" hidden="1">"c5573"</definedName>
    <definedName name="IQ_ECS_SHARES_OUT_FILING_DATE_ABS" hidden="1">"c5587"</definedName>
    <definedName name="IQ_ECS_SHARES_OUT_FILING_DATE_OTHER" hidden="1">"c15601"</definedName>
    <definedName name="IQ_ECS_SHARES_OUT_FILING_DATE_OTHER_ABS" hidden="1">"c15618"</definedName>
    <definedName name="IQ_ECS_START_DATE" hidden="1">"c5575"</definedName>
    <definedName name="IQ_ECS_START_DATE_ABS" hidden="1">"c5589"</definedName>
    <definedName name="IQ_ECS_START_DATE_OTHER" hidden="1">"c15605"</definedName>
    <definedName name="IQ_ECS_START_DATE_OTHER_ABS" hidden="1">"c15622"</definedName>
    <definedName name="IQ_ECS_TICKER" hidden="1">"c15594"</definedName>
    <definedName name="IQ_ECS_TICKER_ABS" hidden="1">"c15598"</definedName>
    <definedName name="IQ_ECS_TICKER_OTHER" hidden="1">"c15603"</definedName>
    <definedName name="IQ_ECS_TICKER_OTHER_ABS" hidden="1">"c15620"</definedName>
    <definedName name="IQ_ECS_TRADING_ITEM_CIQID" hidden="1">"c15593"</definedName>
    <definedName name="IQ_ECS_TRADING_ITEM_CIQID_ABS" hidden="1">"c15597"</definedName>
    <definedName name="IQ_ECS_TRADING_ITEM_CIQID_OTHER" hidden="1">"c15602"</definedName>
    <definedName name="IQ_ECS_TRADING_ITEM_CIQID_OTHER_ABS" hidden="1">"c15619"</definedName>
    <definedName name="IQ_ECS_TYPE" hidden="1">"c5574"</definedName>
    <definedName name="IQ_ECS_TYPE_ABS" hidden="1">"c5588"</definedName>
    <definedName name="IQ_ECS_TYPE_OTHER" hidden="1">"c15604"</definedName>
    <definedName name="IQ_ECS_TYPE_OTHER_ABS" hidden="1">"c15621"</definedName>
    <definedName name="IQ_ECS_VOTING" hidden="1">"c5582"</definedName>
    <definedName name="IQ_ECS_VOTING_ABS" hidden="1">"c5596"</definedName>
    <definedName name="IQ_ECS_VOTING_OTHER" hidden="1">"c15612"</definedName>
    <definedName name="IQ_ECS_VOTING_OTHER_ABS" hidden="1">"c15629"</definedName>
    <definedName name="IQ_EFFECT_SPECIAL_CHARGE" hidden="1">"c1595"</definedName>
    <definedName name="IQ_EFFECT_TAX_RATE" hidden="1">"c1899"</definedName>
    <definedName name="IQ_EFFECTIVE_DATE" hidden="1">"c8966"</definedName>
    <definedName name="IQ_EFFICIENCY_RATIO" hidden="1">"c391"</definedName>
    <definedName name="IQ_EFFICIENCY_RATIO_FDIC" hidden="1">"c6736"</definedName>
    <definedName name="IQ_ELIMINATIONS_CONSOL_OFFICES_FOREIGN_FFIEC" hidden="1">"c15395"</definedName>
    <definedName name="IQ_EMBEDDED_VAL_COVERED" hidden="1">"c9962"</definedName>
    <definedName name="IQ_EMBEDDED_VAL_COVERED_BEG" hidden="1">"c9957"</definedName>
    <definedName name="IQ_EMBEDDED_VAL_GROUP" hidden="1">"c9948"</definedName>
    <definedName name="IQ_EMBEDDED_VAL_GROUP_BEG" hidden="1">"c9943"</definedName>
    <definedName name="IQ_EMPLOY_COST_INDEX_BENEFITS" hidden="1">"c6857"</definedName>
    <definedName name="IQ_EMPLOY_COST_INDEX_BENEFITS_APR" hidden="1">"c7517"</definedName>
    <definedName name="IQ_EMPLOY_COST_INDEX_BENEFITS_APR_FC" hidden="1">"c8397"</definedName>
    <definedName name="IQ_EMPLOY_COST_INDEX_BENEFITS_FC" hidden="1">"c7737"</definedName>
    <definedName name="IQ_EMPLOY_COST_INDEX_BENEFITS_POP" hidden="1">"c7077"</definedName>
    <definedName name="IQ_EMPLOY_COST_INDEX_BENEFITS_POP_FC" hidden="1">"c7957"</definedName>
    <definedName name="IQ_EMPLOY_COST_INDEX_BENEFITS_YOY" hidden="1">"c7297"</definedName>
    <definedName name="IQ_EMPLOY_COST_INDEX_BENEFITS_YOY_FC" hidden="1">"c8177"</definedName>
    <definedName name="IQ_EMPLOY_COST_INDEX_COMP" hidden="1">"c6856"</definedName>
    <definedName name="IQ_EMPLOY_COST_INDEX_COMP_APR" hidden="1">"c7516"</definedName>
    <definedName name="IQ_EMPLOY_COST_INDEX_COMP_APR_FC" hidden="1">"c8396"</definedName>
    <definedName name="IQ_EMPLOY_COST_INDEX_COMP_FC" hidden="1">"c7736"</definedName>
    <definedName name="IQ_EMPLOY_COST_INDEX_COMP_POP" hidden="1">"c7076"</definedName>
    <definedName name="IQ_EMPLOY_COST_INDEX_COMP_POP_FC" hidden="1">"c7956"</definedName>
    <definedName name="IQ_EMPLOY_COST_INDEX_COMP_YOY" hidden="1">"c7296"</definedName>
    <definedName name="IQ_EMPLOY_COST_INDEX_COMP_YOY_FC" hidden="1">"c8176"</definedName>
    <definedName name="IQ_EMPLOY_COST_INDEX_WAGE_SALARY" hidden="1">"c6858"</definedName>
    <definedName name="IQ_EMPLOY_COST_INDEX_WAGE_SALARY_APR" hidden="1">"c7518"</definedName>
    <definedName name="IQ_EMPLOY_COST_INDEX_WAGE_SALARY_APR_FC" hidden="1">"c8398"</definedName>
    <definedName name="IQ_EMPLOY_COST_INDEX_WAGE_SALARY_FC" hidden="1">"c7738"</definedName>
    <definedName name="IQ_EMPLOY_COST_INDEX_WAGE_SALARY_POP" hidden="1">"c7078"</definedName>
    <definedName name="IQ_EMPLOY_COST_INDEX_WAGE_SALARY_POP_FC" hidden="1">"c7958"</definedName>
    <definedName name="IQ_EMPLOY_COST_INDEX_WAGE_SALARY_YOY" hidden="1">"c7298"</definedName>
    <definedName name="IQ_EMPLOY_COST_INDEX_WAGE_SALARY_YOY_FC" hidden="1">"c8178"</definedName>
    <definedName name="IQ_EMPLOYEES" hidden="1">"c392"</definedName>
    <definedName name="IQ_EMPLOYEES_FFIEC" hidden="1">"c13035"</definedName>
    <definedName name="IQ_EMPLOYEES_UNDER_UNION_CONTRACTS" hidden="1">"c16109"</definedName>
    <definedName name="IQ_ENTERPRISE_VALUE" hidden="1">"c1348"</definedName>
    <definedName name="IQ_ENTREPRENEURAL_PROPERTY_INC" hidden="1">"c6859"</definedName>
    <definedName name="IQ_ENTREPRENEURAL_PROPERTY_INC_APR" hidden="1">"c7519"</definedName>
    <definedName name="IQ_ENTREPRENEURAL_PROPERTY_INC_APR_FC" hidden="1">"c8399"</definedName>
    <definedName name="IQ_ENTREPRENEURAL_PROPERTY_INC_FC" hidden="1">"c7739"</definedName>
    <definedName name="IQ_ENTREPRENEURAL_PROPERTY_INC_POP" hidden="1">"c7079"</definedName>
    <definedName name="IQ_ENTREPRENEURAL_PROPERTY_INC_POP_FC" hidden="1">"c7959"</definedName>
    <definedName name="IQ_ENTREPRENEURAL_PROPERTY_INC_YOY" hidden="1">"c7299"</definedName>
    <definedName name="IQ_ENTREPRENEURAL_PROPERTY_INC_YOY_FC" hidden="1">"c8179"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" hidden="1">"c2213"</definedName>
    <definedName name="IQ_EPS_ACT_OR_EST_CIQ" hidden="1">"c5058"</definedName>
    <definedName name="IQ_EPS_ACT_OR_EST_THOM" hidden="1">"c5298"</definedName>
    <definedName name="IQ_EPS_AP" hidden="1">"c8880"</definedName>
    <definedName name="IQ_EPS_AP_ABS" hidden="1">"c8899"</definedName>
    <definedName name="IQ_EPS_EST" hidden="1">"c399"</definedName>
    <definedName name="IQ_EPS_EST_BOTTOM_UP" hidden="1">"c5489"</definedName>
    <definedName name="IQ_EPS_EST_BOTTOM_UP_CIQ" hidden="1">"c12026"</definedName>
    <definedName name="IQ_EPS_EST_BOTTOM_UP_THOM" hidden="1">"c5647"</definedName>
    <definedName name="IQ_EPS_EST_CIQ" hidden="1">"c4994"</definedName>
    <definedName name="IQ_EPS_EST_THOM" hidden="1">"c5290"</definedName>
    <definedName name="IQ_EPS_EXCL_GUIDANCE" hidden="1">"c4368"</definedName>
    <definedName name="IQ_EPS_EXCL_HIGH_GUIDANCE" hidden="1">"c4369"</definedName>
    <definedName name="IQ_EPS_EXCL_LOW_GUIDANCE" hidden="1">"c4204"</definedName>
    <definedName name="IQ_EPS_GAAP_GUIDANCE" hidden="1">"c4370"</definedName>
    <definedName name="IQ_EPS_GAAP_HIGH_GUIDANCE" hidden="1">"c4371"</definedName>
    <definedName name="IQ_EPS_GAAP_LOW_GUIDANCE" hidden="1">"c4205"</definedName>
    <definedName name="IQ_EPS_GROWTH_GUIDANCE" hidden="1">"c13495"</definedName>
    <definedName name="IQ_EPS_GROWTH_HIGH_GUIDANCE" hidden="1">"c13496"</definedName>
    <definedName name="IQ_EPS_GROWTH_LOW_GUIDANCE" hidden="1">"c13497"</definedName>
    <definedName name="IQ_EPS_GW_ACT_OR_EST" hidden="1">"c2223"</definedName>
    <definedName name="IQ_EPS_GW_ACT_OR_EST_CIQ" hidden="1">"c5066"</definedName>
    <definedName name="IQ_EPS_GW_DET_EST_REUT_CURRENCY_CURRENCY_REUT" hidden="1">"c12533"</definedName>
    <definedName name="IQ_EPS_GW_EST" hidden="1">"c1737"</definedName>
    <definedName name="IQ_EPS_GW_EST_BOTTOM_UP" hidden="1">"c5491"</definedName>
    <definedName name="IQ_EPS_GW_EST_BOTTOM_UP_CIQ" hidden="1">"c12028"</definedName>
    <definedName name="IQ_EPS_GW_EST_CIQ" hidden="1">"c4723"</definedName>
    <definedName name="IQ_EPS_GW_EST_THOM" hidden="1">"c5133"</definedName>
    <definedName name="IQ_EPS_GW_GUIDANCE" hidden="1">"c4372"</definedName>
    <definedName name="IQ_EPS_GW_HIGH_EST" hidden="1">"c1739"</definedName>
    <definedName name="IQ_EPS_GW_HIGH_EST_CIQ" hidden="1">"c4725"</definedName>
    <definedName name="IQ_EPS_GW_HIGH_EST_THOM" hidden="1">"c5135"</definedName>
    <definedName name="IQ_EPS_GW_HIGH_GUIDANCE" hidden="1">"c4373"</definedName>
    <definedName name="IQ_EPS_GW_LOW_EST" hidden="1">"c1740"</definedName>
    <definedName name="IQ_EPS_GW_LOW_EST_CIQ" hidden="1">"c4726"</definedName>
    <definedName name="IQ_EPS_GW_LOW_EST_THOM" hidden="1">"c5136"</definedName>
    <definedName name="IQ_EPS_GW_LOW_GUIDANCE" hidden="1">"c4206"</definedName>
    <definedName name="IQ_EPS_GW_MEDIAN_EST" hidden="1">"c1738"</definedName>
    <definedName name="IQ_EPS_GW_MEDIAN_EST_CIQ" hidden="1">"c4724"</definedName>
    <definedName name="IQ_EPS_GW_MEDIAN_EST_THOM" hidden="1">"c5134"</definedName>
    <definedName name="IQ_EPS_GW_NUM_EST" hidden="1">"c1741"</definedName>
    <definedName name="IQ_EPS_GW_NUM_EST_CIQ" hidden="1">"c4727"</definedName>
    <definedName name="IQ_EPS_GW_NUM_EST_THOM" hidden="1">"c5137"</definedName>
    <definedName name="IQ_EPS_GW_STDDEV_EST" hidden="1">"c1742"</definedName>
    <definedName name="IQ_EPS_GW_STDDEV_EST_CIQ" hidden="1">"c4728"</definedName>
    <definedName name="IQ_EPS_GW_STDDEV_EST_THOM" hidden="1">"c5138"</definedName>
    <definedName name="IQ_EPS_HIGH_EST" hidden="1">"c400"</definedName>
    <definedName name="IQ_EPS_HIGH_EST_CIQ" hidden="1">"c4995"</definedName>
    <definedName name="IQ_EPS_HIGH_EST_THOM" hidden="1">"c5291"</definedName>
    <definedName name="IQ_EPS_LOW_EST" hidden="1">"c401"</definedName>
    <definedName name="IQ_EPS_LOW_EST_CIQ" hidden="1">"c4996"</definedName>
    <definedName name="IQ_EPS_LOW_EST_THOM" hidden="1">"c5292"</definedName>
    <definedName name="IQ_EPS_MEDIAN_EST" hidden="1">"c1661"</definedName>
    <definedName name="IQ_EPS_MEDIAN_EST_CIQ" hidden="1">"c4997"</definedName>
    <definedName name="IQ_EPS_MEDIAN_EST_THOM" hidden="1">"c5293"</definedName>
    <definedName name="IQ_EPS_NAME_AP" hidden="1">"c8918"</definedName>
    <definedName name="IQ_EPS_NAME_AP_ABS" hidden="1">"c8937"</definedName>
    <definedName name="IQ_EPS_NORM" hidden="1">"c1902"</definedName>
    <definedName name="IQ_EPS_NORM_EST" hidden="1">"c2226"</definedName>
    <definedName name="IQ_EPS_NORM_EST_BOTTOM_UP" hidden="1">"c5490"</definedName>
    <definedName name="IQ_EPS_NORM_EST_BOTTOM_UP_CIQ" hidden="1">"c12027"</definedName>
    <definedName name="IQ_EPS_NORM_EST_CIQ" hidden="1">"c4667"</definedName>
    <definedName name="IQ_EPS_NORM_HIGH_EST" hidden="1">"c2228"</definedName>
    <definedName name="IQ_EPS_NORM_HIGH_EST_CIQ" hidden="1">"c4669"</definedName>
    <definedName name="IQ_EPS_NORM_LOW_EST" hidden="1">"c2229"</definedName>
    <definedName name="IQ_EPS_NORM_LOW_EST_CIQ" hidden="1">"c4670"</definedName>
    <definedName name="IQ_EPS_NORM_MEDIAN_EST" hidden="1">"c2227"</definedName>
    <definedName name="IQ_EPS_NORM_MEDIAN_EST_CIQ" hidden="1">"c4668"</definedName>
    <definedName name="IQ_EPS_NORM_NUM_EST" hidden="1">"c2230"</definedName>
    <definedName name="IQ_EPS_NORM_NUM_EST_CIQ" hidden="1">"c4671"</definedName>
    <definedName name="IQ_EPS_NORM_STDDEV_EST" hidden="1">"c2231"</definedName>
    <definedName name="IQ_EPS_NORM_STDDEV_EST_CIQ" hidden="1">"c4672"</definedName>
    <definedName name="IQ_EPS_NUM_EST" hidden="1">"c402"</definedName>
    <definedName name="IQ_EPS_NUM_EST_CIQ" hidden="1">"c4992"</definedName>
    <definedName name="IQ_EPS_NUM_EST_THOM" hidden="1">"c5288"</definedName>
    <definedName name="IQ_EPS_PRIMARY_EST" hidden="1">"c2226"</definedName>
    <definedName name="IQ_EPS_PRIMARY_HIGH_EST" hidden="1">"c2228"</definedName>
    <definedName name="IQ_EPS_PRIMARY_LOW_EST" hidden="1">"c2229"</definedName>
    <definedName name="IQ_EPS_PRIMARY_MEDIAN_EST" hidden="1">"c2227"</definedName>
    <definedName name="IQ_EPS_PRIMARY_NUM_EST" hidden="1">"c2230"</definedName>
    <definedName name="IQ_EPS_PRIMARY_STDDEV_EST" hidden="1">"c2231"</definedName>
    <definedName name="IQ_EPS_REPORT_ACT_OR_EST" hidden="1">"c2224"</definedName>
    <definedName name="IQ_EPS_REPORT_ACT_OR_EST_CIQ" hidden="1">"c5067"</definedName>
    <definedName name="IQ_EPS_REPORT_ACT_OR_EST_THOM" hidden="1">"c5307"</definedName>
    <definedName name="IQ_EPS_REPORTED_EST" hidden="1">"c1744"</definedName>
    <definedName name="IQ_EPS_REPORTED_EST_BOTTOM_UP" hidden="1">"c5492"</definedName>
    <definedName name="IQ_EPS_REPORTED_EST_BOTTOM_UP_CIQ" hidden="1">"c12029"</definedName>
    <definedName name="IQ_EPS_REPORTED_EST_CIQ" hidden="1">"c4730"</definedName>
    <definedName name="IQ_EPS_REPORTED_EST_THOM" hidden="1">"c5140"</definedName>
    <definedName name="IQ_EPS_REPORTED_HIGH_EST" hidden="1">"c1746"</definedName>
    <definedName name="IQ_EPS_REPORTED_HIGH_EST_CIQ" hidden="1">"c4732"</definedName>
    <definedName name="IQ_EPS_REPORTED_HIGH_EST_THOM" hidden="1">"c5142"</definedName>
    <definedName name="IQ_EPS_REPORTED_LOW_EST" hidden="1">"c1747"</definedName>
    <definedName name="IQ_EPS_REPORTED_LOW_EST_CIQ" hidden="1">"c4733"</definedName>
    <definedName name="IQ_EPS_REPORTED_LOW_EST_THOM" hidden="1">"c5143"</definedName>
    <definedName name="IQ_EPS_REPORTED_MEDIAN_EST" hidden="1">"c1745"</definedName>
    <definedName name="IQ_EPS_REPORTED_MEDIAN_EST_CIQ" hidden="1">"c4731"</definedName>
    <definedName name="IQ_EPS_REPORTED_MEDIAN_EST_THOM" hidden="1">"c5141"</definedName>
    <definedName name="IQ_EPS_REPORTED_NUM_EST" hidden="1">"c1748"</definedName>
    <definedName name="IQ_EPS_REPORTED_NUM_EST_CIQ" hidden="1">"c4734"</definedName>
    <definedName name="IQ_EPS_REPORTED_NUM_EST_THOM" hidden="1">"c5144"</definedName>
    <definedName name="IQ_EPS_REPORTED_STDDEV_EST" hidden="1">"c1749"</definedName>
    <definedName name="IQ_EPS_REPORTED_STDDEV_EST_CIQ" hidden="1">"c4735"</definedName>
    <definedName name="IQ_EPS_REPORTED_STDDEV_EST_THOM" hidden="1">"c5145"</definedName>
    <definedName name="IQ_EPS_SBC_ACT_OR_EST" hidden="1">"c4376"</definedName>
    <definedName name="IQ_EPS_SBC_ACT_OR_EST_CIQ" hidden="1">"c4901"</definedName>
    <definedName name="IQ_EPS_SBC_EST" hidden="1">"c4375"</definedName>
    <definedName name="IQ_EPS_SBC_EST_CIQ" hidden="1">"c4900"</definedName>
    <definedName name="IQ_EPS_SBC_GW_ACT_OR_EST" hidden="1">"c4380"</definedName>
    <definedName name="IQ_EPS_SBC_GW_ACT_OR_EST_CIQ" hidden="1">"c4905"</definedName>
    <definedName name="IQ_EPS_SBC_GW_EST" hidden="1">"c4379"</definedName>
    <definedName name="IQ_EPS_SBC_GW_EST_CIQ" hidden="1">"c4904"</definedName>
    <definedName name="IQ_EPS_SBC_GW_HIGH_EST" hidden="1">"c4382"</definedName>
    <definedName name="IQ_EPS_SBC_GW_HIGH_EST_CIQ" hidden="1">"c4907"</definedName>
    <definedName name="IQ_EPS_SBC_GW_LOW_EST" hidden="1">"c4383"</definedName>
    <definedName name="IQ_EPS_SBC_GW_LOW_EST_CIQ" hidden="1">"c4908"</definedName>
    <definedName name="IQ_EPS_SBC_GW_MEDIAN_EST" hidden="1">"c4384"</definedName>
    <definedName name="IQ_EPS_SBC_GW_MEDIAN_EST_CIQ" hidden="1">"c4909"</definedName>
    <definedName name="IQ_EPS_SBC_GW_NUM_EST" hidden="1">"c4385"</definedName>
    <definedName name="IQ_EPS_SBC_GW_NUM_EST_CIQ" hidden="1">"c4910"</definedName>
    <definedName name="IQ_EPS_SBC_GW_STDDEV_EST" hidden="1">"c4386"</definedName>
    <definedName name="IQ_EPS_SBC_GW_STDDEV_EST_CIQ" hidden="1">"c4911"</definedName>
    <definedName name="IQ_EPS_SBC_HIGH_EST" hidden="1">"c4388"</definedName>
    <definedName name="IQ_EPS_SBC_HIGH_EST_CIQ" hidden="1">"c4913"</definedName>
    <definedName name="IQ_EPS_SBC_LOW_EST" hidden="1">"c4389"</definedName>
    <definedName name="IQ_EPS_SBC_LOW_EST_CIQ" hidden="1">"c4914"</definedName>
    <definedName name="IQ_EPS_SBC_MEDIAN_EST" hidden="1">"c4390"</definedName>
    <definedName name="IQ_EPS_SBC_MEDIAN_EST_CIQ" hidden="1">"c4915"</definedName>
    <definedName name="IQ_EPS_SBC_NUM_EST" hidden="1">"c4391"</definedName>
    <definedName name="IQ_EPS_SBC_NUM_EST_CIQ" hidden="1">"c4916"</definedName>
    <definedName name="IQ_EPS_SBC_STDDEV_EST" hidden="1">"c4392"</definedName>
    <definedName name="IQ_EPS_SBC_STDDEV_EST_CIQ" hidden="1">"c4917"</definedName>
    <definedName name="IQ_EPS_STDDEV_EST" hidden="1">"c403"</definedName>
    <definedName name="IQ_EPS_STDDEV_EST_CIQ" hidden="1">"c4993"</definedName>
    <definedName name="IQ_EPS_STDDEV_EST_THOM" hidden="1">"c5289"</definedName>
    <definedName name="IQ_EQUITY_AFFIL" hidden="1">"c1451"</definedName>
    <definedName name="IQ_EQUITY_AP" hidden="1">"c8887"</definedName>
    <definedName name="IQ_EQUITY_AP_ABS" hidden="1">"c8906"</definedName>
    <definedName name="IQ_EQUITY_ASSETS_TOT_FFIEC" hidden="1">"c13436"</definedName>
    <definedName name="IQ_EQUITY_BEG_EXCL_FFIEC" hidden="1">"c12957"</definedName>
    <definedName name="IQ_EQUITY_BEG_FFIEC" hidden="1">"c12959"</definedName>
    <definedName name="IQ_EQUITY_CAPITAL_ASSETS_FDIC" hidden="1">"c6744"</definedName>
    <definedName name="IQ_EQUITY_CAPITAL_QUARTERLY_AVG_FFIEC" hidden="1">"c13092"</definedName>
    <definedName name="IQ_EQUITY_ENDING_FFIEC" hidden="1">"c12973"</definedName>
    <definedName name="IQ_EQUITY_FDIC" hidden="1">"c6353"</definedName>
    <definedName name="IQ_EQUITY_INDEX_EXPOSURE_FFIEC" hidden="1">"c13060"</definedName>
    <definedName name="IQ_EQUITY_LIST" hidden="1">"c15158"</definedName>
    <definedName name="IQ_EQUITY_METHOD" hidden="1">"c404"</definedName>
    <definedName name="IQ_EQUITY_NAME_AP" hidden="1">"c8925"</definedName>
    <definedName name="IQ_EQUITY_NAME_AP_ABS" hidden="1">"c8944"</definedName>
    <definedName name="IQ_EQUITY_SEC_FAIR_VALUE_FFIEC" hidden="1">"c12805"</definedName>
    <definedName name="IQ_EQUITY_SEC_INVEST_SECURITIES_FFIEC" hidden="1">"c13463"</definedName>
    <definedName name="IQ_EQUITY_SECURITIES_FDIC" hidden="1">"c6304"</definedName>
    <definedName name="IQ_EQUITY_SECURITIES_QUARTERLY_AVG_FFIEC" hidden="1">"c15474"</definedName>
    <definedName name="IQ_EQUITY_SECURITIES_WITHOUT_FAIR_VALUES_FFIEC" hidden="1">"c12846"</definedName>
    <definedName name="IQ_EQUITY_SECURITY_EXPOSURES_FDIC" hidden="1">"c6664"</definedName>
    <definedName name="IQ_EQUITY_TIER_ONE_CAPITAL" hidden="1">"c15246"</definedName>
    <definedName name="IQ_EQUITY_TIER_ONE_CAPITAL_RATIO" hidden="1">"c15242"</definedName>
    <definedName name="IQ_EQV_OVER_BV" hidden="1">"c1596"</definedName>
    <definedName name="IQ_EQV_OVER_LTM_PRETAX_INC" hidden="1">"c1390"</definedName>
    <definedName name="IQ_ESOP_DEBT" hidden="1">"c1597"</definedName>
    <definedName name="IQ_ESOP_DEBT_GUARANTEED_FFIEC" hidden="1">"c12971"</definedName>
    <definedName name="IQ_ESOP_OVER_TOTAL" hidden="1">"c13768"</definedName>
    <definedName name="IQ_EST_ACT_BV" hidden="1">"c5630"</definedName>
    <definedName name="IQ_EST_ACT_BV_CIQ" hidden="1">"c4743"</definedName>
    <definedName name="IQ_EST_ACT_BV_SHARE" hidden="1">"c3549"</definedName>
    <definedName name="IQ_EST_ACT_BV_SHARE_CIQ" hidden="1">"c3806"</definedName>
    <definedName name="IQ_EST_ACT_BV_SHARE_THOM" hidden="1">"c4026"</definedName>
    <definedName name="IQ_EST_ACT_CAPEX" hidden="1">"c3546"</definedName>
    <definedName name="IQ_EST_ACT_CAPEX_CIQ" hidden="1">"c3813"</definedName>
    <definedName name="IQ_EST_ACT_CAPEX_THOM" hidden="1">"c5508"</definedName>
    <definedName name="IQ_EST_ACT_CASH_EPS" hidden="1">"c5637"</definedName>
    <definedName name="IQ_EST_ACT_CASH_EPS_THOM" hidden="1">"c5645"</definedName>
    <definedName name="IQ_EST_ACT_CASH_FLOW" hidden="1">"c4394"</definedName>
    <definedName name="IQ_EST_ACT_CASH_FLOW_CIQ" hidden="1">"c4919"</definedName>
    <definedName name="IQ_EST_ACT_CASH_OPER" hidden="1">"c4395"</definedName>
    <definedName name="IQ_EST_ACT_CASH_OPER_CIQ" hidden="1">"c4920"</definedName>
    <definedName name="IQ_EST_ACT_CFPS" hidden="1">"c1673"</definedName>
    <definedName name="IQ_EST_ACT_CFPS_CIQ" hidden="1">"c3681"</definedName>
    <definedName name="IQ_EST_ACT_CFPS_THOM" hidden="1">"c4012"</definedName>
    <definedName name="IQ_EST_ACT_DISTRIBUTABLE_CASH" hidden="1">"c4396"</definedName>
    <definedName name="IQ_EST_ACT_DISTRIBUTABLE_CASH_CIQ" hidden="1">"c4921"</definedName>
    <definedName name="IQ_EST_ACT_DISTRIBUTABLE_CASH_SHARE" hidden="1">"c4397"</definedName>
    <definedName name="IQ_EST_ACT_DISTRIBUTABLE_CASH_SHARE_CIQ" hidden="1">"c4922"</definedName>
    <definedName name="IQ_EST_ACT_DPS" hidden="1">"c1680"</definedName>
    <definedName name="IQ_EST_ACT_DPS_CIQ" hidden="1">"c3688"</definedName>
    <definedName name="IQ_EST_ACT_DPS_THOM" hidden="1">"c4019"</definedName>
    <definedName name="IQ_EST_ACT_EBIT" hidden="1">"c1687"</definedName>
    <definedName name="IQ_EST_ACT_EBIT_CIQ" hidden="1">"c4680"</definedName>
    <definedName name="IQ_EST_ACT_EBIT_GW" hidden="1">"c4398"</definedName>
    <definedName name="IQ_EST_ACT_EBIT_GW_CIQ" hidden="1">"c4923"</definedName>
    <definedName name="IQ_EST_ACT_EBIT_SBC" hidden="1">"c4399"</definedName>
    <definedName name="IQ_EST_ACT_EBIT_SBC_CIQ" hidden="1">"c4924"</definedName>
    <definedName name="IQ_EST_ACT_EBIT_SBC_GW" hidden="1">"c4400"</definedName>
    <definedName name="IQ_EST_ACT_EBIT_SBC_GW_CIQ" hidden="1">"c4925"</definedName>
    <definedName name="IQ_EST_ACT_EBIT_THOM" hidden="1">"c5111"</definedName>
    <definedName name="IQ_EST_ACT_EBITDA" hidden="1">"c1664"</definedName>
    <definedName name="IQ_EST_ACT_EBITDA_CIQ" hidden="1">"c3667"</definedName>
    <definedName name="IQ_EST_ACT_EBITDA_SBC" hidden="1">"c4401"</definedName>
    <definedName name="IQ_EST_ACT_EBITDA_SBC_CIQ" hidden="1">"c4926"</definedName>
    <definedName name="IQ_EST_ACT_EBITDA_THOM" hidden="1">"c3998"</definedName>
    <definedName name="IQ_EST_ACT_EBT_SBC" hidden="1">"c4402"</definedName>
    <definedName name="IQ_EST_ACT_EBT_SBC_CIQ" hidden="1">"c4927"</definedName>
    <definedName name="IQ_EST_ACT_EBT_SBC_GW" hidden="1">"c4403"</definedName>
    <definedName name="IQ_EST_ACT_EBT_SBC_GW_CIQ" hidden="1">"c4928"</definedName>
    <definedName name="IQ_EST_ACT_EPS" hidden="1">"c1648"</definedName>
    <definedName name="IQ_EST_ACT_EPS_CIQ" hidden="1">"c4998"</definedName>
    <definedName name="IQ_EST_ACT_EPS_GW" hidden="1">"c1743"</definedName>
    <definedName name="IQ_EST_ACT_EPS_GW_CIQ" hidden="1">"c4729"</definedName>
    <definedName name="IQ_EST_ACT_EPS_GW_THOM" hidden="1">"c5139"</definedName>
    <definedName name="IQ_EST_ACT_EPS_NORM" hidden="1">"c2232"</definedName>
    <definedName name="IQ_EST_ACT_EPS_NORM_CIQ" hidden="1">"c4673"</definedName>
    <definedName name="IQ_EST_ACT_EPS_PRIMARY" hidden="1">"c2232"</definedName>
    <definedName name="IQ_EST_ACT_EPS_REPORTED" hidden="1">"c1750"</definedName>
    <definedName name="IQ_EST_ACT_EPS_REPORTED_CIQ" hidden="1">"c4736"</definedName>
    <definedName name="IQ_EST_ACT_EPS_REPORTED_THOM" hidden="1">"c5146"</definedName>
    <definedName name="IQ_EST_ACT_EPS_SBC" hidden="1">"c4404"</definedName>
    <definedName name="IQ_EST_ACT_EPS_SBC_CIQ" hidden="1">"c4929"</definedName>
    <definedName name="IQ_EST_ACT_EPS_SBC_GW" hidden="1">"c4405"</definedName>
    <definedName name="IQ_EST_ACT_EPS_SBC_GW_CIQ" hidden="1">"c4930"</definedName>
    <definedName name="IQ_EST_ACT_EPS_THOM" hidden="1">"c5294"</definedName>
    <definedName name="IQ_EST_ACT_FFO" localSheetId="20" hidden="1">"c1666"</definedName>
    <definedName name="IQ_EST_ACT_FFO" localSheetId="21" hidden="1">"c1666"</definedName>
    <definedName name="IQ_EST_ACT_FFO" localSheetId="22" hidden="1">"c1666"</definedName>
    <definedName name="IQ_EST_ACT_FFO" localSheetId="23" hidden="1">"c1666"</definedName>
    <definedName name="IQ_EST_ACT_FFO" localSheetId="24" hidden="1">"c1666"</definedName>
    <definedName name="IQ_EST_ACT_FFO" hidden="1">"c1666"</definedName>
    <definedName name="IQ_EST_ACT_FFO_ADJ" hidden="1">"c4406"</definedName>
    <definedName name="IQ_EST_ACT_FFO_ADJ_CIQ" hidden="1">"c4931"</definedName>
    <definedName name="IQ_EST_ACT_FFO_CIQ" hidden="1">"c4932"</definedName>
    <definedName name="IQ_EST_ACT_FFO_REUT" hidden="1">"c3843"</definedName>
    <definedName name="IQ_EST_ACT_FFO_SHARE" hidden="1">"c1666"</definedName>
    <definedName name="IQ_EST_ACT_FFO_SHARE_CIQ" hidden="1">"c3674"</definedName>
    <definedName name="IQ_EST_ACT_FFO_THOM" hidden="1">"c4005"</definedName>
    <definedName name="IQ_EST_ACT_GROSS_MARGIN" hidden="1">"c5553"</definedName>
    <definedName name="IQ_EST_ACT_GROSS_MARGIN_THOM" hidden="1">"c5561"</definedName>
    <definedName name="IQ_EST_ACT_MAINT_CAPEX" hidden="1">"c4408"</definedName>
    <definedName name="IQ_EST_ACT_MAINT_CAPEX_CIQ" hidden="1">"c4933"</definedName>
    <definedName name="IQ_EST_ACT_NAV" hidden="1">"c1757"</definedName>
    <definedName name="IQ_EST_ACT_NAV_SHARE" hidden="1">"c5608"</definedName>
    <definedName name="IQ_EST_ACT_NAV_SHARE_CIQ" hidden="1">"c12031"</definedName>
    <definedName name="IQ_EST_ACT_NAV_THOM" hidden="1">"c5600"</definedName>
    <definedName name="IQ_EST_ACT_NET_DEBT" hidden="1">"c3545"</definedName>
    <definedName name="IQ_EST_ACT_NET_DEBT_CIQ" hidden="1">"c3820"</definedName>
    <definedName name="IQ_EST_ACT_NET_DEBT_THOM" hidden="1">"c4033"</definedName>
    <definedName name="IQ_EST_ACT_NI" hidden="1">"c1722"</definedName>
    <definedName name="IQ_EST_ACT_NI_CIQ" hidden="1">"c4708"</definedName>
    <definedName name="IQ_EST_ACT_NI_GW_CIQ" hidden="1">"c4715"</definedName>
    <definedName name="IQ_EST_ACT_NI_REPORTED" hidden="1">"c1736"</definedName>
    <definedName name="IQ_EST_ACT_NI_REPORTED_CIQ" hidden="1">"c4722"</definedName>
    <definedName name="IQ_EST_ACT_NI_SBC" hidden="1">"c4409"</definedName>
    <definedName name="IQ_EST_ACT_NI_SBC_CIQ" hidden="1">"c4934"</definedName>
    <definedName name="IQ_EST_ACT_NI_SBC_GW" hidden="1">"c4410"</definedName>
    <definedName name="IQ_EST_ACT_NI_SBC_GW_CIQ" hidden="1">"c4935"</definedName>
    <definedName name="IQ_EST_ACT_NI_THOM" hidden="1">"c5132"</definedName>
    <definedName name="IQ_EST_ACT_OPER_INC" hidden="1">"c1694"</definedName>
    <definedName name="IQ_EST_ACT_OPER_INC_CIQ" hidden="1">"c12016"</definedName>
    <definedName name="IQ_EST_ACT_OPER_INC_THOM" hidden="1">"c5118"</definedName>
    <definedName name="IQ_EST_ACT_PRETAX_GW_INC" hidden="1">"c1708"</definedName>
    <definedName name="IQ_EST_ACT_PRETAX_GW_INC_CIQ" hidden="1">"c4694"</definedName>
    <definedName name="IQ_EST_ACT_PRETAX_INC" hidden="1">"c1701"</definedName>
    <definedName name="IQ_EST_ACT_PRETAX_INC_CIQ" hidden="1">"c4687"</definedName>
    <definedName name="IQ_EST_ACT_PRETAX_INC_THOM" hidden="1">"c5125"</definedName>
    <definedName name="IQ_EST_ACT_PRETAX_REPORT_INC" hidden="1">"c1715"</definedName>
    <definedName name="IQ_EST_ACT_PRETAX_REPORT_INC_CIQ" hidden="1">"c4701"</definedName>
    <definedName name="IQ_EST_ACT_RECURRING_PROFIT" hidden="1">"c4411"</definedName>
    <definedName name="IQ_EST_ACT_RECURRING_PROFIT_CIQ" hidden="1">"c4936"</definedName>
    <definedName name="IQ_EST_ACT_RECURRING_PROFIT_SHARE" hidden="1">"c4412"</definedName>
    <definedName name="IQ_EST_ACT_RECURRING_PROFIT_SHARE_CIQ" hidden="1">"c4937"</definedName>
    <definedName name="IQ_EST_ACT_RETURN_ASSETS" hidden="1">"c3547"</definedName>
    <definedName name="IQ_EST_ACT_RETURN_ASSETS_THOM" hidden="1">"c4040"</definedName>
    <definedName name="IQ_EST_ACT_RETURN_EQUITY" hidden="1">"c3548"</definedName>
    <definedName name="IQ_EST_ACT_RETURN_EQUITY_THOM" hidden="1">"c5287"</definedName>
    <definedName name="IQ_EST_ACT_REV" hidden="1">"c2113"</definedName>
    <definedName name="IQ_EST_ACT_REV_CIQ" hidden="1">"c3666"</definedName>
    <definedName name="IQ_EST_ACT_REV_THOM" hidden="1">"c3997"</definedName>
    <definedName name="IQ_EST_BV_SHARE_DIFF" hidden="1">"c4147"</definedName>
    <definedName name="IQ_EST_BV_SHARE_DIFF_CIQ" hidden="1">"c4559"</definedName>
    <definedName name="IQ_EST_BV_SHARE_SURPRISE_PERCENT" hidden="1">"c4148"</definedName>
    <definedName name="IQ_EST_BV_SHARE_SURPRISE_PERCENT_CIQ" hidden="1">"c4560"</definedName>
    <definedName name="IQ_EST_CAPEX_DIFF" hidden="1">"c4149"</definedName>
    <definedName name="IQ_EST_CAPEX_DIFF_CIQ" hidden="1">"c4561"</definedName>
    <definedName name="IQ_EST_CAPEX_GROWTH_1YR" hidden="1">"c3588"</definedName>
    <definedName name="IQ_EST_CAPEX_GROWTH_1YR_CIQ" hidden="1">"c4972"</definedName>
    <definedName name="IQ_EST_CAPEX_GROWTH_1YR_THOM" hidden="1">"c5542"</definedName>
    <definedName name="IQ_EST_CAPEX_GROWTH_2YR" hidden="1">"c3589"</definedName>
    <definedName name="IQ_EST_CAPEX_GROWTH_2YR_CIQ" hidden="1">"c4973"</definedName>
    <definedName name="IQ_EST_CAPEX_GROWTH_2YR_THOM" hidden="1">"c5543"</definedName>
    <definedName name="IQ_EST_CAPEX_GROWTH_Q_1YR" hidden="1">"c3590"</definedName>
    <definedName name="IQ_EST_CAPEX_GROWTH_Q_1YR_CIQ" hidden="1">"c4974"</definedName>
    <definedName name="IQ_EST_CAPEX_GROWTH_Q_1YR_THOM" hidden="1">"c5544"</definedName>
    <definedName name="IQ_EST_CAPEX_SEQ_GROWTH_Q" hidden="1">"c3591"</definedName>
    <definedName name="IQ_EST_CAPEX_SEQ_GROWTH_Q_CIQ" hidden="1">"c4975"</definedName>
    <definedName name="IQ_EST_CAPEX_SEQ_GROWTH_Q_THOM" hidden="1">"c5545"</definedName>
    <definedName name="IQ_EST_CAPEX_SURPRISE_PERCENT" hidden="1">"c4151"</definedName>
    <definedName name="IQ_EST_CAPEX_SURPRISE_PERCENT_CIQ" hidden="1">"c4563"</definedName>
    <definedName name="IQ_EST_CASH_FLOW_DIFF" hidden="1">"c4152"</definedName>
    <definedName name="IQ_EST_CASH_FLOW_DIFF_CIQ" hidden="1">"c4564"</definedName>
    <definedName name="IQ_EST_CASH_FLOW_SURPRISE_PERCENT" hidden="1">"c4161"</definedName>
    <definedName name="IQ_EST_CASH_FLOW_SURPRISE_PERCENT_CIQ" hidden="1">"c4573"</definedName>
    <definedName name="IQ_EST_CASH_OPER_DIFF" hidden="1">"c4162"</definedName>
    <definedName name="IQ_EST_CASH_OPER_DIFF_CIQ" hidden="1">"c4574"</definedName>
    <definedName name="IQ_EST_CASH_OPER_SURPRISE_PERCENT" hidden="1">"c4248"</definedName>
    <definedName name="IQ_EST_CASH_OPER_SURPRISE_PERCENT_CIQ" hidden="1">"c4774"</definedName>
    <definedName name="IQ_EST_CFPS_DIFF" hidden="1">"c1871"</definedName>
    <definedName name="IQ_EST_CFPS_DIFF_CIQ" hidden="1">"c3723"</definedName>
    <definedName name="IQ_EST_CFPS_DIFF_THOM" hidden="1">"c5188"</definedName>
    <definedName name="IQ_EST_CFPS_GROWTH_1YR" hidden="1">"c1774"</definedName>
    <definedName name="IQ_EST_CFPS_GROWTH_1YR_CIQ" hidden="1">"c3709"</definedName>
    <definedName name="IQ_EST_CFPS_GROWTH_1YR_THOM" hidden="1">"c5174"</definedName>
    <definedName name="IQ_EST_CFPS_GROWTH_2YR" hidden="1">"c1775"</definedName>
    <definedName name="IQ_EST_CFPS_GROWTH_2YR_CIQ" hidden="1">"c3710"</definedName>
    <definedName name="IQ_EST_CFPS_GROWTH_2YR_THOM" hidden="1">"c5175"</definedName>
    <definedName name="IQ_EST_CFPS_GROWTH_Q_1YR" hidden="1">"c1776"</definedName>
    <definedName name="IQ_EST_CFPS_GROWTH_Q_1YR_CIQ" hidden="1">"c3711"</definedName>
    <definedName name="IQ_EST_CFPS_GROWTH_Q_1YR_THOM" hidden="1">"c5176"</definedName>
    <definedName name="IQ_EST_CFPS_SEQ_GROWTH_Q" hidden="1">"c1777"</definedName>
    <definedName name="IQ_EST_CFPS_SEQ_GROWTH_Q_CIQ" hidden="1">"c3712"</definedName>
    <definedName name="IQ_EST_CFPS_SEQ_GROWTH_Q_THOM" hidden="1">"c5177"</definedName>
    <definedName name="IQ_EST_CFPS_SURPRISE_PERCENT" hidden="1">"c1872"</definedName>
    <definedName name="IQ_EST_CFPS_SURPRISE_PERCENT_CIQ" hidden="1">"c3724"</definedName>
    <definedName name="IQ_EST_CFPS_SURPRISE_PERCENT_THOM" hidden="1">"c5189"</definedName>
    <definedName name="IQ_EST_CURRENCY" hidden="1">"c2140"</definedName>
    <definedName name="IQ_EST_CURRENCY_CIQ" hidden="1">"c4769"</definedName>
    <definedName name="IQ_EST_CURRENCY_THOM" hidden="1">"c5280"</definedName>
    <definedName name="IQ_EST_DATE" hidden="1">"c1634"</definedName>
    <definedName name="IQ_EST_DATE_CIQ" hidden="1">"c4770"</definedName>
    <definedName name="IQ_EST_DATE_THOM" hidden="1">"c5281"</definedName>
    <definedName name="IQ_EST_DISTRIBUTABLE_CASH_DIFF" hidden="1">"c4276"</definedName>
    <definedName name="IQ_EST_DISTRIBUTABLE_CASH_DIFF_CIQ" hidden="1">"c4801"</definedName>
    <definedName name="IQ_EST_DISTRIBUTABLE_CASH_GROWTH_1YR" hidden="1">"c4413"</definedName>
    <definedName name="IQ_EST_DISTRIBUTABLE_CASH_GROWTH_1YR_CIQ" hidden="1">"c4938"</definedName>
    <definedName name="IQ_EST_DISTRIBUTABLE_CASH_GROWTH_2YR" hidden="1">"c4414"</definedName>
    <definedName name="IQ_EST_DISTRIBUTABLE_CASH_GROWTH_2YR_CIQ" hidden="1">"c4939"</definedName>
    <definedName name="IQ_EST_DISTRIBUTABLE_CASH_GROWTH_Q_1YR" hidden="1">"c4415"</definedName>
    <definedName name="IQ_EST_DISTRIBUTABLE_CASH_GROWTH_Q_1YR_CIQ" hidden="1">"c4940"</definedName>
    <definedName name="IQ_EST_DISTRIBUTABLE_CASH_SEQ_GROWTH_Q" hidden="1">"c4416"</definedName>
    <definedName name="IQ_EST_DISTRIBUTABLE_CASH_SEQ_GROWTH_Q_CIQ" hidden="1">"c4941"</definedName>
    <definedName name="IQ_EST_DISTRIBUTABLE_CASH_SHARE_DIFF" hidden="1">"c4284"</definedName>
    <definedName name="IQ_EST_DISTRIBUTABLE_CASH_SHARE_DIFF_CIQ" hidden="1">"c4809"</definedName>
    <definedName name="IQ_EST_DISTRIBUTABLE_CASH_SHARE_GROWTH_1YR" hidden="1">"c4417"</definedName>
    <definedName name="IQ_EST_DISTRIBUTABLE_CASH_SHARE_GROWTH_1YR_CIQ" hidden="1">"c4942"</definedName>
    <definedName name="IQ_EST_DISTRIBUTABLE_CASH_SHARE_GROWTH_2YR" hidden="1">"c4418"</definedName>
    <definedName name="IQ_EST_DISTRIBUTABLE_CASH_SHARE_GROWTH_2YR_CIQ" hidden="1">"c4943"</definedName>
    <definedName name="IQ_EST_DISTRIBUTABLE_CASH_SHARE_GROWTH_Q_1YR" hidden="1">"c4419"</definedName>
    <definedName name="IQ_EST_DISTRIBUTABLE_CASH_SHARE_GROWTH_Q_1YR_CIQ" hidden="1">"c4944"</definedName>
    <definedName name="IQ_EST_DISTRIBUTABLE_CASH_SHARE_SEQ_GROWTH_Q" hidden="1">"c4420"</definedName>
    <definedName name="IQ_EST_DISTRIBUTABLE_CASH_SHARE_SEQ_GROWTH_Q_CIQ" hidden="1">"c4945"</definedName>
    <definedName name="IQ_EST_DISTRIBUTABLE_CASH_SHARE_SURPRISE_PERCENT" hidden="1">"c4293"</definedName>
    <definedName name="IQ_EST_DISTRIBUTABLE_CASH_SHARE_SURPRISE_PERCENT_CIQ" hidden="1">"c4818"</definedName>
    <definedName name="IQ_EST_DISTRIBUTABLE_CASH_SURPRISE_PERCENT" hidden="1">"c4295"</definedName>
    <definedName name="IQ_EST_DISTRIBUTABLE_CASH_SURPRISE_PERCENT_CIQ" hidden="1">"c4820"</definedName>
    <definedName name="IQ_EST_DPS_DIFF" hidden="1">"c1873"</definedName>
    <definedName name="IQ_EST_DPS_DIFF_CIQ" hidden="1">"c3725"</definedName>
    <definedName name="IQ_EST_DPS_DIFF_THOM" hidden="1">"c5190"</definedName>
    <definedName name="IQ_EST_DPS_GROWTH_1YR" hidden="1">"c1778"</definedName>
    <definedName name="IQ_EST_DPS_GROWTH_1YR_CIQ" hidden="1">"c3713"</definedName>
    <definedName name="IQ_EST_DPS_GROWTH_1YR_THOM" hidden="1">"c5178"</definedName>
    <definedName name="IQ_EST_DPS_GROWTH_2YR" hidden="1">"c1779"</definedName>
    <definedName name="IQ_EST_DPS_GROWTH_2YR_CIQ" hidden="1">"c3714"</definedName>
    <definedName name="IQ_EST_DPS_GROWTH_2YR_THOM" hidden="1">"c5179"</definedName>
    <definedName name="IQ_EST_DPS_GROWTH_Q_1YR" hidden="1">"c1780"</definedName>
    <definedName name="IQ_EST_DPS_GROWTH_Q_1YR_CIQ" hidden="1">"c3715"</definedName>
    <definedName name="IQ_EST_DPS_GROWTH_Q_1YR_THOM" hidden="1">"c5180"</definedName>
    <definedName name="IQ_EST_DPS_SEQ_GROWTH_Q" hidden="1">"c1781"</definedName>
    <definedName name="IQ_EST_DPS_SEQ_GROWTH_Q_CIQ" hidden="1">"c3716"</definedName>
    <definedName name="IQ_EST_DPS_SEQ_GROWTH_Q_THOM" hidden="1">"c5181"</definedName>
    <definedName name="IQ_EST_DPS_SURPRISE_PERCENT" hidden="1">"c1874"</definedName>
    <definedName name="IQ_EST_DPS_SURPRISE_PERCENT_CIQ" hidden="1">"c3726"</definedName>
    <definedName name="IQ_EST_DPS_SURPRISE_PERCENT_THOM" hidden="1">"c5191"</definedName>
    <definedName name="IQ_EST_EBIT_DIFF" hidden="1">"c1875"</definedName>
    <definedName name="IQ_EST_EBIT_DIFF_CIQ" hidden="1">"c4747"</definedName>
    <definedName name="IQ_EST_EBIT_DIFF_THOM" hidden="1">"c5192"</definedName>
    <definedName name="IQ_EST_EBIT_GW_DIFF" hidden="1">"c4304"</definedName>
    <definedName name="IQ_EST_EBIT_GW_DIFF_CIQ" hidden="1">"c4829"</definedName>
    <definedName name="IQ_EST_EBIT_GW_SURPRISE_PERCENT" hidden="1">"c4313"</definedName>
    <definedName name="IQ_EST_EBIT_GW_SURPRISE_PERCENT_CIQ" hidden="1">"c4838"</definedName>
    <definedName name="IQ_EST_EBIT_SBC_DIFF" hidden="1">"c4314"</definedName>
    <definedName name="IQ_EST_EBIT_SBC_DIFF_CIQ" hidden="1">"c4839"</definedName>
    <definedName name="IQ_EST_EBIT_SBC_GW_DIFF" hidden="1">"c4318"</definedName>
    <definedName name="IQ_EST_EBIT_SBC_GW_DIFF_CIQ" hidden="1">"c4843"</definedName>
    <definedName name="IQ_EST_EBIT_SBC_GW_SURPRISE_PERCENT" hidden="1">"c4327"</definedName>
    <definedName name="IQ_EST_EBIT_SBC_GW_SURPRISE_PERCENT_CIQ" hidden="1">"c4852"</definedName>
    <definedName name="IQ_EST_EBIT_SBC_SURPRISE_PERCENT" hidden="1">"c4333"</definedName>
    <definedName name="IQ_EST_EBIT_SBC_SURPRISE_PERCENT_CIQ" hidden="1">"c4858"</definedName>
    <definedName name="IQ_EST_EBIT_SURPRISE_PERCENT" hidden="1">"c1876"</definedName>
    <definedName name="IQ_EST_EBIT_SURPRISE_PERCENT_CIQ" hidden="1">"c4748"</definedName>
    <definedName name="IQ_EST_EBIT_SURPRISE_PERCENT_THOM" hidden="1">"c5193"</definedName>
    <definedName name="IQ_EST_EBITDA_DIFF" hidden="1">"c1867"</definedName>
    <definedName name="IQ_EST_EBITDA_DIFF_CIQ" hidden="1">"c3719"</definedName>
    <definedName name="IQ_EST_EBITDA_DIFF_THOM" hidden="1">"c5184"</definedName>
    <definedName name="IQ_EST_EBITDA_GROWTH_1YR" hidden="1">"c1766"</definedName>
    <definedName name="IQ_EST_EBITDA_GROWTH_1YR_CIQ" hidden="1">"c3695"</definedName>
    <definedName name="IQ_EST_EBITDA_GROWTH_1YR_THOM" hidden="1">"c5161"</definedName>
    <definedName name="IQ_EST_EBITDA_GROWTH_2YR" hidden="1">"c1767"</definedName>
    <definedName name="IQ_EST_EBITDA_GROWTH_2YR_CIQ" hidden="1">"c3696"</definedName>
    <definedName name="IQ_EST_EBITDA_GROWTH_2YR_THOM" hidden="1">"c5162"</definedName>
    <definedName name="IQ_EST_EBITDA_GROWTH_Q_1YR" hidden="1">"c1768"</definedName>
    <definedName name="IQ_EST_EBITDA_GROWTH_Q_1YR_CIQ" hidden="1">"c3697"</definedName>
    <definedName name="IQ_EST_EBITDA_GROWTH_Q_1YR_THOM" hidden="1">"c5163"</definedName>
    <definedName name="IQ_EST_EBITDA_SBC_DIFF" hidden="1">"c4335"</definedName>
    <definedName name="IQ_EST_EBITDA_SBC_DIFF_CIQ" hidden="1">"c4860"</definedName>
    <definedName name="IQ_EST_EBITDA_SBC_SURPRISE_PERCENT" hidden="1">"c4344"</definedName>
    <definedName name="IQ_EST_EBITDA_SBC_SURPRISE_PERCENT_CIQ" hidden="1">"c4869"</definedName>
    <definedName name="IQ_EST_EBITDA_SEQ_GROWTH_Q" hidden="1">"c1769"</definedName>
    <definedName name="IQ_EST_EBITDA_SEQ_GROWTH_Q_CIQ" hidden="1">"c3698"</definedName>
    <definedName name="IQ_EST_EBITDA_SEQ_GROWTH_Q_THOM" hidden="1">"c5164"</definedName>
    <definedName name="IQ_EST_EBITDA_SURPRISE_PERCENT" hidden="1">"c1868"</definedName>
    <definedName name="IQ_EST_EBITDA_SURPRISE_PERCENT_CIQ" hidden="1">"c3720"</definedName>
    <definedName name="IQ_EST_EBITDA_SURPRISE_PERCENT_THOM" hidden="1">"c5185"</definedName>
    <definedName name="IQ_EST_EBT_SBC_DIFF" hidden="1">"c4348"</definedName>
    <definedName name="IQ_EST_EBT_SBC_DIFF_CIQ" hidden="1">"c4873"</definedName>
    <definedName name="IQ_EST_EBT_SBC_GW_DIFF" hidden="1">"c4352"</definedName>
    <definedName name="IQ_EST_EBT_SBC_GW_DIFF_CIQ" hidden="1">"c4877"</definedName>
    <definedName name="IQ_EST_EBT_SBC_GW_SURPRISE_PERCENT" hidden="1">"c4361"</definedName>
    <definedName name="IQ_EST_EBT_SBC_GW_SURPRISE_PERCENT_CIQ" hidden="1">"c4886"</definedName>
    <definedName name="IQ_EST_EBT_SBC_SURPRISE_PERCENT" hidden="1">"c4367"</definedName>
    <definedName name="IQ_EST_EBT_SBC_SURPRISE_PERCENT_CIQ" hidden="1">"c4892"</definedName>
    <definedName name="IQ_EST_EPS_DIFF" hidden="1">"c1864"</definedName>
    <definedName name="IQ_EST_EPS_DIFF_CIQ" hidden="1">"c4999"</definedName>
    <definedName name="IQ_EST_EPS_DIFF_THOM" hidden="1">"c5295"</definedName>
    <definedName name="IQ_EST_EPS_GROWTH_1YR" hidden="1">"c1636"</definedName>
    <definedName name="IQ_EST_EPS_GROWTH_1YR_CIQ" hidden="1">"c3628"</definedName>
    <definedName name="IQ_EST_EPS_GROWTH_1YR_THOM" hidden="1">"c3664"</definedName>
    <definedName name="IQ_EST_EPS_GROWTH_2YR" hidden="1">"c1637"</definedName>
    <definedName name="IQ_EST_EPS_GROWTH_2YR_CIQ" hidden="1">"c3689"</definedName>
    <definedName name="IQ_EST_EPS_GROWTH_2YR_THOM" hidden="1">"c5154"</definedName>
    <definedName name="IQ_EST_EPS_GROWTH_5YR" hidden="1">"c1655"</definedName>
    <definedName name="IQ_EST_EPS_GROWTH_5YR_BOTTOM_UP" hidden="1">"c5487"</definedName>
    <definedName name="IQ_EST_EPS_GROWTH_5YR_BOTTOM_UP_CIQ" hidden="1">"c12024"</definedName>
    <definedName name="IQ_EST_EPS_GROWTH_5YR_CIQ" hidden="1">"c3615"</definedName>
    <definedName name="IQ_EST_EPS_GROWTH_5YR_HIGH" hidden="1">"c1657"</definedName>
    <definedName name="IQ_EST_EPS_GROWTH_5YR_HIGH_CIQ" hidden="1">"c4663"</definedName>
    <definedName name="IQ_EST_EPS_GROWTH_5YR_HIGH_THOM" hidden="1">"c5101"</definedName>
    <definedName name="IQ_EST_EPS_GROWTH_5YR_LOW" hidden="1">"c1658"</definedName>
    <definedName name="IQ_EST_EPS_GROWTH_5YR_LOW_CIQ" hidden="1">"c4664"</definedName>
    <definedName name="IQ_EST_EPS_GROWTH_5YR_LOW_THOM" hidden="1">"c5102"</definedName>
    <definedName name="IQ_EST_EPS_GROWTH_5YR_MEDIAN" hidden="1">"c1656"</definedName>
    <definedName name="IQ_EST_EPS_GROWTH_5YR_MEDIAN_CIQ" hidden="1">"c5480"</definedName>
    <definedName name="IQ_EST_EPS_GROWTH_5YR_MEDIAN_THOM" hidden="1">"c5100"</definedName>
    <definedName name="IQ_EST_EPS_GROWTH_5YR_NUM" hidden="1">"c1659"</definedName>
    <definedName name="IQ_EST_EPS_GROWTH_5YR_NUM_CIQ" hidden="1">"c4665"</definedName>
    <definedName name="IQ_EST_EPS_GROWTH_5YR_NUM_THOM" hidden="1">"c5103"</definedName>
    <definedName name="IQ_EST_EPS_GROWTH_5YR_STDDEV" hidden="1">"c1660"</definedName>
    <definedName name="IQ_EST_EPS_GROWTH_5YR_STDDEV_CIQ" hidden="1">"c4666"</definedName>
    <definedName name="IQ_EST_EPS_GROWTH_5YR_STDDEV_THOM" hidden="1">"c5104"</definedName>
    <definedName name="IQ_EST_EPS_GROWTH_5YR_THOM" hidden="1">"c3651"</definedName>
    <definedName name="IQ_EST_EPS_GROWTH_Q_1YR" hidden="1">"c1641"</definedName>
    <definedName name="IQ_EST_EPS_GROWTH_Q_1YR_CIQ" hidden="1">"c4744"</definedName>
    <definedName name="IQ_EST_EPS_GROWTH_Q_1YR_THOM" hidden="1">"c5155"</definedName>
    <definedName name="IQ_EST_EPS_GW_DIFF" hidden="1">"c1891"</definedName>
    <definedName name="IQ_EST_EPS_GW_DIFF_CIQ" hidden="1">"c4761"</definedName>
    <definedName name="IQ_EST_EPS_GW_DIFF_THOM" hidden="1">"c5200"</definedName>
    <definedName name="IQ_EST_EPS_GW_SURPRISE_PERCENT" hidden="1">"c1892"</definedName>
    <definedName name="IQ_EST_EPS_GW_SURPRISE_PERCENT_CIQ" hidden="1">"c4762"</definedName>
    <definedName name="IQ_EST_EPS_GW_SURPRISE_PERCENT_THOM" hidden="1">"c5201"</definedName>
    <definedName name="IQ_EST_EPS_NORM_DIFF" hidden="1">"c2247"</definedName>
    <definedName name="IQ_EST_EPS_NORM_DIFF_CIQ" hidden="1">"c4745"</definedName>
    <definedName name="IQ_EST_EPS_NORM_SURPRISE_PERCENT" hidden="1">"c2248"</definedName>
    <definedName name="IQ_EST_EPS_NORM_SURPRISE_PERCENT_CIQ" hidden="1">"c4746"</definedName>
    <definedName name="IQ_EST_EPS_REPORT_DIFF" hidden="1">"c1893"</definedName>
    <definedName name="IQ_EST_EPS_REPORT_DIFF_CIQ" hidden="1">"c4763"</definedName>
    <definedName name="IQ_EST_EPS_REPORT_DIFF_THOM" hidden="1">"c5202"</definedName>
    <definedName name="IQ_EST_EPS_REPORT_SURPRISE_PERCENT" hidden="1">"c1894"</definedName>
    <definedName name="IQ_EST_EPS_REPORT_SURPRISE_PERCENT_CIQ" hidden="1">"c4764"</definedName>
    <definedName name="IQ_EST_EPS_REPORT_SURPRISE_PERCENT_THOM" hidden="1">"c5203"</definedName>
    <definedName name="IQ_EST_EPS_SBC_DIFF" hidden="1">"c4374"</definedName>
    <definedName name="IQ_EST_EPS_SBC_DIFF_CIQ" hidden="1">"c4899"</definedName>
    <definedName name="IQ_EST_EPS_SBC_GW_DIFF" hidden="1">"c4378"</definedName>
    <definedName name="IQ_EST_EPS_SBC_GW_DIFF_CIQ" hidden="1">"c4903"</definedName>
    <definedName name="IQ_EST_EPS_SBC_GW_SURPRISE_PERCENT" hidden="1">"c4387"</definedName>
    <definedName name="IQ_EST_EPS_SBC_GW_SURPRISE_PERCENT_CIQ" hidden="1">"c4912"</definedName>
    <definedName name="IQ_EST_EPS_SBC_SURPRISE_PERCENT" hidden="1">"c4393"</definedName>
    <definedName name="IQ_EST_EPS_SBC_SURPRISE_PERCENT_CIQ" hidden="1">"c4918"</definedName>
    <definedName name="IQ_EST_EPS_SEQ_GROWTH_Q" hidden="1">"c1764"</definedName>
    <definedName name="IQ_EST_EPS_SEQ_GROWTH_Q_CIQ" hidden="1">"c3690"</definedName>
    <definedName name="IQ_EST_EPS_SEQ_GROWTH_Q_THOM" hidden="1">"c5156"</definedName>
    <definedName name="IQ_EST_EPS_SURPRISE" hidden="1">"c1635"</definedName>
    <definedName name="IQ_EST_EPS_SURPRISE_PERCENT" hidden="1">"c1635"</definedName>
    <definedName name="IQ_EST_EPS_SURPRISE_PERCENT_CIQ" hidden="1">"c5000"</definedName>
    <definedName name="IQ_EST_EPS_SURPRISE_PERCENT_THOM" hidden="1">"c5296"</definedName>
    <definedName name="IQ_EST_FAIR_VALUE_MORT_SERVICING_ASSETS_FFIEC" hidden="1">"c12956"</definedName>
    <definedName name="IQ_EST_FFO_ADJ_DIFF" hidden="1">"c4433"</definedName>
    <definedName name="IQ_EST_FFO_ADJ_DIFF_CIQ" hidden="1">"c4958"</definedName>
    <definedName name="IQ_EST_FFO_ADJ_GROWTH_1YR" hidden="1">"c4421"</definedName>
    <definedName name="IQ_EST_FFO_ADJ_GROWTH_1YR_CIQ" hidden="1">"c4946"</definedName>
    <definedName name="IQ_EST_FFO_ADJ_GROWTH_2YR" hidden="1">"c4422"</definedName>
    <definedName name="IQ_EST_FFO_ADJ_GROWTH_2YR_CIQ" hidden="1">"c4947"</definedName>
    <definedName name="IQ_EST_FFO_ADJ_GROWTH_Q_1YR" hidden="1">"c4423"</definedName>
    <definedName name="IQ_EST_FFO_ADJ_GROWTH_Q_1YR_CIQ" hidden="1">"c4948"</definedName>
    <definedName name="IQ_EST_FFO_ADJ_SEQ_GROWTH_Q" hidden="1">"c4424"</definedName>
    <definedName name="IQ_EST_FFO_ADJ_SEQ_GROWTH_Q_CIQ" hidden="1">"c4949"</definedName>
    <definedName name="IQ_EST_FFO_ADJ_SURPRISE_PERCENT" hidden="1">"c4442"</definedName>
    <definedName name="IQ_EST_FFO_ADJ_SURPRISE_PERCENT_CIQ" hidden="1">"c4967"</definedName>
    <definedName name="IQ_EST_FFO_DIFF" localSheetId="20" hidden="1">"c1869"</definedName>
    <definedName name="IQ_EST_FFO_DIFF" localSheetId="21" hidden="1">"c1869"</definedName>
    <definedName name="IQ_EST_FFO_DIFF" localSheetId="22" hidden="1">"c1869"</definedName>
    <definedName name="IQ_EST_FFO_DIFF" localSheetId="23" hidden="1">"c1869"</definedName>
    <definedName name="IQ_EST_FFO_DIFF" localSheetId="24" hidden="1">"c1869"</definedName>
    <definedName name="IQ_EST_FFO_DIFF" hidden="1">"c1869"</definedName>
    <definedName name="IQ_EST_FFO_DIFF_CIQ" hidden="1">"c4969"</definedName>
    <definedName name="IQ_EST_FFO_DIFF_REUT" hidden="1">"c3890"</definedName>
    <definedName name="IQ_EST_FFO_DIFF_THOM" hidden="1">"c5186"</definedName>
    <definedName name="IQ_EST_FFO_GROWTH_1YR" localSheetId="20" hidden="1">"c1770"</definedName>
    <definedName name="IQ_EST_FFO_GROWTH_1YR" localSheetId="21" hidden="1">"c1770"</definedName>
    <definedName name="IQ_EST_FFO_GROWTH_1YR" localSheetId="22" hidden="1">"c1770"</definedName>
    <definedName name="IQ_EST_FFO_GROWTH_1YR" localSheetId="23" hidden="1">"c1770"</definedName>
    <definedName name="IQ_EST_FFO_GROWTH_1YR" localSheetId="24" hidden="1">"c1770"</definedName>
    <definedName name="IQ_EST_FFO_GROWTH_1YR" hidden="1">"c1770"</definedName>
    <definedName name="IQ_EST_FFO_GROWTH_1YR_CIQ" hidden="1">"c4950"</definedName>
    <definedName name="IQ_EST_FFO_GROWTH_1YR_THOM" hidden="1">"c5170"</definedName>
    <definedName name="IQ_EST_FFO_GROWTH_2YR" localSheetId="20" hidden="1">"c1771"</definedName>
    <definedName name="IQ_EST_FFO_GROWTH_2YR" localSheetId="21" hidden="1">"c1771"</definedName>
    <definedName name="IQ_EST_FFO_GROWTH_2YR" localSheetId="22" hidden="1">"c1771"</definedName>
    <definedName name="IQ_EST_FFO_GROWTH_2YR" localSheetId="23" hidden="1">"c1771"</definedName>
    <definedName name="IQ_EST_FFO_GROWTH_2YR" localSheetId="24" hidden="1">"c1771"</definedName>
    <definedName name="IQ_EST_FFO_GROWTH_2YR" hidden="1">"c1771"</definedName>
    <definedName name="IQ_EST_FFO_GROWTH_2YR_CIQ" hidden="1">"c4951"</definedName>
    <definedName name="IQ_EST_FFO_GROWTH_2YR_THOM" hidden="1">"c5171"</definedName>
    <definedName name="IQ_EST_FFO_GROWTH_Q_1YR" localSheetId="20" hidden="1">"c1772"</definedName>
    <definedName name="IQ_EST_FFO_GROWTH_Q_1YR" localSheetId="21" hidden="1">"c1772"</definedName>
    <definedName name="IQ_EST_FFO_GROWTH_Q_1YR" localSheetId="22" hidden="1">"c1772"</definedName>
    <definedName name="IQ_EST_FFO_GROWTH_Q_1YR" localSheetId="23" hidden="1">"c1772"</definedName>
    <definedName name="IQ_EST_FFO_GROWTH_Q_1YR" localSheetId="24" hidden="1">"c1772"</definedName>
    <definedName name="IQ_EST_FFO_GROWTH_Q_1YR" hidden="1">"c1772"</definedName>
    <definedName name="IQ_EST_FFO_GROWTH_Q_1YR_CIQ" hidden="1">"c4952"</definedName>
    <definedName name="IQ_EST_FFO_GROWTH_Q_1YR_THOM" hidden="1">"c5172"</definedName>
    <definedName name="IQ_EST_FFO_SEQ_GROWTH_Q" localSheetId="20" hidden="1">"c1773"</definedName>
    <definedName name="IQ_EST_FFO_SEQ_GROWTH_Q" localSheetId="21" hidden="1">"c1773"</definedName>
    <definedName name="IQ_EST_FFO_SEQ_GROWTH_Q" localSheetId="22" hidden="1">"c1773"</definedName>
    <definedName name="IQ_EST_FFO_SEQ_GROWTH_Q" localSheetId="23" hidden="1">"c1773"</definedName>
    <definedName name="IQ_EST_FFO_SEQ_GROWTH_Q" localSheetId="24" hidden="1">"c1773"</definedName>
    <definedName name="IQ_EST_FFO_SEQ_GROWTH_Q" hidden="1">"c1773"</definedName>
    <definedName name="IQ_EST_FFO_SEQ_GROWTH_Q_CIQ" hidden="1">"c4953"</definedName>
    <definedName name="IQ_EST_FFO_SEQ_GROWTH_Q_THOM" hidden="1">"c5173"</definedName>
    <definedName name="IQ_EST_FFO_SHARE_DIFF" hidden="1">"c1869"</definedName>
    <definedName name="IQ_EST_FFO_SHARE_DIFF_CIQ" hidden="1">"c3721"</definedName>
    <definedName name="IQ_EST_FFO_SHARE_GROWTH_1YR" hidden="1">"c1770"</definedName>
    <definedName name="IQ_EST_FFO_SHARE_GROWTH_1YR_CIQ" hidden="1">"c3705"</definedName>
    <definedName name="IQ_EST_FFO_SHARE_GROWTH_2YR" hidden="1">"c1771"</definedName>
    <definedName name="IQ_EST_FFO_SHARE_GROWTH_2YR_CIQ" hidden="1">"c3706"</definedName>
    <definedName name="IQ_EST_FFO_SHARE_GROWTH_Q_1YR" hidden="1">"c1772"</definedName>
    <definedName name="IQ_EST_FFO_SHARE_GROWTH_Q_1YR_CIQ" hidden="1">"c3707"</definedName>
    <definedName name="IQ_EST_FFO_SHARE_SEQ_GROWTH_Q" hidden="1">"c1773"</definedName>
    <definedName name="IQ_EST_FFO_SHARE_SEQ_GROWTH_Q_CIQ" hidden="1">"c3708"</definedName>
    <definedName name="IQ_EST_FFO_SHARE_SURPRISE_PERCENT" hidden="1">"c1870"</definedName>
    <definedName name="IQ_EST_FFO_SHARE_SURPRISE_PERCENT_CIQ" hidden="1">"c3722"</definedName>
    <definedName name="IQ_EST_FFO_SURPRISE_PERCENT" localSheetId="20" hidden="1">"c1870"</definedName>
    <definedName name="IQ_EST_FFO_SURPRISE_PERCENT" localSheetId="21" hidden="1">"c1870"</definedName>
    <definedName name="IQ_EST_FFO_SURPRISE_PERCENT" localSheetId="22" hidden="1">"c1870"</definedName>
    <definedName name="IQ_EST_FFO_SURPRISE_PERCENT" localSheetId="23" hidden="1">"c1870"</definedName>
    <definedName name="IQ_EST_FFO_SURPRISE_PERCENT" localSheetId="24" hidden="1">"c1870"</definedName>
    <definedName name="IQ_EST_FFO_SURPRISE_PERCENT" hidden="1">"c1870"</definedName>
    <definedName name="IQ_EST_FFO_SURPRISE_PERCENT_CIQ" hidden="1">"c4982"</definedName>
    <definedName name="IQ_EST_FFO_SURPRISE_PERCENT_REUT" hidden="1">"c3891"</definedName>
    <definedName name="IQ_EST_FFO_SURPRISE_PERCENT_THOM" hidden="1">"c5187"</definedName>
    <definedName name="IQ_EST_FOOTNOTE" hidden="1">"c4540"</definedName>
    <definedName name="IQ_EST_FOOTNOTE_CIQ" hidden="1">"c12022"</definedName>
    <definedName name="IQ_EST_FOOTNOTE_THOM" hidden="1">"c5313"</definedName>
    <definedName name="IQ_EST_MAINT_CAPEX_DIFF" hidden="1">"c4456"</definedName>
    <definedName name="IQ_EST_MAINT_CAPEX_DIFF_CIQ" hidden="1">"c4985"</definedName>
    <definedName name="IQ_EST_MAINT_CAPEX_GROWTH_1YR" hidden="1">"c4429"</definedName>
    <definedName name="IQ_EST_MAINT_CAPEX_GROWTH_1YR_CIQ" hidden="1">"c4954"</definedName>
    <definedName name="IQ_EST_MAINT_CAPEX_GROWTH_2YR" hidden="1">"c4430"</definedName>
    <definedName name="IQ_EST_MAINT_CAPEX_GROWTH_2YR_CIQ" hidden="1">"c4955"</definedName>
    <definedName name="IQ_EST_MAINT_CAPEX_GROWTH_Q_1YR" hidden="1">"c4431"</definedName>
    <definedName name="IQ_EST_MAINT_CAPEX_GROWTH_Q_1YR_CIQ" hidden="1">"c4956"</definedName>
    <definedName name="IQ_EST_MAINT_CAPEX_SEQ_GROWTH_Q" hidden="1">"c4432"</definedName>
    <definedName name="IQ_EST_MAINT_CAPEX_SEQ_GROWTH_Q_CIQ" hidden="1">"c4957"</definedName>
    <definedName name="IQ_EST_MAINT_CAPEX_SURPRISE_PERCENT" hidden="1">"c4465"</definedName>
    <definedName name="IQ_EST_MAINT_CAPEX_SURPRISE_PERCENT_CIQ" hidden="1">"c5003"</definedName>
    <definedName name="IQ_EST_NAV_DIFF" hidden="1">"c1895"</definedName>
    <definedName name="IQ_EST_NAV_SHARE_SURPRISE_PERCENT" hidden="1">"c1896"</definedName>
    <definedName name="IQ_EST_NAV_SURPRISE_PERCENT" hidden="1">"c12040"</definedName>
    <definedName name="IQ_EST_NET_DEBT_DIFF" hidden="1">"c4466"</definedName>
    <definedName name="IQ_EST_NET_DEBT_DIFF_CIQ" hidden="1">"c5004"</definedName>
    <definedName name="IQ_EST_NET_DEBT_SURPRISE_PERCENT" hidden="1">"c4468"</definedName>
    <definedName name="IQ_EST_NET_DEBT_SURPRISE_PERCENT_CIQ" hidden="1">"c5006"</definedName>
    <definedName name="IQ_EST_NEXT_EARNINGS_DATE" hidden="1">"c13591"</definedName>
    <definedName name="IQ_EST_NI_DIFF" hidden="1">"c1885"</definedName>
    <definedName name="IQ_EST_NI_DIFF_CIQ" hidden="1">"c4755"</definedName>
    <definedName name="IQ_EST_NI_DIFF_THOM" hidden="1">"c5198"</definedName>
    <definedName name="IQ_EST_NI_GW_DIFF_CIQ" hidden="1">"c4757"</definedName>
    <definedName name="IQ_EST_NI_GW_SURPRISE_PERCENT_CIQ" hidden="1">"c4758"</definedName>
    <definedName name="IQ_EST_NI_REPORT_DIFF" hidden="1">"c1889"</definedName>
    <definedName name="IQ_EST_NI_REPORT_DIFF_CIQ" hidden="1">"c4759"</definedName>
    <definedName name="IQ_EST_NI_REPORT_SURPRISE_PERCENT" hidden="1">"c1890"</definedName>
    <definedName name="IQ_EST_NI_REPORT_SURPRISE_PERCENT_CIQ" hidden="1">"c4760"</definedName>
    <definedName name="IQ_EST_NI_SBC_DIFF" hidden="1">"c4472"</definedName>
    <definedName name="IQ_EST_NI_SBC_DIFF_CIQ" hidden="1">"c5010"</definedName>
    <definedName name="IQ_EST_NI_SBC_GW_DIFF" hidden="1">"c4476"</definedName>
    <definedName name="IQ_EST_NI_SBC_GW_DIFF_CIQ" hidden="1">"c5014"</definedName>
    <definedName name="IQ_EST_NI_SBC_GW_SURPRISE_PERCENT" hidden="1">"c4485"</definedName>
    <definedName name="IQ_EST_NI_SBC_GW_SURPRISE_PERCENT_CIQ" hidden="1">"c5023"</definedName>
    <definedName name="IQ_EST_NI_SBC_SURPRISE_PERCENT" hidden="1">"c4491"</definedName>
    <definedName name="IQ_EST_NI_SBC_SURPRISE_PERCENT_CIQ" hidden="1">"c5029"</definedName>
    <definedName name="IQ_EST_NI_SURPRISE_PERCENT" hidden="1">"c1886"</definedName>
    <definedName name="IQ_EST_NI_SURPRISE_PERCENT_CIQ" hidden="1">"c4756"</definedName>
    <definedName name="IQ_EST_NI_SURPRISE_PERCENT_THOM" hidden="1">"c5199"</definedName>
    <definedName name="IQ_EST_NUM_BUY" hidden="1">"c1759"</definedName>
    <definedName name="IQ_EST_NUM_BUY_REUT" hidden="1">"c3869"</definedName>
    <definedName name="IQ_EST_NUM_BUY_THOM" hidden="1">"c5165"</definedName>
    <definedName name="IQ_EST_NUM_HIGH_REC" hidden="1">"c5649"</definedName>
    <definedName name="IQ_EST_NUM_HIGH_REC_CIQ" hidden="1">"c3701"</definedName>
    <definedName name="IQ_EST_NUM_HIGH_REC_THOM" hidden="1">"c5166"</definedName>
    <definedName name="IQ_EST_NUM_HIGHEST_REC" hidden="1">"c5648"</definedName>
    <definedName name="IQ_EST_NUM_HIGHEST_REC_CIQ" hidden="1">"c3700"</definedName>
    <definedName name="IQ_EST_NUM_HIGHEST_REC_THOM" hidden="1">"c5165"</definedName>
    <definedName name="IQ_EST_NUM_HOLD" hidden="1">"c1761"</definedName>
    <definedName name="IQ_EST_NUM_HOLD_REUT" hidden="1">"c3871"</definedName>
    <definedName name="IQ_EST_NUM_HOLD_THOM" hidden="1">"c5167"</definedName>
    <definedName name="IQ_EST_NUM_LOW_REC" hidden="1">"c5651"</definedName>
    <definedName name="IQ_EST_NUM_LOW_REC_CIQ" hidden="1">"c3703"</definedName>
    <definedName name="IQ_EST_NUM_LOW_REC_THOM" hidden="1">"c5168"</definedName>
    <definedName name="IQ_EST_NUM_LOWEST_REC" hidden="1">"c5652"</definedName>
    <definedName name="IQ_EST_NUM_LOWEST_REC_CIQ" hidden="1">"c3704"</definedName>
    <definedName name="IQ_EST_NUM_LOWEST_REC_THOM" hidden="1">"c5169"</definedName>
    <definedName name="IQ_EST_NUM_NEUTRAL_REC" hidden="1">"c5650"</definedName>
    <definedName name="IQ_EST_NUM_NEUTRAL_REC_CIQ" hidden="1">"c3702"</definedName>
    <definedName name="IQ_EST_NUM_NEUTRAL_REC_THOM" hidden="1">"c5167"</definedName>
    <definedName name="IQ_EST_NUM_NO_OPINION" hidden="1">"c1758"</definedName>
    <definedName name="IQ_EST_NUM_NO_OPINION_CIQ" hidden="1">"c3699"</definedName>
    <definedName name="IQ_EST_NUM_OUTPERFORM" hidden="1">"c1760"</definedName>
    <definedName name="IQ_EST_NUM_OUTPERFORM_REUT" hidden="1">"c3870"</definedName>
    <definedName name="IQ_EST_NUM_OUTPERFORM_THOM" hidden="1">"c5166"</definedName>
    <definedName name="IQ_EST_NUM_SELL" hidden="1">"c1763"</definedName>
    <definedName name="IQ_EST_NUM_SELL_REUT" hidden="1">"c3873"</definedName>
    <definedName name="IQ_EST_NUM_SELL_THOM" hidden="1">"c5169"</definedName>
    <definedName name="IQ_EST_NUM_UNDERPERFORM" hidden="1">"c1762"</definedName>
    <definedName name="IQ_EST_NUM_UNDERPERFORM_REUT" hidden="1">"c3872"</definedName>
    <definedName name="IQ_EST_NUM_UNDERPERFORM_THOM" hidden="1">"c5168"</definedName>
    <definedName name="IQ_EST_OPER_INC_DIFF" hidden="1">"c1877"</definedName>
    <definedName name="IQ_EST_OPER_INC_DIFF_CIQ" hidden="1">"c12017"</definedName>
    <definedName name="IQ_EST_OPER_INC_DIFF_THOM" hidden="1">"c5194"</definedName>
    <definedName name="IQ_EST_OPER_INC_SURPRISE_PERCENT" hidden="1">"c1878"</definedName>
    <definedName name="IQ_EST_OPER_INC_SURPRISE_PERCENT_CIQ" hidden="1">"c12018"</definedName>
    <definedName name="IQ_EST_OPER_INC_SURPRISE_PERCENT_THOM" hidden="1">"c5195"</definedName>
    <definedName name="IQ_EST_PRE_TAX_DIFF" hidden="1">"c1879"</definedName>
    <definedName name="IQ_EST_PRE_TAX_DIFF_CIQ" hidden="1">"c4749"</definedName>
    <definedName name="IQ_EST_PRE_TAX_DIFF_THOM" hidden="1">"c5196"</definedName>
    <definedName name="IQ_EST_PRE_TAX_GW_DIFF" hidden="1">"c1881"</definedName>
    <definedName name="IQ_EST_PRE_TAX_GW_DIFF_CIQ" hidden="1">"c4751"</definedName>
    <definedName name="IQ_EST_PRE_TAX_GW_SURPRISE_PERCENT" hidden="1">"c1882"</definedName>
    <definedName name="IQ_EST_PRE_TAX_GW_SURPRISE_PERCENT_CIQ" hidden="1">"c4752"</definedName>
    <definedName name="IQ_EST_PRE_TAX_REPORT_DIFF" hidden="1">"c1883"</definedName>
    <definedName name="IQ_EST_PRE_TAX_REPORT_DIFF_CIQ" hidden="1">"c4753"</definedName>
    <definedName name="IQ_EST_PRE_TAX_REPORT_SURPRISE_PERCENT" hidden="1">"c1884"</definedName>
    <definedName name="IQ_EST_PRE_TAX_REPORT_SURPRISE_PERCENT_CIQ" hidden="1">"c4754"</definedName>
    <definedName name="IQ_EST_PRE_TAX_SURPRISE_PERCENT" hidden="1">"c1880"</definedName>
    <definedName name="IQ_EST_PRE_TAX_SURPRISE_PERCENT_CIQ" hidden="1">"c4750"</definedName>
    <definedName name="IQ_EST_PRE_TAX_SURPRISE_PERCENT_THOM" hidden="1">"c5197"</definedName>
    <definedName name="IQ_EST_RECURRING_PROFIT_SHARE_DIFF" hidden="1">"c4505"</definedName>
    <definedName name="IQ_EST_RECURRING_PROFIT_SHARE_DIFF_CIQ" hidden="1">"c5043"</definedName>
    <definedName name="IQ_EST_RECURRING_PROFIT_SHARE_SURPRISE_PERCENT" hidden="1">"c4515"</definedName>
    <definedName name="IQ_EST_RECURRING_PROFIT_SHARE_SURPRISE_PERCENT_CIQ" hidden="1">"c5053"</definedName>
    <definedName name="IQ_EST_REV_DIFF" hidden="1">"c1865"</definedName>
    <definedName name="IQ_EST_REV_DIFF_CIQ" hidden="1">"c3717"</definedName>
    <definedName name="IQ_EST_REV_DIFF_THOM" hidden="1">"c5182"</definedName>
    <definedName name="IQ_EST_REV_GROWTH_1YR" hidden="1">"c1638"</definedName>
    <definedName name="IQ_EST_REV_GROWTH_1YR_CIQ" hidden="1">"c3691"</definedName>
    <definedName name="IQ_EST_REV_GROWTH_1YR_THOM" hidden="1">"c5157"</definedName>
    <definedName name="IQ_EST_REV_GROWTH_2YR" hidden="1">"c1639"</definedName>
    <definedName name="IQ_EST_REV_GROWTH_2YR_CIQ" hidden="1">"c3692"</definedName>
    <definedName name="IQ_EST_REV_GROWTH_2YR_THOM" hidden="1">"c5158"</definedName>
    <definedName name="IQ_EST_REV_GROWTH_Q_1YR" hidden="1">"c1640"</definedName>
    <definedName name="IQ_EST_REV_GROWTH_Q_1YR_CIQ" hidden="1">"c3693"</definedName>
    <definedName name="IQ_EST_REV_GROWTH_Q_1YR_THOM" hidden="1">"c5159"</definedName>
    <definedName name="IQ_EST_REV_SEQ_GROWTH_Q" hidden="1">"c1765"</definedName>
    <definedName name="IQ_EST_REV_SEQ_GROWTH_Q_CIQ" hidden="1">"c3694"</definedName>
    <definedName name="IQ_EST_REV_SEQ_GROWTH_Q_THOM" hidden="1">"c5160"</definedName>
    <definedName name="IQ_EST_REV_SURPRISE_PERCENT" hidden="1">"c1866"</definedName>
    <definedName name="IQ_EST_REV_SURPRISE_PERCENT_CIQ" hidden="1">"c3718"</definedName>
    <definedName name="IQ_EST_REV_SURPRISE_PERCENT_THOM" hidden="1">"c5183"</definedName>
    <definedName name="IQ_EST_VENDOR" hidden="1">"c5564"</definedName>
    <definedName name="IQ_ESTIMATED_ASSESSABLE_DEPOSITS_FDIC" hidden="1">"c6490"</definedName>
    <definedName name="IQ_ESTIMATED_INSURED_DEPOSITS_FDIC" hidden="1">"c6491"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VENT_DATE" hidden="1">"c13819"</definedName>
    <definedName name="IQ_EVENT_ID" hidden="1">"c13818"</definedName>
    <definedName name="IQ_EVENT_TIME" hidden="1">"c13820"</definedName>
    <definedName name="IQ_EVENT_TYPE" hidden="1">"c13821"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IMBURSE_RENTAL_REVENUE" hidden="1">"c16064"</definedName>
    <definedName name="IQ_EXP_RETURN_PENSION_DOMESTIC" hidden="1">"c407"</definedName>
    <definedName name="IQ_EXP_RETURN_PENSION_FOREIGN" hidden="1">"c408"</definedName>
    <definedName name="IQ_EXPENSE_REIMBURSEMENTS" hidden="1">"c16020"</definedName>
    <definedName name="IQ_EXPENSES_AP" hidden="1">"c8875"</definedName>
    <definedName name="IQ_EXPENSES_AP_ABS" hidden="1">"c8894"</definedName>
    <definedName name="IQ_EXPENSES_FIXED_ASSETS_FFIEC" hidden="1">"c13024"</definedName>
    <definedName name="IQ_EXPENSES_NAME_AP" hidden="1">"c8913"</definedName>
    <definedName name="IQ_EXPENSES_NAME_AP_ABS" hidden="1">"c8932"</definedName>
    <definedName name="IQ_EXPLORATION_EXPENDITURE_ALUM" hidden="1">"c9255"</definedName>
    <definedName name="IQ_EXPLORATION_EXPENDITURE_COAL" hidden="1">"c9827"</definedName>
    <definedName name="IQ_EXPLORATION_EXPENDITURE_COP" hidden="1">"c9202"</definedName>
    <definedName name="IQ_EXPLORATION_EXPENDITURE_DIAM" hidden="1">"c9679"</definedName>
    <definedName name="IQ_EXPLORATION_EXPENDITURE_GOLD" hidden="1">"c9040"</definedName>
    <definedName name="IQ_EXPLORATION_EXPENDITURE_IRON" hidden="1">"c9414"</definedName>
    <definedName name="IQ_EXPLORATION_EXPENDITURE_LEAD" hidden="1">"c9467"</definedName>
    <definedName name="IQ_EXPLORATION_EXPENDITURE_MANG" hidden="1">"c9520"</definedName>
    <definedName name="IQ_EXPLORATION_EXPENDITURE_MOLYB" hidden="1">"c9732"</definedName>
    <definedName name="IQ_EXPLORATION_EXPENDITURE_NICK" hidden="1">"c9308"</definedName>
    <definedName name="IQ_EXPLORATION_EXPENDITURE_PLAT" hidden="1">"c9146"</definedName>
    <definedName name="IQ_EXPLORATION_EXPENDITURE_SILVER" hidden="1">"c9093"</definedName>
    <definedName name="IQ_EXPLORATION_EXPENDITURE_TITAN" hidden="1">"c9573"</definedName>
    <definedName name="IQ_EXPLORATION_EXPENDITURE_URAN" hidden="1">"c9626"</definedName>
    <definedName name="IQ_EXPLORATION_EXPENDITURE_ZINC" hidden="1">"c9361"</definedName>
    <definedName name="IQ_EXPLORE_DRILL" hidden="1">"c409"</definedName>
    <definedName name="IQ_EXPLORE_DRILL_EXP_TOTAL" hidden="1">"c13850"</definedName>
    <definedName name="IQ_EXPORT_PRICE_INDEX" hidden="1">"c6860"</definedName>
    <definedName name="IQ_EXPORT_PRICE_INDEX_APR" hidden="1">"c7520"</definedName>
    <definedName name="IQ_EXPORT_PRICE_INDEX_APR_FC" hidden="1">"c8400"</definedName>
    <definedName name="IQ_EXPORT_PRICE_INDEX_FC" hidden="1">"c7740"</definedName>
    <definedName name="IQ_EXPORT_PRICE_INDEX_POP" hidden="1">"c7080"</definedName>
    <definedName name="IQ_EXPORT_PRICE_INDEX_POP_FC" hidden="1">"c7960"</definedName>
    <definedName name="IQ_EXPORT_PRICE_INDEX_YOY" hidden="1">"c7300"</definedName>
    <definedName name="IQ_EXPORT_PRICE_INDEX_YOY_FC" hidden="1">"c8180"</definedName>
    <definedName name="IQ_EXPORTS_APR_FC_UNUSED" hidden="1">"c8401"</definedName>
    <definedName name="IQ_EXPORTS_APR_FC_UNUSED_UNUSED_UNUSED" hidden="1">"c8401"</definedName>
    <definedName name="IQ_EXPORTS_APR_UNUSED" hidden="1">"c7521"</definedName>
    <definedName name="IQ_EXPORTS_APR_UNUSED_UNUSED_UNUSED" hidden="1">"c7521"</definedName>
    <definedName name="IQ_EXPORTS_FACTOR_SERVICES" hidden="1">"c6862"</definedName>
    <definedName name="IQ_EXPORTS_FACTOR_SERVICES_APR" hidden="1">"c7522"</definedName>
    <definedName name="IQ_EXPORTS_FACTOR_SERVICES_APR_FC" hidden="1">"c8402"</definedName>
    <definedName name="IQ_EXPORTS_FACTOR_SERVICES_FC" hidden="1">"c7742"</definedName>
    <definedName name="IQ_EXPORTS_FACTOR_SERVICES_POP" hidden="1">"c7082"</definedName>
    <definedName name="IQ_EXPORTS_FACTOR_SERVICES_POP_FC" hidden="1">"c7962"</definedName>
    <definedName name="IQ_EXPORTS_FACTOR_SERVICES_SAAR" hidden="1">"c6863"</definedName>
    <definedName name="IQ_EXPORTS_FACTOR_SERVICES_SAAR_APR" hidden="1">"c7523"</definedName>
    <definedName name="IQ_EXPORTS_FACTOR_SERVICES_SAAR_APR_FC" hidden="1">"c8403"</definedName>
    <definedName name="IQ_EXPORTS_FACTOR_SERVICES_SAAR_FC" hidden="1">"c7743"</definedName>
    <definedName name="IQ_EXPORTS_FACTOR_SERVICES_SAAR_POP" hidden="1">"c7083"</definedName>
    <definedName name="IQ_EXPORTS_FACTOR_SERVICES_SAAR_POP_FC" hidden="1">"c7963"</definedName>
    <definedName name="IQ_EXPORTS_FACTOR_SERVICES_SAAR_USD_APR_FC" hidden="1">"c11817"</definedName>
    <definedName name="IQ_EXPORTS_FACTOR_SERVICES_SAAR_USD_FC" hidden="1">"c11814"</definedName>
    <definedName name="IQ_EXPORTS_FACTOR_SERVICES_SAAR_USD_POP_FC" hidden="1">"c11815"</definedName>
    <definedName name="IQ_EXPORTS_FACTOR_SERVICES_SAAR_USD_YOY_FC" hidden="1">"c11816"</definedName>
    <definedName name="IQ_EXPORTS_FACTOR_SERVICES_SAAR_YOY" hidden="1">"c7303"</definedName>
    <definedName name="IQ_EXPORTS_FACTOR_SERVICES_SAAR_YOY_FC" hidden="1">"c8183"</definedName>
    <definedName name="IQ_EXPORTS_FACTOR_SERVICES_USD_APR_FC" hidden="1">"c11813"</definedName>
    <definedName name="IQ_EXPORTS_FACTOR_SERVICES_USD_FC" hidden="1">"c11810"</definedName>
    <definedName name="IQ_EXPORTS_FACTOR_SERVICES_USD_POP_FC" hidden="1">"c11811"</definedName>
    <definedName name="IQ_EXPORTS_FACTOR_SERVICES_USD_YOY_FC" hidden="1">"c11812"</definedName>
    <definedName name="IQ_EXPORTS_FACTOR_SERVICES_YOY" hidden="1">"c7302"</definedName>
    <definedName name="IQ_EXPORTS_FACTOR_SERVICES_YOY_FC" hidden="1">"c8182"</definedName>
    <definedName name="IQ_EXPORTS_FC_UNUSED" hidden="1">"c7741"</definedName>
    <definedName name="IQ_EXPORTS_FC_UNUSED_UNUSED_UNUSED" hidden="1">"c7741"</definedName>
    <definedName name="IQ_EXPORTS_GOODS" hidden="1">"c6864"</definedName>
    <definedName name="IQ_EXPORTS_GOODS_APR" hidden="1">"c7524"</definedName>
    <definedName name="IQ_EXPORTS_GOODS_APR_FC" hidden="1">"c8404"</definedName>
    <definedName name="IQ_EXPORTS_GOODS_FC" hidden="1">"c7744"</definedName>
    <definedName name="IQ_EXPORTS_GOODS_NONFACTOR_SERVICES" hidden="1">"c6865"</definedName>
    <definedName name="IQ_EXPORTS_GOODS_NONFACTOR_SERVICES_APR" hidden="1">"c7525"</definedName>
    <definedName name="IQ_EXPORTS_GOODS_NONFACTOR_SERVICES_APR_FC" hidden="1">"c8405"</definedName>
    <definedName name="IQ_EXPORTS_GOODS_NONFACTOR_SERVICES_FC" hidden="1">"c7745"</definedName>
    <definedName name="IQ_EXPORTS_GOODS_NONFACTOR_SERVICES_POP" hidden="1">"c7085"</definedName>
    <definedName name="IQ_EXPORTS_GOODS_NONFACTOR_SERVICES_POP_FC" hidden="1">"c7965"</definedName>
    <definedName name="IQ_EXPORTS_GOODS_NONFACTOR_SERVICES_YOY" hidden="1">"c7305"</definedName>
    <definedName name="IQ_EXPORTS_GOODS_NONFACTOR_SERVICES_YOY_FC" hidden="1">"c8185"</definedName>
    <definedName name="IQ_EXPORTS_GOODS_POP" hidden="1">"c7084"</definedName>
    <definedName name="IQ_EXPORTS_GOODS_POP_FC" hidden="1">"c7964"</definedName>
    <definedName name="IQ_EXPORTS_GOODS_REAL" hidden="1">"c6973"</definedName>
    <definedName name="IQ_EXPORTS_GOODS_REAL_APR" hidden="1">"c7633"</definedName>
    <definedName name="IQ_EXPORTS_GOODS_REAL_APR_FC" hidden="1">"c8513"</definedName>
    <definedName name="IQ_EXPORTS_GOODS_REAL_FC" hidden="1">"c7853"</definedName>
    <definedName name="IQ_EXPORTS_GOODS_REAL_POP" hidden="1">"c7193"</definedName>
    <definedName name="IQ_EXPORTS_GOODS_REAL_POP_FC" hidden="1">"c8073"</definedName>
    <definedName name="IQ_EXPORTS_GOODS_REAL_SAAR" hidden="1">"c11930"</definedName>
    <definedName name="IQ_EXPORTS_GOODS_REAL_SAAR_APR" hidden="1">"c11933"</definedName>
    <definedName name="IQ_EXPORTS_GOODS_REAL_SAAR_APR_FC_UNUSED" hidden="1">"c8512"</definedName>
    <definedName name="IQ_EXPORTS_GOODS_REAL_SAAR_APR_FC_UNUSED_UNUSED_UNUSED" hidden="1">"c8512"</definedName>
    <definedName name="IQ_EXPORTS_GOODS_REAL_SAAR_APR_UNUSED" hidden="1">"c7632"</definedName>
    <definedName name="IQ_EXPORTS_GOODS_REAL_SAAR_APR_UNUSED_UNUSED_UNUSED" hidden="1">"c7632"</definedName>
    <definedName name="IQ_EXPORTS_GOODS_REAL_SAAR_FC_UNUSED" hidden="1">"c7852"</definedName>
    <definedName name="IQ_EXPORTS_GOODS_REAL_SAAR_FC_UNUSED_UNUSED_UNUSED" hidden="1">"c7852"</definedName>
    <definedName name="IQ_EXPORTS_GOODS_REAL_SAAR_POP" hidden="1">"c11931"</definedName>
    <definedName name="IQ_EXPORTS_GOODS_REAL_SAAR_POP_FC_UNUSED" hidden="1">"c8072"</definedName>
    <definedName name="IQ_EXPORTS_GOODS_REAL_SAAR_POP_FC_UNUSED_UNUSED_UNUSED" hidden="1">"c8072"</definedName>
    <definedName name="IQ_EXPORTS_GOODS_REAL_SAAR_POP_UNUSED" hidden="1">"c7192"</definedName>
    <definedName name="IQ_EXPORTS_GOODS_REAL_SAAR_POP_UNUSED_UNUSED_UNUSED" hidden="1">"c7192"</definedName>
    <definedName name="IQ_EXPORTS_GOODS_REAL_SAAR_UNUSED" hidden="1">"c6972"</definedName>
    <definedName name="IQ_EXPORTS_GOODS_REAL_SAAR_UNUSED_UNUSED_UNUSED" hidden="1">"c6972"</definedName>
    <definedName name="IQ_EXPORTS_GOODS_REAL_SAAR_YOY" hidden="1">"c11932"</definedName>
    <definedName name="IQ_EXPORTS_GOODS_REAL_SAAR_YOY_FC_UNUSED" hidden="1">"c8292"</definedName>
    <definedName name="IQ_EXPORTS_GOODS_REAL_SAAR_YOY_FC_UNUSED_UNUSED_UNUSED" hidden="1">"c8292"</definedName>
    <definedName name="IQ_EXPORTS_GOODS_REAL_SAAR_YOY_UNUSED" hidden="1">"c7412"</definedName>
    <definedName name="IQ_EXPORTS_GOODS_REAL_SAAR_YOY_UNUSED_UNUSED_UNUSED" hidden="1">"c7412"</definedName>
    <definedName name="IQ_EXPORTS_GOODS_REAL_YOY" hidden="1">"c7413"</definedName>
    <definedName name="IQ_EXPORTS_GOODS_REAL_YOY_FC" hidden="1">"c8293"</definedName>
    <definedName name="IQ_EXPORTS_GOODS_SERVICES" hidden="1">"c6866"</definedName>
    <definedName name="IQ_EXPORTS_GOODS_SERVICES_APR" hidden="1">"c7526"</definedName>
    <definedName name="IQ_EXPORTS_GOODS_SERVICES_APR_FC" hidden="1">"c8406"</definedName>
    <definedName name="IQ_EXPORTS_GOODS_SERVICES_FC" hidden="1">"c7746"</definedName>
    <definedName name="IQ_EXPORTS_GOODS_SERVICES_POP" hidden="1">"c7086"</definedName>
    <definedName name="IQ_EXPORTS_GOODS_SERVICES_POP_FC" hidden="1">"c7966"</definedName>
    <definedName name="IQ_EXPORTS_GOODS_SERVICES_REAL" hidden="1">"c6974"</definedName>
    <definedName name="IQ_EXPORTS_GOODS_SERVICES_REAL_APR" hidden="1">"c7634"</definedName>
    <definedName name="IQ_EXPORTS_GOODS_SERVICES_REAL_APR_FC" hidden="1">"c8514"</definedName>
    <definedName name="IQ_EXPORTS_GOODS_SERVICES_REAL_FC" hidden="1">"c7854"</definedName>
    <definedName name="IQ_EXPORTS_GOODS_SERVICES_REAL_POP" hidden="1">"c7194"</definedName>
    <definedName name="IQ_EXPORTS_GOODS_SERVICES_REAL_POP_FC" hidden="1">"c8074"</definedName>
    <definedName name="IQ_EXPORTS_GOODS_SERVICES_REAL_SAAR" hidden="1">"c6975"</definedName>
    <definedName name="IQ_EXPORTS_GOODS_SERVICES_REAL_SAAR_APR" hidden="1">"c7635"</definedName>
    <definedName name="IQ_EXPORTS_GOODS_SERVICES_REAL_SAAR_APR_FC" hidden="1">"c8515"</definedName>
    <definedName name="IQ_EXPORTS_GOODS_SERVICES_REAL_SAAR_FC" hidden="1">"c7855"</definedName>
    <definedName name="IQ_EXPORTS_GOODS_SERVICES_REAL_SAAR_POP" hidden="1">"c7195"</definedName>
    <definedName name="IQ_EXPORTS_GOODS_SERVICES_REAL_SAAR_POP_FC" hidden="1">"c8075"</definedName>
    <definedName name="IQ_EXPORTS_GOODS_SERVICES_REAL_SAAR_YOY" hidden="1">"c7415"</definedName>
    <definedName name="IQ_EXPORTS_GOODS_SERVICES_REAL_SAAR_YOY_FC" hidden="1">"c8295"</definedName>
    <definedName name="IQ_EXPORTS_GOODS_SERVICES_REAL_USD" hidden="1">"c11926"</definedName>
    <definedName name="IQ_EXPORTS_GOODS_SERVICES_REAL_USD_APR" hidden="1">"c11929"</definedName>
    <definedName name="IQ_EXPORTS_GOODS_SERVICES_REAL_USD_POP" hidden="1">"c11927"</definedName>
    <definedName name="IQ_EXPORTS_GOODS_SERVICES_REAL_USD_YOY" hidden="1">"c11928"</definedName>
    <definedName name="IQ_EXPORTS_GOODS_SERVICES_REAL_YOY" hidden="1">"c7414"</definedName>
    <definedName name="IQ_EXPORTS_GOODS_SERVICES_REAL_YOY_FC" hidden="1">"c8294"</definedName>
    <definedName name="IQ_EXPORTS_GOODS_SERVICES_SAAR" hidden="1">"c6867"</definedName>
    <definedName name="IQ_EXPORTS_GOODS_SERVICES_SAAR_APR" hidden="1">"c7527"</definedName>
    <definedName name="IQ_EXPORTS_GOODS_SERVICES_SAAR_APR_FC" hidden="1">"c8407"</definedName>
    <definedName name="IQ_EXPORTS_GOODS_SERVICES_SAAR_FC" hidden="1">"c7747"</definedName>
    <definedName name="IQ_EXPORTS_GOODS_SERVICES_SAAR_POP" hidden="1">"c7087"</definedName>
    <definedName name="IQ_EXPORTS_GOODS_SERVICES_SAAR_POP_FC" hidden="1">"c7967"</definedName>
    <definedName name="IQ_EXPORTS_GOODS_SERVICES_SAAR_YOY" hidden="1">"c7307"</definedName>
    <definedName name="IQ_EXPORTS_GOODS_SERVICES_SAAR_YOY_FC" hidden="1">"c8187"</definedName>
    <definedName name="IQ_EXPORTS_GOODS_SERVICES_USD" hidden="1">"c11822"</definedName>
    <definedName name="IQ_EXPORTS_GOODS_SERVICES_USD_APR" hidden="1">"c11825"</definedName>
    <definedName name="IQ_EXPORTS_GOODS_SERVICES_USD_POP" hidden="1">"c11823"</definedName>
    <definedName name="IQ_EXPORTS_GOODS_SERVICES_USD_YOY" hidden="1">"c11824"</definedName>
    <definedName name="IQ_EXPORTS_GOODS_SERVICES_YOY" hidden="1">"c7306"</definedName>
    <definedName name="IQ_EXPORTS_GOODS_SERVICES_YOY_FC" hidden="1">"c8186"</definedName>
    <definedName name="IQ_EXPORTS_GOODS_USD" hidden="1">"c11818"</definedName>
    <definedName name="IQ_EXPORTS_GOODS_USD_APR" hidden="1">"c11821"</definedName>
    <definedName name="IQ_EXPORTS_GOODS_USD_POP" hidden="1">"c11819"</definedName>
    <definedName name="IQ_EXPORTS_GOODS_USD_YOY" hidden="1">"c11820"</definedName>
    <definedName name="IQ_EXPORTS_GOODS_YOY" hidden="1">"c7304"</definedName>
    <definedName name="IQ_EXPORTS_GOODS_YOY_FC" hidden="1">"c8184"</definedName>
    <definedName name="IQ_EXPORTS_NONFACTOR_SERVICES" hidden="1">"c6868"</definedName>
    <definedName name="IQ_EXPORTS_NONFACTOR_SERVICES_APR" hidden="1">"c7528"</definedName>
    <definedName name="IQ_EXPORTS_NONFACTOR_SERVICES_APR_FC" hidden="1">"c8408"</definedName>
    <definedName name="IQ_EXPORTS_NONFACTOR_SERVICES_FC" hidden="1">"c7748"</definedName>
    <definedName name="IQ_EXPORTS_NONFACTOR_SERVICES_POP" hidden="1">"c7088"</definedName>
    <definedName name="IQ_EXPORTS_NONFACTOR_SERVICES_POP_FC" hidden="1">"c7968"</definedName>
    <definedName name="IQ_EXPORTS_NONFACTOR_SERVICES_YOY" hidden="1">"c7308"</definedName>
    <definedName name="IQ_EXPORTS_NONFACTOR_SERVICES_YOY_FC" hidden="1">"c8188"</definedName>
    <definedName name="IQ_EXPORTS_POP_FC_UNUSED" hidden="1">"c7961"</definedName>
    <definedName name="IQ_EXPORTS_POP_FC_UNUSED_UNUSED_UNUSED" hidden="1">"c7961"</definedName>
    <definedName name="IQ_EXPORTS_POP_UNUSED" hidden="1">"c7081"</definedName>
    <definedName name="IQ_EXPORTS_POP_UNUSED_UNUSED_UNUSED" hidden="1">"c7081"</definedName>
    <definedName name="IQ_EXPORTS_SERVICES_REAL" hidden="1">"c6977"</definedName>
    <definedName name="IQ_EXPORTS_SERVICES_REAL_APR" hidden="1">"c7637"</definedName>
    <definedName name="IQ_EXPORTS_SERVICES_REAL_APR_FC" hidden="1">"c8517"</definedName>
    <definedName name="IQ_EXPORTS_SERVICES_REAL_FC" hidden="1">"c7857"</definedName>
    <definedName name="IQ_EXPORTS_SERVICES_REAL_POP" hidden="1">"c7197"</definedName>
    <definedName name="IQ_EXPORTS_SERVICES_REAL_POP_FC" hidden="1">"c8077"</definedName>
    <definedName name="IQ_EXPORTS_SERVICES_REAL_SAAR" hidden="1">"c11934"</definedName>
    <definedName name="IQ_EXPORTS_SERVICES_REAL_SAAR_APR" hidden="1">"c11937"</definedName>
    <definedName name="IQ_EXPORTS_SERVICES_REAL_SAAR_APR_FC_UNUSED" hidden="1">"c8516"</definedName>
    <definedName name="IQ_EXPORTS_SERVICES_REAL_SAAR_APR_FC_UNUSED_UNUSED_UNUSED" hidden="1">"c8516"</definedName>
    <definedName name="IQ_EXPORTS_SERVICES_REAL_SAAR_APR_UNUSED" hidden="1">"c7636"</definedName>
    <definedName name="IQ_EXPORTS_SERVICES_REAL_SAAR_APR_UNUSED_UNUSED_UNUSED" hidden="1">"c7636"</definedName>
    <definedName name="IQ_EXPORTS_SERVICES_REAL_SAAR_FC_UNUSED" hidden="1">"c7856"</definedName>
    <definedName name="IQ_EXPORTS_SERVICES_REAL_SAAR_FC_UNUSED_UNUSED_UNUSED" hidden="1">"c7856"</definedName>
    <definedName name="IQ_EXPORTS_SERVICES_REAL_SAAR_POP" hidden="1">"c11935"</definedName>
    <definedName name="IQ_EXPORTS_SERVICES_REAL_SAAR_POP_FC_UNUSED" hidden="1">"c8076"</definedName>
    <definedName name="IQ_EXPORTS_SERVICES_REAL_SAAR_POP_FC_UNUSED_UNUSED_UNUSED" hidden="1">"c8076"</definedName>
    <definedName name="IQ_EXPORTS_SERVICES_REAL_SAAR_POP_UNUSED" hidden="1">"c7196"</definedName>
    <definedName name="IQ_EXPORTS_SERVICES_REAL_SAAR_POP_UNUSED_UNUSED_UNUSED" hidden="1">"c7196"</definedName>
    <definedName name="IQ_EXPORTS_SERVICES_REAL_SAAR_UNUSED" hidden="1">"c6976"</definedName>
    <definedName name="IQ_EXPORTS_SERVICES_REAL_SAAR_UNUSED_UNUSED_UNUSED" hidden="1">"c6976"</definedName>
    <definedName name="IQ_EXPORTS_SERVICES_REAL_SAAR_YOY" hidden="1">"c11936"</definedName>
    <definedName name="IQ_EXPORTS_SERVICES_REAL_SAAR_YOY_FC_UNUSED" hidden="1">"c8296"</definedName>
    <definedName name="IQ_EXPORTS_SERVICES_REAL_SAAR_YOY_FC_UNUSED_UNUSED_UNUSED" hidden="1">"c8296"</definedName>
    <definedName name="IQ_EXPORTS_SERVICES_REAL_SAAR_YOY_UNUSED" hidden="1">"c7416"</definedName>
    <definedName name="IQ_EXPORTS_SERVICES_REAL_SAAR_YOY_UNUSED_UNUSED_UNUSED" hidden="1">"c7416"</definedName>
    <definedName name="IQ_EXPORTS_SERVICES_REAL_YOY" hidden="1">"c7417"</definedName>
    <definedName name="IQ_EXPORTS_SERVICES_REAL_YOY_FC" hidden="1">"c8297"</definedName>
    <definedName name="IQ_EXPORTS_UNUSED" hidden="1">"c6861"</definedName>
    <definedName name="IQ_EXPORTS_UNUSED_UNUSED_UNUSED" hidden="1">"c6861"</definedName>
    <definedName name="IQ_EXPORTS_USD" hidden="1">"c11806"</definedName>
    <definedName name="IQ_EXPORTS_USD_APR" hidden="1">"c11809"</definedName>
    <definedName name="IQ_EXPORTS_USD_POP" hidden="1">"c11807"</definedName>
    <definedName name="IQ_EXPORTS_USD_YOY" hidden="1">"c11808"</definedName>
    <definedName name="IQ_EXPORTS_YOY_FC_UNUSED" hidden="1">"c8181"</definedName>
    <definedName name="IQ_EXPORTS_YOY_FC_UNUSED_UNUSED_UNUSED" hidden="1">"c8181"</definedName>
    <definedName name="IQ_EXPORTS_YOY_UNUSED" hidden="1">"c7301"</definedName>
    <definedName name="IQ_EXPORTS_YOY_UNUSED_UNUSED_UNUSED" hidden="1">"c7301"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AVG_ASSETS_FFIEC" hidden="1">"c13369"</definedName>
    <definedName name="IQ_EXTRA_ITEMS" hidden="1">"c1459"</definedName>
    <definedName name="IQ_EXTRA_ITEMS_OTHER_ADJUSTMENTS_FOREIGN_FFIEC" hidden="1">"c15392"</definedName>
    <definedName name="IQ_EXTRAORDINARY_GAINS_FDIC" hidden="1">"c6586"</definedName>
    <definedName name="IQ_EXTRAORDINARY_ITEMS_FFIEC" hidden="1">"c13033"</definedName>
    <definedName name="IQ_FAD" hidden="1">"c8757"</definedName>
    <definedName name="IQ_FAD_PAYOUT_RATIO" hidden="1">"c8872"</definedName>
    <definedName name="IQ_FAIR_VALUE_CHANGE_INCL_EARNINGS" hidden="1">"c13849"</definedName>
    <definedName name="IQ_FAIR_VALUE_DEBT" hidden="1">"c16007"</definedName>
    <definedName name="IQ_FAIR_VALUE_FDIC" hidden="1">"c6427"</definedName>
    <definedName name="IQ_FAIR_VALUE_FIN_INSTRUMENTS_NAV" hidden="1">"c16002"</definedName>
    <definedName name="IQ_FAIR_VALUE_FIN_INSTRUMENTS_NNAV" hidden="1">"c16006"</definedName>
    <definedName name="IQ_FAIR_VALUE_TRADING_PROP" hidden="1">"c16001"</definedName>
    <definedName name="IQ_FARM_LOANS_NET_FDIC" hidden="1">"c6316"</definedName>
    <definedName name="IQ_FARM_LOANS_TOT_LOANS_FFIEC" hidden="1">"c13870"</definedName>
    <definedName name="IQ_FARM_LOANS_TOTAL_LOANS_FOREIGN_FDIC" hidden="1">"c6450"</definedName>
    <definedName name="IQ_FARMLAND_DOM_FFIEC" hidden="1">"c15268"</definedName>
    <definedName name="IQ_FARMLAND_LOANS_FDIC" hidden="1">"c6314"</definedName>
    <definedName name="IQ_FDIC" hidden="1">"c417"</definedName>
    <definedName name="IQ_FDIC_DEPOSIT_INSURANCE_FFIEC" hidden="1">"c13053"</definedName>
    <definedName name="IQ_FED_BUDGET_RECEIPTS" hidden="1">"c6869"</definedName>
    <definedName name="IQ_FED_BUDGET_RECEIPTS_APR" hidden="1">"c7529"</definedName>
    <definedName name="IQ_FED_BUDGET_RECEIPTS_APR_FC" hidden="1">"c8409"</definedName>
    <definedName name="IQ_FED_BUDGET_RECEIPTS_FC" hidden="1">"c7749"</definedName>
    <definedName name="IQ_FED_BUDGET_RECEIPTS_POP" hidden="1">"c7089"</definedName>
    <definedName name="IQ_FED_BUDGET_RECEIPTS_POP_FC" hidden="1">"c7969"</definedName>
    <definedName name="IQ_FED_BUDGET_RECEIPTS_YOY" hidden="1">"c7309"</definedName>
    <definedName name="IQ_FED_BUDGET_RECEIPTS_YOY_FC" hidden="1">"c8189"</definedName>
    <definedName name="IQ_FED_FUND_PURCHASED_SEC_SOLD_REPURCHASE_FFIEC" hidden="1">"c15489"</definedName>
    <definedName name="IQ_FED_FUND_SOLD_SEC_PURCHASED_RESELL_FFIEC" hidden="1">"c15488"</definedName>
    <definedName name="IQ_FED_FUNDS_PURCH_SEC_SOLD_FAIR_VALUE_TOT_FFIEC" hidden="1">"c15406"</definedName>
    <definedName name="IQ_FED_FUNDS_PURCH_SEC_SOLD_LEVEL_1_FFIEC" hidden="1">"c15428"</definedName>
    <definedName name="IQ_FED_FUNDS_PURCH_SEC_SOLD_LEVEL_2_FFIEC" hidden="1">"c15441"</definedName>
    <definedName name="IQ_FED_FUNDS_PURCH_SEC_SOLD_LEVEL_3_FFIEC" hidden="1">"c15454"</definedName>
    <definedName name="IQ_FED_FUNDS_PURCHASED_DOM_FFIEC" hidden="1">"c12856"</definedName>
    <definedName name="IQ_FED_FUNDS_PURCHASED_FDIC" hidden="1">"c6343"</definedName>
    <definedName name="IQ_FED_FUNDS_PURCHASED_QUARTERLY_AVG_FFIEC" hidden="1">"c13090"</definedName>
    <definedName name="IQ_FED_FUNDS_SOLD_DOM_FFIEC" hidden="1">"c12806"</definedName>
    <definedName name="IQ_FED_FUNDS_SOLD_FDIC" hidden="1">"c6307"</definedName>
    <definedName name="IQ_FED_FUNDS_SOLD_QUARTERLY_AVG_FFIEC" hidden="1">"c13080"</definedName>
    <definedName name="IQ_FED_FUNDS_SOLD_SEC_PURCH_FAIR_VALUE_TOT_FFIEC" hidden="1">"c15402"</definedName>
    <definedName name="IQ_FED_FUNDS_SOLD_SEC_PURCH_LEVEL_1_FFIEC" hidden="1">"c15424"</definedName>
    <definedName name="IQ_FED_FUNDS_SOLD_SEC_PURCH_LEVEL_2_FFIEC" hidden="1">"c15437"</definedName>
    <definedName name="IQ_FED_FUNDS_SOLD_SEC_PURCH_LEVEL_3_FFIEC" hidden="1">"c15450"</definedName>
    <definedName name="IQ_FEDFUNDS_SOLD" hidden="1">"c2256"</definedName>
    <definedName name="IQ_FEES_COMMISSIONS_BROKERAGE_FFIEC" hidden="1">"c13005"</definedName>
    <definedName name="IQ_FEES_OTHER_INCOME" hidden="1">"c15257"</definedName>
    <definedName name="IQ_FFO" hidden="1">"c1574"</definedName>
    <definedName name="IQ_FFO_ACT_OR_EST" hidden="1">"c4446"</definedName>
    <definedName name="IQ_FFO_ADJ_ACT_OR_EST" hidden="1">"c4435"</definedName>
    <definedName name="IQ_FFO_ADJ_ACT_OR_EST_CIQ" hidden="1">"c4960"</definedName>
    <definedName name="IQ_FFO_ADJ_EST" hidden="1">"c4434"</definedName>
    <definedName name="IQ_FFO_ADJ_EST_CIQ" hidden="1">"c4959"</definedName>
    <definedName name="IQ_FFO_ADJ_GUIDANCE" hidden="1">"c4436"</definedName>
    <definedName name="IQ_FFO_ADJ_HIGH_EST" hidden="1">"c4437"</definedName>
    <definedName name="IQ_FFO_ADJ_HIGH_EST_CIQ" hidden="1">"c4962"</definedName>
    <definedName name="IQ_FFO_ADJ_HIGH_GUIDANCE" hidden="1">"c4202"</definedName>
    <definedName name="IQ_FFO_ADJ_LOW_EST" hidden="1">"c4438"</definedName>
    <definedName name="IQ_FFO_ADJ_LOW_EST_CIQ" hidden="1">"c4963"</definedName>
    <definedName name="IQ_FFO_ADJ_LOW_GUIDANCE" hidden="1">"c4242"</definedName>
    <definedName name="IQ_FFO_ADJ_MEDIAN_EST" hidden="1">"c4439"</definedName>
    <definedName name="IQ_FFO_ADJ_MEDIAN_EST_CIQ" hidden="1">"c4964"</definedName>
    <definedName name="IQ_FFO_ADJ_NUM_EST" hidden="1">"c4440"</definedName>
    <definedName name="IQ_FFO_ADJ_NUM_EST_CIQ" hidden="1">"c4965"</definedName>
    <definedName name="IQ_FFO_ADJ_STDDEV_EST" hidden="1">"c4441"</definedName>
    <definedName name="IQ_FFO_ADJ_STDDEV_EST_CIQ" hidden="1">"c4966"</definedName>
    <definedName name="IQ_FFO_DILUTED" hidden="1">"c16186"</definedName>
    <definedName name="IQ_FFO_EST" hidden="1">"c418"</definedName>
    <definedName name="IQ_FFO_EST_CIQ" hidden="1">"c4970"</definedName>
    <definedName name="IQ_FFO_EST_DET_EST" hidden="1">"c12059"</definedName>
    <definedName name="IQ_FFO_EST_DET_EST_CIQ" hidden="1">"c12121"</definedName>
    <definedName name="IQ_FFO_EST_DET_EST_CIQ_COL" hidden="1">"c12185"</definedName>
    <definedName name="IQ_FFO_EST_DET_EST_CURRENCY" hidden="1">"c12466"</definedName>
    <definedName name="IQ_FFO_EST_DET_EST_CURRENCY_CIQ" hidden="1">"c12512"</definedName>
    <definedName name="IQ_FFO_EST_DET_EST_CURRENCY_CIQ_COL" hidden="1">"c12560"</definedName>
    <definedName name="IQ_FFO_EST_DET_EST_CURRENCY_REUT" hidden="1">"c12536"</definedName>
    <definedName name="IQ_FFO_EST_DET_EST_CURRENCY_THOM" hidden="1">"c12487"</definedName>
    <definedName name="IQ_FFO_EST_DET_EST_DATE" hidden="1">"c12212"</definedName>
    <definedName name="IQ_FFO_EST_DET_EST_DATE_CIQ" hidden="1">"c12267"</definedName>
    <definedName name="IQ_FFO_EST_DET_EST_DATE_CIQ_COL" hidden="1">"c12323"</definedName>
    <definedName name="IQ_FFO_EST_DET_EST_DATE_REUT" hidden="1">"c12295"</definedName>
    <definedName name="IQ_FFO_EST_DET_EST_DATE_THOM" hidden="1">"c12238"</definedName>
    <definedName name="IQ_FFO_EST_DET_EST_INCL" hidden="1">"c12349"</definedName>
    <definedName name="IQ_FFO_EST_DET_EST_INCL_CIQ" hidden="1">"c12395"</definedName>
    <definedName name="IQ_FFO_EST_DET_EST_INCL_CIQ_COL" hidden="1">"c12443"</definedName>
    <definedName name="IQ_FFO_EST_DET_EST_INCL_REUT" hidden="1">"c12419"</definedName>
    <definedName name="IQ_FFO_EST_DET_EST_INCL_THOM" hidden="1">"c12370"</definedName>
    <definedName name="IQ_FFO_EST_DET_EST_ORIGIN" hidden="1">"c12722"</definedName>
    <definedName name="IQ_FFO_EST_DET_EST_ORIGIN_CIQ" hidden="1">"c12720"</definedName>
    <definedName name="IQ_FFO_EST_DET_EST_ORIGIN_CIQ_COL" hidden="1">"c12723"</definedName>
    <definedName name="IQ_FFO_EST_DET_EST_ORIGIN_REUT" hidden="1">"c12724"</definedName>
    <definedName name="IQ_FFO_EST_DET_EST_ORIGIN_THOM" hidden="1">"c12608"</definedName>
    <definedName name="IQ_FFO_EST_DET_EST_REUT" hidden="1">"c12153"</definedName>
    <definedName name="IQ_FFO_EST_DET_EST_THOM" hidden="1">"c12088"</definedName>
    <definedName name="IQ_FFO_EST_REUT" hidden="1">"c3837"</definedName>
    <definedName name="IQ_FFO_EST_THOM" hidden="1">"c3999"</definedName>
    <definedName name="IQ_FFO_GUIDANCE" hidden="1">"c4443"</definedName>
    <definedName name="IQ_FFO_HIGH_EST" hidden="1">"c419"</definedName>
    <definedName name="IQ_FFO_HIGH_EST_CIQ" hidden="1">"c4977"</definedName>
    <definedName name="IQ_FFO_HIGH_EST_REUT" hidden="1">"c3839"</definedName>
    <definedName name="IQ_FFO_HIGH_EST_THOM" hidden="1">"c4001"</definedName>
    <definedName name="IQ_FFO_HIGH_GUIDANCE" hidden="1">"c4184"</definedName>
    <definedName name="IQ_FFO_LOW_EST" hidden="1">"c420"</definedName>
    <definedName name="IQ_FFO_LOW_EST_CIQ" hidden="1">"c4978"</definedName>
    <definedName name="IQ_FFO_LOW_EST_REUT" hidden="1">"c3840"</definedName>
    <definedName name="IQ_FFO_LOW_EST_THOM" hidden="1">"c4002"</definedName>
    <definedName name="IQ_FFO_LOW_GUIDANCE" hidden="1">"c4224"</definedName>
    <definedName name="IQ_FFO_MEDIAN_EST" localSheetId="20" hidden="1">"c1665"</definedName>
    <definedName name="IQ_FFO_MEDIAN_EST" localSheetId="21" hidden="1">"c1665"</definedName>
    <definedName name="IQ_FFO_MEDIAN_EST" localSheetId="22" hidden="1">"c1665"</definedName>
    <definedName name="IQ_FFO_MEDIAN_EST" localSheetId="23" hidden="1">"c1665"</definedName>
    <definedName name="IQ_FFO_MEDIAN_EST" localSheetId="24" hidden="1">"c1665"</definedName>
    <definedName name="IQ_FFO_MEDIAN_EST" hidden="1">"c1665"</definedName>
    <definedName name="IQ_FFO_MEDIAN_EST_CIQ" hidden="1">"c4979"</definedName>
    <definedName name="IQ_FFO_MEDIAN_EST_REUT" hidden="1">"c3838"</definedName>
    <definedName name="IQ_FFO_MEDIAN_EST_THOM" hidden="1">"c4000"</definedName>
    <definedName name="IQ_FFO_NUM_EST" hidden="1">"c421"</definedName>
    <definedName name="IQ_FFO_NUM_EST_CIQ" hidden="1">"c4980"</definedName>
    <definedName name="IQ_FFO_NUM_EST_REUT" hidden="1">"c3841"</definedName>
    <definedName name="IQ_FFO_NUM_EST_THOM" hidden="1">"c4003"</definedName>
    <definedName name="IQ_FFO_PAYOUT_RATIO" hidden="1">"c3492"</definedName>
    <definedName name="IQ_FFO_PER_SHARE_BASIC" hidden="1">"c8867"</definedName>
    <definedName name="IQ_FFO_PER_SHARE_DILUTED" hidden="1">"c8868"</definedName>
    <definedName name="IQ_FFO_SHARE_ACT_OR_EST" hidden="1">"c2216"</definedName>
    <definedName name="IQ_FFO_SHARE_ACT_OR_EST_CIQ" hidden="1">"c4971"</definedName>
    <definedName name="IQ_FFO_SHARE_EST" hidden="1">"c418"</definedName>
    <definedName name="IQ_FFO_SHARE_EST_CIQ" hidden="1">"c3668"</definedName>
    <definedName name="IQ_FFO_SHARE_GUIDANCE" hidden="1">"c4447"</definedName>
    <definedName name="IQ_FFO_SHARE_HIGH_EST" hidden="1">"c419"</definedName>
    <definedName name="IQ_FFO_SHARE_HIGH_EST_CIQ" hidden="1">"c3670"</definedName>
    <definedName name="IQ_FFO_SHARE_HIGH_GUIDANCE" hidden="1">"c4203"</definedName>
    <definedName name="IQ_FFO_SHARE_LOW_EST" hidden="1">"c420"</definedName>
    <definedName name="IQ_FFO_SHARE_LOW_EST_CIQ" hidden="1">"c3671"</definedName>
    <definedName name="IQ_FFO_SHARE_LOW_GUIDANCE" hidden="1">"c4243"</definedName>
    <definedName name="IQ_FFO_SHARE_MEDIAN_EST" hidden="1">"c1665"</definedName>
    <definedName name="IQ_FFO_SHARE_MEDIAN_EST_CIQ" hidden="1">"c3669"</definedName>
    <definedName name="IQ_FFO_SHARE_NUM_EST" hidden="1">"c421"</definedName>
    <definedName name="IQ_FFO_SHARE_NUM_EST_CIQ" hidden="1">"c3672"</definedName>
    <definedName name="IQ_FFO_SHARE_STDDEV_EST" hidden="1">"c422"</definedName>
    <definedName name="IQ_FFO_SHARE_STDDEV_EST_CIQ" hidden="1">"c3673"</definedName>
    <definedName name="IQ_FFO_SHARES_BASIC" hidden="1">"c16185"</definedName>
    <definedName name="IQ_FFO_SHARES_DILUTED" hidden="1">"c16187"</definedName>
    <definedName name="IQ_FFO_STDDEV_EST" hidden="1">"c422"</definedName>
    <definedName name="IQ_FFO_STDDEV_EST_CIQ" hidden="1">"c4981"</definedName>
    <definedName name="IQ_FFO_STDDEV_EST_REUT" hidden="1">"c3842"</definedName>
    <definedName name="IQ_FFO_STDDEV_EST_THOM" hidden="1">"c4004"</definedName>
    <definedName name="IQ_FFO_TOTAL_REVENUE" hidden="1">"c16060"</definedName>
    <definedName name="IQ_FH" hidden="1">100000</definedName>
    <definedName name="IQ_FHLB_ADVANCES_FDIC" hidden="1">"c6366"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DUCIARY_ACTIVITIES_FDIC" hidden="1">"c6571"</definedName>
    <definedName name="IQ_FIDUCIARY_INCOME_OPERATING_INC_FFIEC" hidden="1">"c13383"</definedName>
    <definedName name="IQ_FIFETEEN_YEAR_FIXED_AND_FLOATING_RATE_FDIC" hidden="1">"c6423"</definedName>
    <definedName name="IQ_FIFETEEN_YEAR_MORTGAGE_PASS_THROUGHS_FDIC" hidden="1">"c6415"</definedName>
    <definedName name="IQ_FILING_CURRENCY" hidden="1">"c2129"</definedName>
    <definedName name="IQ_FILING_CURRENCY_AP" hidden="1">"c11747"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ATA_SOURCE" hidden="1">"c6788"</definedName>
    <definedName name="IQ_FIN_DIV_ASSETS_CURRENT" hidden="1">"c427"</definedName>
    <definedName name="IQ_FIN_DIV_ASSETS_LT" hidden="1">"c428"</definedName>
    <definedName name="IQ_FIN_DIV_CASH_EQUIV" hidden="1">"c6289"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DEBT_TOTAL" hidden="1">"c5656"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_DIV_ST_INVEST" hidden="1">"c6288"</definedName>
    <definedName name="IQ_FINANCIAL_LOC_FOREIGN_GUARANTEES_FFIEC" hidden="1">"c13249"</definedName>
    <definedName name="IQ_FINANCIAL_SERVICING_ASSETS_FAIR_VALUE_TOT_FFIEC" hidden="1">"c13212"</definedName>
    <definedName name="IQ_FINANCIAL_SERVICING_ASSETS_LEVEL_1_FFIEC" hidden="1">"c13220"</definedName>
    <definedName name="IQ_FINANCIAL_SERVICING_ASSETS_LEVEL_2_FFIEC" hidden="1">"c13228"</definedName>
    <definedName name="IQ_FINANCIAL_SERVICING_ASSETS_LEVEL_3_FFIEC" hidden="1">"c13236"</definedName>
    <definedName name="IQ_FINANCIAL_SERVICING_LIAB_FAIR_VALUE_TOT_FFIEC" hidden="1">"c13215"</definedName>
    <definedName name="IQ_FINANCIAL_SERVICING_LIAB_LEVEL_1_FFIEC" hidden="1">"c13223"</definedName>
    <definedName name="IQ_FINANCIAL_SERVICING_LIAB_LEVEL_2_FFIEC" hidden="1">"c13231"</definedName>
    <definedName name="IQ_FINANCIAL_SERVICING_LIAB_LEVEL_3_FFIEC" hidden="1">"c13239"</definedName>
    <definedName name="IQ_FINANCING_CASH" hidden="1">"c1405"</definedName>
    <definedName name="IQ_FINANCING_CASH_SUPPL" hidden="1">"c1406"</definedName>
    <definedName name="IQ_FINANCING_OBLIG_CURRENT" hidden="1">"c11753"</definedName>
    <definedName name="IQ_FINANCING_OBLIG_NON_CURRENT" hidden="1">"c11754"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Q_EST" hidden="1">"c6794"</definedName>
    <definedName name="IQ_FISCAL_Q_EST_CIQ" hidden="1">"c6806"</definedName>
    <definedName name="IQ_FISCAL_Q_EST_THOM" hidden="1">"c6802"</definedName>
    <definedName name="IQ_FISCAL_Y" hidden="1">"c441"</definedName>
    <definedName name="IQ_FISCAL_Y_EST" hidden="1">"c6795"</definedName>
    <definedName name="IQ_FISCAL_Y_EST_CIQ" hidden="1">"c6807"</definedName>
    <definedName name="IQ_FISCAL_Y_EST_THOM" hidden="1">"c6803"</definedName>
    <definedName name="IQ_FIVE_PERCENT_OWNER" hidden="1">"c442"</definedName>
    <definedName name="IQ_FIVE_YEAR_FIXED_AND_FLOATING_RATE_FDIC" hidden="1">"c6422"</definedName>
    <definedName name="IQ_FIVE_YEAR_MORTGAGE_PASS_THROUGHS_FDIC" hidden="1">"c6414"</definedName>
    <definedName name="IQ_FIVEPERCENT_PERCENT" hidden="1">"c443"</definedName>
    <definedName name="IQ_FIVEPERCENT_SHARES" hidden="1">"c444"</definedName>
    <definedName name="IQ_FIX_FREQUENCY" hidden="1">"c8964"</definedName>
    <definedName name="IQ_FIXED_ASSET_TURNS" hidden="1">"c445"</definedName>
    <definedName name="IQ_FIXED_INCOME_LIST" hidden="1">"c13504"</definedName>
    <definedName name="IQ_FIXED_INVEST_APR_FC_UNUSED" hidden="1">"c8410"</definedName>
    <definedName name="IQ_FIXED_INVEST_APR_FC_UNUSED_UNUSED_UNUSED" hidden="1">"c8410"</definedName>
    <definedName name="IQ_FIXED_INVEST_APR_UNUSED" hidden="1">"c7530"</definedName>
    <definedName name="IQ_FIXED_INVEST_APR_UNUSED_UNUSED_UNUSED" hidden="1">"c7530"</definedName>
    <definedName name="IQ_FIXED_INVEST_FC_UNUSED" hidden="1">"c7750"</definedName>
    <definedName name="IQ_FIXED_INVEST_FC_UNUSED_UNUSED_UNUSED" hidden="1">"c7750"</definedName>
    <definedName name="IQ_FIXED_INVEST_MACH_EQUIP" hidden="1">"c6871"</definedName>
    <definedName name="IQ_FIXED_INVEST_MACH_EQUIP_APR" hidden="1">"c7531"</definedName>
    <definedName name="IQ_FIXED_INVEST_MACH_EQUIP_APR_FC" hidden="1">"c8411"</definedName>
    <definedName name="IQ_FIXED_INVEST_MACH_EQUIP_FC" hidden="1">"c7751"</definedName>
    <definedName name="IQ_FIXED_INVEST_MACH_EQUIP_POP" hidden="1">"c7091"</definedName>
    <definedName name="IQ_FIXED_INVEST_MACH_EQUIP_POP_FC" hidden="1">"c7971"</definedName>
    <definedName name="IQ_FIXED_INVEST_MACH_EQUIP_REAL" hidden="1">"c6979"</definedName>
    <definedName name="IQ_FIXED_INVEST_MACH_EQUIP_REAL_APR" hidden="1">"c7639"</definedName>
    <definedName name="IQ_FIXED_INVEST_MACH_EQUIP_REAL_APR_FC" hidden="1">"c8519"</definedName>
    <definedName name="IQ_FIXED_INVEST_MACH_EQUIP_REAL_FC" hidden="1">"c7859"</definedName>
    <definedName name="IQ_FIXED_INVEST_MACH_EQUIP_REAL_POP" hidden="1">"c7199"</definedName>
    <definedName name="IQ_FIXED_INVEST_MACH_EQUIP_REAL_POP_FC" hidden="1">"c8079"</definedName>
    <definedName name="IQ_FIXED_INVEST_MACH_EQUIP_REAL_YOY" hidden="1">"c7419"</definedName>
    <definedName name="IQ_FIXED_INVEST_MACH_EQUIP_REAL_YOY_FC" hidden="1">"c8299"</definedName>
    <definedName name="IQ_FIXED_INVEST_MACH_EQUIP_YOY" hidden="1">"c7311"</definedName>
    <definedName name="IQ_FIXED_INVEST_MACH_EQUIP_YOY_FC" hidden="1">"c8191"</definedName>
    <definedName name="IQ_FIXED_INVEST_POP_FC_UNUSED" hidden="1">"c7970"</definedName>
    <definedName name="IQ_FIXED_INVEST_POP_FC_UNUSED_UNUSED_UNUSED" hidden="1">"c7970"</definedName>
    <definedName name="IQ_FIXED_INVEST_POP_UNUSED" hidden="1">"c7090"</definedName>
    <definedName name="IQ_FIXED_INVEST_POP_UNUSED_UNUSED_UNUSED" hidden="1">"c7090"</definedName>
    <definedName name="IQ_FIXED_INVEST_REAL_APR_FC_UNUSED" hidden="1">"c8518"</definedName>
    <definedName name="IQ_FIXED_INVEST_REAL_APR_FC_UNUSED_UNUSED_UNUSED" hidden="1">"c8518"</definedName>
    <definedName name="IQ_FIXED_INVEST_REAL_APR_UNUSED" hidden="1">"c7638"</definedName>
    <definedName name="IQ_FIXED_INVEST_REAL_APR_UNUSED_UNUSED_UNUSED" hidden="1">"c7638"</definedName>
    <definedName name="IQ_FIXED_INVEST_REAL_FC_UNUSED" hidden="1">"c7858"</definedName>
    <definedName name="IQ_FIXED_INVEST_REAL_FC_UNUSED_UNUSED_UNUSED" hidden="1">"c7858"</definedName>
    <definedName name="IQ_FIXED_INVEST_REAL_POP_FC_UNUSED" hidden="1">"c8078"</definedName>
    <definedName name="IQ_FIXED_INVEST_REAL_POP_FC_UNUSED_UNUSED_UNUSED" hidden="1">"c8078"</definedName>
    <definedName name="IQ_FIXED_INVEST_REAL_POP_UNUSED" hidden="1">"c7198"</definedName>
    <definedName name="IQ_FIXED_INVEST_REAL_POP_UNUSED_UNUSED_UNUSED" hidden="1">"c7198"</definedName>
    <definedName name="IQ_FIXED_INVEST_REAL_SAAR" hidden="1">"c6980"</definedName>
    <definedName name="IQ_FIXED_INVEST_REAL_SAAR_APR" hidden="1">"c7640"</definedName>
    <definedName name="IQ_FIXED_INVEST_REAL_SAAR_APR_FC" hidden="1">"c8520"</definedName>
    <definedName name="IQ_FIXED_INVEST_REAL_SAAR_FC" hidden="1">"c7860"</definedName>
    <definedName name="IQ_FIXED_INVEST_REAL_SAAR_POP" hidden="1">"c7200"</definedName>
    <definedName name="IQ_FIXED_INVEST_REAL_SAAR_POP_FC" hidden="1">"c8080"</definedName>
    <definedName name="IQ_FIXED_INVEST_REAL_SAAR_USD_APR_FC" hidden="1">"c11945"</definedName>
    <definedName name="IQ_FIXED_INVEST_REAL_SAAR_USD_FC" hidden="1">"c11942"</definedName>
    <definedName name="IQ_FIXED_INVEST_REAL_SAAR_USD_POP_FC" hidden="1">"c11943"</definedName>
    <definedName name="IQ_FIXED_INVEST_REAL_SAAR_USD_YOY_FC" hidden="1">"c11944"</definedName>
    <definedName name="IQ_FIXED_INVEST_REAL_SAAR_YOY" hidden="1">"c7420"</definedName>
    <definedName name="IQ_FIXED_INVEST_REAL_SAAR_YOY_FC" hidden="1">"c8300"</definedName>
    <definedName name="IQ_FIXED_INVEST_REAL_UNUSED" hidden="1">"c6978"</definedName>
    <definedName name="IQ_FIXED_INVEST_REAL_UNUSED_UNUSED_UNUSED" hidden="1">"c6978"</definedName>
    <definedName name="IQ_FIXED_INVEST_REAL_USD_APR_FC" hidden="1">"c11941"</definedName>
    <definedName name="IQ_FIXED_INVEST_REAL_USD_FC" hidden="1">"c11938"</definedName>
    <definedName name="IQ_FIXED_INVEST_REAL_USD_POP_FC" hidden="1">"c11939"</definedName>
    <definedName name="IQ_FIXED_INVEST_REAL_USD_YOY_FC" hidden="1">"c11940"</definedName>
    <definedName name="IQ_FIXED_INVEST_REAL_YOY_FC_UNUSED" hidden="1">"c8298"</definedName>
    <definedName name="IQ_FIXED_INVEST_REAL_YOY_FC_UNUSED_UNUSED_UNUSED" hidden="1">"c8298"</definedName>
    <definedName name="IQ_FIXED_INVEST_REAL_YOY_UNUSED" hidden="1">"c7418"</definedName>
    <definedName name="IQ_FIXED_INVEST_REAL_YOY_UNUSED_UNUSED_UNUSED" hidden="1">"c7418"</definedName>
    <definedName name="IQ_FIXED_INVEST_SAAR" hidden="1">"c6872"</definedName>
    <definedName name="IQ_FIXED_INVEST_SAAR_APR" hidden="1">"c7532"</definedName>
    <definedName name="IQ_FIXED_INVEST_SAAR_APR_FC" hidden="1">"c8412"</definedName>
    <definedName name="IQ_FIXED_INVEST_SAAR_FC" hidden="1">"c7752"</definedName>
    <definedName name="IQ_FIXED_INVEST_SAAR_POP" hidden="1">"c7092"</definedName>
    <definedName name="IQ_FIXED_INVEST_SAAR_POP_FC" hidden="1">"c7972"</definedName>
    <definedName name="IQ_FIXED_INVEST_SAAR_USD_APR_FC" hidden="1">"c11833"</definedName>
    <definedName name="IQ_FIXED_INVEST_SAAR_USD_FC" hidden="1">"c11830"</definedName>
    <definedName name="IQ_FIXED_INVEST_SAAR_USD_POP_FC" hidden="1">"c11831"</definedName>
    <definedName name="IQ_FIXED_INVEST_SAAR_USD_YOY_FC" hidden="1">"c11832"</definedName>
    <definedName name="IQ_FIXED_INVEST_SAAR_YOY" hidden="1">"c7312"</definedName>
    <definedName name="IQ_FIXED_INVEST_SAAR_YOY_FC" hidden="1">"c8192"</definedName>
    <definedName name="IQ_FIXED_INVEST_UNUSED" hidden="1">"c6870"</definedName>
    <definedName name="IQ_FIXED_INVEST_UNUSED_UNUSED_UNUSED" hidden="1">"c6870"</definedName>
    <definedName name="IQ_FIXED_INVEST_USD_APR_FC" hidden="1">"c11829"</definedName>
    <definedName name="IQ_FIXED_INVEST_USD_FC" hidden="1">"c11826"</definedName>
    <definedName name="IQ_FIXED_INVEST_USD_POP_FC" hidden="1">"c11827"</definedName>
    <definedName name="IQ_FIXED_INVEST_USD_YOY_FC" hidden="1">"c11828"</definedName>
    <definedName name="IQ_FIXED_INVEST_YOY_FC_UNUSED" hidden="1">"c8190"</definedName>
    <definedName name="IQ_FIXED_INVEST_YOY_FC_UNUSED_UNUSED_UNUSED" hidden="1">"c8190"</definedName>
    <definedName name="IQ_FIXED_INVEST_YOY_UNUSED" hidden="1">"c7310"</definedName>
    <definedName name="IQ_FIXED_INVEST_YOY_UNUSED_UNUSED_UNUSED" hidden="1">"c7310"</definedName>
    <definedName name="IQ_FLOAT_PERCENT" hidden="1">"c1575"</definedName>
    <definedName name="IQ_FNMA_FHLMC_FDIC" hidden="1">"c6397"</definedName>
    <definedName name="IQ_FNMA_FHLMC_GNMA_FDIC" hidden="1">"c6399"</definedName>
    <definedName name="IQ_FORECLOSED_PROP_GNMA_LOANS_FFIEC" hidden="1">"c15272"</definedName>
    <definedName name="IQ_FORECLOSED_PROPERTIES_FDIC" hidden="1">"c6459"</definedName>
    <definedName name="IQ_FOREIGN_BANK_LOANS_FDIC" hidden="1">"c6437"</definedName>
    <definedName name="IQ_FOREIGN_BANKS_DEPOSITS_FOREIGN_FDIC" hidden="1">"c6481"</definedName>
    <definedName name="IQ_FOREIGN_BANKS_DUE_30_89_FFIEC" hidden="1">"c13269"</definedName>
    <definedName name="IQ_FOREIGN_BANKS_DUE_90_FFIEC" hidden="1">"c13295"</definedName>
    <definedName name="IQ_FOREIGN_BANKS_LOAN_CHARG_OFFS_FDIC" hidden="1">"c6645"</definedName>
    <definedName name="IQ_FOREIGN_BANKS_NET_CHARGE_OFFS_FDIC" hidden="1">"c6647"</definedName>
    <definedName name="IQ_FOREIGN_BANKS_NON_ACCRUAL_FFIEC" hidden="1">"c13321"</definedName>
    <definedName name="IQ_FOREIGN_BANKS_NONTRANSACTION_ACCOUNTS_FDIC" hidden="1">"c6550"</definedName>
    <definedName name="IQ_FOREIGN_BANKS_RECOVERIES_FDIC" hidden="1">"c6646"</definedName>
    <definedName name="IQ_FOREIGN_BANKS_TRANSACTION_ACCOUNTS_FDIC" hidden="1">"c6542"</definedName>
    <definedName name="IQ_FOREIGN_BRANCHES_U.S._BANKS_LOANS_FDIC" hidden="1">"c6438"</definedName>
    <definedName name="IQ_FOREIGN_BRANCHES_US_BANKS_FDIC" hidden="1">"c6392"</definedName>
    <definedName name="IQ_FOREIGN_BRANCHES_US_BANKS_LOANS_FDIC" hidden="1">"c6438"</definedName>
    <definedName name="IQ_FOREIGN_COUNTRIES_BANKS_TOTAL_LOANS_FOREIGN_FDIC" hidden="1">"c6445"</definedName>
    <definedName name="IQ_FOREIGN_DEBT_SECURITIES_FDIC" hidden="1">"c6303"</definedName>
    <definedName name="IQ_FOREIGN_DEP_IB" hidden="1">"c446"</definedName>
    <definedName name="IQ_FOREIGN_DEP_NON_IB" hidden="1">"c447"</definedName>
    <definedName name="IQ_FOREIGN_DEPOSITS_ASSETS_TOT_FFIEC" hidden="1">"c13445"</definedName>
    <definedName name="IQ_FOREIGN_DEPOSITS_NONTRANSACTION_ACCOUNTS_FDIC" hidden="1">"c6549"</definedName>
    <definedName name="IQ_FOREIGN_DEPOSITS_TOT_FFIEC" hidden="1">"c13486"</definedName>
    <definedName name="IQ_FOREIGN_DEPOSITS_TOTAL_DEPOSITS" hidden="1">"c15719"</definedName>
    <definedName name="IQ_FOREIGN_DEPOSITS_TRANSACTION_ACCOUNTS_FDIC" hidden="1">"c6541"</definedName>
    <definedName name="IQ_FOREIGN_EXCHANGE" hidden="1">"c1376"</definedName>
    <definedName name="IQ_FOREIGN_EXCHANGE_EXPOSURES_FDIC" hidden="1">"c6663"</definedName>
    <definedName name="IQ_FOREIGN_GOVERNMENT_LOANS_FDIC" hidden="1">"c6430"</definedName>
    <definedName name="IQ_FOREIGN_GOVERNMENTS_CHARGE_OFFS_FDIC" hidden="1">"c6600"</definedName>
    <definedName name="IQ_FOREIGN_GOVERNMENTS_DEPOSITS_FOREIGN_FDIC" hidden="1">"c6482"</definedName>
    <definedName name="IQ_FOREIGN_GOVERNMENTS_NET_CHARGE_OFFS_FDIC" hidden="1">"c6638"</definedName>
    <definedName name="IQ_FOREIGN_GOVERNMENTS_NONTRANSACTION_ACCOUNTS_FDIC" hidden="1">"c6551"</definedName>
    <definedName name="IQ_FOREIGN_GOVERNMENTS_RECOVERIES_FDIC" hidden="1">"c6619"</definedName>
    <definedName name="IQ_FOREIGN_GOVERNMENTS_TOTAL_DEPOSITS_FDIC" hidden="1">"c6476"</definedName>
    <definedName name="IQ_FOREIGN_GOVERNMENTS_TRANSACTION_ACCOUNTS_FDIC" hidden="1">"c6543"</definedName>
    <definedName name="IQ_FOREIGN_GOVT_OFFICIAL_INST_FOREIGN_DEP_FFIEC" hidden="1">"c15345"</definedName>
    <definedName name="IQ_FOREIGN_GOVT_OFFICIAL_INST_NON_TRANS_ACCTS_FFIEC" hidden="1">"c15327"</definedName>
    <definedName name="IQ_FOREIGN_GOVT_OFFICIAL_INST_TRANS_ACCTS_FFIEC" hidden="1">"c15319"</definedName>
    <definedName name="IQ_FOREIGN_LL_REC_FFIEC" hidden="1">"c12892"</definedName>
    <definedName name="IQ_FOREIGN_LOANS" hidden="1">"c448"</definedName>
    <definedName name="IQ_FOREIGN_LOANS_LEASES_FOREIGN_FFIEC" hidden="1">"c13478"</definedName>
    <definedName name="IQ_FOREIGN_LOANS_TOTAL_LOANS" hidden="1">"c15714"</definedName>
    <definedName name="IQ_FOUNDATION_OVER_TOTAL" hidden="1">"c13769"</definedName>
    <definedName name="IQ_FQ" hidden="1">500</definedName>
    <definedName name="IQ_FUEL" hidden="1">"c449"</definedName>
    <definedName name="IQ_FULL_TIME" hidden="1">"c450"</definedName>
    <definedName name="IQ_FULLY_INSURED_BROKERED_DEPOSITS_FFIEC" hidden="1">"c15305"</definedName>
    <definedName name="IQ_FULLY_INSURED_DEPOSITS_FDIC" hidden="1">"c6487"</definedName>
    <definedName name="IQ_FUND_FEE_INC_NON_INT_INC_FFIEC" hidden="1">"c13493"</definedName>
    <definedName name="IQ_FUND_NAV" hidden="1">"c15225"</definedName>
    <definedName name="IQ_FUNDING_DEPENDENCE_FFIEC" hidden="1">"c13336"</definedName>
    <definedName name="IQ_FUNDING_DEPENDENCE_ST_FFIEC" hidden="1">"c13337"</definedName>
    <definedName name="IQ_FUNDS_PURCHASED_ASSETS_TOT_FFIEC" hidden="1">"c13446"</definedName>
    <definedName name="IQ_FUTURES_FORWARD_CONTRACTS_NOTIONAL_AMOUNT_FDIC" hidden="1">"c6518"</definedName>
    <definedName name="IQ_FUTURES_FORWARD_CONTRACTS_RATE_RISK_FDIC" hidden="1">"c6508"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X_CONTRACTS_FDIC" hidden="1">"c6517"</definedName>
    <definedName name="IQ_FX_CONTRACTS_FFIEC" hidden="1">"c13125"</definedName>
    <definedName name="IQ_FX_CONTRACTS_SPOT_FDIC" hidden="1">"c6356"</definedName>
    <definedName name="IQ_FX_EXPOSURE_FFIEC" hidden="1">"c13059"</definedName>
    <definedName name="IQ_FY" hidden="1">1000</definedName>
    <definedName name="IQ_GA_EXP" hidden="1">"c2241"</definedName>
    <definedName name="IQ_GAAP_BS" hidden="1">"c6789"</definedName>
    <definedName name="IQ_GAAP_CF" hidden="1">"c6790"</definedName>
    <definedName name="IQ_GAAP_EST_CIQ" hidden="1">"c13924"</definedName>
    <definedName name="IQ_GAAP_IS" hidden="1">"c6194"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CREDIT_DERIVATIVES_FFIEC" hidden="1">"c13066"</definedName>
    <definedName name="IQ_GAIN_CREDIT_DERIVATIVES_NON_TRADING_FFIEC" hidden="1">"c13067"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LOSS_HTM_AFS_SECURITIES_FOREIGN_FFIEC" hidden="1">"c15384"</definedName>
    <definedName name="IQ_GAIN_SALE_ASSETS" hidden="1">"c1377"</definedName>
    <definedName name="IQ_GAIN_SALE_LOANS_FDIC" hidden="1">"c6673"</definedName>
    <definedName name="IQ_GAIN_SALE_RE_FDIC" hidden="1">"c6674"</definedName>
    <definedName name="IQ_GAINS_AFS_AVG_ASSETS_FFIEC" hidden="1">"c13364"</definedName>
    <definedName name="IQ_GAINS_ASSETS_TOT_FFIEC" hidden="1">"c13073"</definedName>
    <definedName name="IQ_GAINS_AVAIL_SALE_EQUITY_SEC_T2_FFIEC" hidden="1">"c13147"</definedName>
    <definedName name="IQ_GAINS_AVAIL_SALE_SEC_T1_FFIEC" hidden="1">"c13131"</definedName>
    <definedName name="IQ_GAINS_CASH_FLOW_HEDGES_T1_FFIEC" hidden="1">"c13133"</definedName>
    <definedName name="IQ_GAINS_HTM_AVG_ASSETS_FFIEC" hidden="1">"c13363"</definedName>
    <definedName name="IQ_GAINS_INSTRUMENT_SPECIFIC_CREDIT_RISK_LIAB_FFIEC" hidden="1">"c13076"</definedName>
    <definedName name="IQ_GAINS_INSTRUMENT_SPECIFIC_RISK_FFIEC" hidden="1">"c13074"</definedName>
    <definedName name="IQ_GAINS_INSURANCE_ACTIVITIES_FFIEC" hidden="1">"c13072"</definedName>
    <definedName name="IQ_GAINS_LIABILITIES_FFIEC" hidden="1">"c13075"</definedName>
    <definedName name="IQ_GAINS_SALE_ASSETS_FDIC" hidden="1">"c6675"</definedName>
    <definedName name="IQ_GAINS_SALE_LOANS_LEASES_FFIEC" hidden="1">"c13013"</definedName>
    <definedName name="IQ_GAINS_SALE_OTHER_ASSETS_FFIEC" hidden="1">"c13015"</definedName>
    <definedName name="IQ_GAINS_SALE_OTHER_RE_OWNED_FFIEC" hidden="1">"c13014"</definedName>
    <definedName name="IQ_GAINS_SECURITIZATION_OPERATING_INC_FFIEC" hidden="1">"c13391"</definedName>
    <definedName name="IQ_GDP" hidden="1">"c6874"</definedName>
    <definedName name="IQ_GDP_APR" hidden="1">"c7534"</definedName>
    <definedName name="IQ_GDP_APR_FC" hidden="1">"c8414"</definedName>
    <definedName name="IQ_GDP_FC" hidden="1">"c7754"</definedName>
    <definedName name="IQ_GDP_POP" hidden="1">"c7094"</definedName>
    <definedName name="IQ_GDP_POP_FC" hidden="1">"c7974"</definedName>
    <definedName name="IQ_GDP_REAL" hidden="1">"c6981"</definedName>
    <definedName name="IQ_GDP_REAL_APR" hidden="1">"c7641"</definedName>
    <definedName name="IQ_GDP_REAL_APR_FC" hidden="1">"c8521"</definedName>
    <definedName name="IQ_GDP_REAL_FC" hidden="1">"c7861"</definedName>
    <definedName name="IQ_GDP_REAL_POP" hidden="1">"c7201"</definedName>
    <definedName name="IQ_GDP_REAL_POP_FC" hidden="1">"c8081"</definedName>
    <definedName name="IQ_GDP_REAL_SAAR" hidden="1">"c6982"</definedName>
    <definedName name="IQ_GDP_REAL_SAAR_APR" hidden="1">"c7642"</definedName>
    <definedName name="IQ_GDP_REAL_SAAR_APR_FC" hidden="1">"c8522"</definedName>
    <definedName name="IQ_GDP_REAL_SAAR_FC" hidden="1">"c7862"</definedName>
    <definedName name="IQ_GDP_REAL_SAAR_POP" hidden="1">"c7202"</definedName>
    <definedName name="IQ_GDP_REAL_SAAR_POP_FC" hidden="1">"c8082"</definedName>
    <definedName name="IQ_GDP_REAL_SAAR_YOY" hidden="1">"c7422"</definedName>
    <definedName name="IQ_GDP_REAL_SAAR_YOY_FC" hidden="1">"c8302"</definedName>
    <definedName name="IQ_GDP_REAL_USD" hidden="1">"c11946"</definedName>
    <definedName name="IQ_GDP_REAL_USD_APR" hidden="1">"c11949"</definedName>
    <definedName name="IQ_GDP_REAL_USD_POP" hidden="1">"c11947"</definedName>
    <definedName name="IQ_GDP_REAL_USD_YOY" hidden="1">"c11948"</definedName>
    <definedName name="IQ_GDP_REAL_YOY" hidden="1">"c7421"</definedName>
    <definedName name="IQ_GDP_REAL_YOY_FC" hidden="1">"c8301"</definedName>
    <definedName name="IQ_GDP_SAAR" hidden="1">"c6875"</definedName>
    <definedName name="IQ_GDP_SAAR_APR" hidden="1">"c7535"</definedName>
    <definedName name="IQ_GDP_SAAR_APR_FC" hidden="1">"c8415"</definedName>
    <definedName name="IQ_GDP_SAAR_FC" hidden="1">"c7755"</definedName>
    <definedName name="IQ_GDP_SAAR_POP" hidden="1">"c7095"</definedName>
    <definedName name="IQ_GDP_SAAR_POP_FC" hidden="1">"c7975"</definedName>
    <definedName name="IQ_GDP_SAAR_YOY" hidden="1">"c7315"</definedName>
    <definedName name="IQ_GDP_SAAR_YOY_FC" hidden="1">"c8195"</definedName>
    <definedName name="IQ_GDP_USD" hidden="1">"c11834"</definedName>
    <definedName name="IQ_GDP_USD_APR" hidden="1">"c11837"</definedName>
    <definedName name="IQ_GDP_USD_POP" hidden="1">"c11835"</definedName>
    <definedName name="IQ_GDP_USD_YOY" hidden="1">"c11836"</definedName>
    <definedName name="IQ_GDP_YOY" hidden="1">"c7314"</definedName>
    <definedName name="IQ_GDP_YOY_FC" hidden="1">"c8194"</definedName>
    <definedName name="IQ_GENERAL_ALLOWANCE" hidden="1">"c15248"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LA_PCT_LEASED_CONSOL" hidden="1">"c8810"</definedName>
    <definedName name="IQ_GLA_PCT_LEASED_MANAGED" hidden="1">"c8812"</definedName>
    <definedName name="IQ_GLA_PCT_LEASED_OTHER" hidden="1">"c8813"</definedName>
    <definedName name="IQ_GLA_PCT_LEASED_TOTAL" hidden="1">"c8814"</definedName>
    <definedName name="IQ_GLA_PCT_LEASED_UNCONSOL" hidden="1">"c8811"</definedName>
    <definedName name="IQ_GLA_SQ_FT_CONSOL" hidden="1">"c8790"</definedName>
    <definedName name="IQ_GLA_SQ_FT_MANAGED" hidden="1">"c8792"</definedName>
    <definedName name="IQ_GLA_SQ_FT_OTHER" hidden="1">"c8793"</definedName>
    <definedName name="IQ_GLA_SQ_FT_TOTAL" hidden="1">"c8794"</definedName>
    <definedName name="IQ_GLA_SQ_FT_UNCONSOL" hidden="1">"c8791"</definedName>
    <definedName name="IQ_GLA_SQ_METER_CONSOL" hidden="1">"c8795"</definedName>
    <definedName name="IQ_GLA_SQ_METER_MANAGED" hidden="1">"c8797"</definedName>
    <definedName name="IQ_GLA_SQ_METER_OTHER" hidden="1">"c8798"</definedName>
    <definedName name="IQ_GLA_SQ_METER_TOTAL" hidden="1">"c8799"</definedName>
    <definedName name="IQ_GLA_SQ_METER_UNCONSOL" hidden="1">"c8796"</definedName>
    <definedName name="IQ_GNMA_FDIC" hidden="1">"c6398"</definedName>
    <definedName name="IQ_GOODWILL_FDIC" hidden="1">"c6334"</definedName>
    <definedName name="IQ_GOODWILL_FFIEC" hidden="1">"c12836"</definedName>
    <definedName name="IQ_GOODWILL_IMPAIRMENT_FDIC" hidden="1">"c6678"</definedName>
    <definedName name="IQ_GOODWILL_IMPAIRMENT_FFIEC" hidden="1">"c13025"</definedName>
    <definedName name="IQ_GOODWILL_INTAN_FDIC" hidden="1">"c6333"</definedName>
    <definedName name="IQ_GOODWILL_NET" hidden="1">"c1380"</definedName>
    <definedName name="IQ_GOVT_PERSONAL_TAXES_RECEIPTS" hidden="1">"c6876"</definedName>
    <definedName name="IQ_GOVT_PERSONAL_TAXES_RECEIPTS_APR" hidden="1">"c7536"</definedName>
    <definedName name="IQ_GOVT_PERSONAL_TAXES_RECEIPTS_APR_FC" hidden="1">"c8416"</definedName>
    <definedName name="IQ_GOVT_PERSONAL_TAXES_RECEIPTS_FC" hidden="1">"c7756"</definedName>
    <definedName name="IQ_GOVT_PERSONAL_TAXES_RECEIPTS_POP" hidden="1">"c7096"</definedName>
    <definedName name="IQ_GOVT_PERSONAL_TAXES_RECEIPTS_POP_FC" hidden="1">"c7976"</definedName>
    <definedName name="IQ_GOVT_PERSONAL_TAXES_RECEIPTS_YOY" hidden="1">"c7316"</definedName>
    <definedName name="IQ_GOVT_PERSONAL_TAXES_RECEIPTS_YOY_FC" hidden="1">"c8196"</definedName>
    <definedName name="IQ_GOVT_RECEIPTS" hidden="1">"c6877"</definedName>
    <definedName name="IQ_GOVT_RECEIPTS_APR" hidden="1">"c7537"</definedName>
    <definedName name="IQ_GOVT_RECEIPTS_APR_FC" hidden="1">"c8417"</definedName>
    <definedName name="IQ_GOVT_RECEIPTS_FC" hidden="1">"c7757"</definedName>
    <definedName name="IQ_GOVT_RECEIPTS_POP" hidden="1">"c7097"</definedName>
    <definedName name="IQ_GOVT_RECEIPTS_POP_FC" hidden="1">"c7977"</definedName>
    <definedName name="IQ_GOVT_RECEIPTS_YOY" hidden="1">"c7317"</definedName>
    <definedName name="IQ_GOVT_RECEIPTS_YOY_FC" hidden="1">"c8197"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DD_BASIC" hidden="1">"c15776"</definedName>
    <definedName name="IQ_GROSS_ADD_BBAND" hidden="1">"c15779"</definedName>
    <definedName name="IQ_GROSS_ADD_DIG" hidden="1">"c15777"</definedName>
    <definedName name="IQ_GROSS_ADD_PHONE" hidden="1">"c15780"</definedName>
    <definedName name="IQ_GROSS_ADD_POSTPAID_WIRELESS" hidden="1">"c15750"</definedName>
    <definedName name="IQ_GROSS_ADD_PREPAID_WIRELESS" hidden="1">"c15751"</definedName>
    <definedName name="IQ_GROSS_ADD_RESELL_WHOLESALE_WIRELESS" hidden="1">"c15752"</definedName>
    <definedName name="IQ_GROSS_ADD_RGU" hidden="1">"c15781"</definedName>
    <definedName name="IQ_GROSS_ADD_SATELLITE" hidden="1">"c15778"</definedName>
    <definedName name="IQ_GROSS_ADD_TOTAL_WIRELESS" hidden="1">"c15753"</definedName>
    <definedName name="IQ_GROSS_AH_EARNED" hidden="1">"c2742"</definedName>
    <definedName name="IQ_GROSS_CLAIM_ADJ_EXP_RESERVE_BOP" hidden="1">"c15874"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LOSSES" hidden="1">"c15871"</definedName>
    <definedName name="IQ_GROSS_LOSSES_AVG_LOANS_FFIEC" hidden="1">"c13475"</definedName>
    <definedName name="IQ_GROSS_MARGIN" hidden="1">"c529"</definedName>
    <definedName name="IQ_GROSS_MARGIN_ACT_OR_EST" hidden="1">"c5554"</definedName>
    <definedName name="IQ_GROSS_MARGIN_ACT_OR_EST_THOM" hidden="1">"c5562"</definedName>
    <definedName name="IQ_GROSS_MARGIN_EST" hidden="1">"c5547"</definedName>
    <definedName name="IQ_GROSS_MARGIN_EST_THOM" hidden="1">"c5555"</definedName>
    <definedName name="IQ_GROSS_MARGIN_HIGH_EST" hidden="1">"c5549"</definedName>
    <definedName name="IQ_GROSS_MARGIN_HIGH_EST_THOM" hidden="1">"c5557"</definedName>
    <definedName name="IQ_GROSS_MARGIN_LOW_EST" hidden="1">"c5550"</definedName>
    <definedName name="IQ_GROSS_MARGIN_LOW_EST_THOM" hidden="1">"c5558"</definedName>
    <definedName name="IQ_GROSS_MARGIN_MEDIAN_EST" hidden="1">"c5548"</definedName>
    <definedName name="IQ_GROSS_MARGIN_MEDIAN_EST_THOM" hidden="1">"c5556"</definedName>
    <definedName name="IQ_GROSS_MARGIN_NUM_EST" hidden="1">"c5551"</definedName>
    <definedName name="IQ_GROSS_MARGIN_NUM_EST_THOM" hidden="1">"c5559"</definedName>
    <definedName name="IQ_GROSS_MARGIN_STDDEV_EST" hidden="1">"c5552"</definedName>
    <definedName name="IQ_GROSS_MARGIN_STDDEV_EST_THOM" hidden="1">"c5560"</definedName>
    <definedName name="IQ_GROSS_PC_EARNED" hidden="1">"c2747"</definedName>
    <definedName name="IQ_GROSS_PREMIUMS_WRITTEN_AVG_ASSETS" hidden="1">"c15893"</definedName>
    <definedName name="IQ_GROSS_PREMIUMS_WRITTEN_AVG_EQUITY" hidden="1">"c15892"</definedName>
    <definedName name="IQ_GROSS_PREMIUMS_WRITTEN_AVG_STATUTORY_SURPLUS" hidden="1">"c15894"</definedName>
    <definedName name="IQ_GROSS_PROFIT" hidden="1">"c1378"</definedName>
    <definedName name="IQ_GROSS_SPRD" hidden="1">"c2155"</definedName>
    <definedName name="IQ_GROSS_WRITTEN" hidden="1">"c2726"</definedName>
    <definedName name="IQ_GROUP_EMBEDDED_VALUE_ASSET_MANAGEMENT" hidden="1">"c9955"</definedName>
    <definedName name="IQ_GROUP_EMBEDDED_VALUE_HEALTH" hidden="1">"c9954"</definedName>
    <definedName name="IQ_GROUP_EMBEDDED_VALUE_LIFE" hidden="1">"c9953"</definedName>
    <definedName name="IQ_GROUP_EMBEDDED_VALUE_LIFE_OTHER" hidden="1">"c9956"</definedName>
    <definedName name="IQ_GVKEY" hidden="1">"c15590"</definedName>
    <definedName name="IQ_GVKEY_OTHER" hidden="1">"c15633"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JUSTED_DISCHARGES" hidden="1">"c9977"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SO_COVERED_LIVES" hidden="1">"c9982"</definedName>
    <definedName name="IQ_HC_ASO_MEMBERSHIP" hidden="1">"c9985"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CASES" hidden="1">"c9978"</definedName>
    <definedName name="IQ_HC_CLAIMS_RESERVES" hidden="1">"c9989"</definedName>
    <definedName name="IQ_HC_DAYS_REV_OUT" hidden="1">"c5993"</definedName>
    <definedName name="IQ_HC_DISCHARGES" hidden="1">"c9976"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QUIVALENT_PATIENT_DAYS" hidden="1">"c9980"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L_EXPENSE_RATIO" hidden="1">"c9987"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CASE" hidden="1">"c9979"</definedName>
    <definedName name="IQ_HC_REV_PER_DISCHARGE" hidden="1">"c9990"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RISK_COVERED_LIVES" hidden="1">"c9981"</definedName>
    <definedName name="IQ_HC_RISK_MEMBERSHIP" hidden="1">"c9984"</definedName>
    <definedName name="IQ_HC_SALARIES_PCT_REV" hidden="1">"c5970"</definedName>
    <definedName name="IQ_HC_SGA_MARGIN" hidden="1">"c9988"</definedName>
    <definedName name="IQ_HC_SUPPLIES_PCT_REV" hidden="1">"c5971"</definedName>
    <definedName name="IQ_HC_TOTAL_COVERED_LIVES" hidden="1">"c9983"</definedName>
    <definedName name="IQ_HC_TOTAL_MEMBERSHIP" hidden="1">"c9986"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EDGEFUND_OVER_TOTAL" hidden="1">"c13771"</definedName>
    <definedName name="IQ_HELD_MATURITY_FDIC" hidden="1">"c6408"</definedName>
    <definedName name="IQ_HG_ACQUIRED_FRANCHISE_HOTEL_PROPERTIES" hidden="1">"c8584"</definedName>
    <definedName name="IQ_HG_ACQUIRED_FRANCHISE_ROOMS" hidden="1">"c8614"</definedName>
    <definedName name="IQ_HG_ACQUIRED_HOTEL_PROPERTIES" hidden="1">"c8572"</definedName>
    <definedName name="IQ_HG_ACQUIRED_MANAGED_HOTEL_PROPERTIES" hidden="1">"c8590"</definedName>
    <definedName name="IQ_HG_ACQUIRED_MANAGED_ROOMS" hidden="1">"c8620"</definedName>
    <definedName name="IQ_HG_ACQUIRED_OTHER_HOTEL_PROPERTIES" hidden="1">"c8596"</definedName>
    <definedName name="IQ_HG_ACQUIRED_OTHER_ROOMS" hidden="1">"c8626"</definedName>
    <definedName name="IQ_HG_ACQUIRED_OWNED_HOTEL_PROPERTIES" hidden="1">"c8578"</definedName>
    <definedName name="IQ_HG_ACQUIRED_OWNED_ROOMS" hidden="1">"c8608"</definedName>
    <definedName name="IQ_HG_ACQUIRED_ROOMS" hidden="1">"c8602"</definedName>
    <definedName name="IQ_HG_ADR_CHANGE_FRANCHISE" hidden="1">"c8684"</definedName>
    <definedName name="IQ_HG_ADR_CHANGE_MANAGED" hidden="1">"c8685"</definedName>
    <definedName name="IQ_HG_ADR_CHANGE_OTHER" hidden="1">"c8686"</definedName>
    <definedName name="IQ_HG_ADR_CHANGE_OWNED" hidden="1">"c8683"</definedName>
    <definedName name="IQ_HG_ADR_CHANGE_OWNED_COMP" hidden="1">"c8709"</definedName>
    <definedName name="IQ_HG_ADR_CHANGE_TOTAL" hidden="1">"c8687"</definedName>
    <definedName name="IQ_HG_ADR_CHANGE_TOTAL_COMP" hidden="1">"c8710"</definedName>
    <definedName name="IQ_HG_ADR_FRANCHISE" hidden="1">"c8664"</definedName>
    <definedName name="IQ_HG_ADR_MANAGED" hidden="1">"c8665"</definedName>
    <definedName name="IQ_HG_ADR_OTHER" hidden="1">"c8666"</definedName>
    <definedName name="IQ_HG_ADR_OWNED" hidden="1">"c8663"</definedName>
    <definedName name="IQ_HG_ADR_OWNED_COMP" hidden="1">"c8701"</definedName>
    <definedName name="IQ_HG_ADR_TOTAL" hidden="1">"c8667"</definedName>
    <definedName name="IQ_HG_ADR_TOTAL_COMP" hidden="1">"c8702"</definedName>
    <definedName name="IQ_HG_CASINO_EXP_DIRECT_OPERATING_EXP" hidden="1">"c15981"</definedName>
    <definedName name="IQ_HG_CASINO_GROSS_PROFIT" hidden="1">"c15974"</definedName>
    <definedName name="IQ_HG_CASINO_MARGIN" hidden="1">"c15976"</definedName>
    <definedName name="IQ_HG_CASINO_OPERATING_MARGIN" hidden="1">"c15977"</definedName>
    <definedName name="IQ_HG_CASINOS_JV" hidden="1">"c8631"</definedName>
    <definedName name="IQ_HG_CASINOS_MANAGED" hidden="1">"c8632"</definedName>
    <definedName name="IQ_HG_CASINOS_OWNED" hidden="1">"c8630"</definedName>
    <definedName name="IQ_HG_CASINOS_TOTAL" hidden="1">"c8633"</definedName>
    <definedName name="IQ_HG_CLOSED_FRANCHISE_HOTEL_PROPERTIES" hidden="1">"c8586"</definedName>
    <definedName name="IQ_HG_CLOSED_FRANCHISE_ROOMS" hidden="1">"c8616"</definedName>
    <definedName name="IQ_HG_CLOSED_HOTEL_PROPERTIES" hidden="1">"c8574"</definedName>
    <definedName name="IQ_HG_CLOSED_MANAGED_HOTEL_PROPERTIES" hidden="1">"c8592"</definedName>
    <definedName name="IQ_HG_CLOSED_MANAGED_ROOMS" hidden="1">"c8622"</definedName>
    <definedName name="IQ_HG_CLOSED_OTHER_HOTEL_PROPERTIES" hidden="1">"c8598"</definedName>
    <definedName name="IQ_HG_CLOSED_OTHER_ROOMS" hidden="1">"c8628"</definedName>
    <definedName name="IQ_HG_CLOSED_OWNED_HOTEL_PROPERTIES" hidden="1">"c8580"</definedName>
    <definedName name="IQ_HG_CLOSED_OWNED_ROOMS" hidden="1">"c8610"</definedName>
    <definedName name="IQ_HG_CLOSED_ROOMS" hidden="1">"c8604"</definedName>
    <definedName name="IQ_HG_CONFERENCE_SPACE" hidden="1">"c15971"</definedName>
    <definedName name="IQ_HG_EXP_CASINO" hidden="1">"c8733"</definedName>
    <definedName name="IQ_HG_EXP_DEVELOPMENT" hidden="1">"c8738"</definedName>
    <definedName name="IQ_HG_EXP_DIRECT_CASINO_GAMING" hidden="1">"c15994"</definedName>
    <definedName name="IQ_HG_EXP_ENTERTAINMENT" hidden="1">"c8736"</definedName>
    <definedName name="IQ_HG_EXP_FOOD_BEV" hidden="1">"c8734"</definedName>
    <definedName name="IQ_HG_EXP_FRANCHISE_MANAGEMENT" hidden="1">"c8744"</definedName>
    <definedName name="IQ_HG_EXP_OTHER_DIRECT_HOTEL_MOTEL" hidden="1">"c15995"</definedName>
    <definedName name="IQ_HG_EXP_OTHER_MNGD_FRANCHISE_PROP" hidden="1">"c8742"</definedName>
    <definedName name="IQ_HG_EXP_OWNED_LEASED_CONSOL_JV" hidden="1">"c8740"</definedName>
    <definedName name="IQ_HG_EXP_REIMBURSEMENTS" hidden="1">"c8743"</definedName>
    <definedName name="IQ_HG_EXP_RETAIL" hidden="1">"c8737"</definedName>
    <definedName name="IQ_HG_EXP_ROOMS" hidden="1">"c8735"</definedName>
    <definedName name="IQ_HG_EXP_THEATRE_CONCESSION" hidden="1">"c8739"</definedName>
    <definedName name="IQ_HG_EXP_VACA_OWNERSHIP_RES" hidden="1">"c8741"</definedName>
    <definedName name="IQ_HG_FOOD_BEV_EXP_DIRECT_OPERATING_EXP" hidden="1">"c15980"</definedName>
    <definedName name="IQ_HG_FOOD_BEV_REV_TOTAL_REV" hidden="1">"c15983"</definedName>
    <definedName name="IQ_HG_FOOD_PROM_COSTS" hidden="1">"c8746"</definedName>
    <definedName name="IQ_HG_FRANCHISE_HOTEL_PROPERTIES_BEG" hidden="1">"c8582"</definedName>
    <definedName name="IQ_HG_FRANCHISE_ROOMS_BEG" hidden="1">"c8612"</definedName>
    <definedName name="IQ_HG_GAMING_SPACE_JV" hidden="1">"c8635"</definedName>
    <definedName name="IQ_HG_GAMING_SPACE_MANAGED" hidden="1">"c8636"</definedName>
    <definedName name="IQ_HG_GAMING_SPACE_OWNED" hidden="1">"c8634"</definedName>
    <definedName name="IQ_HG_GAMING_SPACE_TOTAL" hidden="1">"c8637"</definedName>
    <definedName name="IQ_HG_HOTEL_PROPERTIES_BEG" hidden="1">"c8570"</definedName>
    <definedName name="IQ_HG_LAND_AVAIL_JV" hidden="1">"c8647"</definedName>
    <definedName name="IQ_HG_LAND_AVAIL_MANAGED" hidden="1">"c8648"</definedName>
    <definedName name="IQ_HG_LAND_AVAIL_OWNED" hidden="1">"c8646"</definedName>
    <definedName name="IQ_HG_LAND_AVAIL_TOTAL" hidden="1">"c8649"</definedName>
    <definedName name="IQ_HG_LAND_JV" hidden="1">"c8651"</definedName>
    <definedName name="IQ_HG_LAND_MANAGED" hidden="1">"c8652"</definedName>
    <definedName name="IQ_HG_LAND_OWNED" hidden="1">"c8650"</definedName>
    <definedName name="IQ_HG_LAND_TOTAL" hidden="1">"c8653"</definedName>
    <definedName name="IQ_HG_MANAGED_HOTEL_PROPERTIES_BEG" hidden="1">"c8588"</definedName>
    <definedName name="IQ_HG_MANAGED_ROOMS_BEG" hidden="1">"c8618"</definedName>
    <definedName name="IQ_HG_NUMBER_SUITES" hidden="1">"c15970"</definedName>
    <definedName name="IQ_HG_NUMBER_TABLES_AVG" hidden="1">"c15973"</definedName>
    <definedName name="IQ_HG_OCCUPANCY_CHANGE_FRANCHISE" hidden="1">"c8675"</definedName>
    <definedName name="IQ_HG_OCCUPANCY_CHANGE_MANAGED" hidden="1">"c8677"</definedName>
    <definedName name="IQ_HG_OCCUPANCY_CHANGE_OTHER" hidden="1">"c8679"</definedName>
    <definedName name="IQ_HG_OCCUPANCY_CHANGE_OWNED" hidden="1">"c8673"</definedName>
    <definedName name="IQ_HG_OCCUPANCY_CHANGE_OWNED_COMP" hidden="1">"c8705"</definedName>
    <definedName name="IQ_HG_OCCUPANCY_CHANGE_TOTAL" hidden="1">"c8681"</definedName>
    <definedName name="IQ_HG_OCCUPANCY_CHANGE_TOTAL_COMP" hidden="1">"c8707"</definedName>
    <definedName name="IQ_HG_OCCUPANCY_FRANCHISE" hidden="1">"c8659"</definedName>
    <definedName name="IQ_HG_OCCUPANCY_INCDEC_FRANCHISE" hidden="1">"c8676"</definedName>
    <definedName name="IQ_HG_OCCUPANCY_INCDEC_MANAGED" hidden="1">"c8678"</definedName>
    <definedName name="IQ_HG_OCCUPANCY_INCDEC_OTHER" hidden="1">"c8680"</definedName>
    <definedName name="IQ_HG_OCCUPANCY_INCDEC_OWNED" hidden="1">"c8674"</definedName>
    <definedName name="IQ_HG_OCCUPANCY_INCDEC_OWNED_COMP" hidden="1">"c8706"</definedName>
    <definedName name="IQ_HG_OCCUPANCY_INCDEC_TOTAL" hidden="1">"c8682"</definedName>
    <definedName name="IQ_HG_OCCUPANCY_INCDEC_TOTAL_COMP" hidden="1">"c8708"</definedName>
    <definedName name="IQ_HG_OCCUPANCY_MANAGED" hidden="1">"c8660"</definedName>
    <definedName name="IQ_HG_OCCUPANCY_OTHER" hidden="1">"c8661"</definedName>
    <definedName name="IQ_HG_OCCUPANCY_OWNED" hidden="1">"c8658"</definedName>
    <definedName name="IQ_HG_OCCUPANCY_OWNED_COMP" hidden="1">"c8699"</definedName>
    <definedName name="IQ_HG_OCCUPANCY_TOTAL" hidden="1">"c8662"</definedName>
    <definedName name="IQ_HG_OCCUPANCY_TOTAL_COMP" hidden="1">"c8700"</definedName>
    <definedName name="IQ_HG_OPENED_FRANCHISE_HOTEL_PROPERTIES" hidden="1">"c8583"</definedName>
    <definedName name="IQ_HG_OPENED_FRANCHISE_ROOMS" hidden="1">"c8613"</definedName>
    <definedName name="IQ_HG_OPENED_HOTEL_PROPERTIES" hidden="1">"c8571"</definedName>
    <definedName name="IQ_HG_OPENED_MANAGED_HOTEL_PROPERTIES" hidden="1">"c8589"</definedName>
    <definedName name="IQ_HG_OPENED_MANAGED_ROOMS" hidden="1">"c8619"</definedName>
    <definedName name="IQ_HG_OPENED_OTHER_HOTEL_PROPERTIES" hidden="1">"c8595"</definedName>
    <definedName name="IQ_HG_OPENED_OTHER_ROOMS" hidden="1">"c8625"</definedName>
    <definedName name="IQ_HG_OPENED_OWNED_HOTEL_PROPERTIES" hidden="1">"c8577"</definedName>
    <definedName name="IQ_HG_OPENED_OWNED_ROOMS" hidden="1">"c8607"</definedName>
    <definedName name="IQ_HG_OPENED_ROOMS" hidden="1">"c8601"</definedName>
    <definedName name="IQ_HG_OTHER_HOTEL_PROPERTIES_BEG" hidden="1">"c8594"</definedName>
    <definedName name="IQ_HG_OTHER_PROM_COSTS" hidden="1">"c8747"</definedName>
    <definedName name="IQ_HG_OTHER_ROOMS_BEG" hidden="1">"c8624"</definedName>
    <definedName name="IQ_HG_OWNED_HOTEL_PROPERTIES_BEG" hidden="1">"c8576"</definedName>
    <definedName name="IQ_HG_OWNED_ROOMS_BEG" hidden="1">"c8606"</definedName>
    <definedName name="IQ_HG_PARKING_SPACES_JV" hidden="1">"c8655"</definedName>
    <definedName name="IQ_HG_PARKING_SPACES_MANAGED" hidden="1">"c8656"</definedName>
    <definedName name="IQ_HG_PARKING_SPACES_OWNED" hidden="1">"c8654"</definedName>
    <definedName name="IQ_HG_PARKING_SPACES_TOTAL" hidden="1">"c8657"</definedName>
    <definedName name="IQ_HG_PROMO_ALLOW_GROSS_OPERATING_REV" hidden="1">"c15979"</definedName>
    <definedName name="IQ_HG_REV_BASE_MANAGEMENT_FEES" hidden="1">"c8726"</definedName>
    <definedName name="IQ_HG_REV_CASINO" hidden="1">"c8713"</definedName>
    <definedName name="IQ_HG_REV_COST_REIMBURSEMENT" hidden="1">"c8728"</definedName>
    <definedName name="IQ_HG_REV_ENTERTAINMENT" hidden="1">"c8716"</definedName>
    <definedName name="IQ_HG_REV_FOOD_BEV" hidden="1">"c8714"</definedName>
    <definedName name="IQ_HG_REV_FRANCHISE" hidden="1">"c8725"</definedName>
    <definedName name="IQ_HG_REV_GROSS_OPERATING" hidden="1">"c15993"</definedName>
    <definedName name="IQ_HG_REV_INCENTIVE_MANAGEMENT_FEES" hidden="1">"c8727"</definedName>
    <definedName name="IQ_HG_REV_MANAGEMENT_FEES" hidden="1">"c8718"</definedName>
    <definedName name="IQ_HG_REV_OTHER_CASINO" hidden="1">"c15992"</definedName>
    <definedName name="IQ_HG_REV_OTHER_MNGD_FRANCHISE_PROP" hidden="1">"c8730"</definedName>
    <definedName name="IQ_HG_REV_OTHER_OP_SEGMENT" hidden="1">"c8721"</definedName>
    <definedName name="IQ_HG_REV_OTHER_OWNERSHIP_MIX" hidden="1">"c8731"</definedName>
    <definedName name="IQ_HG_REV_OWNED_LEASED_CONSOL_JV_HOTELS" hidden="1">"c8724"</definedName>
    <definedName name="IQ_HG_REV_PROMOTIONAL_ALLOWANCE" hidden="1">"c8722"</definedName>
    <definedName name="IQ_HG_REV_RACING" hidden="1">"c8719"</definedName>
    <definedName name="IQ_HG_REV_RETAIL" hidden="1">"c8717"</definedName>
    <definedName name="IQ_HG_REV_ROOMS" hidden="1">"c8715"</definedName>
    <definedName name="IQ_HG_REV_SLOT_MACHINE" hidden="1">"c15990"</definedName>
    <definedName name="IQ_HG_REV_TABLE" hidden="1">"c15991"</definedName>
    <definedName name="IQ_HG_REV_THEATRE_CONCESSION" hidden="1">"c8720"</definedName>
    <definedName name="IQ_HG_REV_TOTAL_OP_SEGMENT" hidden="1">"c8723"</definedName>
    <definedName name="IQ_HG_REV_TOTAL_OWNERSHIP_MIX" hidden="1">"c8732"</definedName>
    <definedName name="IQ_HG_REV_VACA_OWNERSHIP_RES_SALES_SVCS" hidden="1">"c8729"</definedName>
    <definedName name="IQ_HG_REVENUES_CHANGE_OWNED_COMP" hidden="1">"c8697"</definedName>
    <definedName name="IQ_HG_REVENUES_CHANGE_TOTAL_COMP" hidden="1">"c8698"</definedName>
    <definedName name="IQ_HG_REVPAR_CHANGE_MANAGED" hidden="1">"c8690"</definedName>
    <definedName name="IQ_HG_REVPAR_CHANGE_OTHER" hidden="1">"c8691"</definedName>
    <definedName name="IQ_HG_REVPAR_CHANGE_OWNED" hidden="1">"c8688"</definedName>
    <definedName name="IQ_HG_REVPAR_CHANGE_OWNED_COMP" hidden="1">"c8711"</definedName>
    <definedName name="IQ_HG_REVPAR_CHANGE_TOTAL" hidden="1">"c8692"</definedName>
    <definedName name="IQ_HG_REVPAR_CHANGE_TOTAL_COMP" hidden="1">"c8712"</definedName>
    <definedName name="IQ_HG_REVPAR_CHNAGE_FRANCHISE" hidden="1">"c8689"</definedName>
    <definedName name="IQ_HG_REVPAR_FRANCHISE" hidden="1">"c8669"</definedName>
    <definedName name="IQ_HG_REVPAR_MANAGED" hidden="1">"c8670"</definedName>
    <definedName name="IQ_HG_REVPAR_OTHER" hidden="1">"c8671"</definedName>
    <definedName name="IQ_HG_REVPAR_OWNED" hidden="1">"c8668"</definedName>
    <definedName name="IQ_HG_REVPAR_OWNED_COMP" hidden="1">"c8703"</definedName>
    <definedName name="IQ_HG_REVPAR_TOTAL" hidden="1">"c8672"</definedName>
    <definedName name="IQ_HG_REVPAR_TOTAL_COMP" hidden="1">"c8704"</definedName>
    <definedName name="IQ_HG_ROOM_EXP_DIRECT_OPERATING_EXP" hidden="1">"c15982"</definedName>
    <definedName name="IQ_HG_ROOM_GROSS_PROFIT" hidden="1">"c15975"</definedName>
    <definedName name="IQ_HG_ROOM_MARGIN" hidden="1">"c15978"</definedName>
    <definedName name="IQ_HG_ROOM_PROM_COSTS" hidden="1">"c8745"</definedName>
    <definedName name="IQ_HG_ROOM_REV_TOTAL_REV" hidden="1">"c15984"</definedName>
    <definedName name="IQ_HG_ROOMS_BEG" hidden="1">"c8600"</definedName>
    <definedName name="IQ_HG_SAME_PROPERTIES_CASINO_REV_CHANGE" hidden="1">"c15987"</definedName>
    <definedName name="IQ_HG_SAME_PROPERTIES_FOOD_BEV_REV_CHANGE" hidden="1">"c15989"</definedName>
    <definedName name="IQ_HG_SAME_PROPERTIES_ROOM_REV_CHANGE" hidden="1">"c15988"</definedName>
    <definedName name="IQ_HG_SAME_PROPERTIES_SLOT_MACHINE_REV_CHANGE" hidden="1">"c15985"</definedName>
    <definedName name="IQ_HG_SAME_PROPERTIES_TABLE_REV_CHANGE" hidden="1">"c15986"</definedName>
    <definedName name="IQ_HG_SLOT_MACHINES_AVG" hidden="1">"c15972"</definedName>
    <definedName name="IQ_HG_SLOT_MACHINES_JV" hidden="1">"c8639"</definedName>
    <definedName name="IQ_HG_SLOT_MACHINES_MANAGED" hidden="1">"c8640"</definedName>
    <definedName name="IQ_HG_SLOT_MACHINES_OWNED" hidden="1">"c8638"</definedName>
    <definedName name="IQ_HG_SLOT_MACHINES_TOTAL" hidden="1">"c8641"</definedName>
    <definedName name="IQ_HG_SOLD_FRANCHISE_HOTEL_PROPERTIES" hidden="1">"c8585"</definedName>
    <definedName name="IQ_HG_SOLD_FRANCHISE_ROOMS" hidden="1">"c8615"</definedName>
    <definedName name="IQ_HG_SOLD_HOTEL_PROPERTIES" hidden="1">"c8573"</definedName>
    <definedName name="IQ_HG_SOLD_MANAGED_HOTEL_PROPERTIES" hidden="1">"c8591"</definedName>
    <definedName name="IQ_HG_SOLD_MANAGED_ROOMS" hidden="1">"c8621"</definedName>
    <definedName name="IQ_HG_SOLD_OTHER_HOTEL_PROPERTIES" hidden="1">"c8597"</definedName>
    <definedName name="IQ_HG_SOLD_OTHER_ROOMS" hidden="1">"c8627"</definedName>
    <definedName name="IQ_HG_SOLD_OWNED_HOTEL_PROPERTIES" hidden="1">"c8579"</definedName>
    <definedName name="IQ_HG_SOLD_OWNED_ROOMS" hidden="1">"c8609"</definedName>
    <definedName name="IQ_HG_SOLD_ROOMS" hidden="1">"c8603"</definedName>
    <definedName name="IQ_HG_TABLE_GAMES_JV" localSheetId="20" hidden="1">"c8643"</definedName>
    <definedName name="IQ_HG_TABLE_GAMES_JV" localSheetId="21" hidden="1">"c8643"</definedName>
    <definedName name="IQ_HG_TABLE_GAMES_JV" localSheetId="22" hidden="1">"c8643"</definedName>
    <definedName name="IQ_HG_TABLE_GAMES_JV" localSheetId="23" hidden="1">"c8643"</definedName>
    <definedName name="IQ_HG_TABLE_GAMES_JV" localSheetId="24" hidden="1">"c8643"</definedName>
    <definedName name="IQ_HG_TABLE_GAMES_JV" hidden="1">"c8643"</definedName>
    <definedName name="IQ_HG_TABLE_GAMES_MANAGED" localSheetId="20" hidden="1">"c8644"</definedName>
    <definedName name="IQ_HG_TABLE_GAMES_MANAGED" localSheetId="21" hidden="1">"c8644"</definedName>
    <definedName name="IQ_HG_TABLE_GAMES_MANAGED" localSheetId="22" hidden="1">"c8644"</definedName>
    <definedName name="IQ_HG_TABLE_GAMES_MANAGED" localSheetId="23" hidden="1">"c8644"</definedName>
    <definedName name="IQ_HG_TABLE_GAMES_MANAGED" localSheetId="24" hidden="1">"c8644"</definedName>
    <definedName name="IQ_HG_TABLE_GAMES_MANAGED" hidden="1">"c8644"</definedName>
    <definedName name="IQ_HG_TABLE_GAMES_OWNED" localSheetId="20" hidden="1">"c8642"</definedName>
    <definedName name="IQ_HG_TABLE_GAMES_OWNED" localSheetId="21" hidden="1">"c8642"</definedName>
    <definedName name="IQ_HG_TABLE_GAMES_OWNED" localSheetId="22" hidden="1">"c8642"</definedName>
    <definedName name="IQ_HG_TABLE_GAMES_OWNED" localSheetId="23" hidden="1">"c8642"</definedName>
    <definedName name="IQ_HG_TABLE_GAMES_OWNED" localSheetId="24" hidden="1">"c8642"</definedName>
    <definedName name="IQ_HG_TABLE_GAMES_OWNED" hidden="1">"c8642"</definedName>
    <definedName name="IQ_HG_TABLE_GAMES_TOTAL" localSheetId="20" hidden="1">"c8645"</definedName>
    <definedName name="IQ_HG_TABLE_GAMES_TOTAL" localSheetId="21" hidden="1">"c8645"</definedName>
    <definedName name="IQ_HG_TABLE_GAMES_TOTAL" localSheetId="22" hidden="1">"c8645"</definedName>
    <definedName name="IQ_HG_TABLE_GAMES_TOTAL" localSheetId="23" hidden="1">"c8645"</definedName>
    <definedName name="IQ_HG_TABLE_GAMES_TOTAL" localSheetId="24" hidden="1">"c8645"</definedName>
    <definedName name="IQ_HG_TABLE_GAMES_TOTAL" hidden="1">"c8645"</definedName>
    <definedName name="IQ_HG_TABLES_JV" hidden="1">"c8643"</definedName>
    <definedName name="IQ_HG_TABLES_MANAGED" hidden="1">"c8644"</definedName>
    <definedName name="IQ_HG_TABLES_OWNED" hidden="1">"c8642"</definedName>
    <definedName name="IQ_HG_TABLES_TOTAL" hidden="1">"c8645"</definedName>
    <definedName name="IQ_HG_TOTAL_FRANCHISE_HOTEL_PROPERTIES" hidden="1">"c8587"</definedName>
    <definedName name="IQ_HG_TOTAL_FRANCHISE_ROOMS" hidden="1">"c8617"</definedName>
    <definedName name="IQ_HG_TOTAL_HOTEL_PROPERTIES" hidden="1">"c8575"</definedName>
    <definedName name="IQ_HG_TOTAL_MANAGED_HOTEL_PROPERTIES" hidden="1">"c8593"</definedName>
    <definedName name="IQ_HG_TOTAL_MANAGED_ROOMS" hidden="1">"c8623"</definedName>
    <definedName name="IQ_HG_TOTAL_OTHER_HOTEL_PROPERTIES" hidden="1">"c8599"</definedName>
    <definedName name="IQ_HG_TOTAL_OTHER_ROOMS" hidden="1">"c8629"</definedName>
    <definedName name="IQ_HG_TOTAL_OWNED_HOTEL_PROPERTIES" hidden="1">"c8581"</definedName>
    <definedName name="IQ_HG_TOTAL_OWNED_PROPERTIES_COMP" hidden="1">"c8693"</definedName>
    <definedName name="IQ_HG_TOTAL_OWNED_ROOMS" hidden="1">"c8611"</definedName>
    <definedName name="IQ_HG_TOTAL_OWNED_ROOMS_COMP" hidden="1">"c8695"</definedName>
    <definedName name="IQ_HG_TOTAL_PROM_COSTS" hidden="1">"c8748"</definedName>
    <definedName name="IQ_HG_TOTAL_PROPERTIES_COMP" hidden="1">"c8694"</definedName>
    <definedName name="IQ_HG_TOTAL_ROOMS" hidden="1">"c8605"</definedName>
    <definedName name="IQ_HG_TOTAL_ROOMS_COMP" hidden="1">"c8696"</definedName>
    <definedName name="IQ_HIGH_LOW_CLOSEPRICE_DATE" hidden="1">"c1204"</definedName>
    <definedName name="IQ_HIGH_SULFUR_CONTENT_RESERVES_COAL" hidden="1">"c15928"</definedName>
    <definedName name="IQ_HIGH_SULFURE_RESERVES_TO_TOTAL_RESERVES_COAL" hidden="1">"c15963"</definedName>
    <definedName name="IQ_HIGH_TARGET_PRICE" hidden="1">"c1651"</definedName>
    <definedName name="IQ_HIGH_TARGET_PRICE_CIQ" hidden="1">"c4659"</definedName>
    <definedName name="IQ_HIGH_TARGET_PRICE_THOM" hidden="1">"c5096"</definedName>
    <definedName name="IQ_HIGHPRICE" hidden="1">"c545"</definedName>
    <definedName name="IQ_HOLDER_CIQID" hidden="1">"c13787"</definedName>
    <definedName name="IQ_HOLDER_CIQID_SECURITY" hidden="1">"c13794"</definedName>
    <definedName name="IQ_HOLDER_DERIVATIVES" hidden="1">"c13789"</definedName>
    <definedName name="IQ_HOLDER_DERIVATIVES_SECURITY" hidden="1">"c13796"</definedName>
    <definedName name="IQ_HOLDER_NAME" hidden="1">"c13786"</definedName>
    <definedName name="IQ_HOLDER_NAME_SECURITY" hidden="1">"c13793"</definedName>
    <definedName name="IQ_HOLDER_PERCENT" hidden="1">"c13790"</definedName>
    <definedName name="IQ_HOLDER_PERCENT_SECURITY" hidden="1">"c13831"</definedName>
    <definedName name="IQ_HOLDER_POSITION_DATE" hidden="1">"c13792"</definedName>
    <definedName name="IQ_HOLDER_POSITION_DATE_SECURITY" hidden="1">"c13798"</definedName>
    <definedName name="IQ_HOLDER_SHARES" hidden="1">"c13788"</definedName>
    <definedName name="IQ_HOLDER_SHARES_SECURITY" hidden="1">"c13795"</definedName>
    <definedName name="IQ_HOLDER_VALUE" hidden="1">"c13791"</definedName>
    <definedName name="IQ_HOLDER_VALUE_SECURITY" hidden="1">"c13797"</definedName>
    <definedName name="IQ_HOLDING_CIQID" hidden="1">"c13802"</definedName>
    <definedName name="IQ_HOLDING_NAME" hidden="1">"c13799"</definedName>
    <definedName name="IQ_HOLDING_PERCENT" hidden="1">"c13805"</definedName>
    <definedName name="IQ_HOLDING_PERCENT_PORTFOLIO" hidden="1">"c13806"</definedName>
    <definedName name="IQ_HOLDING_POSITION_DATE" hidden="1">"c13808"</definedName>
    <definedName name="IQ_HOLDING_SECURITY_TYPE" hidden="1">"c13803"</definedName>
    <definedName name="IQ_HOLDING_SHARES" hidden="1">"c13804"</definedName>
    <definedName name="IQ_HOLDING_TICKER" hidden="1">"c13800"</definedName>
    <definedName name="IQ_HOLDING_TRADING_ITEM_CIQID" hidden="1">"c13801"</definedName>
    <definedName name="IQ_HOLDING_VALUE" hidden="1">"c13807"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ANCELLATION_RATE" hidden="1">"c16192"</definedName>
    <definedName name="IQ_HOME_CANCELLATION_RATE_INCL_JV" hidden="1">"c16194"</definedName>
    <definedName name="IQ_HOME_CANCELLATION_RATE_JV" hidden="1">"c16193"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EQUITY_LOANS_TOT_LOANS_FFIEC" hidden="1">"c13867"</definedName>
    <definedName name="IQ_HOME_EQUITY_LOC_NET_CHARGE_OFFS_FDIC" hidden="1">"c6644"</definedName>
    <definedName name="IQ_HOME_EQUITY_LOC_TOTAL_CHARGE_OFFS_FDIC" hidden="1">"c6606"</definedName>
    <definedName name="IQ_HOME_EQUITY_LOC_TOTAL_RECOVERIES_FDIC" hidden="1">"c6625"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SALES_NEW" hidden="1">"c6924"</definedName>
    <definedName name="IQ_HOME_SALES_NEW_APR" hidden="1">"c7584"</definedName>
    <definedName name="IQ_HOME_SALES_NEW_APR_FC" hidden="1">"c8464"</definedName>
    <definedName name="IQ_HOME_SALES_NEW_FC" hidden="1">"c7804"</definedName>
    <definedName name="IQ_HOME_SALES_NEW_POP" hidden="1">"c7144"</definedName>
    <definedName name="IQ_HOME_SALES_NEW_POP_FC" hidden="1">"c8024"</definedName>
    <definedName name="IQ_HOME_SALES_NEW_YOY" hidden="1">"c7364"</definedName>
    <definedName name="IQ_HOME_SALES_NEW_YOY_FC" hidden="1">"c8244"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BUILDING_COGS_SALES" hidden="1">"c15813"</definedName>
    <definedName name="IQ_HOMEBUILDING_INV_TURN" hidden="1">"c15819"</definedName>
    <definedName name="IQ_HOMEBUILDING_TURN" hidden="1">"c15820"</definedName>
    <definedName name="IQ_HOMEOWNERS_WRITTEN" hidden="1">"c546"</definedName>
    <definedName name="IQ_HOTEL_OPERATING_EXPENSE" hidden="1">"c16042"</definedName>
    <definedName name="IQ_HOTEL_OPERATING_REVENUE" hidden="1">"c16026"</definedName>
    <definedName name="IQ_HOURLY_COMP" hidden="1">"c6879"</definedName>
    <definedName name="IQ_HOURLY_COMP_APR" hidden="1">"c7539"</definedName>
    <definedName name="IQ_HOURLY_COMP_APR_FC" hidden="1">"c8419"</definedName>
    <definedName name="IQ_HOURLY_COMP_FC" hidden="1">"c7759"</definedName>
    <definedName name="IQ_HOURLY_COMP_POP" hidden="1">"c7099"</definedName>
    <definedName name="IQ_HOURLY_COMP_POP_FC" hidden="1">"c7979"</definedName>
    <definedName name="IQ_HOURLY_COMP_YOY" hidden="1">"c7319"</definedName>
    <definedName name="IQ_HOURLY_COMP_YOY_FC" hidden="1">"c8199"</definedName>
    <definedName name="IQ_HOUSING_COMPLETIONS" hidden="1">"c6881"</definedName>
    <definedName name="IQ_HOUSING_COMPLETIONS_APR" hidden="1">"c7541"</definedName>
    <definedName name="IQ_HOUSING_COMPLETIONS_APR_FC" hidden="1">"c8421"</definedName>
    <definedName name="IQ_HOUSING_COMPLETIONS_FC" hidden="1">"c7761"</definedName>
    <definedName name="IQ_HOUSING_COMPLETIONS_POP" hidden="1">"c7101"</definedName>
    <definedName name="IQ_HOUSING_COMPLETIONS_POP_FC" hidden="1">"c7981"</definedName>
    <definedName name="IQ_HOUSING_COMPLETIONS_SINGLE_FAM_APR_FC_UNUSED" hidden="1">"c8422"</definedName>
    <definedName name="IQ_HOUSING_COMPLETIONS_SINGLE_FAM_APR_FC_UNUSED_UNUSED_UNUSED" hidden="1">"c8422"</definedName>
    <definedName name="IQ_HOUSING_COMPLETIONS_SINGLE_FAM_APR_UNUSED" hidden="1">"c7542"</definedName>
    <definedName name="IQ_HOUSING_COMPLETIONS_SINGLE_FAM_APR_UNUSED_UNUSED_UNUSED" hidden="1">"c7542"</definedName>
    <definedName name="IQ_HOUSING_COMPLETIONS_SINGLE_FAM_FC_UNUSED" hidden="1">"c7762"</definedName>
    <definedName name="IQ_HOUSING_COMPLETIONS_SINGLE_FAM_FC_UNUSED_UNUSED_UNUSED" hidden="1">"c7762"</definedName>
    <definedName name="IQ_HOUSING_COMPLETIONS_SINGLE_FAM_POP_FC_UNUSED" hidden="1">"c7982"</definedName>
    <definedName name="IQ_HOUSING_COMPLETIONS_SINGLE_FAM_POP_FC_UNUSED_UNUSED_UNUSED" hidden="1">"c7982"</definedName>
    <definedName name="IQ_HOUSING_COMPLETIONS_SINGLE_FAM_POP_UNUSED" hidden="1">"c7102"</definedName>
    <definedName name="IQ_HOUSING_COMPLETIONS_SINGLE_FAM_POP_UNUSED_UNUSED_UNUSED" hidden="1">"c7102"</definedName>
    <definedName name="IQ_HOUSING_COMPLETIONS_SINGLE_FAM_UNUSED" hidden="1">"c6882"</definedName>
    <definedName name="IQ_HOUSING_COMPLETIONS_SINGLE_FAM_UNUSED_UNUSED_UNUSED" hidden="1">"c6882"</definedName>
    <definedName name="IQ_HOUSING_COMPLETIONS_SINGLE_FAM_YOY_FC_UNUSED" hidden="1">"c8202"</definedName>
    <definedName name="IQ_HOUSING_COMPLETIONS_SINGLE_FAM_YOY_FC_UNUSED_UNUSED_UNUSED" hidden="1">"c8202"</definedName>
    <definedName name="IQ_HOUSING_COMPLETIONS_SINGLE_FAM_YOY_UNUSED" hidden="1">"c7322"</definedName>
    <definedName name="IQ_HOUSING_COMPLETIONS_SINGLE_FAM_YOY_UNUSED_UNUSED_UNUSED" hidden="1">"c7322"</definedName>
    <definedName name="IQ_HOUSING_COMPLETIONS_YOY" hidden="1">"c7321"</definedName>
    <definedName name="IQ_HOUSING_COMPLETIONS_YOY_FC" hidden="1">"c8201"</definedName>
    <definedName name="IQ_HOUSING_PERMITS" hidden="1">"c6883"</definedName>
    <definedName name="IQ_HOUSING_PERMITS_APR" hidden="1">"c7543"</definedName>
    <definedName name="IQ_HOUSING_PERMITS_APR_FC" hidden="1">"c8423"</definedName>
    <definedName name="IQ_HOUSING_PERMITS_FC" hidden="1">"c7763"</definedName>
    <definedName name="IQ_HOUSING_PERMITS_POP" hidden="1">"c7103"</definedName>
    <definedName name="IQ_HOUSING_PERMITS_POP_FC" hidden="1">"c7983"</definedName>
    <definedName name="IQ_HOUSING_PERMITS_YOY" hidden="1">"c7323"</definedName>
    <definedName name="IQ_HOUSING_PERMITS_YOY_FC" hidden="1">"c8203"</definedName>
    <definedName name="IQ_HOUSING_STARTS" hidden="1">"c6884"</definedName>
    <definedName name="IQ_HOUSING_STARTS_APR" hidden="1">"c7544"</definedName>
    <definedName name="IQ_HOUSING_STARTS_APR_FC" hidden="1">"c8424"</definedName>
    <definedName name="IQ_HOUSING_STARTS_FC" hidden="1">"c7764"</definedName>
    <definedName name="IQ_HOUSING_STARTS_POP" hidden="1">"c7104"</definedName>
    <definedName name="IQ_HOUSING_STARTS_POP_FC" hidden="1">"c7984"</definedName>
    <definedName name="IQ_HOUSING_STARTS_SAAR" hidden="1">"c6885"</definedName>
    <definedName name="IQ_HOUSING_STARTS_SAAR_APR" hidden="1">"c7545"</definedName>
    <definedName name="IQ_HOUSING_STARTS_SAAR_APR_FC" hidden="1">"c8425"</definedName>
    <definedName name="IQ_HOUSING_STARTS_SAAR_FC" hidden="1">"c7765"</definedName>
    <definedName name="IQ_HOUSING_STARTS_SAAR_POP" hidden="1">"c7105"</definedName>
    <definedName name="IQ_HOUSING_STARTS_SAAR_POP_FC" hidden="1">"c7985"</definedName>
    <definedName name="IQ_HOUSING_STARTS_SAAR_YOY" hidden="1">"c7325"</definedName>
    <definedName name="IQ_HOUSING_STARTS_SAAR_YOY_FC" hidden="1">"c8205"</definedName>
    <definedName name="IQ_HOUSING_STARTS_YOY" hidden="1">"c7324"</definedName>
    <definedName name="IQ_HOUSING_STARTS_YOY_FC" hidden="1">"c8204"</definedName>
    <definedName name="IQ_HRS_WORKED_FULL_PT" hidden="1">"c6880"</definedName>
    <definedName name="IQ_HRS_WORKED_FULL_PT_APR" hidden="1">"c7540"</definedName>
    <definedName name="IQ_HRS_WORKED_FULL_PT_APR_FC" hidden="1">"c8420"</definedName>
    <definedName name="IQ_HRS_WORKED_FULL_PT_FC" hidden="1">"c7760"</definedName>
    <definedName name="IQ_HRS_WORKED_FULL_PT_POP" hidden="1">"c7100"</definedName>
    <definedName name="IQ_HRS_WORKED_FULL_PT_POP_FC" hidden="1">"c7980"</definedName>
    <definedName name="IQ_HRS_WORKED_FULL_PT_YOY" hidden="1">"c7320"</definedName>
    <definedName name="IQ_HRS_WORKED_FULL_PT_YOY_FC" hidden="1">"c8200"</definedName>
    <definedName name="IQ_HTM_INVEST_SECURITIES_FFIEC" hidden="1">"c13455"</definedName>
    <definedName name="IQ_HTM_SECURITIES_TIER_1_FFIEC" hidden="1">"c13342"</definedName>
    <definedName name="IQ_HYBRID_CAPITAL" hidden="1">"c15245"</definedName>
    <definedName name="IQ_HYBRID_STRUCTURED_PRODUCTS_AVAIL_SALE_FFIEC" hidden="1">"c15265"</definedName>
    <definedName name="IQ_HYBRID_STRUCTURED_PRODUCTS_FFIEC" hidden="1">"c15262"</definedName>
    <definedName name="IQ_IB_ADVISORY_UNDERWRITING_FEES_FOREIGN_FFIEC" hidden="1">"c15378"</definedName>
    <definedName name="IQ_IBF_COMM_INDUST_LOANS_FFIEC" hidden="1">"c15298"</definedName>
    <definedName name="IQ_IBF_DEPOSIT_LIABILITIES_DUE_TO_BANKS_FFIEC" hidden="1">"c15300"</definedName>
    <definedName name="IQ_IM_AVG_REV_PER_CLICK" hidden="1">"c9991"</definedName>
    <definedName name="IQ_IM_NUMBER_PAGE_VIEWS" hidden="1">"c9993"</definedName>
    <definedName name="IQ_IM_NUMBER_PAID_CLICKS" hidden="1">"c9995"</definedName>
    <definedName name="IQ_IM_NUMBER_PAID_CLICKS_GROWTH" hidden="1">"c9996"</definedName>
    <definedName name="IQ_IM_PAGE_VIEWS_GROWTH" hidden="1">"c9994"</definedName>
    <definedName name="IQ_IM_REV_PER_PAGE_VIEW_GROWTH" hidden="1">"c9992"</definedName>
    <definedName name="IQ_IM_TRAFFIC_ACQUISITION_CHANGE" hidden="1">"c9998"</definedName>
    <definedName name="IQ_IM_TRAFFIC_ACQUISITION_COST_TO_AD_REV_RATIO" hidden="1">"c10000"</definedName>
    <definedName name="IQ_IM_TRAFFIC_ACQUISITION_COST_TO_TOTAL_REV_RATIO" hidden="1">"c9999"</definedName>
    <definedName name="IQ_IM_TRAFFIC_ACQUISITION_COSTS" hidden="1">"c9997"</definedName>
    <definedName name="IQ_IMPACT_UNRECOG_TAX_BENEFIT_EFFECTIVE_TAX" hidden="1">"c15748"</definedName>
    <definedName name="IQ_IMPAIR_OIL" hidden="1">"c547"</definedName>
    <definedName name="IQ_IMPAIRED_LOANS" hidden="1">"c15250"</definedName>
    <definedName name="IQ_IMPAIRMENT_GW" hidden="1">"c548"</definedName>
    <definedName name="IQ_IMPAIRMENT_GW_SUPPLE" hidden="1">"c13811"</definedName>
    <definedName name="IQ_IMPORT_PRICE_INDEX" hidden="1">"c6886"</definedName>
    <definedName name="IQ_IMPORT_PRICE_INDEX_APR" hidden="1">"c7546"</definedName>
    <definedName name="IQ_IMPORT_PRICE_INDEX_APR_FC" hidden="1">"c8426"</definedName>
    <definedName name="IQ_IMPORT_PRICE_INDEX_FC" hidden="1">"c7766"</definedName>
    <definedName name="IQ_IMPORT_PRICE_INDEX_POP" hidden="1">"c7106"</definedName>
    <definedName name="IQ_IMPORT_PRICE_INDEX_POP_FC" hidden="1">"c7986"</definedName>
    <definedName name="IQ_IMPORT_PRICE_INDEX_YOY" hidden="1">"c7326"</definedName>
    <definedName name="IQ_IMPORT_PRICE_INDEX_YOY_FC" hidden="1">"c8206"</definedName>
    <definedName name="IQ_IMPORTS_GOODS" hidden="1">"c6887"</definedName>
    <definedName name="IQ_IMPORTS_GOODS_APR" hidden="1">"c7547"</definedName>
    <definedName name="IQ_IMPORTS_GOODS_APR_FC" hidden="1">"c8427"</definedName>
    <definedName name="IQ_IMPORTS_GOODS_FC" hidden="1">"c7767"</definedName>
    <definedName name="IQ_IMPORTS_GOODS_NONFACTOR_SERVICES" hidden="1">"c6888"</definedName>
    <definedName name="IQ_IMPORTS_GOODS_NONFACTOR_SERVICES_APR" hidden="1">"c7548"</definedName>
    <definedName name="IQ_IMPORTS_GOODS_NONFACTOR_SERVICES_APR_FC" hidden="1">"c8428"</definedName>
    <definedName name="IQ_IMPORTS_GOODS_NONFACTOR_SERVICES_FC" hidden="1">"c7768"</definedName>
    <definedName name="IQ_IMPORTS_GOODS_NONFACTOR_SERVICES_POP" hidden="1">"c7108"</definedName>
    <definedName name="IQ_IMPORTS_GOODS_NONFACTOR_SERVICES_POP_FC" hidden="1">"c7988"</definedName>
    <definedName name="IQ_IMPORTS_GOODS_NONFACTOR_SERVICES_YOY" hidden="1">"c7328"</definedName>
    <definedName name="IQ_IMPORTS_GOODS_NONFACTOR_SERVICES_YOY_FC" hidden="1">"c8208"</definedName>
    <definedName name="IQ_IMPORTS_GOODS_POP" hidden="1">"c7107"</definedName>
    <definedName name="IQ_IMPORTS_GOODS_POP_FC" hidden="1">"c7987"</definedName>
    <definedName name="IQ_IMPORTS_GOODS_REAL" hidden="1">"c11950"</definedName>
    <definedName name="IQ_IMPORTS_GOODS_REAL_APR" hidden="1">"c11953"</definedName>
    <definedName name="IQ_IMPORTS_GOODS_REAL_POP" hidden="1">"c11951"</definedName>
    <definedName name="IQ_IMPORTS_GOODS_REAL_SAAR_APR_FC_UNUSED" hidden="1">"c8523"</definedName>
    <definedName name="IQ_IMPORTS_GOODS_REAL_SAAR_APR_FC_UNUSED_UNUSED_UNUSED" hidden="1">"c8523"</definedName>
    <definedName name="IQ_IMPORTS_GOODS_REAL_SAAR_APR_UNUSED" hidden="1">"c7643"</definedName>
    <definedName name="IQ_IMPORTS_GOODS_REAL_SAAR_APR_UNUSED_UNUSED_UNUSED" hidden="1">"c7643"</definedName>
    <definedName name="IQ_IMPORTS_GOODS_REAL_SAAR_FC_UNUSED" hidden="1">"c7863"</definedName>
    <definedName name="IQ_IMPORTS_GOODS_REAL_SAAR_FC_UNUSED_UNUSED_UNUSED" hidden="1">"c7863"</definedName>
    <definedName name="IQ_IMPORTS_GOODS_REAL_SAAR_POP_FC_UNUSED" hidden="1">"c8083"</definedName>
    <definedName name="IQ_IMPORTS_GOODS_REAL_SAAR_POP_FC_UNUSED_UNUSED_UNUSED" hidden="1">"c8083"</definedName>
    <definedName name="IQ_IMPORTS_GOODS_REAL_SAAR_POP_UNUSED" hidden="1">"c7203"</definedName>
    <definedName name="IQ_IMPORTS_GOODS_REAL_SAAR_POP_UNUSED_UNUSED_UNUSED" hidden="1">"c7203"</definedName>
    <definedName name="IQ_IMPORTS_GOODS_REAL_SAAR_UNUSED" hidden="1">"c6983"</definedName>
    <definedName name="IQ_IMPORTS_GOODS_REAL_SAAR_UNUSED_UNUSED_UNUSED" hidden="1">"c6983"</definedName>
    <definedName name="IQ_IMPORTS_GOODS_REAL_SAAR_YOY_FC_UNUSED" hidden="1">"c8303"</definedName>
    <definedName name="IQ_IMPORTS_GOODS_REAL_SAAR_YOY_FC_UNUSED_UNUSED_UNUSED" hidden="1">"c8303"</definedName>
    <definedName name="IQ_IMPORTS_GOODS_REAL_SAAR_YOY_UNUSED" hidden="1">"c7423"</definedName>
    <definedName name="IQ_IMPORTS_GOODS_REAL_SAAR_YOY_UNUSED_UNUSED_UNUSED" hidden="1">"c7423"</definedName>
    <definedName name="IQ_IMPORTS_GOODS_REAL_YOY" hidden="1">"c11952"</definedName>
    <definedName name="IQ_IMPORTS_GOODS_SAAR" hidden="1">"c6891"</definedName>
    <definedName name="IQ_IMPORTS_GOODS_SAAR_APR" hidden="1">"c7551"</definedName>
    <definedName name="IQ_IMPORTS_GOODS_SAAR_APR_FC" hidden="1">"c8431"</definedName>
    <definedName name="IQ_IMPORTS_GOODS_SAAR_FC" hidden="1">"c7771"</definedName>
    <definedName name="IQ_IMPORTS_GOODS_SAAR_POP" hidden="1">"c7111"</definedName>
    <definedName name="IQ_IMPORTS_GOODS_SAAR_POP_FC" hidden="1">"c7991"</definedName>
    <definedName name="IQ_IMPORTS_GOODS_SAAR_USD_APR_FC" hidden="1">"c11849"</definedName>
    <definedName name="IQ_IMPORTS_GOODS_SAAR_USD_FC" hidden="1">"c11846"</definedName>
    <definedName name="IQ_IMPORTS_GOODS_SAAR_USD_POP_FC" hidden="1">"c11847"</definedName>
    <definedName name="IQ_IMPORTS_GOODS_SAAR_USD_YOY_FC" hidden="1">"c11848"</definedName>
    <definedName name="IQ_IMPORTS_GOODS_SAAR_YOY" hidden="1">"c7331"</definedName>
    <definedName name="IQ_IMPORTS_GOODS_SAAR_YOY_FC" hidden="1">"c8211"</definedName>
    <definedName name="IQ_IMPORTS_GOODS_SERVICES_APR_FC_UNUSED" hidden="1">"c8429"</definedName>
    <definedName name="IQ_IMPORTS_GOODS_SERVICES_APR_FC_UNUSED_UNUSED_UNUSED" hidden="1">"c8429"</definedName>
    <definedName name="IQ_IMPORTS_GOODS_SERVICES_APR_UNUSED" hidden="1">"c7549"</definedName>
    <definedName name="IQ_IMPORTS_GOODS_SERVICES_APR_UNUSED_UNUSED_UNUSED" hidden="1">"c7549"</definedName>
    <definedName name="IQ_IMPORTS_GOODS_SERVICES_FC_UNUSED" hidden="1">"c7769"</definedName>
    <definedName name="IQ_IMPORTS_GOODS_SERVICES_FC_UNUSED_UNUSED_UNUSED" hidden="1">"c7769"</definedName>
    <definedName name="IQ_IMPORTS_GOODS_SERVICES_POP_FC_UNUSED" hidden="1">"c7989"</definedName>
    <definedName name="IQ_IMPORTS_GOODS_SERVICES_POP_FC_UNUSED_UNUSED_UNUSED" hidden="1">"c7989"</definedName>
    <definedName name="IQ_IMPORTS_GOODS_SERVICES_POP_UNUSED" hidden="1">"c7109"</definedName>
    <definedName name="IQ_IMPORTS_GOODS_SERVICES_POP_UNUSED_UNUSED_UNUSED" hidden="1">"c7109"</definedName>
    <definedName name="IQ_IMPORTS_GOODS_SERVICES_REAL" hidden="1">"c6985"</definedName>
    <definedName name="IQ_IMPORTS_GOODS_SERVICES_REAL_APR" hidden="1">"c7645"</definedName>
    <definedName name="IQ_IMPORTS_GOODS_SERVICES_REAL_APR_FC" hidden="1">"c8525"</definedName>
    <definedName name="IQ_IMPORTS_GOODS_SERVICES_REAL_FC" hidden="1">"c7865"</definedName>
    <definedName name="IQ_IMPORTS_GOODS_SERVICES_REAL_POP" hidden="1">"c7205"</definedName>
    <definedName name="IQ_IMPORTS_GOODS_SERVICES_REAL_POP_FC" hidden="1">"c8085"</definedName>
    <definedName name="IQ_IMPORTS_GOODS_SERVICES_REAL_SAAR" hidden="1">"c11958"</definedName>
    <definedName name="IQ_IMPORTS_GOODS_SERVICES_REAL_SAAR_APR" hidden="1">"c11961"</definedName>
    <definedName name="IQ_IMPORTS_GOODS_SERVICES_REAL_SAAR_APR_FC_UNUSED" hidden="1">"c8524"</definedName>
    <definedName name="IQ_IMPORTS_GOODS_SERVICES_REAL_SAAR_APR_FC_UNUSED_UNUSED_UNUSED" hidden="1">"c8524"</definedName>
    <definedName name="IQ_IMPORTS_GOODS_SERVICES_REAL_SAAR_APR_UNUSED" hidden="1">"c7644"</definedName>
    <definedName name="IQ_IMPORTS_GOODS_SERVICES_REAL_SAAR_APR_UNUSED_UNUSED_UNUSED" hidden="1">"c7644"</definedName>
    <definedName name="IQ_IMPORTS_GOODS_SERVICES_REAL_SAAR_FC_UNUSED" hidden="1">"c7864"</definedName>
    <definedName name="IQ_IMPORTS_GOODS_SERVICES_REAL_SAAR_FC_UNUSED_UNUSED_UNUSED" hidden="1">"c7864"</definedName>
    <definedName name="IQ_IMPORTS_GOODS_SERVICES_REAL_SAAR_POP" hidden="1">"c11959"</definedName>
    <definedName name="IQ_IMPORTS_GOODS_SERVICES_REAL_SAAR_POP_FC_UNUSED" hidden="1">"c8084"</definedName>
    <definedName name="IQ_IMPORTS_GOODS_SERVICES_REAL_SAAR_POP_FC_UNUSED_UNUSED_UNUSED" hidden="1">"c8084"</definedName>
    <definedName name="IQ_IMPORTS_GOODS_SERVICES_REAL_SAAR_POP_UNUSED" hidden="1">"c7204"</definedName>
    <definedName name="IQ_IMPORTS_GOODS_SERVICES_REAL_SAAR_POP_UNUSED_UNUSED_UNUSED" hidden="1">"c7204"</definedName>
    <definedName name="IQ_IMPORTS_GOODS_SERVICES_REAL_SAAR_UNUSED" hidden="1">"c6984"</definedName>
    <definedName name="IQ_IMPORTS_GOODS_SERVICES_REAL_SAAR_UNUSED_UNUSED_UNUSED" hidden="1">"c6984"</definedName>
    <definedName name="IQ_IMPORTS_GOODS_SERVICES_REAL_SAAR_USD" hidden="1">"c11962"</definedName>
    <definedName name="IQ_IMPORTS_GOODS_SERVICES_REAL_SAAR_USD_APR" hidden="1">"c11965"</definedName>
    <definedName name="IQ_IMPORTS_GOODS_SERVICES_REAL_SAAR_USD_APR_FC" hidden="1">"c11969"</definedName>
    <definedName name="IQ_IMPORTS_GOODS_SERVICES_REAL_SAAR_USD_FC" hidden="1">"c11966"</definedName>
    <definedName name="IQ_IMPORTS_GOODS_SERVICES_REAL_SAAR_USD_POP" hidden="1">"c11963"</definedName>
    <definedName name="IQ_IMPORTS_GOODS_SERVICES_REAL_SAAR_USD_POP_FC" hidden="1">"c11967"</definedName>
    <definedName name="IQ_IMPORTS_GOODS_SERVICES_REAL_SAAR_USD_YOY" hidden="1">"c11964"</definedName>
    <definedName name="IQ_IMPORTS_GOODS_SERVICES_REAL_SAAR_USD_YOY_FC" hidden="1">"c11968"</definedName>
    <definedName name="IQ_IMPORTS_GOODS_SERVICES_REAL_SAAR_YOY" hidden="1">"c11960"</definedName>
    <definedName name="IQ_IMPORTS_GOODS_SERVICES_REAL_SAAR_YOY_FC_UNUSED" hidden="1">"c8304"</definedName>
    <definedName name="IQ_IMPORTS_GOODS_SERVICES_REAL_SAAR_YOY_FC_UNUSED_UNUSED_UNUSED" hidden="1">"c8304"</definedName>
    <definedName name="IQ_IMPORTS_GOODS_SERVICES_REAL_SAAR_YOY_UNUSED" hidden="1">"c7424"</definedName>
    <definedName name="IQ_IMPORTS_GOODS_SERVICES_REAL_SAAR_YOY_UNUSED_UNUSED_UNUSED" hidden="1">"c7424"</definedName>
    <definedName name="IQ_IMPORTS_GOODS_SERVICES_REAL_USD" hidden="1">"c11954"</definedName>
    <definedName name="IQ_IMPORTS_GOODS_SERVICES_REAL_USD_APR" hidden="1">"c11957"</definedName>
    <definedName name="IQ_IMPORTS_GOODS_SERVICES_REAL_USD_POP" hidden="1">"c11955"</definedName>
    <definedName name="IQ_IMPORTS_GOODS_SERVICES_REAL_USD_YOY" hidden="1">"c11956"</definedName>
    <definedName name="IQ_IMPORTS_GOODS_SERVICES_REAL_YOY" hidden="1">"c7425"</definedName>
    <definedName name="IQ_IMPORTS_GOODS_SERVICES_REAL_YOY_FC" hidden="1">"c8305"</definedName>
    <definedName name="IQ_IMPORTS_GOODS_SERVICES_SAAR" hidden="1">"c6890"</definedName>
    <definedName name="IQ_IMPORTS_GOODS_SERVICES_SAAR_APR" hidden="1">"c7550"</definedName>
    <definedName name="IQ_IMPORTS_GOODS_SERVICES_SAAR_APR_FC" hidden="1">"c8430"</definedName>
    <definedName name="IQ_IMPORTS_GOODS_SERVICES_SAAR_FC" hidden="1">"c7770"</definedName>
    <definedName name="IQ_IMPORTS_GOODS_SERVICES_SAAR_POP" hidden="1">"c7110"</definedName>
    <definedName name="IQ_IMPORTS_GOODS_SERVICES_SAAR_POP_FC" hidden="1">"c7990"</definedName>
    <definedName name="IQ_IMPORTS_GOODS_SERVICES_SAAR_YOY" hidden="1">"c7330"</definedName>
    <definedName name="IQ_IMPORTS_GOODS_SERVICES_SAAR_YOY_FC" hidden="1">"c8210"</definedName>
    <definedName name="IQ_IMPORTS_GOODS_SERVICES_UNUSED" hidden="1">"c6889"</definedName>
    <definedName name="IQ_IMPORTS_GOODS_SERVICES_UNUSED_UNUSED_UNUSED" hidden="1">"c6889"</definedName>
    <definedName name="IQ_IMPORTS_GOODS_SERVICES_USD" hidden="1">"c11842"</definedName>
    <definedName name="IQ_IMPORTS_GOODS_SERVICES_USD_APR" hidden="1">"c11845"</definedName>
    <definedName name="IQ_IMPORTS_GOODS_SERVICES_USD_POP" hidden="1">"c11843"</definedName>
    <definedName name="IQ_IMPORTS_GOODS_SERVICES_USD_YOY" hidden="1">"c11844"</definedName>
    <definedName name="IQ_IMPORTS_GOODS_SERVICES_YOY_FC_UNUSED" hidden="1">"c8209"</definedName>
    <definedName name="IQ_IMPORTS_GOODS_SERVICES_YOY_FC_UNUSED_UNUSED_UNUSED" hidden="1">"c8209"</definedName>
    <definedName name="IQ_IMPORTS_GOODS_SERVICES_YOY_UNUSED" hidden="1">"c7329"</definedName>
    <definedName name="IQ_IMPORTS_GOODS_SERVICES_YOY_UNUSED_UNUSED_UNUSED" hidden="1">"c7329"</definedName>
    <definedName name="IQ_IMPORTS_GOODS_USD_APR_FC" hidden="1">"c11841"</definedName>
    <definedName name="IQ_IMPORTS_GOODS_USD_FC" hidden="1">"c11838"</definedName>
    <definedName name="IQ_IMPORTS_GOODS_USD_POP_FC" hidden="1">"c11839"</definedName>
    <definedName name="IQ_IMPORTS_GOODS_USD_YOY_FC" hidden="1">"c11840"</definedName>
    <definedName name="IQ_IMPORTS_GOODS_YOY" hidden="1">"c7327"</definedName>
    <definedName name="IQ_IMPORTS_GOODS_YOY_FC" hidden="1">"c8207"</definedName>
    <definedName name="IQ_IMPORTS_NONFACTOR_SERVICES" hidden="1">"c6892"</definedName>
    <definedName name="IQ_IMPORTS_NONFACTOR_SERVICES_APR" hidden="1">"c7552"</definedName>
    <definedName name="IQ_IMPORTS_NONFACTOR_SERVICES_APR_FC" hidden="1">"c8432"</definedName>
    <definedName name="IQ_IMPORTS_NONFACTOR_SERVICES_FC" hidden="1">"c7772"</definedName>
    <definedName name="IQ_IMPORTS_NONFACTOR_SERVICES_POP" hidden="1">"c7112"</definedName>
    <definedName name="IQ_IMPORTS_NONFACTOR_SERVICES_POP_FC" hidden="1">"c7992"</definedName>
    <definedName name="IQ_IMPORTS_NONFACTOR_SERVICES_SAAR" hidden="1">"c6893"</definedName>
    <definedName name="IQ_IMPORTS_NONFACTOR_SERVICES_SAAR_APR" hidden="1">"c7553"</definedName>
    <definedName name="IQ_IMPORTS_NONFACTOR_SERVICES_SAAR_APR_FC" hidden="1">"c8433"</definedName>
    <definedName name="IQ_IMPORTS_NONFACTOR_SERVICES_SAAR_FC" hidden="1">"c7773"</definedName>
    <definedName name="IQ_IMPORTS_NONFACTOR_SERVICES_SAAR_POP" hidden="1">"c7113"</definedName>
    <definedName name="IQ_IMPORTS_NONFACTOR_SERVICES_SAAR_POP_FC" hidden="1">"c7993"</definedName>
    <definedName name="IQ_IMPORTS_NONFACTOR_SERVICES_SAAR_USD_APR_FC" hidden="1">"c11857"</definedName>
    <definedName name="IQ_IMPORTS_NONFACTOR_SERVICES_SAAR_USD_FC" hidden="1">"c11854"</definedName>
    <definedName name="IQ_IMPORTS_NONFACTOR_SERVICES_SAAR_USD_POP_FC" hidden="1">"c11855"</definedName>
    <definedName name="IQ_IMPORTS_NONFACTOR_SERVICES_SAAR_USD_YOY_FC" hidden="1">"c11856"</definedName>
    <definedName name="IQ_IMPORTS_NONFACTOR_SERVICES_SAAR_YOY" hidden="1">"c7333"</definedName>
    <definedName name="IQ_IMPORTS_NONFACTOR_SERVICES_SAAR_YOY_FC" hidden="1">"c8213"</definedName>
    <definedName name="IQ_IMPORTS_NONFACTOR_SERVICES_USD_APR_FC" hidden="1">"c11853"</definedName>
    <definedName name="IQ_IMPORTS_NONFACTOR_SERVICES_USD_FC" hidden="1">"c11850"</definedName>
    <definedName name="IQ_IMPORTS_NONFACTOR_SERVICES_USD_POP_FC" hidden="1">"c11851"</definedName>
    <definedName name="IQ_IMPORTS_NONFACTOR_SERVICES_USD_YOY_FC" hidden="1">"c11852"</definedName>
    <definedName name="IQ_IMPORTS_NONFACTOR_SERVICES_YOY" hidden="1">"c7332"</definedName>
    <definedName name="IQ_IMPORTS_NONFACTOR_SERVICES_YOY_FC" hidden="1">"c8212"</definedName>
    <definedName name="IQ_IMPORTS_SERVICES" hidden="1">"c11858"</definedName>
    <definedName name="IQ_IMPORTS_SERVICES_APR" hidden="1">"c11861"</definedName>
    <definedName name="IQ_IMPORTS_SERVICES_POP" hidden="1">"c11859"</definedName>
    <definedName name="IQ_IMPORTS_SERVICES_REAL" hidden="1">"c6986"</definedName>
    <definedName name="IQ_IMPORTS_SERVICES_REAL_APR" hidden="1">"c7646"</definedName>
    <definedName name="IQ_IMPORTS_SERVICES_REAL_APR_FC" hidden="1">"c8526"</definedName>
    <definedName name="IQ_IMPORTS_SERVICES_REAL_FC" hidden="1">"c7866"</definedName>
    <definedName name="IQ_IMPORTS_SERVICES_REAL_POP" hidden="1">"c7206"</definedName>
    <definedName name="IQ_IMPORTS_SERVICES_REAL_POP_FC" hidden="1">"c8086"</definedName>
    <definedName name="IQ_IMPORTS_SERVICES_REAL_YOY" hidden="1">"c7426"</definedName>
    <definedName name="IQ_IMPORTS_SERVICES_REAL_YOY_FC" hidden="1">"c8306"</definedName>
    <definedName name="IQ_IMPORTS_SERVICES_YOY" hidden="1">"c11860"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DOM_LOANS_FFIEC" hidden="1">"c12975"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CIDENTAL_CHANGES_BUSINESS_COMBINATIONS_FDIC" hidden="1">"c6502"</definedName>
    <definedName name="IQ_INCOME_BEFORE_EXTRA_FDIC" hidden="1">"c6585"</definedName>
    <definedName name="IQ_INCOME_CHECKS_FFIEC" hidden="1">"c13040"</definedName>
    <definedName name="IQ_INCOME_EARNED_FDIC" hidden="1">"c6359"</definedName>
    <definedName name="IQ_INCOME_FIDUCIARY_ACTIVITIES_FFIEC" hidden="1">"c13002"</definedName>
    <definedName name="IQ_INCOME_LEASE_FINANCING_REC_FFIEC" hidden="1">"c12980"</definedName>
    <definedName name="IQ_INCOME_LOANS_LEASES_TAX_EXEMPT_FFIEC" hidden="1">"c13038"</definedName>
    <definedName name="IQ_INCOME_OTHER_INSURANCE_ACTIVITIES_FFIEC" hidden="1">"c13009"</definedName>
    <definedName name="IQ_INCOME_SALE_MUTUAL_FUNDS_DOM_FFIEC" hidden="1">"c13069"</definedName>
    <definedName name="IQ_INCOME_SECURITIES_TAX_EXEMPT_FFIEC" hidden="1">"c13039"</definedName>
    <definedName name="IQ_INCOME_TAX_FOREIGN_FFIEC" hidden="1">"c15391"</definedName>
    <definedName name="IQ_INCOME_TAXES_FDIC" hidden="1">"c6582"</definedName>
    <definedName name="IQ_INCOME_TAXES_FFIEC" hidden="1">"c13030"</definedName>
    <definedName name="IQ_INCREASE_INT_INCOME_FFIEC" hidden="1">"c13063"</definedName>
    <definedName name="IQ_INDEX_CURRENCY" hidden="1">"c15224"</definedName>
    <definedName name="IQ_INDEX_LEADING_IND" hidden="1">"c6894"</definedName>
    <definedName name="IQ_INDEX_LEADING_IND_APR" hidden="1">"c7554"</definedName>
    <definedName name="IQ_INDEX_LEADING_IND_APR_FC" hidden="1">"c8434"</definedName>
    <definedName name="IQ_INDEX_LEADING_IND_FC" hidden="1">"c7774"</definedName>
    <definedName name="IQ_INDEX_LEADING_IND_POP" hidden="1">"c7114"</definedName>
    <definedName name="IQ_INDEX_LEADING_IND_POP_FC" hidden="1">"c7994"</definedName>
    <definedName name="IQ_INDEX_LEADING_IND_YOY" hidden="1">"c7334"</definedName>
    <definedName name="IQ_INDEX_LEADING_IND_YOY_FC" hidden="1">"c8214"</definedName>
    <definedName name="IQ_INDEX_TYPE" hidden="1">"c15223"</definedName>
    <definedName name="IQ_INDICATED_ATTRIB_ORE_RESOURCES_ALUM" hidden="1">"c9238"</definedName>
    <definedName name="IQ_INDICATED_ATTRIB_ORE_RESOURCES_COP" hidden="1">"c9182"</definedName>
    <definedName name="IQ_INDICATED_ATTRIB_ORE_RESOURCES_DIAM" hidden="1">"c9662"</definedName>
    <definedName name="IQ_INDICATED_ATTRIB_ORE_RESOURCES_GOLD" hidden="1">"c9023"</definedName>
    <definedName name="IQ_INDICATED_ATTRIB_ORE_RESOURCES_IRON" hidden="1">"c9397"</definedName>
    <definedName name="IQ_INDICATED_ATTRIB_ORE_RESOURCES_LEAD" hidden="1">"c9450"</definedName>
    <definedName name="IQ_INDICATED_ATTRIB_ORE_RESOURCES_MANG" hidden="1">"c9503"</definedName>
    <definedName name="IQ_INDICATED_ATTRIB_ORE_RESOURCES_MOLYB" hidden="1">"c9715"</definedName>
    <definedName name="IQ_INDICATED_ATTRIB_ORE_RESOURCES_NICK" hidden="1">"c9291"</definedName>
    <definedName name="IQ_INDICATED_ATTRIB_ORE_RESOURCES_PLAT" hidden="1">"c9129"</definedName>
    <definedName name="IQ_INDICATED_ATTRIB_ORE_RESOURCES_SILVER" hidden="1">"c9076"</definedName>
    <definedName name="IQ_INDICATED_ATTRIB_ORE_RESOURCES_TITAN" hidden="1">"c9556"</definedName>
    <definedName name="IQ_INDICATED_ATTRIB_ORE_RESOURCES_URAN" hidden="1">"c9609"</definedName>
    <definedName name="IQ_INDICATED_ATTRIB_ORE_RESOURCES_ZINC" hidden="1">"c9344"</definedName>
    <definedName name="IQ_INDICATED_ORE_RESOURCES_ALUM" hidden="1">"c9224"</definedName>
    <definedName name="IQ_INDICATED_ORE_RESOURCES_COP" hidden="1">"c9168"</definedName>
    <definedName name="IQ_INDICATED_ORE_RESOURCES_DIAM" hidden="1">"c9648"</definedName>
    <definedName name="IQ_INDICATED_ORE_RESOURCES_GOLD" hidden="1">"c9009"</definedName>
    <definedName name="IQ_INDICATED_ORE_RESOURCES_IRON" hidden="1">"c9383"</definedName>
    <definedName name="IQ_INDICATED_ORE_RESOURCES_LEAD" hidden="1">"c9436"</definedName>
    <definedName name="IQ_INDICATED_ORE_RESOURCES_MANG" hidden="1">"c9489"</definedName>
    <definedName name="IQ_INDICATED_ORE_RESOURCES_MOLYB" hidden="1">"c9701"</definedName>
    <definedName name="IQ_INDICATED_ORE_RESOURCES_NICK" hidden="1">"c9277"</definedName>
    <definedName name="IQ_INDICATED_ORE_RESOURCES_PLAT" hidden="1">"c9115"</definedName>
    <definedName name="IQ_INDICATED_ORE_RESOURCES_SILVER" hidden="1">"c9062"</definedName>
    <definedName name="IQ_INDICATED_ORE_RESOURCES_TITAN" hidden="1">"c9542"</definedName>
    <definedName name="IQ_INDICATED_ORE_RESOURCES_URAN" hidden="1">"c9595"</definedName>
    <definedName name="IQ_INDICATED_ORE_RESOURCES_ZINC" hidden="1">"c9330"</definedName>
    <definedName name="IQ_INDICATED_RECOV_ATTRIB_RESOURCES_ALUM" hidden="1">"c9243"</definedName>
    <definedName name="IQ_INDICATED_RECOV_ATTRIB_RESOURCES_COAL" hidden="1">"c9817"</definedName>
    <definedName name="IQ_INDICATED_RECOV_ATTRIB_RESOURCES_COP" hidden="1">"c9187"</definedName>
    <definedName name="IQ_INDICATED_RECOV_ATTRIB_RESOURCES_DIAM" hidden="1">"c9667"</definedName>
    <definedName name="IQ_INDICATED_RECOV_ATTRIB_RESOURCES_GOLD" hidden="1">"c9028"</definedName>
    <definedName name="IQ_INDICATED_RECOV_ATTRIB_RESOURCES_IRON" hidden="1">"c9402"</definedName>
    <definedName name="IQ_INDICATED_RECOV_ATTRIB_RESOURCES_LEAD" hidden="1">"c9455"</definedName>
    <definedName name="IQ_INDICATED_RECOV_ATTRIB_RESOURCES_MANG" hidden="1">"c9508"</definedName>
    <definedName name="IQ_INDICATED_RECOV_ATTRIB_RESOURCES_MET_COAL" hidden="1">"c9757"</definedName>
    <definedName name="IQ_INDICATED_RECOV_ATTRIB_RESOURCES_MOLYB" hidden="1">"c9720"</definedName>
    <definedName name="IQ_INDICATED_RECOV_ATTRIB_RESOURCES_NICK" hidden="1">"c9296"</definedName>
    <definedName name="IQ_INDICATED_RECOV_ATTRIB_RESOURCES_PLAT" hidden="1">"c9134"</definedName>
    <definedName name="IQ_INDICATED_RECOV_ATTRIB_RESOURCES_SILVER" hidden="1">"c9081"</definedName>
    <definedName name="IQ_INDICATED_RECOV_ATTRIB_RESOURCES_STEAM" hidden="1">"c9787"</definedName>
    <definedName name="IQ_INDICATED_RECOV_ATTRIB_RESOURCES_TITAN" hidden="1">"c9561"</definedName>
    <definedName name="IQ_INDICATED_RECOV_ATTRIB_RESOURCES_URAN" hidden="1">"c9614"</definedName>
    <definedName name="IQ_INDICATED_RECOV_ATTRIB_RESOURCES_ZINC" hidden="1">"c9349"</definedName>
    <definedName name="IQ_INDICATED_RECOV_RESOURCES_ALUM" hidden="1">"c9233"</definedName>
    <definedName name="IQ_INDICATED_RECOV_RESOURCES_COAL" hidden="1">"c9812"</definedName>
    <definedName name="IQ_INDICATED_RECOV_RESOURCES_COP" hidden="1">"c9177"</definedName>
    <definedName name="IQ_INDICATED_RECOV_RESOURCES_DIAM" hidden="1">"c9657"</definedName>
    <definedName name="IQ_INDICATED_RECOV_RESOURCES_GOLD" hidden="1">"c9018"</definedName>
    <definedName name="IQ_INDICATED_RECOV_RESOURCES_IRON" hidden="1">"c9392"</definedName>
    <definedName name="IQ_INDICATED_RECOV_RESOURCES_LEAD" hidden="1">"c9445"</definedName>
    <definedName name="IQ_INDICATED_RECOV_RESOURCES_MANG" hidden="1">"c9498"</definedName>
    <definedName name="IQ_INDICATED_RECOV_RESOURCES_MET_COAL" hidden="1">"c9752"</definedName>
    <definedName name="IQ_INDICATED_RECOV_RESOURCES_MOLYB" hidden="1">"c9710"</definedName>
    <definedName name="IQ_INDICATED_RECOV_RESOURCES_NICK" hidden="1">"c9286"</definedName>
    <definedName name="IQ_INDICATED_RECOV_RESOURCES_PLAT" hidden="1">"c9124"</definedName>
    <definedName name="IQ_INDICATED_RECOV_RESOURCES_SILVER" hidden="1">"c9071"</definedName>
    <definedName name="IQ_INDICATED_RECOV_RESOURCES_STEAM" hidden="1">"c9782"</definedName>
    <definedName name="IQ_INDICATED_RECOV_RESOURCES_TITAN" hidden="1">"c9551"</definedName>
    <definedName name="IQ_INDICATED_RECOV_RESOURCES_URAN" hidden="1">"c9604"</definedName>
    <definedName name="IQ_INDICATED_RECOV_RESOURCES_ZINC" hidden="1">"c9339"</definedName>
    <definedName name="IQ_INDICATED_RESOURCES_CALORIFIC_VALUE_COAL" hidden="1">"c9807"</definedName>
    <definedName name="IQ_INDICATED_RESOURCES_CALORIFIC_VALUE_MET_COAL" hidden="1">"c9747"</definedName>
    <definedName name="IQ_INDICATED_RESOURCES_CALORIFIC_VALUE_STEAM" hidden="1">"c9777"</definedName>
    <definedName name="IQ_INDICATED_RESOURCES_GRADE_ALUM" hidden="1">"c9225"</definedName>
    <definedName name="IQ_INDICATED_RESOURCES_GRADE_COP" hidden="1">"c9169"</definedName>
    <definedName name="IQ_INDICATED_RESOURCES_GRADE_DIAM" hidden="1">"c9649"</definedName>
    <definedName name="IQ_INDICATED_RESOURCES_GRADE_GOLD" hidden="1">"c9010"</definedName>
    <definedName name="IQ_INDICATED_RESOURCES_GRADE_IRON" hidden="1">"c9384"</definedName>
    <definedName name="IQ_INDICATED_RESOURCES_GRADE_LEAD" hidden="1">"c9437"</definedName>
    <definedName name="IQ_INDICATED_RESOURCES_GRADE_MANG" hidden="1">"c9490"</definedName>
    <definedName name="IQ_INDICATED_RESOURCES_GRADE_MOLYB" hidden="1">"c9702"</definedName>
    <definedName name="IQ_INDICATED_RESOURCES_GRADE_NICK" hidden="1">"c9278"</definedName>
    <definedName name="IQ_INDICATED_RESOURCES_GRADE_PLAT" hidden="1">"c9116"</definedName>
    <definedName name="IQ_INDICATED_RESOURCES_GRADE_SILVER" hidden="1">"c9063"</definedName>
    <definedName name="IQ_INDICATED_RESOURCES_GRADE_TITAN" hidden="1">"c9543"</definedName>
    <definedName name="IQ_INDICATED_RESOURCES_GRADE_URAN" hidden="1">"c9596"</definedName>
    <definedName name="IQ_INDICATED_RESOURCES_GRADE_ZINC" hidden="1">"c9331"</definedName>
    <definedName name="IQ_INDIVIDUAL" hidden="1">"c15182"</definedName>
    <definedName name="IQ_INDIVIDUAL_ACTIVE_BOARD_MEMBERSHIPS" hidden="1">"c15201"</definedName>
    <definedName name="IQ_INDIVIDUAL_ACTIVE_PRO_AFFILIATIONS" hidden="1">"c15199"</definedName>
    <definedName name="IQ_INDIVIDUAL_AGE" hidden="1">"c15191"</definedName>
    <definedName name="IQ_INDIVIDUAL_ASSISTANT_EMAIL" hidden="1">"c15206"</definedName>
    <definedName name="IQ_INDIVIDUAL_ASSISTANT_FAX" hidden="1">"c15208"</definedName>
    <definedName name="IQ_INDIVIDUAL_ASSISTANT_NAME" hidden="1">"c15205"</definedName>
    <definedName name="IQ_INDIVIDUAL_ASSISTANT_PHONE" hidden="1">"c15207"</definedName>
    <definedName name="IQ_INDIVIDUAL_BACKGROUND" hidden="1">"c15184"</definedName>
    <definedName name="IQ_INDIVIDUAL_DIRECT_FAX" hidden="1">"c15189"</definedName>
    <definedName name="IQ_INDIVIDUAL_DIRECT_PHONE" hidden="1">"c15188"</definedName>
    <definedName name="IQ_INDIVIDUAL_EDUCATION" hidden="1">"c15203"</definedName>
    <definedName name="IQ_INDIVIDUAL_EMAIL" hidden="1">"c15193"</definedName>
    <definedName name="IQ_INDIVIDUAL_FAMILY_LOAN_DOM_QUARTERLY_AVG_FFIEC" hidden="1">"c15479"</definedName>
    <definedName name="IQ_INDIVIDUAL_HOME_ADDRESS" hidden="1">"c15194"</definedName>
    <definedName name="IQ_INDIVIDUAL_HOME_FAX" hidden="1">"c15196"</definedName>
    <definedName name="IQ_INDIVIDUAL_HOME_PHONE" hidden="1">"c15195"</definedName>
    <definedName name="IQ_INDIVIDUAL_MAIN_FAX" hidden="1">"c15187"</definedName>
    <definedName name="IQ_INDIVIDUAL_MAIN_PHONE" hidden="1">"c15186"</definedName>
    <definedName name="IQ_INDIVIDUAL_MOBILE" hidden="1">"c15198"</definedName>
    <definedName name="IQ_INDIVIDUAL_NICKNAME" hidden="1">"c15192"</definedName>
    <definedName name="IQ_INDIVIDUAL_NOTES" hidden="1">"c15204"</definedName>
    <definedName name="IQ_INDIVIDUAL_OFFICE_ADDRESS" hidden="1">"c15185"</definedName>
    <definedName name="IQ_INDIVIDUAL_OTHER_PHONE" hidden="1">"c15197"</definedName>
    <definedName name="IQ_INDIVIDUAL_PARTNER_CORP_NON_TRANS_ACCTS_FFIEC" hidden="1">"c15322"</definedName>
    <definedName name="IQ_INDIVIDUAL_PARTNER_CORP_TRANS_ACCTS_FFIEC" hidden="1">"c15314"</definedName>
    <definedName name="IQ_INDIVIDUAL_PARTNER_CORPS_FOREIGN_DEP_FFIEC" hidden="1">"c15342"</definedName>
    <definedName name="IQ_INDIVIDUAL_PRIOR_BOARD_MEMBERSHIPS" hidden="1">"c15202"</definedName>
    <definedName name="IQ_INDIVIDUAL_PRIOR_PRO_AFFILIATIONS" hidden="1">"c15200"</definedName>
    <definedName name="IQ_INDIVIDUAL_SPECIALTY" hidden="1">"c15190"</definedName>
    <definedName name="IQ_INDIVIDUAL_TITLE" hidden="1">"c15183"</definedName>
    <definedName name="IQ_INDIVIDUALS_CHARGE_OFFS_FDIC" hidden="1">"c6599"</definedName>
    <definedName name="IQ_INDIVIDUALS_GROSS_LOANS_FFIEC" hidden="1">"c13411"</definedName>
    <definedName name="IQ_INDIVIDUALS_LOANS_FDIC" hidden="1">"c6318"</definedName>
    <definedName name="IQ_INDIVIDUALS_NET_CHARGE_OFFS_FDIC" hidden="1">"c6637"</definedName>
    <definedName name="IQ_INDIVIDUALS_OTHER_LOANS_FDIC" hidden="1">"c6321"</definedName>
    <definedName name="IQ_INDIVIDUALS_PARTNERSHIPS_CORP_DEPOSITS_FOREIGN_FDIC" hidden="1">"c6479"</definedName>
    <definedName name="IQ_INDIVIDUALS_PARTNERSHIPS_CORP_NONTRANSACTION_ACCOUNTS_FDIC" hidden="1">"c6545"</definedName>
    <definedName name="IQ_INDIVIDUALS_PARTNERSHIPS_CORP_TOTAL_DEPOSITS_FDIC" hidden="1">"c6471"</definedName>
    <definedName name="IQ_INDIVIDUALS_PARTNERSHIPS_CORP_TRANSACTION_ACCOUNTS_FDIC" hidden="1">"c6537"</definedName>
    <definedName name="IQ_INDIVIDUALS_RECOVERIES_FDIC" hidden="1">"c6618"</definedName>
    <definedName name="IQ_INDIVIDUALS_RISK_BASED_FFIEC" hidden="1">"c13432"</definedName>
    <definedName name="IQ_INDUSTRIAL_PROD" hidden="1">"c6895"</definedName>
    <definedName name="IQ_INDUSTRIAL_PROD_APR" hidden="1">"c7555"</definedName>
    <definedName name="IQ_INDUSTRIAL_PROD_APR_FC" hidden="1">"c8435"</definedName>
    <definedName name="IQ_INDUSTRIAL_PROD_FC" hidden="1">"c7775"</definedName>
    <definedName name="IQ_INDUSTRIAL_PROD_POP" hidden="1">"c7115"</definedName>
    <definedName name="IQ_INDUSTRIAL_PROD_POP_FC" hidden="1">"c7995"</definedName>
    <definedName name="IQ_INDUSTRIAL_PROD_YOY" hidden="1">"c7335"</definedName>
    <definedName name="IQ_INDUSTRIAL_PROD_YOY_FC" hidden="1">"c8215"</definedName>
    <definedName name="IQ_INDUSTRY" hidden="1">"c3601"</definedName>
    <definedName name="IQ_INDUSTRY_GROUP" hidden="1">"c3602"</definedName>
    <definedName name="IQ_INDUSTRY_SECTOR" hidden="1">"c3603"</definedName>
    <definedName name="IQ_INFERRED_ATTRIB_ORE_RESOURCES_ALUM" hidden="1">"c9240"</definedName>
    <definedName name="IQ_INFERRED_ATTRIB_ORE_RESOURCES_COP" hidden="1">"c9184"</definedName>
    <definedName name="IQ_INFERRED_ATTRIB_ORE_RESOURCES_DIAM" hidden="1">"c9664"</definedName>
    <definedName name="IQ_INFERRED_ATTRIB_ORE_RESOURCES_GOLD" hidden="1">"c9025"</definedName>
    <definedName name="IQ_INFERRED_ATTRIB_ORE_RESOURCES_IRON" hidden="1">"c9399"</definedName>
    <definedName name="IQ_INFERRED_ATTRIB_ORE_RESOURCES_LEAD" hidden="1">"c9452"</definedName>
    <definedName name="IQ_INFERRED_ATTRIB_ORE_RESOURCES_MANG" hidden="1">"c9505"</definedName>
    <definedName name="IQ_INFERRED_ATTRIB_ORE_RESOURCES_MOLYB" hidden="1">"c9717"</definedName>
    <definedName name="IQ_INFERRED_ATTRIB_ORE_RESOURCES_NICK" hidden="1">"c9293"</definedName>
    <definedName name="IQ_INFERRED_ATTRIB_ORE_RESOURCES_PLAT" hidden="1">"c9131"</definedName>
    <definedName name="IQ_INFERRED_ATTRIB_ORE_RESOURCES_SILVER" hidden="1">"c9078"</definedName>
    <definedName name="IQ_INFERRED_ATTRIB_ORE_RESOURCES_TITAN" hidden="1">"c9558"</definedName>
    <definedName name="IQ_INFERRED_ATTRIB_ORE_RESOURCES_URAN" hidden="1">"c9611"</definedName>
    <definedName name="IQ_INFERRED_ATTRIB_ORE_RESOURCES_ZINC" hidden="1">"c9346"</definedName>
    <definedName name="IQ_INFERRED_ORE_RESOURCES_ALUM" hidden="1">"c9228"</definedName>
    <definedName name="IQ_INFERRED_ORE_RESOURCES_COP" hidden="1">"c9172"</definedName>
    <definedName name="IQ_INFERRED_ORE_RESOURCES_DIAM" hidden="1">"c9652"</definedName>
    <definedName name="IQ_INFERRED_ORE_RESOURCES_GOLD" hidden="1">"c9013"</definedName>
    <definedName name="IQ_INFERRED_ORE_RESOURCES_IRON" hidden="1">"c9387"</definedName>
    <definedName name="IQ_INFERRED_ORE_RESOURCES_LEAD" hidden="1">"c9440"</definedName>
    <definedName name="IQ_INFERRED_ORE_RESOURCES_MANG" hidden="1">"c9493"</definedName>
    <definedName name="IQ_INFERRED_ORE_RESOURCES_MOLYB" hidden="1">"c9705"</definedName>
    <definedName name="IQ_INFERRED_ORE_RESOURCES_NICK" hidden="1">"c9281"</definedName>
    <definedName name="IQ_INFERRED_ORE_RESOURCES_PLAT" hidden="1">"c9119"</definedName>
    <definedName name="IQ_INFERRED_ORE_RESOURCES_SILVER" hidden="1">"c9066"</definedName>
    <definedName name="IQ_INFERRED_ORE_RESOURCES_TITAN" hidden="1">"c9546"</definedName>
    <definedName name="IQ_INFERRED_ORE_RESOURCES_URAN" hidden="1">"c9599"</definedName>
    <definedName name="IQ_INFERRED_ORE_RESOURCES_ZINC" hidden="1">"c9334"</definedName>
    <definedName name="IQ_INFERRED_RECOV_ATTRIB_RESOURCES_ALUM" hidden="1">"c9245"</definedName>
    <definedName name="IQ_INFERRED_RECOV_ATTRIB_RESOURCES_COAL" hidden="1">"c9819"</definedName>
    <definedName name="IQ_INFERRED_RECOV_ATTRIB_RESOURCES_COP" hidden="1">"c9189"</definedName>
    <definedName name="IQ_INFERRED_RECOV_ATTRIB_RESOURCES_DIAM" hidden="1">"c9669"</definedName>
    <definedName name="IQ_INFERRED_RECOV_ATTRIB_RESOURCES_GOLD" hidden="1">"c9030"</definedName>
    <definedName name="IQ_INFERRED_RECOV_ATTRIB_RESOURCES_IRON" hidden="1">"c9404"</definedName>
    <definedName name="IQ_INFERRED_RECOV_ATTRIB_RESOURCES_LEAD" hidden="1">"c9457"</definedName>
    <definedName name="IQ_INFERRED_RECOV_ATTRIB_RESOURCES_MANG" hidden="1">"c9510"</definedName>
    <definedName name="IQ_INFERRED_RECOV_ATTRIB_RESOURCES_MET_COAL" hidden="1">"c9759"</definedName>
    <definedName name="IQ_INFERRED_RECOV_ATTRIB_RESOURCES_MOLYB" hidden="1">"c9722"</definedName>
    <definedName name="IQ_INFERRED_RECOV_ATTRIB_RESOURCES_NICK" hidden="1">"c9298"</definedName>
    <definedName name="IQ_INFERRED_RECOV_ATTRIB_RESOURCES_PLAT" hidden="1">"c9136"</definedName>
    <definedName name="IQ_INFERRED_RECOV_ATTRIB_RESOURCES_SILVER" hidden="1">"c9083"</definedName>
    <definedName name="IQ_INFERRED_RECOV_ATTRIB_RESOURCES_STEAM" hidden="1">"c9789"</definedName>
    <definedName name="IQ_INFERRED_RECOV_ATTRIB_RESOURCES_TITAN" hidden="1">"c9563"</definedName>
    <definedName name="IQ_INFERRED_RECOV_ATTRIB_RESOURCES_URAN" hidden="1">"c9616"</definedName>
    <definedName name="IQ_INFERRED_RECOV_ATTRIB_RESOURCES_ZINC" hidden="1">"c9351"</definedName>
    <definedName name="IQ_INFERRED_RECOV_RESOURCES_ALUM" hidden="1">"c9235"</definedName>
    <definedName name="IQ_INFERRED_RECOV_RESOURCES_COAL" hidden="1">"c9814"</definedName>
    <definedName name="IQ_INFERRED_RECOV_RESOURCES_COP" hidden="1">"c9179"</definedName>
    <definedName name="IQ_INFERRED_RECOV_RESOURCES_DIAM" hidden="1">"c9659"</definedName>
    <definedName name="IQ_INFERRED_RECOV_RESOURCES_GOLD" hidden="1">"c9020"</definedName>
    <definedName name="IQ_INFERRED_RECOV_RESOURCES_IRON" hidden="1">"c9394"</definedName>
    <definedName name="IQ_INFERRED_RECOV_RESOURCES_LEAD" hidden="1">"c9447"</definedName>
    <definedName name="IQ_INFERRED_RECOV_RESOURCES_MANG" hidden="1">"c9500"</definedName>
    <definedName name="IQ_INFERRED_RECOV_RESOURCES_MET_COAL" hidden="1">"c9754"</definedName>
    <definedName name="IQ_INFERRED_RECOV_RESOURCES_MOLYB" hidden="1">"c9712"</definedName>
    <definedName name="IQ_INFERRED_RECOV_RESOURCES_NICK" hidden="1">"c9288"</definedName>
    <definedName name="IQ_INFERRED_RECOV_RESOURCES_PLAT" hidden="1">"c9126"</definedName>
    <definedName name="IQ_INFERRED_RECOV_RESOURCES_SILVER" hidden="1">"c9073"</definedName>
    <definedName name="IQ_INFERRED_RECOV_RESOURCES_STEAM" hidden="1">"c9784"</definedName>
    <definedName name="IQ_INFERRED_RECOV_RESOURCES_TITAN" hidden="1">"c9553"</definedName>
    <definedName name="IQ_INFERRED_RECOV_RESOURCES_URAN" hidden="1">"c9606"</definedName>
    <definedName name="IQ_INFERRED_RECOV_RESOURCES_ZINC" hidden="1">"c9341"</definedName>
    <definedName name="IQ_INFERRED_RESOURCES_CALORIFIC_VALUE_COAL" hidden="1">"c9809"</definedName>
    <definedName name="IQ_INFERRED_RESOURCES_CALORIFIC_VALUE_MET_COAL" hidden="1">"c9749"</definedName>
    <definedName name="IQ_INFERRED_RESOURCES_CALORIFIC_VALUE_STEAM" hidden="1">"c9779"</definedName>
    <definedName name="IQ_INFERRED_RESOURCES_GRADE_ALUM" hidden="1">"c9229"</definedName>
    <definedName name="IQ_INFERRED_RESOURCES_GRADE_COP" hidden="1">"c9173"</definedName>
    <definedName name="IQ_INFERRED_RESOURCES_GRADE_DIAM" hidden="1">"c9653"</definedName>
    <definedName name="IQ_INFERRED_RESOURCES_GRADE_GOLD" hidden="1">"c9014"</definedName>
    <definedName name="IQ_INFERRED_RESOURCES_GRADE_IRON" hidden="1">"c9388"</definedName>
    <definedName name="IQ_INFERRED_RESOURCES_GRADE_LEAD" hidden="1">"c9441"</definedName>
    <definedName name="IQ_INFERRED_RESOURCES_GRADE_MANG" hidden="1">"c9494"</definedName>
    <definedName name="IQ_INFERRED_RESOURCES_GRADE_MOLYB" hidden="1">"c9706"</definedName>
    <definedName name="IQ_INFERRED_RESOURCES_GRADE_NICK" hidden="1">"c9282"</definedName>
    <definedName name="IQ_INFERRED_RESOURCES_GRADE_PLAT" hidden="1">"c9120"</definedName>
    <definedName name="IQ_INFERRED_RESOURCES_GRADE_SILVER" hidden="1">"c9067"</definedName>
    <definedName name="IQ_INFERRED_RESOURCES_GRADE_TITAN" hidden="1">"c9547"</definedName>
    <definedName name="IQ_INFERRED_RESOURCES_GRADE_URAN" hidden="1">"c9600"</definedName>
    <definedName name="IQ_INFERRED_RESOURCES_GRADE_ZINC" hidden="1">"c9335"</definedName>
    <definedName name="IQ_INFLATION_RATE" hidden="1">"c6899"</definedName>
    <definedName name="IQ_INFLATION_RATE_CORE" hidden="1">"c11783"</definedName>
    <definedName name="IQ_INFLATION_RATE_CORE_POP" hidden="1">"c11784"</definedName>
    <definedName name="IQ_INFLATION_RATE_CORE_YOY" hidden="1">"c11785"</definedName>
    <definedName name="IQ_INFLATION_RATE_FC" hidden="1">"c7779"</definedName>
    <definedName name="IQ_INFLATION_RATE_POP" hidden="1">"c7119"</definedName>
    <definedName name="IQ_INFLATION_RATE_POP_FC" hidden="1">"c7999"</definedName>
    <definedName name="IQ_INFLATION_RATE_YOY" hidden="1">"c7339"</definedName>
    <definedName name="IQ_INFLATION_RATE_YOY_FC" hidden="1">"c8219"</definedName>
    <definedName name="IQ_INITIAL_CLAIMS" hidden="1">"c6900"</definedName>
    <definedName name="IQ_INITIAL_CLAIMS_APR" hidden="1">"c7560"</definedName>
    <definedName name="IQ_INITIAL_CLAIMS_APR_FC" hidden="1">"c8440"</definedName>
    <definedName name="IQ_INITIAL_CLAIMS_FC" hidden="1">"c7780"</definedName>
    <definedName name="IQ_INITIAL_CLAIMS_POP" hidden="1">"c7120"</definedName>
    <definedName name="IQ_INITIAL_CLAIMS_POP_FC" hidden="1">"c8000"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SUPPLE" hidden="1">"c13814"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LOANS_FDIC" hidden="1">"c6365"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_DEPOSITS" hidden="1">"c89"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TITUTIONS_EARNINGS_GAINS_FDIC" hidden="1">"c6723"</definedName>
    <definedName name="IQ_INSUR_RECEIV" hidden="1">"c1600"</definedName>
    <definedName name="IQ_INSURANCE_COMMISSION_FEES_FDIC" hidden="1">"c6670"</definedName>
    <definedName name="IQ_INSURANCE_REINSURANCE_UNDERWRITING_INCOME_FFIEC" hidden="1">"c13008"</definedName>
    <definedName name="IQ_INSURANCE_REV_OPERATING_INC_FFIEC" hidden="1">"c13387"</definedName>
    <definedName name="IQ_INSURANCE_UNDERWRITING_INCOME_FDIC" hidden="1">"c6671"</definedName>
    <definedName name="IQ_INT_BEARING_DEPOSITS" hidden="1">"c1166"</definedName>
    <definedName name="IQ_INT_BEARING_FUNDS_AVG_ASSETS_FFIEC" hidden="1">"c13355"</definedName>
    <definedName name="IQ_INT_BEARING_LIABILITIES_REPRICE_ASSETS_TOT_FFIEC" hidden="1">"c13452"</definedName>
    <definedName name="IQ_INT_BORROW" hidden="1">"c583"</definedName>
    <definedName name="IQ_INT_DEMAND_NOTES_FDIC" hidden="1">"c6567"</definedName>
    <definedName name="IQ_INT_DEPOSITS" hidden="1">"c584"</definedName>
    <definedName name="IQ_INT_DEPOSITS_DOM_FFIEC" hidden="1">"c12852"</definedName>
    <definedName name="IQ_INT_DEPOSITS_DOM_QUARTERLY_AVG_FFIEC" hidden="1">"c13088"</definedName>
    <definedName name="IQ_INT_DEPOSITS_FOREIGN_FFIEC" hidden="1">"c12855"</definedName>
    <definedName name="IQ_INT_DEPOSITS_FOREIGN_QUARTERLY_AVG_FFIEC" hidden="1">"c13089"</definedName>
    <definedName name="IQ_INT_DIV_INC" hidden="1">"c585"</definedName>
    <definedName name="IQ_INT_DIV_INC_MBS_FFIEC" hidden="1">"c12984"</definedName>
    <definedName name="IQ_INT_DIV_INC_SECURITIES_FFIEC" hidden="1">"c12982"</definedName>
    <definedName name="IQ_INT_DIV_INC_SECURITIES_OTHER_FFIEC" hidden="1">"c12985"</definedName>
    <definedName name="IQ_INT_DIV_INC_TREASURY_SECURITIES_FFIEC" hidden="1">"c12983"</definedName>
    <definedName name="IQ_INT_DOMESTIC_DEPOSITS_FDIC" hidden="1">"c6564"</definedName>
    <definedName name="IQ_INT_EXP_AVG_ASSETS_FFIEC" hidden="1">"c13357"</definedName>
    <definedName name="IQ_INT_EXP_BR" hidden="1">"c586"</definedName>
    <definedName name="IQ_INT_EXP_COVERAGE" hidden="1">"c587"</definedName>
    <definedName name="IQ_INT_EXP_EARNING_ASSETS_FFIEC" hidden="1">"c13376"</definedName>
    <definedName name="IQ_INT_EXP_FED_FUNDS_PURCHASED_FFIEC" hidden="1">"c12996"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" hidden="1">"c6224"</definedName>
    <definedName name="IQ_INT_EXP_REIT" hidden="1">"c590"</definedName>
    <definedName name="IQ_INT_EXP_TOTAL" hidden="1">"c591"</definedName>
    <definedName name="IQ_INT_EXP_TOTAL_BNK_SUBTOTAL_AP" hidden="1">"c8977"</definedName>
    <definedName name="IQ_INT_EXP_TOTAL_FDIC" hidden="1">"c6569"</definedName>
    <definedName name="IQ_INT_EXP_UTI" hidden="1">"c592"</definedName>
    <definedName name="IQ_INT_EXPENSE_AVG_ASSET" hidden="1">"c15705"</definedName>
    <definedName name="IQ_INT_FED_FUNDS_FDIC" hidden="1">"c6566"</definedName>
    <definedName name="IQ_INT_FEE_INC_ACCEPTANCE_OTHER_BANKS_DOM_FFIEC" hidden="1">"c15357"</definedName>
    <definedName name="IQ_INT_FEE_INC_AGRICULTURE_LOANS_FARMERS_DOM_FFIEC" hidden="1">"c15355"</definedName>
    <definedName name="IQ_INT_FEE_INC_COMM_IND_LOANS_DOM_FFIEC" hidden="1">"c15356"</definedName>
    <definedName name="IQ_INT_FEE_INC_CREDIT_CARDS_DOM_FFIEC" hidden="1">"c15358"</definedName>
    <definedName name="IQ_INT_FEE_INC_DEPOSITORY_LOANS_DOM_FFIEC" hidden="1">"c15354"</definedName>
    <definedName name="IQ_INT_FEE_INC_FOREIGN_GOVT_LOANS_DOM_FFIEC" hidden="1">"c15360"</definedName>
    <definedName name="IQ_INT_FEE_INC_INDIVIDUAL_LOANS_DOM_FFIEC" hidden="1">"c15359"</definedName>
    <definedName name="IQ_INT_FEE_INC_LOANS_1_4_DOM_FFIEC" hidden="1">"c12976"</definedName>
    <definedName name="IQ_INT_FEE_INC_LOANS_DOM_FFIEC" hidden="1">"c13335"</definedName>
    <definedName name="IQ_INT_FEE_INC_LOANS_FOREIGN_FFIEC" hidden="1">"c12979"</definedName>
    <definedName name="IQ_INT_FEE_INC_LOANS_OTHER_DOM_FFIEC" hidden="1">"c12978"</definedName>
    <definedName name="IQ_INT_FEE_INC_RE_LOANS_DOM_FFIEC" hidden="1">"c15353"</definedName>
    <definedName name="IQ_INT_FEE_INC_SECURED_RE_DOM_FFIEC" hidden="1">"c12977"</definedName>
    <definedName name="IQ_INT_FEE_INC_TAX_EXEMPT_OBLIGATIONS_DOM_FFIEC" hidden="1">"c15362"</definedName>
    <definedName name="IQ_INT_FEE_INC_TAXABLE_OBLIGATIONS_DOM_FFIEC" hidden="1">"c15361"</definedName>
    <definedName name="IQ_INT_FEE_INCOME_FFIEC" hidden="1">"c12974"</definedName>
    <definedName name="IQ_INT_FOREIGN_DEPOSITS_FDIC" hidden="1">"c6565"</definedName>
    <definedName name="IQ_INT_INC_AVG_ASSETS_FFIEC" hidden="1">"c13356"</definedName>
    <definedName name="IQ_INT_INC_BR" hidden="1">"c593"</definedName>
    <definedName name="IQ_INT_INC_DEPOSITORY_INST_FDIC" hidden="1">"c6558"</definedName>
    <definedName name="IQ_INT_INC_DOM_LOANS_FDIC" hidden="1">"c6555"</definedName>
    <definedName name="IQ_INT_INC_DUE_DEPOSITORY_INSTITUTIONS_FFIEC" hidden="1">"c12981"</definedName>
    <definedName name="IQ_INT_INC_EARNING_ASSETS_FFIEC" hidden="1">"c13375"</definedName>
    <definedName name="IQ_INT_INC_FED_FUNDS_FDIC" hidden="1">"c6561"</definedName>
    <definedName name="IQ_INT_INC_FED_FUNDS_SOLD_FFIEC" hidden="1">"c12987"</definedName>
    <definedName name="IQ_INT_INC_FIN" hidden="1">"c594"</definedName>
    <definedName name="IQ_INT_INC_FOREIGN_LOANS_FDIC" hidden="1">"c6556"</definedName>
    <definedName name="IQ_INT_INC_INVEST" hidden="1">"c595"</definedName>
    <definedName name="IQ_INT_INC_LEASE_RECEIVABLES_FDIC" hidden="1">"c6557"</definedName>
    <definedName name="IQ_INT_INC_LOANS" hidden="1">"c596"</definedName>
    <definedName name="IQ_INT_INC_OTHER_FDIC" hidden="1">"c6562"</definedName>
    <definedName name="IQ_INT_INC_RE" hidden="1">"c6225"</definedName>
    <definedName name="IQ_INT_INC_REIT" hidden="1">"c597"</definedName>
    <definedName name="IQ_INT_INC_SECURITIES_FDIC" hidden="1">"c6559"</definedName>
    <definedName name="IQ_INT_INC_TE_AVG_ASSETS_FFIEC" hidden="1">"c13358"</definedName>
    <definedName name="IQ_INT_INC_TE_EARNING_ASSETS_FFIEC" hidden="1">"c13377"</definedName>
    <definedName name="IQ_INT_INC_TOTAL" hidden="1">"c598"</definedName>
    <definedName name="IQ_INT_INC_TOTAL_BNK_SUBTOTAL_AP" hidden="1">"c8976"</definedName>
    <definedName name="IQ_INT_INC_TOTAL_FDIC" hidden="1">"c6563"</definedName>
    <definedName name="IQ_INT_INC_TRADING_ACCOUNTS_FDIC" hidden="1">"c6560"</definedName>
    <definedName name="IQ_INT_INC_TRADING_ASSETS_FFIEC" hidden="1">"c12986"</definedName>
    <definedName name="IQ_INT_INC_UTI" hidden="1">"c599"</definedName>
    <definedName name="IQ_INT_INCOME_AVG_ASSET" hidden="1">"c15704"</definedName>
    <definedName name="IQ_INT_INCOME_FTE_AVG_ASSETS_FFIEC" hidden="1">"c13856"</definedName>
    <definedName name="IQ_INT_INCOME_FTE_AVG_EARNING_ASSETS_FFIEC" hidden="1">"c13857"</definedName>
    <definedName name="IQ_INT_INCOME_FTE_FFIEC" hidden="1">"c13852"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ON_DEPOSITS_DOM_FFIEC" hidden="1">"c12991"</definedName>
    <definedName name="IQ_INT_ON_DEPOSITS_FFIEC" hidden="1">"c12990"</definedName>
    <definedName name="IQ_INT_ON_DEPOSITS_FOREIGN_FFIEC" hidden="1">"c12995"</definedName>
    <definedName name="IQ_INT_RATE_EXPOSURE_FFIEC" hidden="1">"c13058"</definedName>
    <definedName name="IQ_INT_RATE_SPREAD" hidden="1">"c604"</definedName>
    <definedName name="IQ_INT_SAVINGS_DEPOSITS_MMDA_DOM_FFIEC" hidden="1">"c15364"</definedName>
    <definedName name="IQ_INT_SUB_NOTES_FDIC" hidden="1">"c6568"</definedName>
    <definedName name="IQ_INT_SUB_NOTES_FFIEC" hidden="1">"c12998"</definedName>
    <definedName name="IQ_INT_TIME_DEPOSITS_LESS_THAN_100K_DOM_FFIEC" hidden="1">"c12993"</definedName>
    <definedName name="IQ_INT_TIME_DEPOSITS_MORE_THAN_100K_DOM_FFIEC" hidden="1">"c12992"</definedName>
    <definedName name="IQ_INT_TRADING_LIABILITIES_FFIEC" hidden="1">"c12997"</definedName>
    <definedName name="IQ_INT_TRANSACTION_ACCOUNTS_DOM_FFIEC" hidden="1">"c15363"</definedName>
    <definedName name="IQ_INTANGIBLES_NET" hidden="1">"c1407"</definedName>
    <definedName name="IQ_INTEREST_ACCRUED_ON_DEPOSITS_DOM_FFIEC" hidden="1">"c15277"</definedName>
    <definedName name="IQ_INTEREST_BEARING_BALANCES_FDIC" hidden="1">"c6371"</definedName>
    <definedName name="IQ_INTEREST_BEARING_BALANCES_QUARTERLY_AVG_FFIEC" hidden="1">"c15467"</definedName>
    <definedName name="IQ_INTEREST_BEARING_CASH_FFIEC" hidden="1">"c15259"</definedName>
    <definedName name="IQ_INTEREST_BEARING_CASH_FOREIGN_FFIEC" hidden="1">"c12776"</definedName>
    <definedName name="IQ_INTEREST_BEARING_CASH_US_FFIEC" hidden="1">"c12775"</definedName>
    <definedName name="IQ_INTEREST_BEARING_DEPOSITS_DOMESTIC_FDIC" hidden="1">"c6478"</definedName>
    <definedName name="IQ_INTEREST_BEARING_DEPOSITS_FDIC" hidden="1">"c6373"</definedName>
    <definedName name="IQ_INTEREST_BEARING_DEPOSITS_FOREIGN_FDIC" hidden="1">"c6485"</definedName>
    <definedName name="IQ_INTEREST_BEARING_TRANS_DOM_QUARTERLY_AVG_FFIEC" hidden="1">"c15484"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TEREST_PENALTIES_RECOG_BS_AFTER_TAX" hidden="1">"c15745"</definedName>
    <definedName name="IQ_INTEREST_PENALTIES_RECOG_BS_PRE_TAX" hidden="1">"c15744"</definedName>
    <definedName name="IQ_INTEREST_PENALTIES_RECOG_IS_AFTER_TAX" hidden="1">"c15743"</definedName>
    <definedName name="IQ_INTEREST_PENALTIES_RECOG_IS_PRE_TAX" hidden="1">"c15742"</definedName>
    <definedName name="IQ_INTEREST_RATE_CONTRACTS_FDIC" hidden="1">"c6512"</definedName>
    <definedName name="IQ_INTEREST_RATE_EXPOSURES_FDIC" hidden="1">"c6662"</definedName>
    <definedName name="IQ_INTERNAL_ALLOCATIONS_INC_EXP_FOREIGN_FFIEC" hidden="1">"c15394"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METHOD" hidden="1">"c621"</definedName>
    <definedName name="IQ_INV_REL_ID" hidden="1">"c15220"</definedName>
    <definedName name="IQ_INV_REL_NAME" hidden="1">"c15219"</definedName>
    <definedName name="IQ_INVENTORIES" hidden="1">"c6901"</definedName>
    <definedName name="IQ_INVENTORIES_APR" hidden="1">"c7561"</definedName>
    <definedName name="IQ_INVENTORIES_APR_FC" hidden="1">"c8441"</definedName>
    <definedName name="IQ_INVENTORIES_FC" hidden="1">"c7781"</definedName>
    <definedName name="IQ_INVENTORIES_POP" hidden="1">"c7121"</definedName>
    <definedName name="IQ_INVENTORIES_POP_FC" hidden="1">"c8001"</definedName>
    <definedName name="IQ_INVENTORIES_YOY" hidden="1">"c7341"</definedName>
    <definedName name="IQ_INVENTORIES_YOY_FC" hidden="1">"c8221"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IES_ASSETS_TOT_FFIEC" hidden="1">"c13440"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NVEST_UNCONSOLIDATED_SUBS_FFIEC" hidden="1">"c12834"</definedName>
    <definedName name="IQ_INVESTMENT_BANKING_BROKERAGE_FEES_FFIEC" hidden="1">"c13627"</definedName>
    <definedName name="IQ_INVESTMENT_BANKING_FEES_COMMISSIONS_FFIEC" hidden="1">"c13006"</definedName>
    <definedName name="IQ_INVESTMENT_BANKING_OTHER_FEES_FDIC" hidden="1">"c6666"</definedName>
    <definedName name="IQ_INVESTMENT_PARTNERSHIP" hidden="1">"c16072"</definedName>
    <definedName name="IQ_IPRD" hidden="1">"c644"</definedName>
    <definedName name="IQ_IPRD_SUPPLE" hidden="1">"c13813"</definedName>
    <definedName name="IQ_IRA_KEOGH_ACCOUNTS_FDIC" hidden="1">"c6496"</definedName>
    <definedName name="IQ_ISIN" hidden="1">"c12041"</definedName>
    <definedName name="IQ_ISM_INDEX" hidden="1">"c6902"</definedName>
    <definedName name="IQ_ISM_INDEX_APR" hidden="1">"c7562"</definedName>
    <definedName name="IQ_ISM_INDEX_APR_FC" hidden="1">"c8442"</definedName>
    <definedName name="IQ_ISM_INDEX_FC" hidden="1">"c7782"</definedName>
    <definedName name="IQ_ISM_INDEX_POP" hidden="1">"c7122"</definedName>
    <definedName name="IQ_ISM_INDEX_POP_FC" hidden="1">"c8002"</definedName>
    <definedName name="IQ_ISM_INDEX_YOY" hidden="1">"c7342"</definedName>
    <definedName name="IQ_ISM_INDEX_YOY_FC" hidden="1">"c8222"</definedName>
    <definedName name="IQ_ISM_SERVICES_APR_FC_UNUSED" hidden="1">"c8443"</definedName>
    <definedName name="IQ_ISM_SERVICES_APR_FC_UNUSED_UNUSED_UNUSED" hidden="1">"c8443"</definedName>
    <definedName name="IQ_ISM_SERVICES_APR_UNUSED" hidden="1">"c7563"</definedName>
    <definedName name="IQ_ISM_SERVICES_APR_UNUSED_UNUSED_UNUSED" hidden="1">"c7563"</definedName>
    <definedName name="IQ_ISM_SERVICES_FC_UNUSED" hidden="1">"c7783"</definedName>
    <definedName name="IQ_ISM_SERVICES_FC_UNUSED_UNUSED_UNUSED" hidden="1">"c7783"</definedName>
    <definedName name="IQ_ISM_SERVICES_INDEX" hidden="1">"c11862"</definedName>
    <definedName name="IQ_ISM_SERVICES_INDEX_APR" hidden="1">"c11865"</definedName>
    <definedName name="IQ_ISM_SERVICES_INDEX_POP" hidden="1">"c11863"</definedName>
    <definedName name="IQ_ISM_SERVICES_INDEX_YOY" hidden="1">"c11864"</definedName>
    <definedName name="IQ_ISM_SERVICES_POP_FC_UNUSED" hidden="1">"c8003"</definedName>
    <definedName name="IQ_ISM_SERVICES_POP_FC_UNUSED_UNUSED_UNUSED" hidden="1">"c8003"</definedName>
    <definedName name="IQ_ISM_SERVICES_POP_UNUSED" hidden="1">"c7123"</definedName>
    <definedName name="IQ_ISM_SERVICES_POP_UNUSED_UNUSED_UNUSED" hidden="1">"c7123"</definedName>
    <definedName name="IQ_ISM_SERVICES_UNUSED" hidden="1">"c6903"</definedName>
    <definedName name="IQ_ISM_SERVICES_UNUSED_UNUSED_UNUSED" hidden="1">"c6903"</definedName>
    <definedName name="IQ_ISM_SERVICES_YOY_FC_UNUSED" hidden="1">"c8223"</definedName>
    <definedName name="IQ_ISM_SERVICES_YOY_FC_UNUSED_UNUSED_UNUSED" hidden="1">"c8223"</definedName>
    <definedName name="IQ_ISM_SERVICES_YOY_UNUSED" hidden="1">"c7343"</definedName>
    <definedName name="IQ_ISM_SERVICES_YOY_UNUSED_UNUSED_UNUSED" hidden="1">"c7343"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D_GUARANTEED_US_FDIC" hidden="1">"c6404"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KEY_DEV_COMPANY_ID" hidden="1">"c13830"</definedName>
    <definedName name="IQ_KEY_DEV_COMPANY_NAME" hidden="1">"c13829"</definedName>
    <definedName name="IQ_KEY_DEV_DATE" hidden="1">"c13763"</definedName>
    <definedName name="IQ_KEY_DEV_HEADLINE" hidden="1">"c13761"</definedName>
    <definedName name="IQ_KEY_DEV_ID" hidden="1">"c13760"</definedName>
    <definedName name="IQ_KEY_DEV_ID_INCL_SUBS" hidden="1">"c13832"</definedName>
    <definedName name="IQ_KEY_DEV_SITUATION" hidden="1">"c13762"</definedName>
    <definedName name="IQ_KEY_DEV_SOURCE" hidden="1">"c13765"</definedName>
    <definedName name="IQ_KEY_DEV_TIME" hidden="1">"c13833"</definedName>
    <definedName name="IQ_KEY_DEV_TRANSACTION_ID" hidden="1">"c13766"</definedName>
    <definedName name="IQ_KEY_DEV_TYPE" hidden="1">"c13764"</definedName>
    <definedName name="IQ_LAND" hidden="1">"c645"</definedName>
    <definedName name="IQ_LAND_MINERAL_RIGHTS_TO_PPE_GROSS_COAL" hidden="1">"c15949"</definedName>
    <definedName name="IQ_LAND_MINERAL_RIGHTS_TO_PPE_NET_COAL" hidden="1">"c15950"</definedName>
    <definedName name="IQ_LANDS_MINERAL_RIGHTS_GROSS_COAL" hidden="1">"c15938"</definedName>
    <definedName name="IQ_LANDS_MINERAL_RIGHTS_NET_COAL" hidden="1">"c15939"</definedName>
    <definedName name="IQ_LAPSE_STATUTE_LIMITATIONS" hidden="1">"c15738"</definedName>
    <definedName name="IQ_LARGE_CAP_LABOR_COST_INDEX" hidden="1">"c6904"</definedName>
    <definedName name="IQ_LARGE_CAP_LABOR_COST_INDEX_APR" hidden="1">"c7564"</definedName>
    <definedName name="IQ_LARGE_CAP_LABOR_COST_INDEX_APR_FC" hidden="1">"c8444"</definedName>
    <definedName name="IQ_LARGE_CAP_LABOR_COST_INDEX_FC" hidden="1">"c7784"</definedName>
    <definedName name="IQ_LARGE_CAP_LABOR_COST_INDEX_POP" hidden="1">"c7124"</definedName>
    <definedName name="IQ_LARGE_CAP_LABOR_COST_INDEX_POP_FC" hidden="1">"c8004"</definedName>
    <definedName name="IQ_LARGE_CAP_LABOR_COST_INDEX_YOY" hidden="1">"c7344"</definedName>
    <definedName name="IQ_LARGE_CAP_LABOR_COST_INDEX_YOY_FC" hidden="1">"c8224"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_MONTHLY_FACTOR" hidden="1">"c8971"</definedName>
    <definedName name="IQ_LATEST_MONTHLY_FACTOR_DATE" hidden="1">"c8972"</definedName>
    <definedName name="IQ_LATESTK" hidden="1">1000</definedName>
    <definedName name="IQ_LATESTQ" hidden="1">500</definedName>
    <definedName name="IQ_LEAD_UNDERWRITER" hidden="1">"c8957"</definedName>
    <definedName name="IQ_LEASE_EXPENSE" hidden="1">"c16039"</definedName>
    <definedName name="IQ_LEASE_FIN_RECEIVABLES_NON_US_CHARGE_OFFS_FFIEC" hidden="1">"c13631"</definedName>
    <definedName name="IQ_LEASE_FIN_RECEIVABLES_NON_US_RECOV_FFIEC" hidden="1">"c13635"</definedName>
    <definedName name="IQ_LEASE_FIN_RECEIVABLES_US_CHARGE_OFFS_FFIEC" hidden="1">"c13630"</definedName>
    <definedName name="IQ_LEASE_FIN_RECEIVABLES_US_RECOV_FFIEC" hidden="1">"c13634"</definedName>
    <definedName name="IQ_LEASE_FINANCE" hidden="1">"c5654"</definedName>
    <definedName name="IQ_LEASE_FINANCING_REC_DUE_30_89_FFIEC" hidden="1">"c13276"</definedName>
    <definedName name="IQ_LEASE_FINANCING_REC_DUE_90_FFIEC" hidden="1">"c13302"</definedName>
    <definedName name="IQ_LEASE_FINANCING_REC_NON_ACCRUAL_FFIEC" hidden="1">"c13328"</definedName>
    <definedName name="IQ_LEASE_FINANCING_RECEIVABLES_CHARGE_OFFS_FDIC" hidden="1">"c6602"</definedName>
    <definedName name="IQ_LEASE_FINANCING_RECEIVABLES_DOM_FFIEC" hidden="1">"c12915"</definedName>
    <definedName name="IQ_LEASE_FINANCING_RECEIVABLES_FDIC" hidden="1">"c6433"</definedName>
    <definedName name="IQ_LEASE_FINANCING_RECEIVABLES_NET_CHARGE_OFFS_FDIC" hidden="1">"c6640"</definedName>
    <definedName name="IQ_LEASE_FINANCING_RECEIVABLES_QUARTERLY_AVG_FFIEC" hidden="1">"c15483"</definedName>
    <definedName name="IQ_LEASE_FINANCING_RECEIVABLES_RECOVERIES_FDIC" hidden="1">"c6621"</definedName>
    <definedName name="IQ_LEASE_FINANCING_RECEIVABLES_TOTAL_LOANS_FOREIGN_FDIC" hidden="1">"c6449"</definedName>
    <definedName name="IQ_LEASE_PMT_REC_AFTER_FIVE" hidden="1">"c16099"</definedName>
    <definedName name="IQ_LEASE_PMT_REC_CY" hidden="1">"c16093"</definedName>
    <definedName name="IQ_LEASE_PMT_REC_CY1" hidden="1">"c16094"</definedName>
    <definedName name="IQ_LEASE_PMT_REC_CY2" hidden="1">"c16095"</definedName>
    <definedName name="IQ_LEASE_PMT_REC_CY3" hidden="1">"c16096"</definedName>
    <definedName name="IQ_LEASE_PMT_REC_CY4" hidden="1">"c16097"</definedName>
    <definedName name="IQ_LEASE_PMT_REC_NEXT_FIVE" hidden="1">"c16098"</definedName>
    <definedName name="IQ_LEASE_PMT_REC_TOTAL" hidden="1">"c16100"</definedName>
    <definedName name="IQ_LEASE_RECEIVABLES_FOREIGN_FFIEC" hidden="1">"c13483"</definedName>
    <definedName name="IQ_LEASE_REVENUE" hidden="1">"c16023"</definedName>
    <definedName name="IQ_LEASE_TERMINATION_FEES" hidden="1">"c16182"</definedName>
    <definedName name="IQ_LEASED_RESERVES_COAL" hidden="1">"c15918"</definedName>
    <definedName name="IQ_LEASED_RESERVES_TO_TOTAL_RESERVES_COAL" hidden="1">"c15958"</definedName>
    <definedName name="IQ_LEASES_INDIVIDUALS_CHARGE_OFFS_FFIEC" hidden="1">"c13184"</definedName>
    <definedName name="IQ_LEASES_INDIVIDUALS_RECOV_FFIEC" hidden="1">"c13206"</definedName>
    <definedName name="IQ_LEASES_PERSONAL_EXP_DUE_30_89_FFIEC" hidden="1">"c13277"</definedName>
    <definedName name="IQ_LEASES_PERSONAL_EXP_DUE_90_FFIEC" hidden="1">"c13303"</definedName>
    <definedName name="IQ_LEASES_PERSONAL_EXP_NON_ACCRUAL_FFIEC" hidden="1">"c13329"</definedName>
    <definedName name="IQ_LEGAL_FEES_FFIEC" hidden="1">"c13052"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SUPPLE" hidden="1">"c13815"</definedName>
    <definedName name="IQ_LEGAL_SETTLE_UTI" hidden="1">"c653"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AB_AP" hidden="1">"c8886"</definedName>
    <definedName name="IQ_LIAB_AP_ABS" hidden="1">"c8905"</definedName>
    <definedName name="IQ_LIAB_NAME_AP" hidden="1">"c8924"</definedName>
    <definedName name="IQ_LIAB_NAME_AP_ABS" hidden="1">"c8943"</definedName>
    <definedName name="IQ_LIABILITIES_FAIR_VALUE" hidden="1">"c13848"</definedName>
    <definedName name="IQ_LIABILITIES_LEVEL_1" hidden="1">"c13844"</definedName>
    <definedName name="IQ_LIABILITIES_LEVEL_2" hidden="1">"c13845"</definedName>
    <definedName name="IQ_LIABILITIES_LEVEL_3" hidden="1">"c13846"</definedName>
    <definedName name="IQ_LIABILITIES_NETTING_OTHER_ADJUSTMENTS" hidden="1">"c13847"</definedName>
    <definedName name="IQ_LIABILITY_ACCEPTANCES_OUT_FFIEC" hidden="1">"c12866"</definedName>
    <definedName name="IQ_LIABILITY_SHORT_POSITIONS_DOM_FFIEC" hidden="1">"c12941"</definedName>
    <definedName name="IQ_LICENSED_POPS" hidden="1">"c2123"</definedName>
    <definedName name="IQ_LICENSED_WIRELESS_POPS" hidden="1">"c2123"</definedName>
    <definedName name="IQ_LIFE_EARNED" hidden="1">"c2739"</definedName>
    <definedName name="IQ_LIFE_INSURANCE_ASSETS_FDIC" hidden="1">"c6372"</definedName>
    <definedName name="IQ_LIFE_INSURANCE_ASSETS_FFIEC" hidden="1">"c12847"</definedName>
    <definedName name="IQ_LIFOR" hidden="1">"c655"</definedName>
    <definedName name="IQ_LINE_EXTENSIONS_CABLE_INVEST" hidden="1">"c15803"</definedName>
    <definedName name="IQ_LIQUID_ASSETS_ASSETS_TOT_FFIEC" hidden="1">"c13439"</definedName>
    <definedName name="IQ_LIQUID_ASSETS_NONCORE_FUNDING_FFIEC" hidden="1">"c13339"</definedName>
    <definedName name="IQ_LIQUIDATION_VALUE_PREFERRED_CONVERT" hidden="1">"c13835"</definedName>
    <definedName name="IQ_LIQUIDATION_VALUE_PREFERRED_NON_REDEEM" hidden="1">"c13836"</definedName>
    <definedName name="IQ_LIQUIDATION_VALUE_PREFERRED_REDEEM" hidden="1">"c13837"</definedName>
    <definedName name="IQ_LL" hidden="1">"c656"</definedName>
    <definedName name="IQ_LOAN_ALLOW_GROSS_LOANS_FFIEC" hidden="1">"c13415"</definedName>
    <definedName name="IQ_LOAN_ALLOWANCE_GROSS_LOSSES_FFIEC" hidden="1">"c13352"</definedName>
    <definedName name="IQ_LOAN_ALLOWANCE_NET_LOANS_FFIEC" hidden="1">"c13472"</definedName>
    <definedName name="IQ_LOAN_ALLOWANCE_NONACCRUAL_ASSETS_FFIEC" hidden="1">"c13473"</definedName>
    <definedName name="IQ_LOAN_ALLOWANCE_PAST_DUE_NONACCRUAL_FFIEC" hidden="1">"c13474"</definedName>
    <definedName name="IQ_LOAN_COMMITMENTS_FAIR_VALUE_TOT_FFIEC" hidden="1">"c13216"</definedName>
    <definedName name="IQ_LOAN_COMMITMENTS_LEVEL_1_FFIEC" hidden="1">"c13224"</definedName>
    <definedName name="IQ_LOAN_COMMITMENTS_LEVEL_2_FFIEC" hidden="1">"c13232"</definedName>
    <definedName name="IQ_LOAN_COMMITMENTS_LEVEL_3_FFIEC" hidden="1">"c13240"</definedName>
    <definedName name="IQ_LOAN_COMMITMENTS_REVOLVING_FDIC" hidden="1">"c6524"</definedName>
    <definedName name="IQ_LOAN_LEASE_RECEIV" hidden="1">"c657"</definedName>
    <definedName name="IQ_LOAN_LOSS" hidden="1">"c1386"</definedName>
    <definedName name="IQ_LOAN_LOSS_ALLOW_FDIC" hidden="1">"c6326"</definedName>
    <definedName name="IQ_LOAN_LOSS_ALLOWANCE_NON_PERF_ASSETS_FFIEC" hidden="1">"c13912"</definedName>
    <definedName name="IQ_LOAN_LOSS_ALLOWANCE_NONCURRENT_LOANS_FDIC" hidden="1">"c6740"</definedName>
    <definedName name="IQ_LOAN_LOSS_PROVISION_FOREIGN_FFIEC" hidden="1">"c15382"</definedName>
    <definedName name="IQ_LOAN_LOSSES_AVERAGE_LOANS_FFIEC" hidden="1">"c13350"</definedName>
    <definedName name="IQ_LOAN_LOSSES_FDIC" hidden="1">"c6580"</definedName>
    <definedName name="IQ_LOAN_SERVICE_REV" hidden="1">"c658"</definedName>
    <definedName name="IQ_LOANS_AGRICULTURAL_PROD_LL_REC_FFIEC" hidden="1">"c12886"</definedName>
    <definedName name="IQ_LOANS_AND_LEASES_HELD_FDIC" hidden="1">"c6367"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DEPOSITORY_INST_US_LL_REC_FFIEC" hidden="1">"c12884"</definedName>
    <definedName name="IQ_LOANS_DEPOSITORY_INSTITUTIONS_FDIC" hidden="1">"c6382"</definedName>
    <definedName name="IQ_LOANS_DOM_QUARTERLY_AVG_FFIEC" hidden="1">"c13084"</definedName>
    <definedName name="IQ_LOANS_FARMERS_CHARGE_OFFS_FFIEC" hidden="1">"c13177"</definedName>
    <definedName name="IQ_LOANS_FARMERS_RECOV_FFIEC" hidden="1">"c13199"</definedName>
    <definedName name="IQ_LOANS_FINANCE_AGRICULTURAL_DUE_30_89_FFIEC" hidden="1">"c13270"</definedName>
    <definedName name="IQ_LOANS_FINANCE_AGRICULTURAL_DUE_90_FFIEC" hidden="1">"c13296"</definedName>
    <definedName name="IQ_LOANS_FINANCE_AGRICULTURAL_NON_ACCRUAL_FFIEC" hidden="1">"c13322"</definedName>
    <definedName name="IQ_LOANS_FINANCE_AGRICULTURAL_PROD_LL_REC_DOM_FFIEC" hidden="1">"c12909"</definedName>
    <definedName name="IQ_LOANS_FOR_SALE" hidden="1">"c666"</definedName>
    <definedName name="IQ_LOANS_FOREIGN_GOV_CHARGE_OFFS_FFIEC" hidden="1">"c13182"</definedName>
    <definedName name="IQ_LOANS_FOREIGN_GOV_DUE_30_89_FFIEC" hidden="1">"c13274"</definedName>
    <definedName name="IQ_LOANS_FOREIGN_GOV_DUE_90_FFIEC" hidden="1">"c13300"</definedName>
    <definedName name="IQ_LOANS_FOREIGN_GOV_LL_REC_DOM_FFIEC" hidden="1">"c12912"</definedName>
    <definedName name="IQ_LOANS_FOREIGN_GOV_NON_ACCRUAL_FFIEC" hidden="1">"c13326"</definedName>
    <definedName name="IQ_LOANS_FOREIGN_GOV_RECOV_FFIEC" hidden="1">"c13204"</definedName>
    <definedName name="IQ_LOANS_FOREIGN_INST_CHARGE_OFFS_FFIEC" hidden="1">"c13176"</definedName>
    <definedName name="IQ_LOANS_FOREIGN_INST_RECOV_FFIEC" hidden="1">"c13198"</definedName>
    <definedName name="IQ_LOANS_FOREIGN_LL_REC_FFIEC" hidden="1">"c12885"</definedName>
    <definedName name="IQ_LOANS_GOV_GUARANTEED_DUE_30_89_FFIEC" hidden="1">"c13281"</definedName>
    <definedName name="IQ_LOANS_GOV_GUARANTEED_DUE_90_FFIEC" hidden="1">"c13307"</definedName>
    <definedName name="IQ_LOANS_GOV_GUARANTEED_EXCL_GNMA_DUE_30_89_FFIEC" hidden="1">"c13282"</definedName>
    <definedName name="IQ_LOANS_GOV_GUARANTEED_EXCL_GNMA_DUE_90_FFIEC" hidden="1">"c13308"</definedName>
    <definedName name="IQ_LOANS_GOV_GUARANTEED_EXCL_GNMA_NON_ACCRUAL_FFIEC" hidden="1">"c13333"</definedName>
    <definedName name="IQ_LOANS_GOV_GUARANTEED_NON_ACCRUAL_FFIEC" hidden="1">"c13332"</definedName>
    <definedName name="IQ_LOANS_HELD_FOREIGN_FDIC" hidden="1">"c6315"</definedName>
    <definedName name="IQ_LOANS_INDIVIDUALS_FOREIGN_FFIEC" hidden="1">"c13480"</definedName>
    <definedName name="IQ_LOANS_LEASES_ASSETS_TOT_FFIEC" hidden="1">"c13437"</definedName>
    <definedName name="IQ_LOANS_LEASES_FAIR_VALUE_TOT_FFIEC" hidden="1">"c13209"</definedName>
    <definedName name="IQ_LOANS_LEASES_FOREIGN_FDIC" hidden="1">"c6383"</definedName>
    <definedName name="IQ_LOANS_LEASES_GROSS_FDIC" hidden="1">"c6323"</definedName>
    <definedName name="IQ_LOANS_LEASES_GROSS_FOREIGN_FDIC" hidden="1">"c6384"</definedName>
    <definedName name="IQ_LOANS_LEASES_HELD_SALE_FFIEC" hidden="1">"c12808"</definedName>
    <definedName name="IQ_LOANS_LEASES_HFI_FAIR_VALUE_TOT_FFIEC" hidden="1">"c15401"</definedName>
    <definedName name="IQ_LOANS_LEASES_HFI_LEVEL_1_FFIEC" hidden="1">"c15423"</definedName>
    <definedName name="IQ_LOANS_LEASES_HFI_LEVEL_2_FFIEC" hidden="1">"c15436"</definedName>
    <definedName name="IQ_LOANS_LEASES_HFI_LEVEL_3_FFIEC" hidden="1">"c15449"</definedName>
    <definedName name="IQ_LOANS_LEASES_HFS_FAIR_VALUE_TOT_FFIEC" hidden="1">"c15400"</definedName>
    <definedName name="IQ_LOANS_LEASES_HFS_LEVEL_1_FFIEC" hidden="1">"c15422"</definedName>
    <definedName name="IQ_LOANS_LEASES_HFS_LEVEL_2_FFIEC" hidden="1">"c15435"</definedName>
    <definedName name="IQ_LOANS_LEASES_HFS_LEVEL_3_FFIEC" hidden="1">"c15448"</definedName>
    <definedName name="IQ_LOANS_LEASES_LEVEL_1_FFIEC" hidden="1">"c13217"</definedName>
    <definedName name="IQ_LOANS_LEASES_LEVEL_2_FFIEC" hidden="1">"c13225"</definedName>
    <definedName name="IQ_LOANS_LEASES_LEVEL_3_FFIEC" hidden="1">"c13233"</definedName>
    <definedName name="IQ_LOANS_LEASES_NET_FDIC" hidden="1">"c6327"</definedName>
    <definedName name="IQ_LOANS_LEASES_NET_UNEARNED_FDIC" hidden="1">"c6325"</definedName>
    <definedName name="IQ_LOANS_LEASES_NET_UNEARNED_INC_ALLOWANCE_FFIEC" hidden="1">"c12811"</definedName>
    <definedName name="IQ_LOANS_LEASES_NET_UNEARNED_INCOME_FFIEC" hidden="1">"c12809"</definedName>
    <definedName name="IQ_LOANS_LEASES_QUARTERLY_AVG_FFIEC" hidden="1">"c13081"</definedName>
    <definedName name="IQ_LOANS_LOC_ASSETS_TOT_FFIEC" hidden="1">"c13441"</definedName>
    <definedName name="IQ_LOANS_NOT_SECURED_RE_FDIC" hidden="1">"c6381"</definedName>
    <definedName name="IQ_LOANS_PAST_DUE" hidden="1">"c667"</definedName>
    <definedName name="IQ_LOANS_PURCHASING_CARRYING_SECURITIES_LL_REC_DOM_FFIEC" hidden="1">"c12913"</definedName>
    <definedName name="IQ_LOANS_RECEIV_CURRENT" hidden="1">"c668"</definedName>
    <definedName name="IQ_LOANS_RECEIV_LT" hidden="1">"c669"</definedName>
    <definedName name="IQ_LOANS_RECEIV_LT_UTI" hidden="1">"c670"</definedName>
    <definedName name="IQ_LOANS_SEC_RE_FOREIGN_CHARGE_OFFS_FFIEC" hidden="1">"c13174"</definedName>
    <definedName name="IQ_LOANS_SEC_RE_FOREIGN_RECOV_FFIEC" hidden="1">"c13196"</definedName>
    <definedName name="IQ_LOANS_SECURED_1_4_DOM_QUARTERLY_AVG_FFIEC" hidden="1">"c13082"</definedName>
    <definedName name="IQ_LOANS_SECURED_BY_RE_CHARGE_OFFS_FDIC" hidden="1">"c6588"</definedName>
    <definedName name="IQ_LOANS_SECURED_BY_RE_RECOVERIES_FDIC" hidden="1">"c6607"</definedName>
    <definedName name="IQ_LOANS_SECURED_CONSTRUCTION_TRADING_DOM_FFIEC" hidden="1">"c12925"</definedName>
    <definedName name="IQ_LOANS_SECURED_FARMLAND_TRADING_DOM_FFIEC" hidden="1">"c12926"</definedName>
    <definedName name="IQ_LOANS_SECURED_NON_US_FDIC" hidden="1">"c6380"</definedName>
    <definedName name="IQ_LOANS_SECURED_RE_DOM_QUARTERLY_AVG_FFIEC" hidden="1">"c13083"</definedName>
    <definedName name="IQ_LOANS_SECURED_RE_FFIEC" hidden="1">"c12820"</definedName>
    <definedName name="IQ_LOANS_SECURED_RE_LL_REC_FFIEC" hidden="1">"c12883"</definedName>
    <definedName name="IQ_LOANS_SECURED_RE_NET_CHARGE_OFFS_FDIC" hidden="1">"c6626"</definedName>
    <definedName name="IQ_LOANS_TO_DEPOSITORY_INSTITUTIONS_FOREIGN_FDIC" hidden="1">"c6453"</definedName>
    <definedName name="IQ_LOANS_TO_FOREIGN_GOVERNMENTS_FDIC" hidden="1">"c6448"</definedName>
    <definedName name="IQ_LOANS_TO_INDIVIDUALS_FOREIGN_FDIC" hidden="1">"c6452"</definedName>
    <definedName name="IQ_LOANS_US_INST_CHARGE_OFFS_FFIEC" hidden="1">"c13175"</definedName>
    <definedName name="IQ_LOANS_US_INST_RECOV_FFIEC" hidden="1">"c13197"</definedName>
    <definedName name="IQ_LONG_TERM_ASSETS_FDIC" hidden="1">"c6361"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ALLOWANCE_LOANS_FDIC" hidden="1">"c6739"</definedName>
    <definedName name="IQ_LOSS_AVAIL_SALE_EQUITY_SEC_T1_FFIEC" hidden="1">"c13132"</definedName>
    <definedName name="IQ_LOSS_LOSS_EXP" hidden="1">"c672"</definedName>
    <definedName name="IQ_LOSS_TO_NET_EARNED" hidden="1">"c2751"</definedName>
    <definedName name="IQ_LOW_SULFUR_CONTENT_RESERVES_COAL" hidden="1">"c15924"</definedName>
    <definedName name="IQ_LOW_SULFURE_RESERVES_TO_TOTAL_RESERVES_COAL" hidden="1">"c15961"</definedName>
    <definedName name="IQ_LOW_TARGET_PRICE" hidden="1">"c1652"</definedName>
    <definedName name="IQ_LOW_TARGET_PRICE_CIQ" hidden="1">"c4660"</definedName>
    <definedName name="IQ_LOW_TARGET_PRICE_THOM" hidden="1">"c5097"</definedName>
    <definedName name="IQ_LOWPRICE" hidden="1">"c673"</definedName>
    <definedName name="IQ_LT_ASSETS_AP" hidden="1">"c8882"</definedName>
    <definedName name="IQ_LT_ASSETS_AP_ABS" hidden="1">"c8901"</definedName>
    <definedName name="IQ_LT_ASSETS_NAME_AP" hidden="1">"c8920"</definedName>
    <definedName name="IQ_LT_ASSETS_NAME_AP_ABS" hidden="1">"c8939"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MATURING_1YR_INT_SENSITIVITY_FFIEC" hidden="1">"c13097"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REPRICE_ASSETS_TOT_FFIEC" hidden="1">"c13453"</definedName>
    <definedName name="IQ_LT_DEBT_REPRICING_WITHIN_1_YR_INT_SENSITIVITY_FFIEC" hidden="1">"c13095"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LIAB_AP" hidden="1">"c8885"</definedName>
    <definedName name="IQ_LT_LIAB_AP_ABS" hidden="1">"c8904"</definedName>
    <definedName name="IQ_LT_LIAB_NAME_AP" hidden="1">"c8923"</definedName>
    <definedName name="IQ_LT_LIAB_NAME_AP_ABS" hidden="1">"c8942"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LTMMONTH" hidden="1">120000</definedName>
    <definedName name="IQ_M1" hidden="1">"c6906"</definedName>
    <definedName name="IQ_M1_APR" hidden="1">"c7566"</definedName>
    <definedName name="IQ_M1_APR_FC" hidden="1">"c8446"</definedName>
    <definedName name="IQ_M1_FC" hidden="1">"c7786"</definedName>
    <definedName name="IQ_M1_POP" hidden="1">"c7126"</definedName>
    <definedName name="IQ_M1_POP_FC" hidden="1">"c8006"</definedName>
    <definedName name="IQ_M1_YOY" hidden="1">"c7346"</definedName>
    <definedName name="IQ_M1_YOY_FC" hidden="1">"c8226"</definedName>
    <definedName name="IQ_M2" hidden="1">"c6907"</definedName>
    <definedName name="IQ_M2_APR" hidden="1">"c7567"</definedName>
    <definedName name="IQ_M2_APR_FC" hidden="1">"c8447"</definedName>
    <definedName name="IQ_M2_FC" hidden="1">"c7787"</definedName>
    <definedName name="IQ_M2_POP" hidden="1">"c7127"</definedName>
    <definedName name="IQ_M2_POP_FC" hidden="1">"c8007"</definedName>
    <definedName name="IQ_M2_YOY" hidden="1">"c7347"</definedName>
    <definedName name="IQ_M2_YOY_FC" hidden="1">"c8227"</definedName>
    <definedName name="IQ_M3" hidden="1">"c6908"</definedName>
    <definedName name="IQ_M3_APR" hidden="1">"c7568"</definedName>
    <definedName name="IQ_M3_APR_FC" hidden="1">"c8448"</definedName>
    <definedName name="IQ_M3_FC" hidden="1">"c7788"</definedName>
    <definedName name="IQ_M3_POP" hidden="1">"c7128"</definedName>
    <definedName name="IQ_M3_POP_FC" hidden="1">"c8008"</definedName>
    <definedName name="IQ_M3_YOY" hidden="1">"c7348"</definedName>
    <definedName name="IQ_M3_YOY_FC" hidden="1">"c8228"</definedName>
    <definedName name="IQ_MACHINERY" hidden="1">"c711"</definedName>
    <definedName name="IQ_MAINT_CAPEX" hidden="1">"c2947"</definedName>
    <definedName name="IQ_MAINT_CAPEX_ACT_OR_EST" hidden="1">"c4458"</definedName>
    <definedName name="IQ_MAINT_CAPEX_ACT_OR_EST_CIQ" hidden="1">"c4987"</definedName>
    <definedName name="IQ_MAINT_CAPEX_EST" hidden="1">"c4457"</definedName>
    <definedName name="IQ_MAINT_CAPEX_EST_CIQ" hidden="1">"c4986"</definedName>
    <definedName name="IQ_MAINT_CAPEX_GUIDANCE" hidden="1">"c4459"</definedName>
    <definedName name="IQ_MAINT_CAPEX_HIGH_EST" hidden="1">"c4460"</definedName>
    <definedName name="IQ_MAINT_CAPEX_HIGH_EST_CIQ" hidden="1">"c4989"</definedName>
    <definedName name="IQ_MAINT_CAPEX_HIGH_GUIDANCE" hidden="1">"c4197"</definedName>
    <definedName name="IQ_MAINT_CAPEX_LOW_EST" hidden="1">"c4461"</definedName>
    <definedName name="IQ_MAINT_CAPEX_LOW_EST_CIQ" hidden="1">"c4990"</definedName>
    <definedName name="IQ_MAINT_CAPEX_LOW_GUIDANCE" hidden="1">"c4237"</definedName>
    <definedName name="IQ_MAINT_CAPEX_MEDIAN_EST" hidden="1">"c4462"</definedName>
    <definedName name="IQ_MAINT_CAPEX_MEDIAN_EST_CIQ" hidden="1">"c4991"</definedName>
    <definedName name="IQ_MAINT_CAPEX_NUM_EST" hidden="1">"c4463"</definedName>
    <definedName name="IQ_MAINT_CAPEX_NUM_EST_CIQ" hidden="1">"c5001"</definedName>
    <definedName name="IQ_MAINT_CAPEX_STDDEV_EST" hidden="1">"c4464"</definedName>
    <definedName name="IQ_MAINT_CAPEX_STDDEV_EST_CIQ" hidden="1">"c5002"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N_INVENTORIES" hidden="1">"c6913"</definedName>
    <definedName name="IQ_MAN_INVENTORIES_APR" hidden="1">"c7573"</definedName>
    <definedName name="IQ_MAN_INVENTORIES_APR_FC" hidden="1">"c8453"</definedName>
    <definedName name="IQ_MAN_INVENTORIES_FC" hidden="1">"c7793"</definedName>
    <definedName name="IQ_MAN_INVENTORIES_POP" hidden="1">"c7133"</definedName>
    <definedName name="IQ_MAN_INVENTORIES_POP_FC" hidden="1">"c8013"</definedName>
    <definedName name="IQ_MAN_INVENTORIES_YOY" hidden="1">"c7353"</definedName>
    <definedName name="IQ_MAN_INVENTORIES_YOY_FC" hidden="1">"c8233"</definedName>
    <definedName name="IQ_MAN_IS_RATIO" hidden="1">"c6912"</definedName>
    <definedName name="IQ_MAN_IS_RATIO_APR" hidden="1">"c7572"</definedName>
    <definedName name="IQ_MAN_IS_RATIO_APR_FC" hidden="1">"c8452"</definedName>
    <definedName name="IQ_MAN_IS_RATIO_FC" hidden="1">"c7792"</definedName>
    <definedName name="IQ_MAN_IS_RATIO_POP" hidden="1">"c7132"</definedName>
    <definedName name="IQ_MAN_IS_RATIO_POP_FC" hidden="1">"c8012"</definedName>
    <definedName name="IQ_MAN_IS_RATIO_YOY" hidden="1">"c7352"</definedName>
    <definedName name="IQ_MAN_IS_RATIO_YOY_FC" hidden="1">"c8232"</definedName>
    <definedName name="IQ_MAN_ORDERS" hidden="1">"c6914"</definedName>
    <definedName name="IQ_MAN_ORDERS_APR" hidden="1">"c7574"</definedName>
    <definedName name="IQ_MAN_ORDERS_APR_FC" hidden="1">"c8454"</definedName>
    <definedName name="IQ_MAN_ORDERS_FC" hidden="1">"c7794"</definedName>
    <definedName name="IQ_MAN_ORDERS_POP" hidden="1">"c7134"</definedName>
    <definedName name="IQ_MAN_ORDERS_POP_FC" hidden="1">"c8014"</definedName>
    <definedName name="IQ_MAN_ORDERS_YOY" hidden="1">"c7354"</definedName>
    <definedName name="IQ_MAN_ORDERS_YOY_FC" hidden="1">"c8234"</definedName>
    <definedName name="IQ_MAN_OUTPUT_HR" hidden="1">"c6915"</definedName>
    <definedName name="IQ_MAN_OUTPUT_HR_APR" hidden="1">"c7575"</definedName>
    <definedName name="IQ_MAN_OUTPUT_HR_APR_FC" hidden="1">"c8455"</definedName>
    <definedName name="IQ_MAN_OUTPUT_HR_FC" hidden="1">"c7795"</definedName>
    <definedName name="IQ_MAN_OUTPUT_HR_POP" hidden="1">"c7135"</definedName>
    <definedName name="IQ_MAN_OUTPUT_HR_POP_FC" hidden="1">"c8015"</definedName>
    <definedName name="IQ_MAN_OUTPUT_HR_YOY" hidden="1">"c7355"</definedName>
    <definedName name="IQ_MAN_OUTPUT_HR_YOY_FC" hidden="1">"c8235"</definedName>
    <definedName name="IQ_MAN_PAYROLLS" hidden="1">"c6916"</definedName>
    <definedName name="IQ_MAN_PAYROLLS_APR" hidden="1">"c7576"</definedName>
    <definedName name="IQ_MAN_PAYROLLS_APR_FC" hidden="1">"c8456"</definedName>
    <definedName name="IQ_MAN_PAYROLLS_FC" hidden="1">"c7796"</definedName>
    <definedName name="IQ_MAN_PAYROLLS_POP" hidden="1">"c7136"</definedName>
    <definedName name="IQ_MAN_PAYROLLS_POP_FC" hidden="1">"c8016"</definedName>
    <definedName name="IQ_MAN_PAYROLLS_YOY" hidden="1">"c7356"</definedName>
    <definedName name="IQ_MAN_PAYROLLS_YOY_FC" hidden="1">"c8236"</definedName>
    <definedName name="IQ_MAN_SHIPMENTS" hidden="1">"c6917"</definedName>
    <definedName name="IQ_MAN_SHIPMENTS_APR" hidden="1">"c7577"</definedName>
    <definedName name="IQ_MAN_SHIPMENTS_APR_FC" hidden="1">"c8457"</definedName>
    <definedName name="IQ_MAN_SHIPMENTS_FC" hidden="1">"c7797"</definedName>
    <definedName name="IQ_MAN_SHIPMENTS_POP" hidden="1">"c7137"</definedName>
    <definedName name="IQ_MAN_SHIPMENTS_POP_FC" hidden="1">"c8017"</definedName>
    <definedName name="IQ_MAN_SHIPMENTS_YOY" hidden="1">"c7357"</definedName>
    <definedName name="IQ_MAN_SHIPMENTS_YOY_FC" hidden="1">"c8237"</definedName>
    <definedName name="IQ_MAN_TOTAL_HR" hidden="1">"c6918"</definedName>
    <definedName name="IQ_MAN_TOTAL_HR_APR" hidden="1">"c7578"</definedName>
    <definedName name="IQ_MAN_TOTAL_HR_APR_FC" hidden="1">"c8458"</definedName>
    <definedName name="IQ_MAN_TOTAL_HR_FC" hidden="1">"c7798"</definedName>
    <definedName name="IQ_MAN_TOTAL_HR_POP" hidden="1">"c7138"</definedName>
    <definedName name="IQ_MAN_TOTAL_HR_POP_FC" hidden="1">"c8018"</definedName>
    <definedName name="IQ_MAN_TOTAL_HR_YOY" hidden="1">"c7358"</definedName>
    <definedName name="IQ_MAN_TOTAL_HR_YOY_FC" hidden="1">"c8238"</definedName>
    <definedName name="IQ_MAN_TRADE_INVENTORIES" hidden="1">"c6910"</definedName>
    <definedName name="IQ_MAN_TRADE_INVENTORIES_APR" hidden="1">"c7570"</definedName>
    <definedName name="IQ_MAN_TRADE_INVENTORIES_APR_FC" hidden="1">"c8450"</definedName>
    <definedName name="IQ_MAN_TRADE_INVENTORIES_FC" hidden="1">"c7790"</definedName>
    <definedName name="IQ_MAN_TRADE_INVENTORIES_POP" hidden="1">"c7130"</definedName>
    <definedName name="IQ_MAN_TRADE_INVENTORIES_POP_FC" hidden="1">"c8010"</definedName>
    <definedName name="IQ_MAN_TRADE_INVENTORIES_YOY" hidden="1">"c7350"</definedName>
    <definedName name="IQ_MAN_TRADE_INVENTORIES_YOY_FC" hidden="1">"c8230"</definedName>
    <definedName name="IQ_MAN_TRADE_IS_RATIO" hidden="1">"c6909"</definedName>
    <definedName name="IQ_MAN_TRADE_IS_RATIO_FC" hidden="1">"c7789"</definedName>
    <definedName name="IQ_MAN_TRADE_IS_RATIO_POP" hidden="1">"c7129"</definedName>
    <definedName name="IQ_MAN_TRADE_IS_RATIO_POP_FC" hidden="1">"c8009"</definedName>
    <definedName name="IQ_MAN_TRADE_IS_RATIO_YOY" hidden="1">"c7349"</definedName>
    <definedName name="IQ_MAN_TRADE_IS_RATIO_YOY_FC" hidden="1">"c8229"</definedName>
    <definedName name="IQ_MAN_TRADE_SALES" hidden="1">"c6911"</definedName>
    <definedName name="IQ_MAN_TRADE_SALES_APR" hidden="1">"c7571"</definedName>
    <definedName name="IQ_MAN_TRADE_SALES_APR_FC" hidden="1">"c8451"</definedName>
    <definedName name="IQ_MAN_TRADE_SALES_FC" hidden="1">"c7791"</definedName>
    <definedName name="IQ_MAN_TRADE_SALES_POP" hidden="1">"c7131"</definedName>
    <definedName name="IQ_MAN_TRADE_SALES_POP_FC" hidden="1">"c8011"</definedName>
    <definedName name="IQ_MAN_TRADE_SALES_YOY" hidden="1">"c7351"</definedName>
    <definedName name="IQ_MAN_TRADE_SALES_YOY_FC" hidden="1">"c8231"</definedName>
    <definedName name="IQ_MAN_WAGES" hidden="1">"c6919"</definedName>
    <definedName name="IQ_MAN_WAGES_APR" hidden="1">"c7579"</definedName>
    <definedName name="IQ_MAN_WAGES_APR_FC" hidden="1">"c8459"</definedName>
    <definedName name="IQ_MAN_WAGES_FC" hidden="1">"c7799"</definedName>
    <definedName name="IQ_MAN_WAGES_POP" hidden="1">"c7139"</definedName>
    <definedName name="IQ_MAN_WAGES_POP_FC" hidden="1">"c8019"</definedName>
    <definedName name="IQ_MAN_WAGES_YOY" hidden="1">"c7359"</definedName>
    <definedName name="IQ_MAN_WAGES_YOY_FC" hidden="1">"c8239"</definedName>
    <definedName name="IQ_MANAGED_PROP" hidden="1">"c8763"</definedName>
    <definedName name="IQ_MANAGED_SQ_FT" hidden="1">"c8779"</definedName>
    <definedName name="IQ_MANAGED_UNITS" hidden="1">"c8771"</definedName>
    <definedName name="IQ_MARGIN_ANNUAL_PREMIUM_EQUIVALENT_NEW_BUSINESS" hidden="1">"c9970"</definedName>
    <definedName name="IQ_MARGIN_PV_PREMIUMS_NEW_BUSINESS" hidden="1">"c9971"</definedName>
    <definedName name="IQ_MARKET_CAP_LFCF" hidden="1">"c2209"</definedName>
    <definedName name="IQ_MARKETCAP" hidden="1">"c712"</definedName>
    <definedName name="IQ_MARKETING" hidden="1">"c2239"</definedName>
    <definedName name="IQ_MARKETING_PROMOTION_EXPENSE" hidden="1">"c16035"</definedName>
    <definedName name="IQ_MATERIALS_SUPPLES_INVENTORY_COAL" hidden="1">"c15942"</definedName>
    <definedName name="IQ_MATURITY_DATE" hidden="1">"c2146"</definedName>
    <definedName name="IQ_MATURITY_ONE_YEAR_LESS_FDIC" hidden="1">"c6425"</definedName>
    <definedName name="IQ_MBS_INVEST_SECURITIES_FFIEC" hidden="1">"c13460"</definedName>
    <definedName name="IQ_MBS_OTHER_ISSUED_FNMA_OTHERS_AVAIL_SALE_FFIEC" hidden="1">"c12799"</definedName>
    <definedName name="IQ_MBS_OTHER_ISSUED_FNMA_OTHERS_FFIEC" hidden="1">"c12785"</definedName>
    <definedName name="IQ_MBS_PASS_THROUGH_FNMA_AVAIL_SALE_FFIEC" hidden="1">"c12797"</definedName>
    <definedName name="IQ_MBS_PASS_THROUGH_FNMA_FFIEC" hidden="1">"c12783"</definedName>
    <definedName name="IQ_MBS_PASS_THROUGH_GNMA_AVAIL_SALE_FFIEC" hidden="1">"c12796"</definedName>
    <definedName name="IQ_MBS_PASS_THROUGH_GNMA_FFIEC" hidden="1">"c12782"</definedName>
    <definedName name="IQ_MBS_PASS_THROUGH_ISSUED_FNMA_GNMA_TRADING_DOM_FFIEC" hidden="1">"c12921"</definedName>
    <definedName name="IQ_MBS_PASS_THROUGH_OTHER_AVAIL_SALE_FFIEC" hidden="1">"c12798"</definedName>
    <definedName name="IQ_MBS_PASS_THROUGH_OTHER_FFIEC" hidden="1">"c12784"</definedName>
    <definedName name="IQ_MBS_QUARTERLY_AVG_FFIEC" hidden="1">"c15471"</definedName>
    <definedName name="IQ_MC_ASO_COVERED_LIVES" hidden="1">"c9918"</definedName>
    <definedName name="IQ_MC_ASO_MEMBERSHIP" hidden="1">"c9921"</definedName>
    <definedName name="IQ_MC_CLAIMS_RESERVES" hidden="1">"c9941"</definedName>
    <definedName name="IQ_MC_COMBINED_RATIO" hidden="1">"c9933"</definedName>
    <definedName name="IQ_MC_COMMERCIAL_ASO_FEES" hidden="1">"c15862"</definedName>
    <definedName name="IQ_MC_COMMERCIAL_NON_RISK_MEMBERS" hidden="1">"c15835"</definedName>
    <definedName name="IQ_MC_COMMERCIAL_PREMIUMS" hidden="1">"c15852"</definedName>
    <definedName name="IQ_MC_DAYS_CLAIMS_PAYABLE" hidden="1">"c9937"</definedName>
    <definedName name="IQ_MC_DAYS_CLAIMS_PAYABLE_EXCL_CAPITATION" hidden="1">"c9938"</definedName>
    <definedName name="IQ_MC_DENTAL_MEMBERS" hidden="1">"c15832"</definedName>
    <definedName name="IQ_MC_DENTAL_PREMIUMS" hidden="1">"c15858"</definedName>
    <definedName name="IQ_MC_HMO_MEMBERS" hidden="1">"c15824"</definedName>
    <definedName name="IQ_MC_HMO_PREMIUMS" hidden="1">"c15850"</definedName>
    <definedName name="IQ_MC_INDEMNITY_MEMBERS" hidden="1">"c15825"</definedName>
    <definedName name="IQ_MC_INDEMNITY_PREMIUMS" hidden="1">"c15851"</definedName>
    <definedName name="IQ_MC_MEDICAID_ASO_FEES" hidden="1">"c15865"</definedName>
    <definedName name="IQ_MC_MEDICAID_MEMBERS" hidden="1">"c15830"</definedName>
    <definedName name="IQ_MC_MEDICAID_NON_RISK_MEMBERS" hidden="1">"c15838"</definedName>
    <definedName name="IQ_MC_MEDICAID_PREMIUMS" hidden="1">"c15856"</definedName>
    <definedName name="IQ_MC_MEDICAL_COST" hidden="1">"c15847"</definedName>
    <definedName name="IQ_MC_MEDICAL_COSTS_PMPM" hidden="1">"c9925"</definedName>
    <definedName name="IQ_MC_MEDICARE_ASO_FEES" hidden="1">"c15864"</definedName>
    <definedName name="IQ_MC_MEDICARE_MEMBERS" hidden="1">"c15828"</definedName>
    <definedName name="IQ_MC_MEDICARE_NON_RISK_MEMBERS" hidden="1">"c15837"</definedName>
    <definedName name="IQ_MC_MEDICARE_PART_D_MEMBERS" hidden="1">"c15829"</definedName>
    <definedName name="IQ_MC_MEDICARE_PART_D_PREMIUMS" hidden="1">"c15855"</definedName>
    <definedName name="IQ_MC_MEDICARE_PREMIUMS" hidden="1">"c15854"</definedName>
    <definedName name="IQ_MC_MILITARY_ASO_FEES" hidden="1">"c15863"</definedName>
    <definedName name="IQ_MC_MILITARY_MEMBERS" hidden="1">"c15827"</definedName>
    <definedName name="IQ_MC_MILITARY_NON_RISK_MEMBERS" hidden="1">"c15836"</definedName>
    <definedName name="IQ_MC_MILITARY_PREMIUMS" hidden="1">"c15853"</definedName>
    <definedName name="IQ_MC_NET_INVESTMENT_INCOME" hidden="1">"c15845"</definedName>
    <definedName name="IQ_MC_OTHER_REV" hidden="1">"c15846"</definedName>
    <definedName name="IQ_MC_PARENT_CASH" hidden="1">"c9942"</definedName>
    <definedName name="IQ_MC_PPO_POS_MEMBERS" hidden="1">"c15823"</definedName>
    <definedName name="IQ_MC_PPO_POS_PREMIUMS" hidden="1">"c15849"</definedName>
    <definedName name="IQ_MC_PREMIUMS" hidden="1">"c15861"</definedName>
    <definedName name="IQ_MC_PREMIUMS_PMPM" hidden="1">"c9924"</definedName>
    <definedName name="IQ_MC_RATIO" hidden="1">"c2783"</definedName>
    <definedName name="IQ_MC_RECEIPT_CYCLE_TIME_DAYS" hidden="1">"c9939"</definedName>
    <definedName name="IQ_MC_RECEIPT_CYCLE_TIME_MONTHS" hidden="1">"c9940"</definedName>
    <definedName name="IQ_MC_RISK_COVERED_LIVES" hidden="1">"c9917"</definedName>
    <definedName name="IQ_MC_RISK_MEMBERSHIP" hidden="1">"c9920"</definedName>
    <definedName name="IQ_MC_SELLILNG_COSTS_RATIO" hidden="1">"c9928"</definedName>
    <definedName name="IQ_MC_SGA_PMPM" hidden="1">"c9926"</definedName>
    <definedName name="IQ_MC_SPECIALTY_ASO_FEES" hidden="1">"c15867"</definedName>
    <definedName name="IQ_MC_SPECIALTY_NON_RISK_MEMBERS" hidden="1">"c15840"</definedName>
    <definedName name="IQ_MC_STATUTORY_SURPLUS" hidden="1">"c2772"</definedName>
    <definedName name="IQ_MC_TANGIBLE_EQUITY_MEDICAL_COST" hidden="1">"c15848"</definedName>
    <definedName name="IQ_MC_TANGIBLE_EQUITY_PER_MEMBER" hidden="1">"c15843"</definedName>
    <definedName name="IQ_MC_TOTAL_ASO_FEES" hidden="1">"c15868"</definedName>
    <definedName name="IQ_MC_TOTAL_COMMERCIAL_MEMBERS" hidden="1">"c15826"</definedName>
    <definedName name="IQ_MC_TOTAL_COVERED_LIVES" hidden="1">"c9919"</definedName>
    <definedName name="IQ_MC_TOTAL_EQUITY_PER_MEMBER" hidden="1">"c15842"</definedName>
    <definedName name="IQ_MC_TOTAL_GOVT_ASO_FEES" hidden="1">"c15866"</definedName>
    <definedName name="IQ_MC_TOTAL_GOVT_MEMBERS" hidden="1">"c15831"</definedName>
    <definedName name="IQ_MC_TOTAL_GOVT_NON_RISK_MEMBERS" hidden="1">"c15839"</definedName>
    <definedName name="IQ_MC_TOTAL_GOVT_PREMIUMS" hidden="1">"c15857"</definedName>
    <definedName name="IQ_MC_TOTAL_MEMBERSHIP" hidden="1">"c9922"</definedName>
    <definedName name="IQ_MC_TOTAL_MEMBERSHIP_CAPITATION" hidden="1">"c9923"</definedName>
    <definedName name="IQ_MC_TOTAL_OTHER_MEMBERS" hidden="1">"c15833"</definedName>
    <definedName name="IQ_MC_TOTAL_OTHER_PREMIUMS" hidden="1">"c15859"</definedName>
    <definedName name="IQ_MC_TOTAL_RESERVES_PER_MEMBER" hidden="1">"c15844"</definedName>
    <definedName name="IQ_MC_TOTAL_SEPCIALTY_MEMBERS" hidden="1">"c15834"</definedName>
    <definedName name="IQ_MC_TOTAL_SEPCIALTY_PREMIUMS" hidden="1">"c15860"</definedName>
    <definedName name="IQ_MC_TOTAL_STATUTORY_CAPITAL_SURPLUS_PER_MEMBER" hidden="1">"c15841"</definedName>
    <definedName name="IQ_MC_UNPROCESSED_CLAIMS_INVENTORY_DAYS" hidden="1">"c9936"</definedName>
    <definedName name="IQ_MC_UNPROCESSED_CLAIMS_INVENTORY_NUMBER" hidden="1">"c9934"</definedName>
    <definedName name="IQ_MC_UNPROCESSED_CLAIMS_INVENTORY_VALUE" hidden="1">"c9935"</definedName>
    <definedName name="IQ_MEASURED_ATTRIB_ORE_RESOURCES_ALUM" hidden="1">"c9237"</definedName>
    <definedName name="IQ_MEASURED_ATTRIB_ORE_RESOURCES_COP" hidden="1">"c9181"</definedName>
    <definedName name="IQ_MEASURED_ATTRIB_ORE_RESOURCES_DIAM" hidden="1">"c9661"</definedName>
    <definedName name="IQ_MEASURED_ATTRIB_ORE_RESOURCES_GOLD" hidden="1">"c9022"</definedName>
    <definedName name="IQ_MEASURED_ATTRIB_ORE_RESOURCES_IRON" hidden="1">"c9396"</definedName>
    <definedName name="IQ_MEASURED_ATTRIB_ORE_RESOURCES_LEAD" hidden="1">"c9449"</definedName>
    <definedName name="IQ_MEASURED_ATTRIB_ORE_RESOURCES_MANG" hidden="1">"c9502"</definedName>
    <definedName name="IQ_MEASURED_ATTRIB_ORE_RESOURCES_MOLYB" hidden="1">"c9714"</definedName>
    <definedName name="IQ_MEASURED_ATTRIB_ORE_RESOURCES_NICK" hidden="1">"c9290"</definedName>
    <definedName name="IQ_MEASURED_ATTRIB_ORE_RESOURCES_PLAT" hidden="1">"c9128"</definedName>
    <definedName name="IQ_MEASURED_ATTRIB_ORE_RESOURCES_SILVER" hidden="1">"c9075"</definedName>
    <definedName name="IQ_MEASURED_ATTRIB_ORE_RESOURCES_TITAN" hidden="1">"c9555"</definedName>
    <definedName name="IQ_MEASURED_ATTRIB_ORE_RESOURCES_URAN" hidden="1">"c9608"</definedName>
    <definedName name="IQ_MEASURED_ATTRIB_ORE_RESOURCES_ZINC" hidden="1">"c9343"</definedName>
    <definedName name="IQ_MEASURED_INDICATED_ATTRIB_ORE_RESOURCES_ALUM" hidden="1">"c9239"</definedName>
    <definedName name="IQ_MEASURED_INDICATED_ATTRIB_ORE_RESOURCES_COP" hidden="1">"c9183"</definedName>
    <definedName name="IQ_MEASURED_INDICATED_ATTRIB_ORE_RESOURCES_DIAM" hidden="1">"c9663"</definedName>
    <definedName name="IQ_MEASURED_INDICATED_ATTRIB_ORE_RESOURCES_GOLD" hidden="1">"c9024"</definedName>
    <definedName name="IQ_MEASURED_INDICATED_ATTRIB_ORE_RESOURCES_IRON" hidden="1">"c9398"</definedName>
    <definedName name="IQ_MEASURED_INDICATED_ATTRIB_ORE_RESOURCES_LEAD" hidden="1">"c9451"</definedName>
    <definedName name="IQ_MEASURED_INDICATED_ATTRIB_ORE_RESOURCES_MANG" hidden="1">"c9504"</definedName>
    <definedName name="IQ_MEASURED_INDICATED_ATTRIB_ORE_RESOURCES_MOLYB" hidden="1">"c9716"</definedName>
    <definedName name="IQ_MEASURED_INDICATED_ATTRIB_ORE_RESOURCES_NICK" hidden="1">"c9292"</definedName>
    <definedName name="IQ_MEASURED_INDICATED_ATTRIB_ORE_RESOURCES_PLAT" hidden="1">"c9130"</definedName>
    <definedName name="IQ_MEASURED_INDICATED_ATTRIB_ORE_RESOURCES_SILVER" hidden="1">"c9077"</definedName>
    <definedName name="IQ_MEASURED_INDICATED_ATTRIB_ORE_RESOURCES_TITAN" hidden="1">"c9557"</definedName>
    <definedName name="IQ_MEASURED_INDICATED_ATTRIB_ORE_RESOURCES_URAN" hidden="1">"c9610"</definedName>
    <definedName name="IQ_MEASURED_INDICATED_ATTRIB_ORE_RESOURCES_ZINC" hidden="1">"c9345"</definedName>
    <definedName name="IQ_MEASURED_INDICATED_ORE_RESOURCES_ALUM" hidden="1">"c9226"</definedName>
    <definedName name="IQ_MEASURED_INDICATED_ORE_RESOURCES_COP" hidden="1">"c9170"</definedName>
    <definedName name="IQ_MEASURED_INDICATED_ORE_RESOURCES_DIAM" hidden="1">"c9650"</definedName>
    <definedName name="IQ_MEASURED_INDICATED_ORE_RESOURCES_GOLD" hidden="1">"c9011"</definedName>
    <definedName name="IQ_MEASURED_INDICATED_ORE_RESOURCES_IRON" hidden="1">"c9385"</definedName>
    <definedName name="IQ_MEASURED_INDICATED_ORE_RESOURCES_LEAD" hidden="1">"c9438"</definedName>
    <definedName name="IQ_MEASURED_INDICATED_ORE_RESOURCES_MANG" hidden="1">"c9491"</definedName>
    <definedName name="IQ_MEASURED_INDICATED_ORE_RESOURCES_MOLYB" hidden="1">"c9703"</definedName>
    <definedName name="IQ_MEASURED_INDICATED_ORE_RESOURCES_NICK" hidden="1">"c9279"</definedName>
    <definedName name="IQ_MEASURED_INDICATED_ORE_RESOURCES_PLAT" hidden="1">"c9117"</definedName>
    <definedName name="IQ_MEASURED_INDICATED_ORE_RESOURCES_SILVER" hidden="1">"c9064"</definedName>
    <definedName name="IQ_MEASURED_INDICATED_ORE_RESOURCES_TITAN" hidden="1">"c9544"</definedName>
    <definedName name="IQ_MEASURED_INDICATED_ORE_RESOURCES_URAN" hidden="1">"c9597"</definedName>
    <definedName name="IQ_MEASURED_INDICATED_ORE_RESOURCES_ZINC" hidden="1">"c9332"</definedName>
    <definedName name="IQ_MEASURED_INDICATED_RECOV_RESOURCES_ALUM" hidden="1">"c9234"</definedName>
    <definedName name="IQ_MEASURED_INDICATED_RECOV_RESOURCES_COAL" hidden="1">"c9813"</definedName>
    <definedName name="IQ_MEASURED_INDICATED_RECOV_RESOURCES_COP" hidden="1">"c9178"</definedName>
    <definedName name="IQ_MEASURED_INDICATED_RECOV_RESOURCES_DIAM" hidden="1">"c9658"</definedName>
    <definedName name="IQ_MEASURED_INDICATED_RECOV_RESOURCES_GOLD" hidden="1">"c9019"</definedName>
    <definedName name="IQ_MEASURED_INDICATED_RECOV_RESOURCES_IRON" hidden="1">"c9393"</definedName>
    <definedName name="IQ_MEASURED_INDICATED_RECOV_RESOURCES_LEAD" hidden="1">"c9446"</definedName>
    <definedName name="IQ_MEASURED_INDICATED_RECOV_RESOURCES_MANG" hidden="1">"c9499"</definedName>
    <definedName name="IQ_MEASURED_INDICATED_RECOV_RESOURCES_MET_COAL" hidden="1">"c9753"</definedName>
    <definedName name="IQ_MEASURED_INDICATED_RECOV_RESOURCES_MOLYB" hidden="1">"c9711"</definedName>
    <definedName name="IQ_MEASURED_INDICATED_RECOV_RESOURCES_NICK" hidden="1">"c9287"</definedName>
    <definedName name="IQ_MEASURED_INDICATED_RECOV_RESOURCES_PLAT" hidden="1">"c9125"</definedName>
    <definedName name="IQ_MEASURED_INDICATED_RECOV_RESOURCES_SILVER" hidden="1">"c9072"</definedName>
    <definedName name="IQ_MEASURED_INDICATED_RECOV_RESOURCES_STEAM" hidden="1">"c9783"</definedName>
    <definedName name="IQ_MEASURED_INDICATED_RECOV_RESOURCES_TITAN" hidden="1">"c9552"</definedName>
    <definedName name="IQ_MEASURED_INDICATED_RECOV_RESOURCES_URAN" hidden="1">"c9605"</definedName>
    <definedName name="IQ_MEASURED_INDICATED_RECOV_RESOURCES_ZINC" hidden="1">"c9340"</definedName>
    <definedName name="IQ_MEASURED_INDICATED_RESOURCES_GRADE_ALUM" hidden="1">"c9227"</definedName>
    <definedName name="IQ_MEASURED_INDICATED_RESOURCES_GRADE_COP" hidden="1">"c9171"</definedName>
    <definedName name="IQ_MEASURED_INDICATED_RESOURCES_GRADE_DIAM" hidden="1">"c9651"</definedName>
    <definedName name="IQ_MEASURED_INDICATED_RESOURCES_GRADE_GOLD" hidden="1">"c9012"</definedName>
    <definedName name="IQ_MEASURED_INDICATED_RESOURCES_GRADE_IRON" hidden="1">"c9386"</definedName>
    <definedName name="IQ_MEASURED_INDICATED_RESOURCES_GRADE_LEAD" hidden="1">"c9439"</definedName>
    <definedName name="IQ_MEASURED_INDICATED_RESOURCES_GRADE_MANG" hidden="1">"c9492"</definedName>
    <definedName name="IQ_MEASURED_INDICATED_RESOURCES_GRADE_MOLYB" hidden="1">"c9704"</definedName>
    <definedName name="IQ_MEASURED_INDICATED_RESOURCES_GRADE_NICK" hidden="1">"c9280"</definedName>
    <definedName name="IQ_MEASURED_INDICATED_RESOURCES_GRADE_PLAT" hidden="1">"c9118"</definedName>
    <definedName name="IQ_MEASURED_INDICATED_RESOURCES_GRADE_SILVER" hidden="1">"c9065"</definedName>
    <definedName name="IQ_MEASURED_INDICATED_RESOURCES_GRADE_TITAN" hidden="1">"c9545"</definedName>
    <definedName name="IQ_MEASURED_INDICATED_RESOURCES_GRADE_URAN" hidden="1">"c9598"</definedName>
    <definedName name="IQ_MEASURED_INDICATED_RESOURCES_GRADE_ZINC" hidden="1">"c9333"</definedName>
    <definedName name="IQ_MEASURED_ORE_RESOURCES_ALUM" hidden="1">"c9222"</definedName>
    <definedName name="IQ_MEASURED_ORE_RESOURCES_COP" hidden="1">"c9166"</definedName>
    <definedName name="IQ_MEASURED_ORE_RESOURCES_DIAM" hidden="1">"c9646"</definedName>
    <definedName name="IQ_MEASURED_ORE_RESOURCES_GOLD" hidden="1">"c9007"</definedName>
    <definedName name="IQ_MEASURED_ORE_RESOURCES_IRON" hidden="1">"c9381"</definedName>
    <definedName name="IQ_MEASURED_ORE_RESOURCES_LEAD" hidden="1">"c9434"</definedName>
    <definedName name="IQ_MEASURED_ORE_RESOURCES_MANG" hidden="1">"c9487"</definedName>
    <definedName name="IQ_MEASURED_ORE_RESOURCES_MOLYB" hidden="1">"c9699"</definedName>
    <definedName name="IQ_MEASURED_ORE_RESOURCES_NICK" hidden="1">"c9275"</definedName>
    <definedName name="IQ_MEASURED_ORE_RESOURCES_PLAT" hidden="1">"c9113"</definedName>
    <definedName name="IQ_MEASURED_ORE_RESOURCES_SILVER" hidden="1">"c9060"</definedName>
    <definedName name="IQ_MEASURED_ORE_RESOURCES_TITAN" hidden="1">"c9540"</definedName>
    <definedName name="IQ_MEASURED_ORE_RESOURCES_URAN" hidden="1">"c9593"</definedName>
    <definedName name="IQ_MEASURED_ORE_RESOURCES_ZINC" hidden="1">"c9328"</definedName>
    <definedName name="IQ_MEASURED_RECOV_ATTRIB_RESOURCES_ALUM" hidden="1">"c9242"</definedName>
    <definedName name="IQ_MEASURED_RECOV_ATTRIB_RESOURCES_COAL" hidden="1">"c9816"</definedName>
    <definedName name="IQ_MEASURED_RECOV_ATTRIB_RESOURCES_COP" hidden="1">"c9186"</definedName>
    <definedName name="IQ_MEASURED_RECOV_ATTRIB_RESOURCES_DIAM" hidden="1">"c9666"</definedName>
    <definedName name="IQ_MEASURED_RECOV_ATTRIB_RESOURCES_GOLD" hidden="1">"c9027"</definedName>
    <definedName name="IQ_MEASURED_RECOV_ATTRIB_RESOURCES_IRON" hidden="1">"c9401"</definedName>
    <definedName name="IQ_MEASURED_RECOV_ATTRIB_RESOURCES_LEAD" hidden="1">"c9454"</definedName>
    <definedName name="IQ_MEASURED_RECOV_ATTRIB_RESOURCES_MANG" hidden="1">"c9507"</definedName>
    <definedName name="IQ_MEASURED_RECOV_ATTRIB_RESOURCES_MET_COAL" hidden="1">"c9756"</definedName>
    <definedName name="IQ_MEASURED_RECOV_ATTRIB_RESOURCES_MOLYB" hidden="1">"c9719"</definedName>
    <definedName name="IQ_MEASURED_RECOV_ATTRIB_RESOURCES_NICK" hidden="1">"c9295"</definedName>
    <definedName name="IQ_MEASURED_RECOV_ATTRIB_RESOURCES_PLAT" hidden="1">"c9133"</definedName>
    <definedName name="IQ_MEASURED_RECOV_ATTRIB_RESOURCES_SILVER" hidden="1">"c9080"</definedName>
    <definedName name="IQ_MEASURED_RECOV_ATTRIB_RESOURCES_STEAM" hidden="1">"c9786"</definedName>
    <definedName name="IQ_MEASURED_RECOV_ATTRIB_RESOURCES_TITAN" hidden="1">"c9560"</definedName>
    <definedName name="IQ_MEASURED_RECOV_ATTRIB_RESOURCES_URAN" hidden="1">"c9613"</definedName>
    <definedName name="IQ_MEASURED_RECOV_ATTRIB_RESOURCES_ZINC" hidden="1">"c9348"</definedName>
    <definedName name="IQ_MEASURED_RECOV_RESOURCES_ALUM" hidden="1">"c9232"</definedName>
    <definedName name="IQ_MEASURED_RECOV_RESOURCES_COAL" hidden="1">"c9811"</definedName>
    <definedName name="IQ_MEASURED_RECOV_RESOURCES_COP" hidden="1">"c9176"</definedName>
    <definedName name="IQ_MEASURED_RECOV_RESOURCES_DIAM" hidden="1">"c9656"</definedName>
    <definedName name="IQ_MEASURED_RECOV_RESOURCES_GOLD" hidden="1">"c9017"</definedName>
    <definedName name="IQ_MEASURED_RECOV_RESOURCES_IRON" hidden="1">"c9391"</definedName>
    <definedName name="IQ_MEASURED_RECOV_RESOURCES_LEAD" hidden="1">"c9444"</definedName>
    <definedName name="IQ_MEASURED_RECOV_RESOURCES_MANG" hidden="1">"c9497"</definedName>
    <definedName name="IQ_MEASURED_RECOV_RESOURCES_MET_COAL" hidden="1">"c9751"</definedName>
    <definedName name="IQ_MEASURED_RECOV_RESOURCES_MOLYB" hidden="1">"c9709"</definedName>
    <definedName name="IQ_MEASURED_RECOV_RESOURCES_NICK" hidden="1">"c9285"</definedName>
    <definedName name="IQ_MEASURED_RECOV_RESOURCES_PLAT" hidden="1">"c9123"</definedName>
    <definedName name="IQ_MEASURED_RECOV_RESOURCES_SILVER" hidden="1">"c9070"</definedName>
    <definedName name="IQ_MEASURED_RECOV_RESOURCES_STEAM" hidden="1">"c9781"</definedName>
    <definedName name="IQ_MEASURED_RECOV_RESOURCES_TITAN" hidden="1">"c9550"</definedName>
    <definedName name="IQ_MEASURED_RECOV_RESOURCES_URAN" hidden="1">"c9603"</definedName>
    <definedName name="IQ_MEASURED_RECOV_RESOURCES_ZINC" hidden="1">"c9338"</definedName>
    <definedName name="IQ_MEASURED_RESOURCES_CALORIFIC_VALUE_COAL" hidden="1">"c9806"</definedName>
    <definedName name="IQ_MEASURED_RESOURCES_CALORIFIC_VALUE_MET_COAL" hidden="1">"c9746"</definedName>
    <definedName name="IQ_MEASURED_RESOURCES_CALORIFIC_VALUE_STEAM" hidden="1">"c9776"</definedName>
    <definedName name="IQ_MEASURED_RESOURCES_GRADE_ALUM" hidden="1">"c9223"</definedName>
    <definedName name="IQ_MEASURED_RESOURCES_GRADE_COP" hidden="1">"c9167"</definedName>
    <definedName name="IQ_MEASURED_RESOURCES_GRADE_DIAM" hidden="1">"c9647"</definedName>
    <definedName name="IQ_MEASURED_RESOURCES_GRADE_GOLD" hidden="1">"c9008"</definedName>
    <definedName name="IQ_MEASURED_RESOURCES_GRADE_IRON" hidden="1">"c9382"</definedName>
    <definedName name="IQ_MEASURED_RESOURCES_GRADE_LEAD" hidden="1">"c9435"</definedName>
    <definedName name="IQ_MEASURED_RESOURCES_GRADE_MANG" hidden="1">"c9488"</definedName>
    <definedName name="IQ_MEASURED_RESOURCES_GRADE_MOLYB" hidden="1">"c9700"</definedName>
    <definedName name="IQ_MEASURED_RESOURCES_GRADE_NICK" hidden="1">"c9276"</definedName>
    <definedName name="IQ_MEASURED_RESOURCES_GRADE_PLAT" hidden="1">"c9114"</definedName>
    <definedName name="IQ_MEASURED_RESOURCES_GRADE_SILVER" hidden="1">"c9061"</definedName>
    <definedName name="IQ_MEASURED_RESOURCES_GRADE_TITAN" hidden="1">"c9541"</definedName>
    <definedName name="IQ_MEASURED_RESOURCES_GRADE_URAN" hidden="1">"c9594"</definedName>
    <definedName name="IQ_MEASURED_RESOURCES_GRADE_ZINC" hidden="1">"c9329"</definedName>
    <definedName name="IQ_MEDIAN_NEW_HOME_SALES_APR_FC_UNUSED" hidden="1">"c8460"</definedName>
    <definedName name="IQ_MEDIAN_NEW_HOME_SALES_APR_FC_UNUSED_UNUSED_UNUSED" hidden="1">"c8460"</definedName>
    <definedName name="IQ_MEDIAN_NEW_HOME_SALES_APR_UNUSED" hidden="1">"c7580"</definedName>
    <definedName name="IQ_MEDIAN_NEW_HOME_SALES_APR_UNUSED_UNUSED_UNUSED" hidden="1">"c7580"</definedName>
    <definedName name="IQ_MEDIAN_NEW_HOME_SALES_FC_UNUSED" hidden="1">"c7800"</definedName>
    <definedName name="IQ_MEDIAN_NEW_HOME_SALES_FC_UNUSED_UNUSED_UNUSED" hidden="1">"c7800"</definedName>
    <definedName name="IQ_MEDIAN_NEW_HOME_SALES_POP_FC_UNUSED" hidden="1">"c8020"</definedName>
    <definedName name="IQ_MEDIAN_NEW_HOME_SALES_POP_FC_UNUSED_UNUSED_UNUSED" hidden="1">"c8020"</definedName>
    <definedName name="IQ_MEDIAN_NEW_HOME_SALES_POP_UNUSED" hidden="1">"c7140"</definedName>
    <definedName name="IQ_MEDIAN_NEW_HOME_SALES_POP_UNUSED_UNUSED_UNUSED" hidden="1">"c7140"</definedName>
    <definedName name="IQ_MEDIAN_NEW_HOME_SALES_UNUSED" hidden="1">"c6920"</definedName>
    <definedName name="IQ_MEDIAN_NEW_HOME_SALES_UNUSED_UNUSED_UNUSED" hidden="1">"c6920"</definedName>
    <definedName name="IQ_MEDIAN_NEW_HOME_SALES_YOY_FC_UNUSED" hidden="1">"c8240"</definedName>
    <definedName name="IQ_MEDIAN_NEW_HOME_SALES_YOY_FC_UNUSED_UNUSED_UNUSED" hidden="1">"c8240"</definedName>
    <definedName name="IQ_MEDIAN_NEW_HOME_SALES_YOY_UNUSED" hidden="1">"c7360"</definedName>
    <definedName name="IQ_MEDIAN_NEW_HOME_SALES_YOY_UNUSED_UNUSED_UNUSED" hidden="1">"c7360"</definedName>
    <definedName name="IQ_MEDIAN_TARGET_PRICE" hidden="1">"c1650"</definedName>
    <definedName name="IQ_MEDIAN_TARGET_PRICE_CIQ" hidden="1">"c4658"</definedName>
    <definedName name="IQ_MEDIAN_TARGET_PRICE_THOM" hidden="1">"c5095"</definedName>
    <definedName name="IQ_MEDIUM_SULFUR_CONTENT_RESERVES_COAL" hidden="1">"c15926"</definedName>
    <definedName name="IQ_MEDIUM_SULFURE_RESERVES_TO_TOTAL_RESERVES_COAL" hidden="1">"c15962"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SUPPLE" hidden="1">"c13810"</definedName>
    <definedName name="IQ_MERGER_UTI" hidden="1">"c726"</definedName>
    <definedName name="IQ_MI_RECOV_ATTRIB_RESOURCES_ALUM" hidden="1">"c9244"</definedName>
    <definedName name="IQ_MI_RECOV_ATTRIB_RESOURCES_COAL" hidden="1">"c9818"</definedName>
    <definedName name="IQ_MI_RECOV_ATTRIB_RESOURCES_COP" hidden="1">"c9188"</definedName>
    <definedName name="IQ_MI_RECOV_ATTRIB_RESOURCES_DIAM" hidden="1">"c9668"</definedName>
    <definedName name="IQ_MI_RECOV_ATTRIB_RESOURCES_GOLD" hidden="1">"c9029"</definedName>
    <definedName name="IQ_MI_RECOV_ATTRIB_RESOURCES_IRON" hidden="1">"c9403"</definedName>
    <definedName name="IQ_MI_RECOV_ATTRIB_RESOURCES_LEAD" hidden="1">"c9456"</definedName>
    <definedName name="IQ_MI_RECOV_ATTRIB_RESOURCES_MANG" hidden="1">"c9509"</definedName>
    <definedName name="IQ_MI_RECOV_ATTRIB_RESOURCES_MET_COAL" hidden="1">"c9758"</definedName>
    <definedName name="IQ_MI_RECOV_ATTRIB_RESOURCES_MOLYB" hidden="1">"c9721"</definedName>
    <definedName name="IQ_MI_RECOV_ATTRIB_RESOURCES_NICK" hidden="1">"c9297"</definedName>
    <definedName name="IQ_MI_RECOV_ATTRIB_RESOURCES_PLAT" hidden="1">"c9135"</definedName>
    <definedName name="IQ_MI_RECOV_ATTRIB_RESOURCES_SILVER" hidden="1">"c9082"</definedName>
    <definedName name="IQ_MI_RECOV_ATTRIB_RESOURCES_STEAM" hidden="1">"c9788"</definedName>
    <definedName name="IQ_MI_RECOV_ATTRIB_RESOURCES_TITAN" hidden="1">"c9562"</definedName>
    <definedName name="IQ_MI_RECOV_ATTRIB_RESOURCES_URAN" hidden="1">"c9615"</definedName>
    <definedName name="IQ_MI_RECOV_ATTRIB_RESOURCES_ZINC" hidden="1">"c9350"</definedName>
    <definedName name="IQ_MI_RESOURCES_CALORIFIC_VALUE_COAL" hidden="1">"c9808"</definedName>
    <definedName name="IQ_MI_RESOURCES_CALORIFIC_VALUE_MET_COAL" hidden="1">"c9748"</definedName>
    <definedName name="IQ_MI_RESOURCES_CALORIFIC_VALUE_STEAM" hidden="1">"c9778"</definedName>
    <definedName name="IQ_MILES_PASSED" hidden="1">"c2848"</definedName>
    <definedName name="IQ_MIN_USE_PER_SUB" hidden="1">"c15764"</definedName>
    <definedName name="IQ_MINE_DEVELOPMENT_GROSS_COAL" hidden="1">"c15940"</definedName>
    <definedName name="IQ_MINORITY_INT_AVG_ASSETS_FFIEC" hidden="1">"c13367"</definedName>
    <definedName name="IQ_MINORITY_INT_BS_FFIEC" hidden="1">"c12874"</definedName>
    <definedName name="IQ_MINORITY_INT_FFIEC" hidden="1">"c13031"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NTUTES_USED_LOCAL" hidden="1">"c15808"</definedName>
    <definedName name="IQ_MINTUTES_USED_LONG_DIST" hidden="1">"c15809"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CIQ" hidden="1">"c4041"</definedName>
    <definedName name="IQ_MKTCAP_TOTAL_REV_FWD_THOM" hidden="1">"c4055"</definedName>
    <definedName name="IQ_MM_ACCOUNT" hidden="1">"c743"</definedName>
    <definedName name="IQ_MM_ACCRETION_EXPENSE" hidden="1">"c9845"</definedName>
    <definedName name="IQ_MM_ARO_BEG" hidden="1">"c9842"</definedName>
    <definedName name="IQ_MM_ARO_TOTAL" hidden="1">"c9850"</definedName>
    <definedName name="IQ_MM_CURRENT_PORT_ARO" hidden="1">"c9851"</definedName>
    <definedName name="IQ_MM_DEVELOPED_ACREAGE" hidden="1">"c9832"</definedName>
    <definedName name="IQ_MM_DEVELOPED_SQ_KMS" hidden="1">"c9831"</definedName>
    <definedName name="IQ_MM_DEVELOPED_SQ_MILES" hidden="1">"c9833"</definedName>
    <definedName name="IQ_MM_EXPLORATION_EXPENDITURE_TOT" hidden="1">"c9840"</definedName>
    <definedName name="IQ_MM_FX_ADJUSTMENT" hidden="1">"c9847"</definedName>
    <definedName name="IQ_MM_LIABILITIES_INCURRED_ACQUIRED" hidden="1">"c9843"</definedName>
    <definedName name="IQ_MM_LIABILITIES_REL_SPIN_OFFS" hidden="1">"c9848"</definedName>
    <definedName name="IQ_MM_LIABILITIES_SETTLED_DISPOSED" hidden="1">"c9844"</definedName>
    <definedName name="IQ_MM_NON_CURRENT_PORT_ARO" hidden="1">"c9852"</definedName>
    <definedName name="IQ_MM_NUMBER_MINES" hidden="1">"c9839"</definedName>
    <definedName name="IQ_MM_OTHER_ADJUSTMENTS_ARO" hidden="1">"c9849"</definedName>
    <definedName name="IQ_MM_REMAINING_MINE_LIFE" hidden="1">"c9838"</definedName>
    <definedName name="IQ_MM_RESOURCES_INCL_EXCL_RESERVES" hidden="1">"c9841"</definedName>
    <definedName name="IQ_MM_REVISIONS_ESTIMATE" hidden="1">"c9846"</definedName>
    <definedName name="IQ_MM_STRIPPING_RATIO" hidden="1">"c9837"</definedName>
    <definedName name="IQ_MM_UNDEVELOPED_ACREAGE" hidden="1">"c9835"</definedName>
    <definedName name="IQ_MM_UNDEVELOPED_SQ_KMS" hidden="1">"c9834"</definedName>
    <definedName name="IQ_MM_UNDEVELOPED_SQ_MILES" hidden="1">"c9836"</definedName>
    <definedName name="IQ_MMDA_NON_TRANS_ACCTS_FFIEC" hidden="1">"c15330"</definedName>
    <definedName name="IQ_MMDA_SAVINGS_TOT_DEPOSITS_FFIEC" hidden="1">"c13905"</definedName>
    <definedName name="IQ_MONEY_MARKET_ACCOUNTS_COMMERCIAL_BANK_SUBS_FFIEC" hidden="1">"c12947"</definedName>
    <definedName name="IQ_MONEY_MARKET_ACCOUNTS_OTHER_INSTITUTIONS_FFIEC" hidden="1">"c12952"</definedName>
    <definedName name="IQ_MONEY_MARKET_DEPOSIT_ACCOUNTS_FDIC" hidden="1">"c6553"</definedName>
    <definedName name="IQ_MONEY_MKT_DEPOSITS_TOTAL_DEPOSITS" hidden="1">"c15720"</definedName>
    <definedName name="IQ_MONEY_MKT_SAVINGS_ACCT_DEPOSITS_TOTAL_DEPOSITS" hidden="1">"c15722"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BACKED_SECURITIES_FDIC" hidden="1">"c6402"</definedName>
    <definedName name="IQ_MORTGAGE_DEBT_UNDER_CAPITAL_LEASES_FFIEC" hidden="1">"c15276"</definedName>
    <definedName name="IQ_MORTGAGE_SERV_RIGHTS" hidden="1">"c2242"</definedName>
    <definedName name="IQ_MORTGAGE_SERVICING_ASSETS_FFIEC" hidden="1">"c12838"</definedName>
    <definedName name="IQ_MORTGAGE_SERVICING_FDIC" hidden="1">"c6335"</definedName>
    <definedName name="IQ_MTD" hidden="1">800000</definedName>
    <definedName name="IQ_MTM_ADJ" hidden="1">"c16000"</definedName>
    <definedName name="IQ_MULTI_RES_PROPERTIES_TRADING_DOM_FFIEC" hidden="1">"c12930"</definedName>
    <definedName name="IQ_MULTIFAM_5_LOANS_TOT_LOANS_FFIEC" hidden="1">"c13869"</definedName>
    <definedName name="IQ_MULTIFAMILY_LOANS_GROSS_LOANS_FFIEC" hidden="1">"c13404"</definedName>
    <definedName name="IQ_MULTIFAMILY_LOANS_RISK_BASED_FFIEC" hidden="1">"c13425"</definedName>
    <definedName name="IQ_MULTIFAMILY_RES_DOM_FFIEC" hidden="1">"c15270"</definedName>
    <definedName name="IQ_MULTIFAMILY_RESIDENTIAL_LOANS_FDIC" hidden="1">"c6311"</definedName>
    <definedName name="IQ_MUNI_ADVALOREM_TAX" hidden="1">"c15144"</definedName>
    <definedName name="IQ_MUNI_AMT_TAX" hidden="1">"c15146"</definedName>
    <definedName name="IQ_MUNI_BANK_QUALIFIED" hidden="1">"c15148"</definedName>
    <definedName name="IQ_MUNI_DEP_TRUST_ELIGIBLE" hidden="1">"c15149"</definedName>
    <definedName name="IQ_MUNI_ECONOMIC_DEFEASANCE" hidden="1">"c15151"</definedName>
    <definedName name="IQ_MUNI_ESCROW" hidden="1">"c15228"</definedName>
    <definedName name="IQ_MUNI_FED_TAX" hidden="1">"c15147"</definedName>
    <definedName name="IQ_MUNI_LEGAL_DEFEASANCE" hidden="1">"c15150"</definedName>
    <definedName name="IQ_MUNI_OFFERING_TYPE" hidden="1">"c15143"</definedName>
    <definedName name="IQ_MUNI_OPTIONAL_REDEMPTION_DEFEASANCE" hidden="1">"c15152"</definedName>
    <definedName name="IQ_MUNI_PRE_REFUNDED_DATE" hidden="1">"c15154"</definedName>
    <definedName name="IQ_MUNI_PRE_REFUNDED_DATED_DATE" hidden="1">"c15156"</definedName>
    <definedName name="IQ_MUNI_PRE_REFUNDED_PRICE" hidden="1">"c15155"</definedName>
    <definedName name="IQ_MUNI_PRE_REFUNDED_TYPE" hidden="1">"c15153"</definedName>
    <definedName name="IQ_MUNI_PURPOSE" hidden="1">"c15226"</definedName>
    <definedName name="IQ_MUNI_STATE_TAX" hidden="1">"c15145"</definedName>
    <definedName name="IQ_MUNI_TERRITORY" hidden="1">"c15142"</definedName>
    <definedName name="IQ_MUNI_TYPE" hidden="1">"c15227"</definedName>
    <definedName name="IQ_MUNICIPAL_INVEST_SECURITIES_FFIEC" hidden="1">"c13459"</definedName>
    <definedName name="IQ_NAMES_REVISION_DATE_" hidden="1">40581.3725694444</definedName>
    <definedName name="IQ_NAPM_BUS_CONDITIONS" hidden="1">"c6921"</definedName>
    <definedName name="IQ_NAPM_BUS_CONDITIONS_APR" hidden="1">"c7581"</definedName>
    <definedName name="IQ_NAPM_BUS_CONDITIONS_APR_FC" hidden="1">"c8461"</definedName>
    <definedName name="IQ_NAPM_BUS_CONDITIONS_FC" hidden="1">"c7801"</definedName>
    <definedName name="IQ_NAPM_BUS_CONDITIONS_POP" hidden="1">"c7141"</definedName>
    <definedName name="IQ_NAPM_BUS_CONDITIONS_POP_FC" hidden="1">"c8021"</definedName>
    <definedName name="IQ_NAPM_BUS_CONDITIONS_YOY" hidden="1">"c7361"</definedName>
    <definedName name="IQ_NAPM_BUS_CONDITIONS_YOY_FC" hidden="1">"c8241"</definedName>
    <definedName name="IQ_NATIVE_COMPANY_NAME" hidden="1">"c13822"</definedName>
    <definedName name="IQ_NAV_ACT_OR_EST" hidden="1">"c2225"</definedName>
    <definedName name="IQ_NAV_ACT_OR_EST_THOM" hidden="1">"c5607"</definedName>
    <definedName name="IQ_NAV_EST" hidden="1">"c1751"</definedName>
    <definedName name="IQ_NAV_EST_THOM" hidden="1">"c5601"</definedName>
    <definedName name="IQ_NAV_HIGH_EST" hidden="1">"c1753"</definedName>
    <definedName name="IQ_NAV_HIGH_EST_THOM" hidden="1">"c5604"</definedName>
    <definedName name="IQ_NAV_LOW_EST" hidden="1">"c1754"</definedName>
    <definedName name="IQ_NAV_LOW_EST_THOM" hidden="1">"c5605"</definedName>
    <definedName name="IQ_NAV_MEDIAN_EST" hidden="1">"c1752"</definedName>
    <definedName name="IQ_NAV_MEDIAN_EST_THOM" hidden="1">"c5602"</definedName>
    <definedName name="IQ_NAV_NUM_EST" hidden="1">"c1755"</definedName>
    <definedName name="IQ_NAV_NUM_EST_THOM" hidden="1">"c5606"</definedName>
    <definedName name="IQ_NAV_RE" hidden="1">"c15996"</definedName>
    <definedName name="IQ_NAV_SHARE_ACT_OR_EST" hidden="1">"c2225"</definedName>
    <definedName name="IQ_NAV_SHARE_ACT_OR_EST_CIQ" hidden="1">"c12038"</definedName>
    <definedName name="IQ_NAV_SHARE_EST" hidden="1">"c5609"</definedName>
    <definedName name="IQ_NAV_SHARE_EST_CIQ" hidden="1">"c12032"</definedName>
    <definedName name="IQ_NAV_SHARE_HIGH_EST" hidden="1">"c5612"</definedName>
    <definedName name="IQ_NAV_SHARE_HIGH_EST_CIQ" hidden="1">"c12035"</definedName>
    <definedName name="IQ_NAV_SHARE_LOW_EST" hidden="1">"c5613"</definedName>
    <definedName name="IQ_NAV_SHARE_LOW_EST_CIQ" hidden="1">"c12036"</definedName>
    <definedName name="IQ_NAV_SHARE_MEDIAN_EST" hidden="1">"c5610"</definedName>
    <definedName name="IQ_NAV_SHARE_MEDIAN_EST_CIQ" hidden="1">"c12033"</definedName>
    <definedName name="IQ_NAV_SHARE_NUM_EST" hidden="1">"c5614"</definedName>
    <definedName name="IQ_NAV_SHARE_NUM_EST_CIQ" hidden="1">"c12037"</definedName>
    <definedName name="IQ_NAV_SHARE_RE" hidden="1">"c16011"</definedName>
    <definedName name="IQ_NAV_SHARE_STDDEV_EST" hidden="1">"c5611"</definedName>
    <definedName name="IQ_NAV_SHARE_STDDEV_EST_CIQ" hidden="1">"c12034"</definedName>
    <definedName name="IQ_NAV_STDDEV_EST" hidden="1">"c1756"</definedName>
    <definedName name="IQ_NAV_STDDEV_EST_THOM" hidden="1">"c5603"</definedName>
    <definedName name="IQ_NCLS_CLOSED_END_1_4_FAM_LOANS_TOT_LOANS_FFIEC" hidden="1">"c13891"</definedName>
    <definedName name="IQ_NCLS_COMM_IND_LOANS_TOT_LOANS_FFIEC" hidden="1">"c13898"</definedName>
    <definedName name="IQ_NCLS_COMM_RE_FARM_LOANS_TOT_LOANS_FFIEC" hidden="1">"c13897"</definedName>
    <definedName name="IQ_NCLS_COMM_RE_NONFARM_NONRES_TOT_LOANS_FFIEC" hidden="1">"c13896"</definedName>
    <definedName name="IQ_NCLS_CONST_LAND_DEV_LOANS_TOT_LOANS_FFIEC" hidden="1">"c13890"</definedName>
    <definedName name="IQ_NCLS_CONSUMER_LOANS_TOT_LOANS_FFIEC" hidden="1">"c13899"</definedName>
    <definedName name="IQ_NCLS_FARM_LOANS_TOT_LOANS_FFIEC" hidden="1">"c13895"</definedName>
    <definedName name="IQ_NCLS_HOME_EQUITY_LOANS_TOT_LOANS_FFIEC" hidden="1">"c13892"</definedName>
    <definedName name="IQ_NCLS_MULTIFAM_5_LOANS_TOT_LOANS_FFIEC" hidden="1">"c13894"</definedName>
    <definedName name="IQ_NCLS_TOT_1_4_FAM_LOANS_TOT_LOANS_FFIEC" hidden="1">"c13893"</definedName>
    <definedName name="IQ_NCLS_TOT_LEASES_TOT_LOANS_FFIEC" hidden="1">"c13900"</definedName>
    <definedName name="IQ_NCLS_TOT_LOANS_TOT_LOANS_FFIEC" hidden="1">"c13901"</definedName>
    <definedName name="IQ_NCOS_CLOSED_END_1_4_FAM_LOANS_TOT_LOANS_FFIEC" hidden="1">"c13879"</definedName>
    <definedName name="IQ_NCOS_COMM_IND_LOANS_TOT_LOANS_FFIEC" hidden="1">"c13886"</definedName>
    <definedName name="IQ_NCOS_COMM_RE_FARM_LOANS_TOT_LOANS_FFIEC" hidden="1">"c13885"</definedName>
    <definedName name="IQ_NCOS_COMM_RE_NONFARM_NONRES_TOT_LOANS_FFIEC" hidden="1">"c13884"</definedName>
    <definedName name="IQ_NCOS_CONST_LAND_DEV_LOANS_TOT_LOANS_FFIEC" hidden="1">"c13878"</definedName>
    <definedName name="IQ_NCOS_CONSUMER_LOANS_TOT_LOANS_FFIEC" hidden="1">"c13887"</definedName>
    <definedName name="IQ_NCOS_FARM_LOANS_TOT_LOANS_FFIEC" hidden="1">"c13883"</definedName>
    <definedName name="IQ_NCOS_HOME_EQUITY_LOANS_TOT_LOANS_FFIEC" hidden="1">"c13880"</definedName>
    <definedName name="IQ_NCOS_MULTIFAM_5_LOANS_TOT_LOANS_FFIEC" hidden="1">"c13882"</definedName>
    <definedName name="IQ_NCOS_TOT_1_4_FAM_LOANS_TOT_LOANS_FFIEC" hidden="1">"c13881"</definedName>
    <definedName name="IQ_NCOS_TOT_LEASES_TOT_LOANS_FFIEC" hidden="1">"c13888"</definedName>
    <definedName name="IQ_NCOS_TOT_LOANS_TOT_LOANS_FFIEC" hidden="1">"c13889"</definedName>
    <definedName name="IQ_NEGATIVE_FAIR_VALUE_DERIVATIVES_BENEFICIARY_FFIEC" hidden="1">"c13124"</definedName>
    <definedName name="IQ_NEGATIVE_FAIR_VALUE_DERIVATIVES_GUARANTOR_FFIEC" hidden="1">"c13117"</definedName>
    <definedName name="IQ_NET_ADD_BASIC" hidden="1">"c15782"</definedName>
    <definedName name="IQ_NET_ADD_BBAND" hidden="1">"c15785"</definedName>
    <definedName name="IQ_NET_ADD_DIG" hidden="1">"c15783"</definedName>
    <definedName name="IQ_NET_ADD_PHONE" hidden="1">"c15786"</definedName>
    <definedName name="IQ_NET_ADD_POSTPAID_WIRELESS" hidden="1">"c15754"</definedName>
    <definedName name="IQ_NET_ADD_PREPAID_WIRELESS" hidden="1">"c15755"</definedName>
    <definedName name="IQ_NET_ADD_RESELL_WHOLESALE_WIRELESS" hidden="1">"c15756"</definedName>
    <definedName name="IQ_NET_ADD_RGU" hidden="1">"c15787"</definedName>
    <definedName name="IQ_NET_ADD_SATELLITE" hidden="1">"c15784"</definedName>
    <definedName name="IQ_NET_ADD_TOTAL_WIRELESS" hidden="1">"c15757"</definedName>
    <definedName name="IQ_NET_BOOKING_LOCATION_ADJUSTMENT_FOREIGN_FFIEC" hidden="1">"c15385"</definedName>
    <definedName name="IQ_NET_CHANGE" hidden="1">"c749"</definedName>
    <definedName name="IQ_NET_CHARGE_OFFS_FDIC" hidden="1">"c6641"</definedName>
    <definedName name="IQ_NET_CHARGE_OFFS_LOANS_FDIC" hidden="1">"c6751"</definedName>
    <definedName name="IQ_NET_CLAIM_ADJ_EXP_RESERVE_BOP" hidden="1">"c15877"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ACT_OR_EST" hidden="1">"c3583"</definedName>
    <definedName name="IQ_NET_DEBT_ACT_OR_EST_CIQ" hidden="1">"c5070"</definedName>
    <definedName name="IQ_NET_DEBT_ACT_OR_EST_THOM" hidden="1">"c5309"</definedName>
    <definedName name="IQ_NET_DEBT_EBITDA" hidden="1">"c750"</definedName>
    <definedName name="IQ_NET_DEBT_EBITDA_CAPEX" hidden="1">"c2949"</definedName>
    <definedName name="IQ_NET_DEBT_EST" hidden="1">"c3517"</definedName>
    <definedName name="IQ_NET_DEBT_EST_CIQ" hidden="1">"c3814"</definedName>
    <definedName name="IQ_NET_DEBT_EST_THOM" hidden="1">"c4027"</definedName>
    <definedName name="IQ_NET_DEBT_GUIDANCE" hidden="1">"c4467"</definedName>
    <definedName name="IQ_NET_DEBT_HIGH_EST" hidden="1">"c3518"</definedName>
    <definedName name="IQ_NET_DEBT_HIGH_EST_CIQ" hidden="1">"c3816"</definedName>
    <definedName name="IQ_NET_DEBT_HIGH_EST_THOM" hidden="1">"c4029"</definedName>
    <definedName name="IQ_NET_DEBT_HIGH_GUIDANCE" hidden="1">"c4181"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DEBT_LOW_EST" hidden="1">"c3519"</definedName>
    <definedName name="IQ_NET_DEBT_LOW_EST_CIQ" hidden="1">"c3817"</definedName>
    <definedName name="IQ_NET_DEBT_LOW_EST_THOM" hidden="1">"c4030"</definedName>
    <definedName name="IQ_NET_DEBT_LOW_GUIDANCE" hidden="1">"c4221"</definedName>
    <definedName name="IQ_NET_DEBT_MEDIAN_EST" hidden="1">"c3520"</definedName>
    <definedName name="IQ_NET_DEBT_MEDIAN_EST_CIQ" hidden="1">"c3815"</definedName>
    <definedName name="IQ_NET_DEBT_MEDIAN_EST_THOM" hidden="1">"c4028"</definedName>
    <definedName name="IQ_NET_DEBT_NUM_EST" hidden="1">"c3515"</definedName>
    <definedName name="IQ_NET_DEBT_NUM_EST_CIQ" hidden="1">"c3818"</definedName>
    <definedName name="IQ_NET_DEBT_NUM_EST_THOM" hidden="1">"c4031"</definedName>
    <definedName name="IQ_NET_DEBT_STDDEV_EST" hidden="1">"c3516"</definedName>
    <definedName name="IQ_NET_DEBT_STDDEV_EST_CIQ" hidden="1">"c3819"</definedName>
    <definedName name="IQ_NET_DEBT_STDDEV_EST_THOM" hidden="1">"c4032"</definedName>
    <definedName name="IQ_NET_EARNED" hidden="1">"c2734"</definedName>
    <definedName name="IQ_NET_FUNDS_PURCHASED_ASSETS_TOT_FFIEC" hidden="1">"c13448"</definedName>
    <definedName name="IQ_NET_GAIN_LOSS_OREO_EXP_FFIEC" hidden="1">"c15370"</definedName>
    <definedName name="IQ_NET_GAIN_LOSS_OREO_INC_FFIEC" hidden="1">"c15367"</definedName>
    <definedName name="IQ_NET_GAIN_LOSS_SALES_LOANS_EXP_FFIEC" hidden="1">"c15371"</definedName>
    <definedName name="IQ_NET_GAIN_LOSS_SALES_LOANS_INC_FFIEC" hidden="1">"c15368"</definedName>
    <definedName name="IQ_NET_GAIN_SALE_PREMISES_FIXED_ASSETS_EXP_FFIEC" hidden="1">"c15372"</definedName>
    <definedName name="IQ_NET_GAIN_SALE_PREMISES_FIXED_ASSETS_INC_FFIEC" hidden="1">"c15369"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COME_FDIC" hidden="1">"c6587"</definedName>
    <definedName name="IQ_NET_INCOME_HOMEBUILDING_SALES" hidden="1">"c15818"</definedName>
    <definedName name="IQ_NET_INCOME_LH_FFIEC" hidden="1">"c13110"</definedName>
    <definedName name="IQ_NET_INCOME_PC_FFIEC" hidden="1">"c13103"</definedName>
    <definedName name="IQ_NET_INCOME_SHE_FFIEC" hidden="1">"c12960"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AFTER_LL_BNK_SUBTOTAL_AP" hidden="1">"c8979"</definedName>
    <definedName name="IQ_NET_INT_INC_BNK" hidden="1">"c764"</definedName>
    <definedName name="IQ_NET_INT_INC_BNK_AP" hidden="1">"c8874"</definedName>
    <definedName name="IQ_NET_INT_INC_BNK_AP_ABS" hidden="1">"c8893"</definedName>
    <definedName name="IQ_NET_INT_INC_BNK_FDIC" hidden="1">"c6570"</definedName>
    <definedName name="IQ_NET_INT_INC_BNK_NAME_AP" hidden="1">"c8912"</definedName>
    <definedName name="IQ_NET_INT_INC_BNK_NAME_AP_ABS" hidden="1">"c8931"</definedName>
    <definedName name="IQ_NET_INT_INC_BNK_SUBTOTAL_AP" hidden="1">"c8978"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INCOME_AVG_ASSET" hidden="1">"c15706"</definedName>
    <definedName name="IQ_NET_INT_INCOME_FFIEC" hidden="1">"c13001"</definedName>
    <definedName name="IQ_NET_INT_INCOME_FTE_FFIEC" hidden="1">"c13036"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INTEREST_INC_INTERNATIONAL_OPS_FFIEC" hidden="1">"c15375"</definedName>
    <definedName name="IQ_NET_INTEREST_MARGIN_FDIC" hidden="1">"c6726"</definedName>
    <definedName name="IQ_NET_LIFE_INS_IN_FORCE" hidden="1">"c2769"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CORE_DEPOSITS_FFIEC" hidden="1">"c13341"</definedName>
    <definedName name="IQ_NET_LOANS_DEPOSITS_FFIEC" hidden="1">"c13340"</definedName>
    <definedName name="IQ_NET_LOANS_EQUITY_FFIEC" hidden="1">"c13347"</definedName>
    <definedName name="IQ_NET_LOANS_LEASES_CORE_DEPOSITS_FDIC" hidden="1">"c6743"</definedName>
    <definedName name="IQ_NET_LOANS_LEASES_DEPOSITS_FDIC" hidden="1">"c6742"</definedName>
    <definedName name="IQ_NET_LOANS_TOTAL_DEPOSITS" hidden="1">"c779"</definedName>
    <definedName name="IQ_NET_LOSSES" hidden="1">"c15873"</definedName>
    <definedName name="IQ_NET_NONINTEREST_INC_EXP_INTERNATIONAL_OPS_FFIEC" hidden="1">"c15387"</definedName>
    <definedName name="IQ_NET_OPERATING_INCOME_ASSETS_FDIC" hidden="1">"c6729"</definedName>
    <definedName name="IQ_NET_PREMIUM_WRITTEN_STATUTORY_SURPLUS" hidden="1">"c15880"</definedName>
    <definedName name="IQ_NET_PREMIUMS_WRITTEN_AVG_ASSETS" hidden="1">"c15888"</definedName>
    <definedName name="IQ_NET_PREMIUMS_WRITTEN_AVG_EQUITY" hidden="1">"c15891"</definedName>
    <definedName name="IQ_NET_PREMIUMS_WRITTEN_AVG_STATUTORY_SURPLUS" hidden="1">"c15890"</definedName>
    <definedName name="IQ_NET_PREMIUMS_WRITTEN_GROSS_PREMIUMS_WRITTEN" hidden="1">"c15889"</definedName>
    <definedName name="IQ_NET_RENTAL_EXP_FN" hidden="1">"c780"</definedName>
    <definedName name="IQ_NET_SECURITIZATION_INC_FOREIGN_FFIEC" hidden="1">"c15379"</definedName>
    <definedName name="IQ_NET_SECURITIZATION_INCOME_FDIC" hidden="1">"c6669"</definedName>
    <definedName name="IQ_NET_SERVICING_FEES_FDIC" hidden="1">"c6668"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WS" hidden="1">"c13743"</definedName>
    <definedName name="IQ_NEWS_DATE" hidden="1">"c13746"</definedName>
    <definedName name="IQ_NEWS_SOURCE" hidden="1">"c13745"</definedName>
    <definedName name="IQ_NEWS_TIME" hidden="1">"c13759"</definedName>
    <definedName name="IQ_NEWS_URL" hidden="1">"c13744"</definedName>
    <definedName name="IQ_NEXT_CALL_DATE" hidden="1">"c2198"</definedName>
    <definedName name="IQ_NEXT_CALL_PRICE" hidden="1">"c2199"</definedName>
    <definedName name="IQ_NEXT_EARNINGS_DATE" hidden="1">"c13592"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EXT_YR_PROD_EST_MAX_ALUM" hidden="1">"c9251"</definedName>
    <definedName name="IQ_NEXT_YR_PROD_EST_MAX_CATHODE_COP" hidden="1">"c9198"</definedName>
    <definedName name="IQ_NEXT_YR_PROD_EST_MAX_COP" hidden="1">"c9196"</definedName>
    <definedName name="IQ_NEXT_YR_PROD_EST_MAX_DIAM" hidden="1">"c9675"</definedName>
    <definedName name="IQ_NEXT_YR_PROD_EST_MAX_GOLD" hidden="1">"c9036"</definedName>
    <definedName name="IQ_NEXT_YR_PROD_EST_MAX_IRON" hidden="1">"c9410"</definedName>
    <definedName name="IQ_NEXT_YR_PROD_EST_MAX_LEAD" hidden="1">"c9463"</definedName>
    <definedName name="IQ_NEXT_YR_PROD_EST_MAX_MANG" hidden="1">"c9516"</definedName>
    <definedName name="IQ_NEXT_YR_PROD_EST_MAX_MOLYB" hidden="1">"c9728"</definedName>
    <definedName name="IQ_NEXT_YR_PROD_EST_MAX_NICK" hidden="1">"c9304"</definedName>
    <definedName name="IQ_NEXT_YR_PROD_EST_MAX_PLAT" hidden="1">"c9142"</definedName>
    <definedName name="IQ_NEXT_YR_PROD_EST_MAX_SILVER" hidden="1">"c9089"</definedName>
    <definedName name="IQ_NEXT_YR_PROD_EST_MAX_TITAN" hidden="1">"c9569"</definedName>
    <definedName name="IQ_NEXT_YR_PROD_EST_MAX_URAN" hidden="1">"c9622"</definedName>
    <definedName name="IQ_NEXT_YR_PROD_EST_MAX_ZINC" hidden="1">"c9357"</definedName>
    <definedName name="IQ_NEXT_YR_PROD_EST_MIN_ALUM" hidden="1">"c9250"</definedName>
    <definedName name="IQ_NEXT_YR_PROD_EST_MIN_CATHODE_COP" hidden="1">"c9197"</definedName>
    <definedName name="IQ_NEXT_YR_PROD_EST_MIN_COP" hidden="1">"c9195"</definedName>
    <definedName name="IQ_NEXT_YR_PROD_EST_MIN_DIAM" hidden="1">"c9674"</definedName>
    <definedName name="IQ_NEXT_YR_PROD_EST_MIN_GOLD" hidden="1">"c9035"</definedName>
    <definedName name="IQ_NEXT_YR_PROD_EST_MIN_IRON" hidden="1">"c9409"</definedName>
    <definedName name="IQ_NEXT_YR_PROD_EST_MIN_LEAD" hidden="1">"c9462"</definedName>
    <definedName name="IQ_NEXT_YR_PROD_EST_MIN_MANG" hidden="1">"c9515"</definedName>
    <definedName name="IQ_NEXT_YR_PROD_EST_MIN_MOLYB" hidden="1">"c9727"</definedName>
    <definedName name="IQ_NEXT_YR_PROD_EST_MIN_NICK" hidden="1">"c9303"</definedName>
    <definedName name="IQ_NEXT_YR_PROD_EST_MIN_PLAT" hidden="1">"c9141"</definedName>
    <definedName name="IQ_NEXT_YR_PROD_EST_MIN_SILVER" hidden="1">"c9088"</definedName>
    <definedName name="IQ_NEXT_YR_PROD_EST_MIN_TITAN" hidden="1">"c9568"</definedName>
    <definedName name="IQ_NEXT_YR_PROD_EST_MIN_URAN" hidden="1">"c9621"</definedName>
    <definedName name="IQ_NEXT_YR_PROD_EST_MIN_ZINC" hidden="1">"c9356"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CT_OR_EST" hidden="1">"c2222"</definedName>
    <definedName name="IQ_NI_ACT_OR_EST_CIQ" hidden="1">"c5065"</definedName>
    <definedName name="IQ_NI_ACT_OR_EST_THOM" hidden="1">"c5306"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AVAIL_SUBTOTAL_AP" hidden="1">"c8984"</definedName>
    <definedName name="IQ_NI_AVG_ASSETS_FFIEC" hidden="1">"c13370"</definedName>
    <definedName name="IQ_NI_BANK_AND_NONCONTROLLING_INTEREST_FFIEC" hidden="1">"c15365"</definedName>
    <definedName name="IQ_NI_BEFORE_CAPITALIZED" hidden="1">"c792"</definedName>
    <definedName name="IQ_NI_BEFORE_INTERNAL_ALLOCATIONS_FOREIGN_FFIEC" hidden="1">"c15393"</definedName>
    <definedName name="IQ_NI_CF" hidden="1">"c793"</definedName>
    <definedName name="IQ_NI_CHARGES_AP" hidden="1">"c8879"</definedName>
    <definedName name="IQ_NI_CHARGES_AP_ABS" hidden="1">"c8898"</definedName>
    <definedName name="IQ_NI_CHARGES_NAME_AP" hidden="1">"c8917"</definedName>
    <definedName name="IQ_NI_CHARGES_NAME_AP_ABS" hidden="1">"c8936"</definedName>
    <definedName name="IQ_NI_EST" hidden="1">"c1716"</definedName>
    <definedName name="IQ_NI_EST_CIQ" hidden="1">"c4702"</definedName>
    <definedName name="IQ_NI_EST_THOM" hidden="1">"c5126"</definedName>
    <definedName name="IQ_NI_FFIEC" hidden="1">"c13034"</definedName>
    <definedName name="IQ_NI_GAAP_GUIDANCE" hidden="1">"c4470"</definedName>
    <definedName name="IQ_NI_GAAP_HIGH_GUIDANCE" hidden="1">"c4177"</definedName>
    <definedName name="IQ_NI_GAAP_LOW_GUIDANCE" hidden="1">"c4217"</definedName>
    <definedName name="IQ_NI_GUIDANCE" hidden="1">"c4469"</definedName>
    <definedName name="IQ_NI_GW_EST_CIQ" hidden="1">"c4709"</definedName>
    <definedName name="IQ_NI_GW_GUIDANCE" hidden="1">"c4471"</definedName>
    <definedName name="IQ_NI_GW_HIGH_EST_CIQ" hidden="1">"c4711"</definedName>
    <definedName name="IQ_NI_GW_HIGH_GUIDANCE" hidden="1">"c4178"</definedName>
    <definedName name="IQ_NI_GW_LOW_EST_CIQ" hidden="1">"c4712"</definedName>
    <definedName name="IQ_NI_GW_LOW_GUIDANCE" hidden="1">"c4218"</definedName>
    <definedName name="IQ_NI_GW_MEDIAN_EST_CIQ" hidden="1">"c4710"</definedName>
    <definedName name="IQ_NI_GW_NUM_EST_CIQ" hidden="1">"c4713"</definedName>
    <definedName name="IQ_NI_GW_STDDEV_EST_CIQ" hidden="1">"c4714"</definedName>
    <definedName name="IQ_NI_HIGH_EST" hidden="1">"c1718"</definedName>
    <definedName name="IQ_NI_HIGH_EST_CIQ" hidden="1">"c4704"</definedName>
    <definedName name="IQ_NI_HIGH_EST_THOM" hidden="1">"c5128"</definedName>
    <definedName name="IQ_NI_HIGH_GUIDANCE" hidden="1">"c4176"</definedName>
    <definedName name="IQ_NI_LOW_EST" hidden="1">"c1719"</definedName>
    <definedName name="IQ_NI_LOW_EST_CIQ" hidden="1">"c4705"</definedName>
    <definedName name="IQ_NI_LOW_EST_THOM" hidden="1">"c5129"</definedName>
    <definedName name="IQ_NI_LOW_GUIDANCE" hidden="1">"c4216"</definedName>
    <definedName name="IQ_NI_MARGIN" hidden="1">"c794"</definedName>
    <definedName name="IQ_NI_MEDIAN_EST" hidden="1">"c1717"</definedName>
    <definedName name="IQ_NI_MEDIAN_EST_CIQ" hidden="1">"c4703"</definedName>
    <definedName name="IQ_NI_MEDIAN_EST_THOM" hidden="1">"c5127"</definedName>
    <definedName name="IQ_NI_NON_CONTROLLING_INTERESTS_FFIEC" hidden="1">"c15366"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NUM_EST" hidden="1">"c1720"</definedName>
    <definedName name="IQ_NI_NUM_EST_CIQ" hidden="1">"c4706"</definedName>
    <definedName name="IQ_NI_NUM_EST_THOM" hidden="1">"c5130"</definedName>
    <definedName name="IQ_NI_REPORTED_EST" hidden="1">"c1730"</definedName>
    <definedName name="IQ_NI_REPORTED_EST_CIQ" hidden="1">"c4716"</definedName>
    <definedName name="IQ_NI_REPORTED_HIGH_EST" hidden="1">"c1732"</definedName>
    <definedName name="IQ_NI_REPORTED_HIGH_EST_CIQ" hidden="1">"c4718"</definedName>
    <definedName name="IQ_NI_REPORTED_LOW_EST" hidden="1">"c1733"</definedName>
    <definedName name="IQ_NI_REPORTED_LOW_EST_CIQ" hidden="1">"c4719"</definedName>
    <definedName name="IQ_NI_REPORTED_MEDIAN_EST" hidden="1">"c1731"</definedName>
    <definedName name="IQ_NI_REPORTED_MEDIAN_EST_CIQ" hidden="1">"c4717"</definedName>
    <definedName name="IQ_NI_REPORTED_NUM_EST" hidden="1">"c1734"</definedName>
    <definedName name="IQ_NI_REPORTED_NUM_EST_CIQ" hidden="1">"c4720"</definedName>
    <definedName name="IQ_NI_REPORTED_STDDEV_EST" hidden="1">"c1735"</definedName>
    <definedName name="IQ_NI_REPORTED_STDDEV_EST_CIQ" hidden="1">"c4721"</definedName>
    <definedName name="IQ_NI_SBC_ACT_OR_EST" hidden="1">"c4474"</definedName>
    <definedName name="IQ_NI_SBC_ACT_OR_EST_CIQ" hidden="1">"c5012"</definedName>
    <definedName name="IQ_NI_SBC_EST" hidden="1">"c4473"</definedName>
    <definedName name="IQ_NI_SBC_EST_CIQ" hidden="1">"c5011"</definedName>
    <definedName name="IQ_NI_SBC_GW_ACT_OR_EST" hidden="1">"c4478"</definedName>
    <definedName name="IQ_NI_SBC_GW_ACT_OR_EST_CIQ" hidden="1">"c5016"</definedName>
    <definedName name="IQ_NI_SBC_GW_EST" hidden="1">"c4477"</definedName>
    <definedName name="IQ_NI_SBC_GW_EST_CIQ" hidden="1">"c5015"</definedName>
    <definedName name="IQ_NI_SBC_GW_HIGH_EST" hidden="1">"c4480"</definedName>
    <definedName name="IQ_NI_SBC_GW_HIGH_EST_CIQ" hidden="1">"c5018"</definedName>
    <definedName name="IQ_NI_SBC_GW_LOW_EST" hidden="1">"c4481"</definedName>
    <definedName name="IQ_NI_SBC_GW_LOW_EST_CIQ" hidden="1">"c5019"</definedName>
    <definedName name="IQ_NI_SBC_GW_MEDIAN_EST" hidden="1">"c4482"</definedName>
    <definedName name="IQ_NI_SBC_GW_MEDIAN_EST_CIQ" hidden="1">"c5020"</definedName>
    <definedName name="IQ_NI_SBC_GW_NUM_EST" hidden="1">"c4483"</definedName>
    <definedName name="IQ_NI_SBC_GW_NUM_EST_CIQ" hidden="1">"c5021"</definedName>
    <definedName name="IQ_NI_SBC_GW_STDDEV_EST" hidden="1">"c4484"</definedName>
    <definedName name="IQ_NI_SBC_GW_STDDEV_EST_CIQ" hidden="1">"c5022"</definedName>
    <definedName name="IQ_NI_SBC_HIGH_EST" hidden="1">"c4486"</definedName>
    <definedName name="IQ_NI_SBC_HIGH_EST_CIQ" hidden="1">"c5024"</definedName>
    <definedName name="IQ_NI_SBC_LOW_EST" hidden="1">"c4487"</definedName>
    <definedName name="IQ_NI_SBC_LOW_EST_CIQ" hidden="1">"c5025"</definedName>
    <definedName name="IQ_NI_SBC_MEDIAN_EST" hidden="1">"c4488"</definedName>
    <definedName name="IQ_NI_SBC_MEDIAN_EST_CIQ" hidden="1">"c5026"</definedName>
    <definedName name="IQ_NI_SBC_NUM_EST" hidden="1">"c4489"</definedName>
    <definedName name="IQ_NI_SBC_NUM_EST_CIQ" hidden="1">"c5027"</definedName>
    <definedName name="IQ_NI_SBC_STDDEV_EST" hidden="1">"c4490"</definedName>
    <definedName name="IQ_NI_SBC_STDDEV_EST_CIQ" hidden="1">"c5028"</definedName>
    <definedName name="IQ_NI_SFAS" hidden="1">"c795"</definedName>
    <definedName name="IQ_NI_STDDEV_EST" hidden="1">"c1721"</definedName>
    <definedName name="IQ_NI_STDDEV_EST_CIQ" hidden="1">"c4707"</definedName>
    <definedName name="IQ_NI_STDDEV_EST_THOM" hidden="1">"c5131"</definedName>
    <definedName name="IQ_NI_SUBTOTAL_AP" hidden="1">"c8983"</definedName>
    <definedName name="IQ_NLA_PCT_LEASED_CONSOL" hidden="1">"c8815"</definedName>
    <definedName name="IQ_NLA_PCT_LEASED_MANAGED" hidden="1">"c8817"</definedName>
    <definedName name="IQ_NLA_PCT_LEASED_OTHER" hidden="1">"c8818"</definedName>
    <definedName name="IQ_NLA_PCT_LEASED_TOTAL" hidden="1">"c8819"</definedName>
    <definedName name="IQ_NLA_PCT_LEASED_UNCONSOL" hidden="1">"c8816"</definedName>
    <definedName name="IQ_NLA_SQ_FT_CONSOL" hidden="1">"c8800"</definedName>
    <definedName name="IQ_NLA_SQ_FT_MANAGED" hidden="1">"c8802"</definedName>
    <definedName name="IQ_NLA_SQ_FT_OTHER" hidden="1">"c8803"</definedName>
    <definedName name="IQ_NLA_SQ_FT_TOTAL" hidden="1">"c8804"</definedName>
    <definedName name="IQ_NLA_SQ_FT_UNCONSOL" hidden="1">"c8801"</definedName>
    <definedName name="IQ_NLA_SQ_METER_CONSOL" hidden="1">"c8805"</definedName>
    <definedName name="IQ_NLA_SQ_METER_MANAGED" hidden="1">"c8807"</definedName>
    <definedName name="IQ_NLA_SQ_METER_OTHER" hidden="1">"c8808"</definedName>
    <definedName name="IQ_NLA_SQ_METER_TOTAL" hidden="1">"c8809"</definedName>
    <definedName name="IQ_NLA_SQ_METER_UNCONSOL" hidden="1">"c8806"</definedName>
    <definedName name="IQ_NOI_INCL_UNCONSOL" hidden="1">"c16068"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_ALLOW_RECEIVABLES_FFIEC" hidden="1">"c13353"</definedName>
    <definedName name="IQ_NON_ACCRUAL_ASSET_SOLD_DURING_QTR_FFIEC" hidden="1">"c15350"</definedName>
    <definedName name="IQ_NON_ACCRUAL_LOANS" hidden="1">"c796"</definedName>
    <definedName name="IQ_NON_CASH" hidden="1">"c1399"</definedName>
    <definedName name="IQ_NON_CASH_ITEMS" hidden="1">"c797"</definedName>
    <definedName name="IQ_NON_CD_DEPOSITS" hidden="1">"c15718"</definedName>
    <definedName name="IQ_NON_CD_DEPOSITS_TOTAL_DEPOSITS" hidden="1">"c15725"</definedName>
    <definedName name="IQ_NON_CURRENT_LOANS_FFIEC" hidden="1">"c13860"</definedName>
    <definedName name="IQ_NON_FARM_NONRES_PROPERTIES_TRADING_DOM_FFIEC" hidden="1">"c12931"</definedName>
    <definedName name="IQ_NON_INS_EXP" hidden="1">"c798"</definedName>
    <definedName name="IQ_NON_INS_REV" hidden="1">"c799"</definedName>
    <definedName name="IQ_NON_INT_BAL_OTHER_INSTITUTIONS_FFIEC" hidden="1">"c12950"</definedName>
    <definedName name="IQ_NON_INT_BEAR_CD" localSheetId="20" hidden="1">"c11750"</definedName>
    <definedName name="IQ_NON_INT_BEAR_CD" localSheetId="21" hidden="1">"c11750"</definedName>
    <definedName name="IQ_NON_INT_BEAR_CD" localSheetId="22" hidden="1">"c11750"</definedName>
    <definedName name="IQ_NON_INT_BEAR_CD" localSheetId="23" hidden="1">"c11750"</definedName>
    <definedName name="IQ_NON_INT_BEAR_CD" localSheetId="24" hidden="1">"c11750"</definedName>
    <definedName name="IQ_NON_INT_BEAR_CD" hidden="1">"c11750"</definedName>
    <definedName name="IQ_NON_INT_BEARING_DEPOSITS" hidden="1">"c800"</definedName>
    <definedName name="IQ_NON_INT_DEPOSITS_DOM_FFIEC" hidden="1">"c12851"</definedName>
    <definedName name="IQ_NON_INT_DEPOSITS_FOREIGN_FFIEC" hidden="1">"c12854"</definedName>
    <definedName name="IQ_NON_INT_EXP" hidden="1">"c801"</definedName>
    <definedName name="IQ_NON_INT_EXP_AVG_ASSETS_FFIEC" hidden="1">"c18878"</definedName>
    <definedName name="IQ_NON_INT_EXP_BNK_AP" hidden="1">"c8877"</definedName>
    <definedName name="IQ_NON_INT_EXP_BNK_AP_ABS" hidden="1">"c8896"</definedName>
    <definedName name="IQ_NON_INT_EXP_BNK_NAME_AP" hidden="1">"c8915"</definedName>
    <definedName name="IQ_NON_INT_EXP_BNK_NAME_AP_ABS" hidden="1">"c8934"</definedName>
    <definedName name="IQ_NON_INT_EXP_BNK_SUBTOTAL_AP" hidden="1">"c8981"</definedName>
    <definedName name="IQ_NON_INT_EXP_FDIC" hidden="1">"c6579"</definedName>
    <definedName name="IQ_NON_INT_EXPENSE_AVG_ASSET" hidden="1">"c15708"</definedName>
    <definedName name="IQ_NON_INT_EXPENSE_FFIEC" hidden="1">"c13028"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_INC_AVG_ASSETS_FFIEC" hidden="1">"c13359"</definedName>
    <definedName name="IQ_NON_INT_INC_BNK_AP" hidden="1">"c8876"</definedName>
    <definedName name="IQ_NON_INT_INC_BNK_AP_ABS" hidden="1">"c8895"</definedName>
    <definedName name="IQ_NON_INT_INC_BNK_NAME_AP" hidden="1">"c8914"</definedName>
    <definedName name="IQ_NON_INT_INC_BNK_NAME_AP_ABS" hidden="1">"c8933"</definedName>
    <definedName name="IQ_NON_INT_INC_BNK_SUBTOTAL_AP" hidden="1">"c8980"</definedName>
    <definedName name="IQ_NON_INT_INC_FDIC" hidden="1">"c6575"</definedName>
    <definedName name="IQ_NON_INT_INC_OPERATING_INC_FFIEC" hidden="1">"c13382"</definedName>
    <definedName name="IQ_NON_INT_INCOME_AVG_ASSET" hidden="1">"c15707"</definedName>
    <definedName name="IQ_NON_INT_INCOME_FFIEC" hidden="1">"c13017"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EQUITY" hidden="1">"c15702"</definedName>
    <definedName name="IQ_NON_PERF_ASSETS_LOANS_OREO" hidden="1">"c15701"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ASSETS_FFIEC" hidden="1">"c13859"</definedName>
    <definedName name="IQ_NON_PERFORMING_LOANS" hidden="1">"c827"</definedName>
    <definedName name="IQ_NON_PERFORMING_LOANS_FFIEC" hidden="1">"c13861"</definedName>
    <definedName name="IQ_NON_RE_DA" hidden="1">"c16179"</definedName>
    <definedName name="IQ_NON_RENTAL_NOI" hidden="1">"c16066"</definedName>
    <definedName name="IQ_NON_RENTAL_OPERATING_EXPENSE" hidden="1">"c16046"</definedName>
    <definedName name="IQ_NON_US_ADDRESS_LEASE_FIN_REC_FFIEC" hidden="1">"c13625"</definedName>
    <definedName name="IQ_NON_US_ADDRESSEES_TOTAL_LOANS_FOREIGN_FDIC" hidden="1">"c6443"</definedName>
    <definedName name="IQ_NON_US_CHARGE_OFFS_AND_RECOVERIES_FDIC" hidden="1">"c6650"</definedName>
    <definedName name="IQ_NON_US_CHARGE_OFFS_FDIC" hidden="1">"c6648"</definedName>
    <definedName name="IQ_NON_US_COMMERCIAL_INDUSTRIAL_CHARGE_OFFS_FDIC" hidden="1">"c6651"</definedName>
    <definedName name="IQ_NON_US_NET_LOANS_FDIC" hidden="1">"c6376"</definedName>
    <definedName name="IQ_NON_US_RECOVERIES_FDIC" hidden="1">"c6649"</definedName>
    <definedName name="IQ_NONCASH_INCOME_AMORT_CLOSED_END_LOANS_FFIEC" hidden="1">"c13078"</definedName>
    <definedName name="IQ_NONCASH_PENSION_EXP" hidden="1">"c3000"</definedName>
    <definedName name="IQ_NONCORE_ASSETS_TOT_FFIEC" hidden="1">"c13443"</definedName>
    <definedName name="IQ_NONCURRENT_LOANS_1_4_FAMILY_FDIC" hidden="1">"c6770"</definedName>
    <definedName name="IQ_NONCURRENT_LOANS_COMMERCIAL_INDUSTRIAL_FDIC" hidden="1">"c6773"</definedName>
    <definedName name="IQ_NONCURRENT_LOANS_COMMERCIAL_RE_FDIC" hidden="1">"c6768"</definedName>
    <definedName name="IQ_NONCURRENT_LOANS_COMMERCIAL_RE_NOT_SECURED_FDIC" hidden="1">"c6778"</definedName>
    <definedName name="IQ_NONCURRENT_LOANS_CONSTRUCTION_LAND_DEV_FDIC" hidden="1">"c6767"</definedName>
    <definedName name="IQ_NONCURRENT_LOANS_CREDIT_CARD_FDIC" hidden="1">"c6775"</definedName>
    <definedName name="IQ_NONCURRENT_LOANS_GUARANTEED_FDIC" hidden="1">"c6358"</definedName>
    <definedName name="IQ_NONCURRENT_LOANS_HOME_EQUITY_FDIC" hidden="1">"c6771"</definedName>
    <definedName name="IQ_NONCURRENT_LOANS_INDIVIDUALS_FDIC" hidden="1">"c6774"</definedName>
    <definedName name="IQ_NONCURRENT_LOANS_LEASES_FDIC" hidden="1">"c6357"</definedName>
    <definedName name="IQ_NONCURRENT_LOANS_MULTIFAMILY_FDIC" hidden="1">"c6769"</definedName>
    <definedName name="IQ_NONCURRENT_LOANS_OTHER_FAMILY_FDIC" hidden="1">"c6772"</definedName>
    <definedName name="IQ_NONCURRENT_LOANS_OTHER_INDIVIDUAL_FDIC" hidden="1">"c6776"</definedName>
    <definedName name="IQ_NONCURRENT_LOANS_OTHER_LOANS_FDIC" hidden="1">"c6777"</definedName>
    <definedName name="IQ_NONCURRENT_LOANS_RE_FDIC" hidden="1">"c6766"</definedName>
    <definedName name="IQ_NONCURRENT_LOANS_TOTAL_LOANS_FDIC" hidden="1">"c6765"</definedName>
    <definedName name="IQ_NONCURRENT_OREO_ASSETS_FDIC" hidden="1">"c6741"</definedName>
    <definedName name="IQ_NONDEF_CAPITAL_GOODS_ORDERS" hidden="1">"c6932"</definedName>
    <definedName name="IQ_NONDEF_CAPITAL_GOODS_ORDERS_APR" hidden="1">"c7592"</definedName>
    <definedName name="IQ_NONDEF_CAPITAL_GOODS_ORDERS_APR_FC" hidden="1">"c8472"</definedName>
    <definedName name="IQ_NONDEF_CAPITAL_GOODS_ORDERS_FC" hidden="1">"c7812"</definedName>
    <definedName name="IQ_NONDEF_CAPITAL_GOODS_ORDERS_POP" hidden="1">"c7152"</definedName>
    <definedName name="IQ_NONDEF_CAPITAL_GOODS_ORDERS_POP_FC" hidden="1">"c8032"</definedName>
    <definedName name="IQ_NONDEF_CAPITAL_GOODS_ORDERS_YOY" hidden="1">"c7372"</definedName>
    <definedName name="IQ_NONDEF_CAPITAL_GOODS_ORDERS_YOY_FC" hidden="1">"c8252"</definedName>
    <definedName name="IQ_NONDEF_CAPITAL_GOODS_SHIPMENTS" hidden="1">"c6933"</definedName>
    <definedName name="IQ_NONDEF_CAPITAL_GOODS_SHIPMENTS_APR" hidden="1">"c7593"</definedName>
    <definedName name="IQ_NONDEF_CAPITAL_GOODS_SHIPMENTS_APR_FC" hidden="1">"c8473"</definedName>
    <definedName name="IQ_NONDEF_CAPITAL_GOODS_SHIPMENTS_FC" hidden="1">"c7813"</definedName>
    <definedName name="IQ_NONDEF_CAPITAL_GOODS_SHIPMENTS_POP" hidden="1">"c7153"</definedName>
    <definedName name="IQ_NONDEF_CAPITAL_GOODS_SHIPMENTS_POP_FC" hidden="1">"c8033"</definedName>
    <definedName name="IQ_NONDEF_CAPITAL_GOODS_SHIPMENTS_YOY" hidden="1">"c7373"</definedName>
    <definedName name="IQ_NONDEF_CAPITAL_GOODS_SHIPMENTS_YOY_FC" hidden="1">"c8253"</definedName>
    <definedName name="IQ_NONDEF_SPENDING_SAAR" hidden="1">"c6934"</definedName>
    <definedName name="IQ_NONDEF_SPENDING_SAAR_APR" hidden="1">"c7594"</definedName>
    <definedName name="IQ_NONDEF_SPENDING_SAAR_APR_FC" hidden="1">"c8474"</definedName>
    <definedName name="IQ_NONDEF_SPENDING_SAAR_FC" hidden="1">"c7814"</definedName>
    <definedName name="IQ_NONDEF_SPENDING_SAAR_POP" hidden="1">"c7154"</definedName>
    <definedName name="IQ_NONDEF_SPENDING_SAAR_POP_FC" hidden="1">"c8034"</definedName>
    <definedName name="IQ_NONDEF_SPENDING_SAAR_YOY" hidden="1">"c7374"</definedName>
    <definedName name="IQ_NONDEF_SPENDING_SAAR_YOY_FC" hidden="1">"c8254"</definedName>
    <definedName name="IQ_NONFARM_EMP_HRS_PCT_CHANGE" hidden="1">"c6935"</definedName>
    <definedName name="IQ_NONFARM_EMP_HRS_PCT_CHANGE_FC" hidden="1">"c7815"</definedName>
    <definedName name="IQ_NONFARM_EMP_HRS_PCT_CHANGE_POP" hidden="1">"c7155"</definedName>
    <definedName name="IQ_NONFARM_EMP_HRS_PCT_CHANGE_POP_FC" hidden="1">"c8035"</definedName>
    <definedName name="IQ_NONFARM_EMP_HRS_PCT_CHANGE_YOY" hidden="1">"c7375"</definedName>
    <definedName name="IQ_NONFARM_EMP_HRS_PCT_CHANGE_YOY_FC" hidden="1">"c8255"</definedName>
    <definedName name="IQ_NONFARM_NONRES_DOM_FFIEC" hidden="1">"c15271"</definedName>
    <definedName name="IQ_NONFARM_NONRES_GROSS_LOANS_FFIEC" hidden="1">"c13405"</definedName>
    <definedName name="IQ_NONFARM_NONRES_LL_REC_DOM_FFIEC" hidden="1">"c13626"</definedName>
    <definedName name="IQ_NONFARM_NONRES_RISK_BASED_FFIEC" hidden="1">"c13426"</definedName>
    <definedName name="IQ_NONFARM_OUTPUT_PER_HR" hidden="1">"c6936"</definedName>
    <definedName name="IQ_NONFARM_OUTPUT_PER_HR_APR" hidden="1">"c7596"</definedName>
    <definedName name="IQ_NONFARM_OUTPUT_PER_HR_APR_FC" hidden="1">"c8476"</definedName>
    <definedName name="IQ_NONFARM_OUTPUT_PER_HR_FC" hidden="1">"c7816"</definedName>
    <definedName name="IQ_NONFARM_OUTPUT_PER_HR_POP" hidden="1">"c7156"</definedName>
    <definedName name="IQ_NONFARM_OUTPUT_PER_HR_POP_FC" hidden="1">"c8036"</definedName>
    <definedName name="IQ_NONFARM_OUTPUT_PER_HR_YOY" hidden="1">"c7376"</definedName>
    <definedName name="IQ_NONFARM_OUTPUT_PER_HR_YOY_FC" hidden="1">"c8256"</definedName>
    <definedName name="IQ_NONFARM_PAYROLLS" hidden="1">"c6926"</definedName>
    <definedName name="IQ_NONFARM_PAYROLLS_APR" hidden="1">"c7586"</definedName>
    <definedName name="IQ_NONFARM_PAYROLLS_APR_FC" hidden="1">"c8466"</definedName>
    <definedName name="IQ_NONFARM_PAYROLLS_FC" hidden="1">"c7806"</definedName>
    <definedName name="IQ_NONFARM_PAYROLLS_POP" hidden="1">"c7146"</definedName>
    <definedName name="IQ_NONFARM_PAYROLLS_POP_FC" hidden="1">"c8026"</definedName>
    <definedName name="IQ_NONFARM_PAYROLLS_YOY" hidden="1">"c7366"</definedName>
    <definedName name="IQ_NONFARM_PAYROLLS_YOY_FC" hidden="1">"c8246"</definedName>
    <definedName name="IQ_NONFARM_TOTAL_HR_INDEX" hidden="1">"c6937"</definedName>
    <definedName name="IQ_NONFARM_TOTAL_HR_INDEX_APR" hidden="1">"c7597"</definedName>
    <definedName name="IQ_NONFARM_TOTAL_HR_INDEX_APR_FC" hidden="1">"c8477"</definedName>
    <definedName name="IQ_NONFARM_TOTAL_HR_INDEX_FC" hidden="1">"c7817"</definedName>
    <definedName name="IQ_NONFARM_TOTAL_HR_INDEX_POP" hidden="1">"c7157"</definedName>
    <definedName name="IQ_NONFARM_TOTAL_HR_INDEX_POP_FC" hidden="1">"c8037"</definedName>
    <definedName name="IQ_NONFARM_TOTAL_HR_INDEX_YOY" hidden="1">"c7377"</definedName>
    <definedName name="IQ_NONFARM_TOTAL_HR_INDEX_YOY_FC" hidden="1">"c8257"</definedName>
    <definedName name="IQ_NONFARM_WAGES" hidden="1">"c6938"</definedName>
    <definedName name="IQ_NONFARM_WAGES_APR" hidden="1">"c7598"</definedName>
    <definedName name="IQ_NONFARM_WAGES_APR_FC" hidden="1">"c8478"</definedName>
    <definedName name="IQ_NONFARM_WAGES_FC" hidden="1">"c7818"</definedName>
    <definedName name="IQ_NONFARM_WAGES_INDEX" hidden="1">"c6939"</definedName>
    <definedName name="IQ_NONFARM_WAGES_INDEX_APR" hidden="1">"c7599"</definedName>
    <definedName name="IQ_NONFARM_WAGES_INDEX_APR_FC" hidden="1">"c8479"</definedName>
    <definedName name="IQ_NONFARM_WAGES_INDEX_FC" hidden="1">"c7819"</definedName>
    <definedName name="IQ_NONFARM_WAGES_INDEX_POP" hidden="1">"c7159"</definedName>
    <definedName name="IQ_NONFARM_WAGES_INDEX_POP_FC" hidden="1">"c8039"</definedName>
    <definedName name="IQ_NONFARM_WAGES_INDEX_YOY" hidden="1">"c7379"</definedName>
    <definedName name="IQ_NONFARM_WAGES_INDEX_YOY_FC" hidden="1">"c8259"</definedName>
    <definedName name="IQ_NONFARM_WAGES_POP" hidden="1">"c7158"</definedName>
    <definedName name="IQ_NONFARM_WAGES_POP_FC" hidden="1">"c8038"</definedName>
    <definedName name="IQ_NONFARM_WAGES_YOY" hidden="1">"c7378"</definedName>
    <definedName name="IQ_NONFARM_WAGES_YOY_FC" hidden="1">"c8258"</definedName>
    <definedName name="IQ_NONINTEREST_BEARING_BALANCES_FDIC" hidden="1">"c6394"</definedName>
    <definedName name="IQ_NONINTEREST_BEARING_CASH_FFIEC" hidden="1">"c12774"</definedName>
    <definedName name="IQ_NONINTEREST_BEARING_DEPOSITS_DOMESTIC_FDIC" hidden="1">"c6477"</definedName>
    <definedName name="IQ_NONINTEREST_BEARING_DEPOSITS_FOREIGN_FDIC" hidden="1">"c6484"</definedName>
    <definedName name="IQ_NONINTEREST_EXPENSE_EARNING_ASSETS_FDIC" hidden="1">"c6728"</definedName>
    <definedName name="IQ_NONINTEREST_INC_FOREIGN_FFIEC" hidden="1">"c15376"</definedName>
    <definedName name="IQ_NONINTEREST_INCOME_EARNING_ASSETS_FDIC" hidden="1">"c6727"</definedName>
    <definedName name="IQ_NONMORTGAGE_SERVICING_FDIC" hidden="1">"c6336"</definedName>
    <definedName name="IQ_NONQUALIFYING_PREFERRED_T1_FFIEC" hidden="1">"c13134"</definedName>
    <definedName name="IQ_NONRECOURSE_DEBT" hidden="1">"c2550"</definedName>
    <definedName name="IQ_NONRECOURSE_DEBT_PCT" hidden="1">"c2551"</definedName>
    <definedName name="IQ_NONRES_FIXED_INVEST" hidden="1">"c6931"</definedName>
    <definedName name="IQ_NONRES_FIXED_INVEST_APR" hidden="1">"c7591"</definedName>
    <definedName name="IQ_NONRES_FIXED_INVEST_POP" hidden="1">"c7151"</definedName>
    <definedName name="IQ_NONRES_FIXED_INVEST_PRIV_APR_FC_UNUSED" hidden="1">"c8468"</definedName>
    <definedName name="IQ_NONRES_FIXED_INVEST_PRIV_APR_FC_UNUSED_UNUSED_UNUSED" hidden="1">"c8468"</definedName>
    <definedName name="IQ_NONRES_FIXED_INVEST_PRIV_APR_UNUSED" hidden="1">"c7588"</definedName>
    <definedName name="IQ_NONRES_FIXED_INVEST_PRIV_APR_UNUSED_UNUSED_UNUSED" hidden="1">"c7588"</definedName>
    <definedName name="IQ_NONRES_FIXED_INVEST_PRIV_FC_UNUSED" hidden="1">"c7808"</definedName>
    <definedName name="IQ_NONRES_FIXED_INVEST_PRIV_FC_UNUSED_UNUSED_UNUSED" hidden="1">"c7808"</definedName>
    <definedName name="IQ_NONRES_FIXED_INVEST_PRIV_POP_FC_UNUSED" hidden="1">"c8028"</definedName>
    <definedName name="IQ_NONRES_FIXED_INVEST_PRIV_POP_FC_UNUSED_UNUSED_UNUSED" hidden="1">"c8028"</definedName>
    <definedName name="IQ_NONRES_FIXED_INVEST_PRIV_POP_UNUSED" hidden="1">"c7148"</definedName>
    <definedName name="IQ_NONRES_FIXED_INVEST_PRIV_POP_UNUSED_UNUSED_UNUSED" hidden="1">"c7148"</definedName>
    <definedName name="IQ_NONRES_FIXED_INVEST_PRIV_REAL" hidden="1">"c6989"</definedName>
    <definedName name="IQ_NONRES_FIXED_INVEST_PRIV_REAL_APR" hidden="1">"c7649"</definedName>
    <definedName name="IQ_NONRES_FIXED_INVEST_PRIV_REAL_APR_FC" hidden="1">"c8529"</definedName>
    <definedName name="IQ_NONRES_FIXED_INVEST_PRIV_REAL_FC" hidden="1">"c7869"</definedName>
    <definedName name="IQ_NONRES_FIXED_INVEST_PRIV_REAL_POP" hidden="1">"c7209"</definedName>
    <definedName name="IQ_NONRES_FIXED_INVEST_PRIV_REAL_POP_FC" hidden="1">"c8089"</definedName>
    <definedName name="IQ_NONRES_FIXED_INVEST_PRIV_REAL_SAAR" hidden="1">"c6990"</definedName>
    <definedName name="IQ_NONRES_FIXED_INVEST_PRIV_REAL_SAAR_APR" hidden="1">"c7650"</definedName>
    <definedName name="IQ_NONRES_FIXED_INVEST_PRIV_REAL_SAAR_APR_FC" hidden="1">"c8530"</definedName>
    <definedName name="IQ_NONRES_FIXED_INVEST_PRIV_REAL_SAAR_FC" hidden="1">"c7870"</definedName>
    <definedName name="IQ_NONRES_FIXED_INVEST_PRIV_REAL_SAAR_POP" hidden="1">"c7210"</definedName>
    <definedName name="IQ_NONRES_FIXED_INVEST_PRIV_REAL_SAAR_POP_FC" hidden="1">"c8090"</definedName>
    <definedName name="IQ_NONRES_FIXED_INVEST_PRIV_REAL_SAAR_USD_APR_FC" hidden="1">"c11981"</definedName>
    <definedName name="IQ_NONRES_FIXED_INVEST_PRIV_REAL_SAAR_USD_FC" hidden="1">"c11978"</definedName>
    <definedName name="IQ_NONRES_FIXED_INVEST_PRIV_REAL_SAAR_USD_POP_FC" hidden="1">"c11979"</definedName>
    <definedName name="IQ_NONRES_FIXED_INVEST_PRIV_REAL_SAAR_USD_YOY_FC" hidden="1">"c11980"</definedName>
    <definedName name="IQ_NONRES_FIXED_INVEST_PRIV_REAL_SAAR_YOY" hidden="1">"c7430"</definedName>
    <definedName name="IQ_NONRES_FIXED_INVEST_PRIV_REAL_SAAR_YOY_FC" hidden="1">"c8310"</definedName>
    <definedName name="IQ_NONRES_FIXED_INVEST_PRIV_REAL_USD_APR_FC" hidden="1">"c11977"</definedName>
    <definedName name="IQ_NONRES_FIXED_INVEST_PRIV_REAL_USD_FC" hidden="1">"c11974"</definedName>
    <definedName name="IQ_NONRES_FIXED_INVEST_PRIV_REAL_USD_POP_FC" hidden="1">"c11975"</definedName>
    <definedName name="IQ_NONRES_FIXED_INVEST_PRIV_REAL_USD_YOY_FC" hidden="1">"c11976"</definedName>
    <definedName name="IQ_NONRES_FIXED_INVEST_PRIV_REAL_YOY" hidden="1">"c7429"</definedName>
    <definedName name="IQ_NONRES_FIXED_INVEST_PRIV_REAL_YOY_FC" hidden="1">"c8309"</definedName>
    <definedName name="IQ_NONRES_FIXED_INVEST_PRIV_SAAR" hidden="1">"c6929"</definedName>
    <definedName name="IQ_NONRES_FIXED_INVEST_PRIV_SAAR_APR" hidden="1">"c7589"</definedName>
    <definedName name="IQ_NONRES_FIXED_INVEST_PRIV_SAAR_APR_FC" hidden="1">"c8469"</definedName>
    <definedName name="IQ_NONRES_FIXED_INVEST_PRIV_SAAR_FC" hidden="1">"c7809"</definedName>
    <definedName name="IQ_NONRES_FIXED_INVEST_PRIV_SAAR_POP" hidden="1">"c7149"</definedName>
    <definedName name="IQ_NONRES_FIXED_INVEST_PRIV_SAAR_POP_FC" hidden="1">"c8029"</definedName>
    <definedName name="IQ_NONRES_FIXED_INVEST_PRIV_SAAR_USD_APR_FC" hidden="1">"c11877"</definedName>
    <definedName name="IQ_NONRES_FIXED_INVEST_PRIV_SAAR_USD_FC" hidden="1">"c11874"</definedName>
    <definedName name="IQ_NONRES_FIXED_INVEST_PRIV_SAAR_USD_POP_FC" hidden="1">"c11875"</definedName>
    <definedName name="IQ_NONRES_FIXED_INVEST_PRIV_SAAR_USD_YOY_FC" hidden="1">"c11876"</definedName>
    <definedName name="IQ_NONRES_FIXED_INVEST_PRIV_SAAR_YOY" hidden="1">"c7369"</definedName>
    <definedName name="IQ_NONRES_FIXED_INVEST_PRIV_SAAR_YOY_FC" hidden="1">"c8249"</definedName>
    <definedName name="IQ_NONRES_FIXED_INVEST_PRIV_UNUSED" hidden="1">"c6928"</definedName>
    <definedName name="IQ_NONRES_FIXED_INVEST_PRIV_UNUSED_UNUSED_UNUSED" hidden="1">"c6928"</definedName>
    <definedName name="IQ_NONRES_FIXED_INVEST_PRIV_USD_APR_FC" hidden="1">"c11873"</definedName>
    <definedName name="IQ_NONRES_FIXED_INVEST_PRIV_USD_FC" hidden="1">"c11870"</definedName>
    <definedName name="IQ_NONRES_FIXED_INVEST_PRIV_USD_POP_FC" hidden="1">"c11871"</definedName>
    <definedName name="IQ_NONRES_FIXED_INVEST_PRIV_USD_YOY_FC" hidden="1">"c11872"</definedName>
    <definedName name="IQ_NONRES_FIXED_INVEST_PRIV_YOY_FC_UNUSED" hidden="1">"c8248"</definedName>
    <definedName name="IQ_NONRES_FIXED_INVEST_PRIV_YOY_FC_UNUSED_UNUSED_UNUSED" hidden="1">"c8248"</definedName>
    <definedName name="IQ_NONRES_FIXED_INVEST_PRIV_YOY_UNUSED" hidden="1">"c7368"</definedName>
    <definedName name="IQ_NONRES_FIXED_INVEST_PRIV_YOY_UNUSED_UNUSED_UNUSED" hidden="1">"c7368"</definedName>
    <definedName name="IQ_NONRES_FIXED_INVEST_REAL" hidden="1">"c6993"</definedName>
    <definedName name="IQ_NONRES_FIXED_INVEST_REAL_APR" hidden="1">"c7653"</definedName>
    <definedName name="IQ_NONRES_FIXED_INVEST_REAL_POP" hidden="1">"c7213"</definedName>
    <definedName name="IQ_NONRES_FIXED_INVEST_REAL_SAAR" hidden="1">"c6987"</definedName>
    <definedName name="IQ_NONRES_FIXED_INVEST_REAL_SAAR_APR" hidden="1">"c7647"</definedName>
    <definedName name="IQ_NONRES_FIXED_INVEST_REAL_SAAR_APR_FC" hidden="1">"c8527"</definedName>
    <definedName name="IQ_NONRES_FIXED_INVEST_REAL_SAAR_FC" hidden="1">"c7867"</definedName>
    <definedName name="IQ_NONRES_FIXED_INVEST_REAL_SAAR_POP" hidden="1">"c7207"</definedName>
    <definedName name="IQ_NONRES_FIXED_INVEST_REAL_SAAR_POP_FC" hidden="1">"c8087"</definedName>
    <definedName name="IQ_NONRES_FIXED_INVEST_REAL_SAAR_YOY" hidden="1">"c7427"</definedName>
    <definedName name="IQ_NONRES_FIXED_INVEST_REAL_SAAR_YOY_FC" hidden="1">"c8307"</definedName>
    <definedName name="IQ_NONRES_FIXED_INVEST_REAL_USD_APR_FC" hidden="1">"c11973"</definedName>
    <definedName name="IQ_NONRES_FIXED_INVEST_REAL_USD_FC" hidden="1">"c11970"</definedName>
    <definedName name="IQ_NONRES_FIXED_INVEST_REAL_USD_POP_FC" hidden="1">"c11971"</definedName>
    <definedName name="IQ_NONRES_FIXED_INVEST_REAL_USD_YOY_FC" hidden="1">"c11972"</definedName>
    <definedName name="IQ_NONRES_FIXED_INVEST_REAL_YOY" hidden="1">"c7433"</definedName>
    <definedName name="IQ_NONRES_FIXED_INVEST_STRUCT" hidden="1">"c6930"</definedName>
    <definedName name="IQ_NONRES_FIXED_INVEST_STRUCT_APR" hidden="1">"c7590"</definedName>
    <definedName name="IQ_NONRES_FIXED_INVEST_STRUCT_APR_FC" hidden="1">"c8470"</definedName>
    <definedName name="IQ_NONRES_FIXED_INVEST_STRUCT_FC" hidden="1">"c7810"</definedName>
    <definedName name="IQ_NONRES_FIXED_INVEST_STRUCT_POP" hidden="1">"c7150"</definedName>
    <definedName name="IQ_NONRES_FIXED_INVEST_STRUCT_POP_FC" hidden="1">"c8030"</definedName>
    <definedName name="IQ_NONRES_FIXED_INVEST_STRUCT_REAL" hidden="1">"c6992"</definedName>
    <definedName name="IQ_NONRES_FIXED_INVEST_STRUCT_REAL_APR" hidden="1">"c7652"</definedName>
    <definedName name="IQ_NONRES_FIXED_INVEST_STRUCT_REAL_APR_FC" hidden="1">"c8532"</definedName>
    <definedName name="IQ_NONRES_FIXED_INVEST_STRUCT_REAL_FC" hidden="1">"c7872"</definedName>
    <definedName name="IQ_NONRES_FIXED_INVEST_STRUCT_REAL_POP" hidden="1">"c7212"</definedName>
    <definedName name="IQ_NONRES_FIXED_INVEST_STRUCT_REAL_POP_FC" hidden="1">"c8092"</definedName>
    <definedName name="IQ_NONRES_FIXED_INVEST_STRUCT_REAL_SAAR" hidden="1">"c6991"</definedName>
    <definedName name="IQ_NONRES_FIXED_INVEST_STRUCT_REAL_SAAR_APR" hidden="1">"c7651"</definedName>
    <definedName name="IQ_NONRES_FIXED_INVEST_STRUCT_REAL_SAAR_APR_FC" hidden="1">"c8531"</definedName>
    <definedName name="IQ_NONRES_FIXED_INVEST_STRUCT_REAL_SAAR_FC" hidden="1">"c7871"</definedName>
    <definedName name="IQ_NONRES_FIXED_INVEST_STRUCT_REAL_SAAR_POP" hidden="1">"c7211"</definedName>
    <definedName name="IQ_NONRES_FIXED_INVEST_STRUCT_REAL_SAAR_POP_FC" hidden="1">"c8091"</definedName>
    <definedName name="IQ_NONRES_FIXED_INVEST_STRUCT_REAL_SAAR_YOY" hidden="1">"c7431"</definedName>
    <definedName name="IQ_NONRES_FIXED_INVEST_STRUCT_REAL_SAAR_YOY_FC" hidden="1">"c8311"</definedName>
    <definedName name="IQ_NONRES_FIXED_INVEST_STRUCT_REAL_USD_APR_FC" hidden="1">"c11985"</definedName>
    <definedName name="IQ_NONRES_FIXED_INVEST_STRUCT_REAL_USD_FC" hidden="1">"c11982"</definedName>
    <definedName name="IQ_NONRES_FIXED_INVEST_STRUCT_REAL_USD_POP_FC" hidden="1">"c11983"</definedName>
    <definedName name="IQ_NONRES_FIXED_INVEST_STRUCT_REAL_USD_YOY_FC" hidden="1">"c11984"</definedName>
    <definedName name="IQ_NONRES_FIXED_INVEST_STRUCT_REAL_YOY" hidden="1">"c7432"</definedName>
    <definedName name="IQ_NONRES_FIXED_INVEST_STRUCT_REAL_YOY_FC" hidden="1">"c8312"</definedName>
    <definedName name="IQ_NONRES_FIXED_INVEST_STRUCT_USD_APR_FC" hidden="1">"c11881"</definedName>
    <definedName name="IQ_NONRES_FIXED_INVEST_STRUCT_USD_FC" hidden="1">"c11878"</definedName>
    <definedName name="IQ_NONRES_FIXED_INVEST_STRUCT_USD_POP_FC" hidden="1">"c11879"</definedName>
    <definedName name="IQ_NONRES_FIXED_INVEST_STRUCT_USD_YOY_FC" hidden="1">"c11880"</definedName>
    <definedName name="IQ_NONRES_FIXED_INVEST_STRUCT_YOY" hidden="1">"c7370"</definedName>
    <definedName name="IQ_NONRES_FIXED_INVEST_STRUCT_YOY_FC" hidden="1">"c8250"</definedName>
    <definedName name="IQ_NONRES_FIXED_INVEST_USD_APR_FC" hidden="1">"c11869"</definedName>
    <definedName name="IQ_NONRES_FIXED_INVEST_USD_FC" hidden="1">"c11866"</definedName>
    <definedName name="IQ_NONRES_FIXED_INVEST_USD_POP_FC" hidden="1">"c11867"</definedName>
    <definedName name="IQ_NONRES_FIXED_INVEST_USD_YOY_FC" hidden="1">"c11868"</definedName>
    <definedName name="IQ_NONRES_FIXED_INVEST_YOY" hidden="1">"c7371"</definedName>
    <definedName name="IQ_NONTRADING_SECURITIES_FAIR_VALUE_TOT_FFIEC" hidden="1">"c13211"</definedName>
    <definedName name="IQ_NONTRADING_SECURITIES_LEVEL_1_FFIEC" hidden="1">"c13219"</definedName>
    <definedName name="IQ_NONTRADING_SECURITIES_LEVEL_2_FFIEC" hidden="1">"c13227"</definedName>
    <definedName name="IQ_NONTRADING_SECURITIES_LEVEL_3_FFIEC" hidden="1">"c13235"</definedName>
    <definedName name="IQ_NONTRANSACTION_ACCOUNTS_FDIC" hidden="1">"c6552"</definedName>
    <definedName name="IQ_NONUTIL_REV" hidden="1">"c2089"</definedName>
    <definedName name="IQ_NORM_EPS_ACT_OR_EST" hidden="1">"c2249"</definedName>
    <definedName name="IQ_NORM_EPS_ACT_OR_EST_CIQ" hidden="1">"c5069"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TIONAL_AMOUNT_CREDIT_DERIVATIVES_FDIC" hidden="1">"c6507"</definedName>
    <definedName name="IQ_NOTIONAL_AMT_DERIVATIVES_BENEFICIARY_FFIEC" hidden="1">"c13118"</definedName>
    <definedName name="IQ_NOTIONAL_AMT_DERIVATIVES_GUARANTOR_FFIEC" hidden="1">"c13111"</definedName>
    <definedName name="IQ_NOTIONAL_VALUE_EXCHANGE_SWAPS_FDIC" hidden="1">"c6516"</definedName>
    <definedName name="IQ_NOTIONAL_VALUE_OTHER_SWAPS_FDIC" hidden="1">"c6521"</definedName>
    <definedName name="IQ_NOTIONAL_VALUE_RATE_SWAPS_FDIC" hidden="1">"c6511"</definedName>
    <definedName name="IQ_NOW_ACCOUNT" hidden="1">"c828"</definedName>
    <definedName name="IQ_NOW_ATS_ACCOUNTS_COMMERCIAL_BANK_SUBS_FFIEC" hidden="1">"c12946"</definedName>
    <definedName name="IQ_NOW_ATS_ACCOUNTS_OTHER_INSTITUTIONS_FFIEC" hidden="1">"c12951"</definedName>
    <definedName name="IQ_NOW_OTHER_TRANS_ACCTS_TOT_DEPOSITS_FFIEC" hidden="1">"c13903"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_CONTRIBUTORS" hidden="1">"c13739"</definedName>
    <definedName name="IQ_NUMBER_ADRHOLDERS" hidden="1">"c1970"</definedName>
    <definedName name="IQ_NUMBER_CELL_SITES" hidden="1">"c15762"</definedName>
    <definedName name="IQ_NUMBER_DAYS" hidden="1">"c1904"</definedName>
    <definedName name="IQ_NUMBER_DEPOSITS_LESS_THAN_100K_FDIC" hidden="1">"c6495"</definedName>
    <definedName name="IQ_NUMBER_DEPOSITS_MORE_THAN_100K_FDIC" hidden="1">"c6493"</definedName>
    <definedName name="IQ_NUMBER_MINES_ALUM" hidden="1">"c9248"</definedName>
    <definedName name="IQ_NUMBER_MINES_COAL" hidden="1">"c9822"</definedName>
    <definedName name="IQ_NUMBER_MINES_COP" hidden="1">"c9193"</definedName>
    <definedName name="IQ_NUMBER_MINES_DIAM" hidden="1">"c9672"</definedName>
    <definedName name="IQ_NUMBER_MINES_GOLD" hidden="1">"c9033"</definedName>
    <definedName name="IQ_NUMBER_MINES_IRON" hidden="1">"c9407"</definedName>
    <definedName name="IQ_NUMBER_MINES_LEAD" hidden="1">"c9460"</definedName>
    <definedName name="IQ_NUMBER_MINES_MANG" hidden="1">"c9513"</definedName>
    <definedName name="IQ_NUMBER_MINES_MOLYB" hidden="1">"c9725"</definedName>
    <definedName name="IQ_NUMBER_MINES_NICK" hidden="1">"c9301"</definedName>
    <definedName name="IQ_NUMBER_MINES_PLAT" hidden="1">"c9139"</definedName>
    <definedName name="IQ_NUMBER_MINES_SILVER" hidden="1">"c9086"</definedName>
    <definedName name="IQ_NUMBER_MINES_TITAN" hidden="1">"c9566"</definedName>
    <definedName name="IQ_NUMBER_MINES_URAN" hidden="1">"c9619"</definedName>
    <definedName name="IQ_NUMBER_MINES_ZINC" hidden="1">"c9354"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NUMBER_WIRELESS_TOWERS" hidden="1">"c15766"</definedName>
    <definedName name="IQ_OBLIGATION_STATES_POLI_SUBD_US_LL_REC_DOM_FFIEC" hidden="1">"c15295"</definedName>
    <definedName name="IQ_OBLIGATION_STATES_POLI_SUBD_US_LL_REC_FFIEC" hidden="1">"c15294"</definedName>
    <definedName name="IQ_OBLIGATIONS_OF_STATES_TOTAL_LOANS_FOREIGN_FDIC" hidden="1">"c6447"</definedName>
    <definedName name="IQ_OBLIGATIONS_STATES_FDIC" hidden="1">"c6431"</definedName>
    <definedName name="IQ_OCCUPANCY_CONSOL" hidden="1">"c8840"</definedName>
    <definedName name="IQ_OCCUPANCY_EXP_AVG_ASSETS_FFIEC" hidden="1">"c13372"</definedName>
    <definedName name="IQ_OCCUPANCY_EXP_OPERATING_INC_FFIEC" hidden="1">"c13380"</definedName>
    <definedName name="IQ_OCCUPANCY_MANAGED" hidden="1">"c8842"</definedName>
    <definedName name="IQ_OCCUPANCY_OTHER" hidden="1">"c8843"</definedName>
    <definedName name="IQ_OCCUPANCY_SAME_PROP" hidden="1">"c8845"</definedName>
    <definedName name="IQ_OCCUPANCY_TOTAL" hidden="1">"c8844"</definedName>
    <definedName name="IQ_OCCUPANCY_UNCONSOL" hidden="1">"c8841"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GAS_EQUIV_PRODUCTION_MMCFE" hidden="1">"c10061"</definedName>
    <definedName name="IQ_OG_AVG_DAILY_OIL_EQUIV_PRODUCTION_KBOE" hidden="1">"c10060"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PRODUCTION_GAS_MMCM" hidden="1">"c10059"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AVG_GAS_PRICE_CBM_HEDGED" hidden="1">"c10054"</definedName>
    <definedName name="IQ_OG_AVG_GAS_PRICE_CBM_UNHEDGED" hidden="1">"c10055"</definedName>
    <definedName name="IQ_OG_AVG_PRODUCTION_COST_BBL" hidden="1">"c10062"</definedName>
    <definedName name="IQ_OG_AVG_PRODUCTION_COST_BOE" hidden="1">"c10064"</definedName>
    <definedName name="IQ_OG_AVG_PRODUCTION_COST_MCF" hidden="1">"c10063"</definedName>
    <definedName name="IQ_OG_AVG_PRODUCTION_COST_MCFE" hidden="1">"c10065"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AILY_PRDUCTION_GROWTH_GAS" hidden="1">"c12732"</definedName>
    <definedName name="IQ_OG_DAILY_PRDUCTION_GROWTH_GAS_EQUIVALENT" hidden="1">"c12733"</definedName>
    <definedName name="IQ_OG_DAILY_PRDUCTION_GROWTH_NGL" hidden="1">"c12734"</definedName>
    <definedName name="IQ_OG_DAILY_PRDUCTION_GROWTH_OIL" hidden="1">"c12735"</definedName>
    <definedName name="IQ_OG_DAILY_PRDUCTION_GROWTH_OIL_EQUIVALENT" hidden="1">"c12736"</definedName>
    <definedName name="IQ_OG_DAILY_PRODUCTION_GROWTH_GAS" hidden="1">"c10073"</definedName>
    <definedName name="IQ_OG_DAILY_PRODUCTION_GROWTH_GAS_EQUIVALENT" hidden="1">"c10076"</definedName>
    <definedName name="IQ_OG_DAILY_PRODUCTION_GROWTH_NGL" hidden="1">"c10074"</definedName>
    <definedName name="IQ_OG_DAILY_PRODUCTION_GROWTH_OIL" hidden="1">"c10072"</definedName>
    <definedName name="IQ_OG_DAILY_PRODUCTION_GROWTH_OIL_EQUIVALENT" hidden="1">"c10075"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GAS_BCM" hidden="1">"c10045"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AFFILIATES_RESERVES_GAS_BCM" hidden="1">"c10047"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PLORATION_DEVELOPMENT_COST" hidden="1">"c10081"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GROSS_DEVELOPED_AREA_SQ_KM" hidden="1">"c10079"</definedName>
    <definedName name="IQ_OG_GROSS_DEVELOPMENT_DRY_WELLS_DRILLED" hidden="1">"c10098"</definedName>
    <definedName name="IQ_OG_GROSS_DEVELOPMENT_PRODUCTIVE_WELLS_DRILLED" hidden="1">"c10097"</definedName>
    <definedName name="IQ_OG_GROSS_DEVELOPMENT_PRODUCTIVE_WELLS_DRILLED_GAS" hidden="1">"c15907"</definedName>
    <definedName name="IQ_OG_GROSS_DEVELOPMENT_PRODUCTIVE_WELLS_DRILLED_OIL" hidden="1">"c15906"</definedName>
    <definedName name="IQ_OG_GROSS_DEVELOPMENT_TOTAL_WELLS_DRILLED" hidden="1">"c10099"</definedName>
    <definedName name="IQ_OG_GROSS_EXPLORATORY_DRY_WELLS_DRILLED" hidden="1">"c10095"</definedName>
    <definedName name="IQ_OG_GROSS_EXPLORATORY_PRODUCTIVE_WELLS_DRILLED" hidden="1">"c10094"</definedName>
    <definedName name="IQ_OG_GROSS_EXPLORATORY_PRODUCTIVE_WELLS_DRILLED_GAS" hidden="1">"c15905"</definedName>
    <definedName name="IQ_OG_GROSS_EXPLORATORY_PRODUCTIVE_WELLS_DRILLED_OIL" hidden="1">"c15904"</definedName>
    <definedName name="IQ_OG_GROSS_EXPLORATORY_TOTAL_WELLS_DRILLED" hidden="1">"c10096"</definedName>
    <definedName name="IQ_OG_GROSS_OPERATED_WELLS" hidden="1">"c10092"</definedName>
    <definedName name="IQ_OG_GROSS_PRODUCING_WELLS_GAS" hidden="1">"c15897"</definedName>
    <definedName name="IQ_OG_GROSS_PRODUCING_WELLS_OIL" hidden="1">"c15896"</definedName>
    <definedName name="IQ_OG_GROSS_PRODUCTIVE_WELLS_DRILLED_GAS" hidden="1">"c15901"</definedName>
    <definedName name="IQ_OG_GROSS_PRODUCTIVE_WELLS_DRILLED_OIL" hidden="1">"c15900"</definedName>
    <definedName name="IQ_OG_GROSS_PRODUCTIVE_WELLS_GAS" hidden="1">"c10087"</definedName>
    <definedName name="IQ_OG_GROSS_PRODUCTIVE_WELLS_OIL" hidden="1">"c10086"</definedName>
    <definedName name="IQ_OG_GROSS_PRODUCTIVE_WELLS_TOTAL" hidden="1">"c10088"</definedName>
    <definedName name="IQ_OG_GROSS_TOTAL_WELLS_DRILLED" hidden="1">"c10100"</definedName>
    <definedName name="IQ_OG_GROSS_UNDEVELOPED_AREA_SQ_KM" hidden="1">"c10077"</definedName>
    <definedName name="IQ_OG_GROSS_WELLS_DRILLING" hidden="1">"c10108"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DEVELOPED_AREA_SQ_KM" hidden="1">"c10080"</definedName>
    <definedName name="IQ_OG_NET_DEVELOPMENT_DRY_WELLS_DRILLED" hidden="1">"c10105"</definedName>
    <definedName name="IQ_OG_NET_DEVELOPMENT_PRODUCTIVE_WELLS_DRILLED" hidden="1">"c10104"</definedName>
    <definedName name="IQ_OG_NET_DEVELOPMENT_PRODUCTIVE_WELLS_DRILLED_GAS" hidden="1">"c15911"</definedName>
    <definedName name="IQ_OG_NET_DEVELOPMENT_PRODUCTIVE_WELLS_DRILLED_OIL" hidden="1">"c15910"</definedName>
    <definedName name="IQ_OG_NET_DEVELOPMENT_TOTAL_WELLS_DRILLED" hidden="1">"c10106"</definedName>
    <definedName name="IQ_OG_NET_EXPLORATORY_DRY_WELLS_DRILLED" hidden="1">"c10102"</definedName>
    <definedName name="IQ_OG_NET_EXPLORATORY_PRODUCTIVE_WELLS_DRILLED" hidden="1">"c10101"</definedName>
    <definedName name="IQ_OG_NET_EXPLORATORY_PRODUCTIVE_WELLS_DRILLED_GAS" hidden="1">"c15909"</definedName>
    <definedName name="IQ_OG_NET_EXPLORATORY_PRODUCTIVE_WELLS_DRILLED_OIL" hidden="1">"c15908"</definedName>
    <definedName name="IQ_OG_NET_EXPLORATORY_TOTAL_WELLS_DRILLED" hidden="1">"c10103"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NET_OPERATED_WELLS" hidden="1">"c10093"</definedName>
    <definedName name="IQ_OG_NET_PRODUCING_WELLS_GAS" hidden="1">"c15899"</definedName>
    <definedName name="IQ_OG_NET_PRODUCING_WELLS_OIL" hidden="1">"c15898"</definedName>
    <definedName name="IQ_OG_NET_PRODUCTIVE_WELLS_DRILLED_GAS" hidden="1">"c15903"</definedName>
    <definedName name="IQ_OG_NET_PRODUCTIVE_WELLS_DRILLED_OIL" hidden="1">"c15902"</definedName>
    <definedName name="IQ_OG_NET_PRODUCTIVE_WELLS_GAS" hidden="1">"c10090"</definedName>
    <definedName name="IQ_OG_NET_PRODUCTIVE_WELLS_OIL" hidden="1">"c10089"</definedName>
    <definedName name="IQ_OG_NET_PRODUCTIVE_WELLS_TOTAL" hidden="1">"c10091"</definedName>
    <definedName name="IQ_OG_NET_TOTAL_WELLS_DRILLED" hidden="1">"c10107"</definedName>
    <definedName name="IQ_OG_NET_UNDEVELOPED_AREA_SQ_KM" hidden="1">"c10078"</definedName>
    <definedName name="IQ_OG_NET_WELLS_DRILLING" hidden="1">"c10109"</definedName>
    <definedName name="IQ_OG_NUMBER_WELLS_NEW" hidden="1">"c10085"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DUCTION_GROWTH_GAS" hidden="1">"c12737"</definedName>
    <definedName name="IQ_OG_PRDUCTION_GROWTH_GAS_EQUIVALENT" hidden="1">"c12738"</definedName>
    <definedName name="IQ_OG_PRDUCTION_GROWTH_NGL" hidden="1">"c12739"</definedName>
    <definedName name="IQ_OG_PRDUCTION_GROWTH_OIL" hidden="1">"c12740"</definedName>
    <definedName name="IQ_OG_PRDUCTION_GROWTH_OIL_EQUIVALENT" hidden="1">"c12741"</definedName>
    <definedName name="IQ_OG_PRDUCTION_GROWTH_TOAL" hidden="1">"c12742"</definedName>
    <definedName name="IQ_OG_PRODUCTION_GAS" hidden="1">"c2047"</definedName>
    <definedName name="IQ_OG_PRODUCTION_GROWTH_GAS" hidden="1">"c10067"</definedName>
    <definedName name="IQ_OG_PRODUCTION_GROWTH_GAS_EQUIVALENT" hidden="1">"c10070"</definedName>
    <definedName name="IQ_OG_PRODUCTION_GROWTH_NGL" hidden="1">"c10068"</definedName>
    <definedName name="IQ_OG_PRODUCTION_GROWTH_OIL" hidden="1">"c10066"</definedName>
    <definedName name="IQ_OG_PRODUCTION_GROWTH_OIL_EQUIVALENT" hidden="1">"c10069"</definedName>
    <definedName name="IQ_OG_PRODUCTION_GROWTH_TOTAL" hidden="1">"c10071"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RIGS_NON_OPERATED" hidden="1">"c10083"</definedName>
    <definedName name="IQ_OG_RIGS_OPERATED" hidden="1">"c10082"</definedName>
    <definedName name="IQ_OG_RIGS_TOTAL" hidden="1">"c10084"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EQUIV_PRODUCTION_BCFE" hidden="1">"c10058"</definedName>
    <definedName name="IQ_OG_TOTAL_GAS_PRODUCTION" hidden="1">"c2060"</definedName>
    <definedName name="IQ_OG_TOTAL_LIQUID_GAS_PRODUCTION" hidden="1">"c2235"</definedName>
    <definedName name="IQ_OG_TOTAL_OIL_EQUIV_PRODUCTION_MMBOE" hidden="1">"c10057"</definedName>
    <definedName name="IQ_OG_TOTAL_OIL_PRODUCTION" hidden="1">"c2059"</definedName>
    <definedName name="IQ_OG_TOTAL_OIL_PRODUCTON" hidden="1">"c2059"</definedName>
    <definedName name="IQ_OG_TOTAL_POSSIBLE_RESERVES_GAS_BCF" hidden="1">"c10050"</definedName>
    <definedName name="IQ_OG_TOTAL_POSSIBLE_RESERVES_GAS_BCM" hidden="1">"c10051"</definedName>
    <definedName name="IQ_OG_TOTAL_POSSIBLE_RESERVES_OIL_MMBBLS" hidden="1">"c10053"</definedName>
    <definedName name="IQ_OG_TOTAL_PROBABLE_RESERVES_GAS_BCF" hidden="1">"c10048"</definedName>
    <definedName name="IQ_OG_TOTAL_PROBABLE_RESERVES_GAS_BCM" hidden="1">"c10049"</definedName>
    <definedName name="IQ_OG_TOTAL_PROBABLE_RESERVES_OIL_MMBBLS" hidden="1">"c10052"</definedName>
    <definedName name="IQ_OG_TOTAL_PRODUCTION_GAS_BCM" hidden="1">"c10056"</definedName>
    <definedName name="IQ_OG_TOTAL_PROVED_RESERVES_GAS_BCM" hidden="1">"c10046"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GAS_BCM" hidden="1">"c10044"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ED55" hidden="1">1</definedName>
    <definedName name="IQ_OPENPRICE" hidden="1">"c848"</definedName>
    <definedName name="IQ_OPER_INC" hidden="1">"c849"</definedName>
    <definedName name="IQ_OPER_INC_ACT_OR_EST" hidden="1">"c2220"</definedName>
    <definedName name="IQ_OPER_INC_ACT_OR_EST_CIQ" hidden="1">"c12019"</definedName>
    <definedName name="IQ_OPER_INC_ACT_OR_EST_THOM" hidden="1">"c5304"</definedName>
    <definedName name="IQ_OPER_INC_BR" hidden="1">"c850"</definedName>
    <definedName name="IQ_OPER_INC_EST" hidden="1">"c1688"</definedName>
    <definedName name="IQ_OPER_INC_EST_CIQ" hidden="1">"c12010"</definedName>
    <definedName name="IQ_OPER_INC_EST_THOM" hidden="1">"c5112"</definedName>
    <definedName name="IQ_OPER_INC_FIN" hidden="1">"c851"</definedName>
    <definedName name="IQ_OPER_INC_HIGH_EST" hidden="1">"c1690"</definedName>
    <definedName name="IQ_OPER_INC_HIGH_EST_CIQ" hidden="1">"c12012"</definedName>
    <definedName name="IQ_OPER_INC_HIGH_EST_THOM" hidden="1">"c5114"</definedName>
    <definedName name="IQ_OPER_INC_INS" hidden="1">"c852"</definedName>
    <definedName name="IQ_OPER_INC_LOW_EST" hidden="1">"c1691"</definedName>
    <definedName name="IQ_OPER_INC_LOW_EST_CIQ" hidden="1">"c12013"</definedName>
    <definedName name="IQ_OPER_INC_LOW_EST_THOM" hidden="1">"c5115"</definedName>
    <definedName name="IQ_OPER_INC_MARGIN" hidden="1">"c1448"</definedName>
    <definedName name="IQ_OPER_INC_MEDIAN_EST" hidden="1">"c1689"</definedName>
    <definedName name="IQ_OPER_INC_MEDIAN_EST_CIQ" hidden="1">"c12011"</definedName>
    <definedName name="IQ_OPER_INC_MEDIAN_EST_THOM" hidden="1">"c5113"</definedName>
    <definedName name="IQ_OPER_INC_NUM_EST" hidden="1">"c1692"</definedName>
    <definedName name="IQ_OPER_INC_NUM_EST_CIQ" hidden="1">"c12014"</definedName>
    <definedName name="IQ_OPER_INC_NUM_EST_THOM" hidden="1">"c5116"</definedName>
    <definedName name="IQ_OPER_INC_RE" hidden="1">"c6240"</definedName>
    <definedName name="IQ_OPER_INC_REIT" hidden="1">"c853"</definedName>
    <definedName name="IQ_OPER_INC_STDDEV_EST" hidden="1">"c1693"</definedName>
    <definedName name="IQ_OPER_INC_STDDEV_EST_CIQ" hidden="1">"c12015"</definedName>
    <definedName name="IQ_OPER_INC_STDDEV_EST_THOM" hidden="1">"c5117"</definedName>
    <definedName name="IQ_OPER_INC_UTI" hidden="1">"c854"</definedName>
    <definedName name="IQ_OPERATING_EXP_AVG_ASSETS_FFIEC" hidden="1">"c13373"</definedName>
    <definedName name="IQ_OPERATING_INC_AVG_ASSETS_FFIEC" hidden="1">"c13368"</definedName>
    <definedName name="IQ_OPERATING_INC_TE_AVG_ASSETS_FFIEC" hidden="1">"c13360"</definedName>
    <definedName name="IQ_OPERATING_NOI_AVG_GROSS_PROP" hidden="1">"c16058"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REO_1_4_RESIDENTIAL_FDIC" hidden="1">"c6454"</definedName>
    <definedName name="IQ_OREO_COMMERCIAL_RE_FDIC" hidden="1">"c6456"</definedName>
    <definedName name="IQ_OREO_CONSTRUCTION_DEVELOPMENT_FDIC" hidden="1">"c6457"</definedName>
    <definedName name="IQ_OREO_FARMLAND_FDIC" hidden="1">"c6458"</definedName>
    <definedName name="IQ_OREO_FFIEC" hidden="1">"c12831"</definedName>
    <definedName name="IQ_OREO_FOREIGN_FDIC" hidden="1">"c6460"</definedName>
    <definedName name="IQ_OREO_FOREIGN_FFIEC" hidden="1">"c15273"</definedName>
    <definedName name="IQ_OREO_MULTI_FAMILY_RESIDENTIAL_FDIC" hidden="1">"c6455"</definedName>
    <definedName name="IQ_OREO_OTHER_FFIEC" hidden="1">"c12833"</definedName>
    <definedName name="IQ_OTHER_ADDITIONS_T1_FFIEC" hidden="1">"c13142"</definedName>
    <definedName name="IQ_OTHER_ADDITIONS_T2_FFIEC" hidden="1">"c13148"</definedName>
    <definedName name="IQ_OTHER_ADJ_CLAIM_ADJ_EXP_INCURRED" hidden="1">"c15878"</definedName>
    <definedName name="IQ_OTHER_ADJ_CLAIM_ADJ_EXP_PAID" hidden="1">"c15879"</definedName>
    <definedName name="IQ_OTHER_ADJ_RESERVE_BOP" hidden="1">"c15876"</definedName>
    <definedName name="IQ_OTHER_ADJ_RESERVES" hidden="1">"c15882"</definedName>
    <definedName name="IQ_OTHER_ADJUST_GROSS_LOANS" hidden="1">"c859"</definedName>
    <definedName name="IQ_OTHER_ADJUSTMENTS_COVERED" hidden="1">"c9961"</definedName>
    <definedName name="IQ_OTHER_ADJUSTMENTS_FFIEC" hidden="1">"c12972"</definedName>
    <definedName name="IQ_OTHER_ADJUSTMENTS_GROUP" hidden="1">"c9947"</definedName>
    <definedName name="IQ_OTHER_AFFO" hidden="1">"c16180"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DIC" hidden="1">"c6338"</definedName>
    <definedName name="IQ_OTHER_ASSETS_FFIEC" hidden="1">"c12848"</definedName>
    <definedName name="IQ_OTHER_ASSETS_FIN" hidden="1">"c863"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TOTAL_FFIEC" hidden="1">"c12841"</definedName>
    <definedName name="IQ_OTHER_ASSETS_UTI" hidden="1">"c866"</definedName>
    <definedName name="IQ_OTHER_BEARING_LIAB" hidden="1">"c1608"</definedName>
    <definedName name="IQ_OTHER_BEDS" hidden="1">"c8784"</definedName>
    <definedName name="IQ_OTHER_BENEFITS_OBLIGATION" hidden="1">"c867"</definedName>
    <definedName name="IQ_OTHER_BORROWED_FUNDS_FDIC" hidden="1">"c6345"</definedName>
    <definedName name="IQ_OTHER_BORROWED_MONEY_FAIR_VALUE_TOT_FFIEC" hidden="1">"c15409"</definedName>
    <definedName name="IQ_OTHER_BORROWED_MONEY_FFIEC" hidden="1">"c12862"</definedName>
    <definedName name="IQ_OTHER_BORROWED_MONEY_LEVEL_1_FFIEC" hidden="1">"c15431"</definedName>
    <definedName name="IQ_OTHER_BORROWED_MONEY_LEVEL_2_FFIEC" hidden="1">"c15444"</definedName>
    <definedName name="IQ_OTHER_BORROWED_MONEY_LEVEL_3_FFIEC" hidden="1">"c15457"</definedName>
    <definedName name="IQ_OTHER_BORROWED_MONEY_LT_FFIEC" hidden="1">"c12865"</definedName>
    <definedName name="IQ_OTHER_BORROWED_MONEY_ST_FFIEC" hidden="1">"c12864"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INS" localSheetId="20" hidden="1">"C6021"</definedName>
    <definedName name="IQ_OTHER_CL_SUPPL_INS" localSheetId="21" hidden="1">"C6021"</definedName>
    <definedName name="IQ_OTHER_CL_SUPPL_INS" localSheetId="22" hidden="1">"C6021"</definedName>
    <definedName name="IQ_OTHER_CL_SUPPL_INS" localSheetId="23" hidden="1">"C6021"</definedName>
    <definedName name="IQ_OTHER_CL_SUPPL_INS" localSheetId="24" hidden="1">"C6021"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OMPREHENSIVE_INCOME_FDIC" hidden="1">"c6503"</definedName>
    <definedName name="IQ_OTHER_COMPREHENSIVE_INCOME_FFIEC" hidden="1">"c12970"</definedName>
    <definedName name="IQ_OTHER_CONSTRUCTION_GROSS_LOANS_FFIEC" hidden="1">"c13403"</definedName>
    <definedName name="IQ_OTHER_CONSTRUCTION_LOANS_DUE_30_89_FFIEC" hidden="1">"c13258"</definedName>
    <definedName name="IQ_OTHER_CONSTRUCTION_LOANS_DUE_90_FFIEC" hidden="1">"c13286"</definedName>
    <definedName name="IQ_OTHER_CONSTRUCTION_LOANS_NON_ACCRUAL_FFIEC" hidden="1">"c13312"</definedName>
    <definedName name="IQ_OTHER_CONSTRUCTION_LOANS_UNUSED_FFIEC" hidden="1">"c13245"</definedName>
    <definedName name="IQ_OTHER_CONSTRUCTION_RISK_BASED_FFIEC" hidden="1">"c13424"</definedName>
    <definedName name="IQ_OTHER_CONSUMER_LL_REC_FFIEC" hidden="1">"c12891"</definedName>
    <definedName name="IQ_OTHER_CONSUMER_LOANS_FFIEC" hidden="1">"c12824"</definedName>
    <definedName name="IQ_OTHER_CONSUMER_LOANS_TRADING_DOM_FFIEC" hidden="1">"c12935"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BT_SEC_DOM_AVAIL_SALE_FFIEC" hidden="1">"c12803"</definedName>
    <definedName name="IQ_OTHER_DEBT_SEC_FOREIGN_AVAIL_SALE_FFIEC" hidden="1">"c12804"</definedName>
    <definedName name="IQ_OTHER_DEBT_SEC_INVEST_SECURITIES_FFIEC" hidden="1">"c13462"</definedName>
    <definedName name="IQ_OTHER_DEBT_SEC_TRADING_DOM_FFIEC" hidden="1">"c12924"</definedName>
    <definedName name="IQ_OTHER_DEBT_SEC_TRADING_FFIEC" hidden="1">"c12819"</definedName>
    <definedName name="IQ_OTHER_DEBT_SECURITIES_DOM_FFIEC" hidden="1">"c12789"</definedName>
    <definedName name="IQ_OTHER_DEBT_SECURITIES_FOREIGN_FFIEC" hidden="1">"c12790"</definedName>
    <definedName name="IQ_OTHER_DEBT_SECURITIES_QUARTERLY_AVG_FFIEC" hidden="1">"c15473"</definedName>
    <definedName name="IQ_OTHER_DEDUCTIONS_LEVERAGE_RATIO_FFIEC" hidden="1">"c13158"</definedName>
    <definedName name="IQ_OTHER_DEP" hidden="1">"c885"</definedName>
    <definedName name="IQ_OTHER_DEPOSITORY_INSTITUTIONS_LOANS_FDIC" hidden="1">"c6436"</definedName>
    <definedName name="IQ_OTHER_DEPOSITORY_INSTITUTIONS_TOTAL_LOANS_FOREIGN_FDIC" hidden="1">"c6442"</definedName>
    <definedName name="IQ_OTHER_DEPOSITS_FFIEC" hidden="1">"c12994"</definedName>
    <definedName name="IQ_OTHER_DEPOSITS_TOTAL_DEPOSITS" hidden="1">"c15724"</definedName>
    <definedName name="IQ_OTHER_DERIVATIVES_BENEFICIARY_FFIEC" hidden="1">"c13122"</definedName>
    <definedName name="IQ_OTHER_DERIVATIVES_GUARANTOR_FFIEC" hidden="1">"c13115"</definedName>
    <definedName name="IQ_OTHER_DEVELOPMENT_EXPENSE" hidden="1">"c16041"</definedName>
    <definedName name="IQ_OTHER_DEVELOPMENT_REVENUE" hidden="1">"c16025"</definedName>
    <definedName name="IQ_OTHER_DOMESTIC_DEBT_SECURITIES_FDIC" hidden="1">"c6302"</definedName>
    <definedName name="IQ_OTHER_EARNING" hidden="1">"c1609"</definedName>
    <definedName name="IQ_OTHER_EPRA_NAV_ADJ" hidden="1">"c16004"</definedName>
    <definedName name="IQ_OTHER_EPRA_NNAV_ADJ" hidden="1">"c16009"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CAPITAL_COMPS_FFIEC" hidden="1">"c12880"</definedName>
    <definedName name="IQ_OTHER_EQUITY_FFIEC" hidden="1">"c12879"</definedName>
    <definedName name="IQ_OTHER_EQUITY_FIN" hidden="1">"c889"</definedName>
    <definedName name="IQ_OTHER_EQUITY_INS" hidden="1">"c890"</definedName>
    <definedName name="IQ_OTHER_EQUITY_RE" hidden="1">"c6244"</definedName>
    <definedName name="IQ_OTHER_EQUITY_REIT" hidden="1">"c891"</definedName>
    <definedName name="IQ_OTHER_EQUITY_UTI" hidden="1">"c892"</definedName>
    <definedName name="IQ_OTHER_EXP_OPERATING_INC_FFIEC" hidden="1">"c13381"</definedName>
    <definedName name="IQ_OTHER_FAD" hidden="1">"c16184"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FOREIGN_LOANS_FOREIGN_FFIEC" hidden="1">"c13482"</definedName>
    <definedName name="IQ_OTHER_IBF_DEPOSIT_LIABILITIES_FFIEC" hidden="1">"c15301"</definedName>
    <definedName name="IQ_OTHER_INDIVIDUAL_FAMILY_DOM_QUARTERLY_AVG_FFIEC" hidden="1">"c15481"</definedName>
    <definedName name="IQ_OTHER_INSURANCE_FEES_FDIC" hidden="1">"c6672"</definedName>
    <definedName name="IQ_OTHER_INSURANCE_PREMIUMS_FFIEC" hidden="1">"c13071"</definedName>
    <definedName name="IQ_OTHER_INT_EXPENSE_FFIEC" hidden="1">"c12999"</definedName>
    <definedName name="IQ_OTHER_INT_INCOME_FFIEC" hidden="1">"c12988"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TANGIBLE_ASSETS_FFIEC" hidden="1">"c12837"</definedName>
    <definedName name="IQ_OTHER_INTANGIBLE_ASSETS_TOT_FFIEC" hidden="1">"c12840"</definedName>
    <definedName name="IQ_OTHER_INTANGIBLE_FDIC" hidden="1">"c6337"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EASES_DUE_30_89_FFIEC" hidden="1">"c13278"</definedName>
    <definedName name="IQ_OTHER_LEASES_DUE_90_FFIEC" hidden="1">"c13304"</definedName>
    <definedName name="IQ_OTHER_LEASES_LL_REC_FFIEC" hidden="1">"c12896"</definedName>
    <definedName name="IQ_OTHER_LEASES_NON_ACCRUAL_FFIEC" hidden="1">"c13330"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IABILITIES_FDIC" hidden="1">"c6347"</definedName>
    <definedName name="IQ_OTHER_LIABILITIES_FFIEC" hidden="1">"c12872"</definedName>
    <definedName name="IQ_OTHER_LIABILITIES_TOTAL_FFIEC" hidden="1">"c12869"</definedName>
    <definedName name="IQ_OTHER_LL_REC_FFIEC" hidden="1">"c12894"</definedName>
    <definedName name="IQ_OTHER_LOANS" hidden="1">"c945"</definedName>
    <definedName name="IQ_OTHER_LOANS_CHARGE_OFFS_FDIC" hidden="1">"c6601"</definedName>
    <definedName name="IQ_OTHER_LOANS_DUE_30_89_FFIEC" hidden="1">"c13275"</definedName>
    <definedName name="IQ_OTHER_LOANS_DUE_90_FFIEC" hidden="1">"c13301"</definedName>
    <definedName name="IQ_OTHER_LOANS_FFIEC" hidden="1">"c12825"</definedName>
    <definedName name="IQ_OTHER_LOANS_FOREIGN_FDIC" hidden="1">"c6446"</definedName>
    <definedName name="IQ_OTHER_LOANS_GROSS_LOANS_FFIEC" hidden="1">"c13414"</definedName>
    <definedName name="IQ_OTHER_LOANS_INDIVIDUALS_CHARGE_OFFS_FFIEC" hidden="1">"c13181"</definedName>
    <definedName name="IQ_OTHER_LOANS_INDIVIDUALS_DUE_30_89_FFIEC" hidden="1">"c13273"</definedName>
    <definedName name="IQ_OTHER_LOANS_INDIVIDUALS_DUE_90_FFIEC" hidden="1">"c13299"</definedName>
    <definedName name="IQ_OTHER_LOANS_INDIVIDUALS_NON_ACCRUAL_FFIEC" hidden="1">"c13325"</definedName>
    <definedName name="IQ_OTHER_LOANS_INDIVIDUALS_RECOV_FFIEC" hidden="1">"c13203"</definedName>
    <definedName name="IQ_OTHER_LOANS_LEASES_FDIC" hidden="1">"c6322"</definedName>
    <definedName name="IQ_OTHER_LOANS_LL_REC_DOM_FFIEC" hidden="1">"c12914"</definedName>
    <definedName name="IQ_OTHER_LOANS_NET_CHARGE_OFFS_FDIC" hidden="1">"c6639"</definedName>
    <definedName name="IQ_OTHER_LOANS_NON_ACCRUAL_FFIEC" hidden="1">"c13327"</definedName>
    <definedName name="IQ_OTHER_LOANS_RECOVERIES_FDIC" hidden="1">"c6620"</definedName>
    <definedName name="IQ_OTHER_LOANS_RISK_BASED_FFIEC" hidden="1">"c13435"</definedName>
    <definedName name="IQ_OTHER_LOANS_TOTAL_FDIC" hidden="1">"c6432"</definedName>
    <definedName name="IQ_OTHER_LOANS_TOTAL_LOANS" hidden="1">"c15716"</definedName>
    <definedName name="IQ_OTHER_LOANS_TRADING_DOM_FFIEC" hidden="1">"c12936"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MBS_AVAIL_SALE_FFIEC" hidden="1">"c12801"</definedName>
    <definedName name="IQ_OTHER_MBS_FFIEC" hidden="1">"c12787"</definedName>
    <definedName name="IQ_OTHER_MBS_ISSUED_FNMA_GNMA_TRADING_DOM_FFIEC" hidden="1">"c12922"</definedName>
    <definedName name="IQ_OTHER_MBS_ISSUED_FNMA_GNMA_TRADING_FFIEC" hidden="1">"c12817"</definedName>
    <definedName name="IQ_OTHER_MBS_TRADING_DOM_FFIEC" hidden="1">"c12923"</definedName>
    <definedName name="IQ_OTHER_MBS_TRADING_FFIEC" hidden="1">"c12818"</definedName>
    <definedName name="IQ_OTHER_MINING_REVENUE_COAL" hidden="1">"c15931"</definedName>
    <definedName name="IQ_OTHER_NET" hidden="1">"c1453"</definedName>
    <definedName name="IQ_OTHER_NON_INT_ALLOCATIONS_FFIEC" hidden="1">"c13065"</definedName>
    <definedName name="IQ_OTHER_NON_INT_EXP" hidden="1">"c953"</definedName>
    <definedName name="IQ_OTHER_NON_INT_EXP_FDIC" hidden="1">"c6578"</definedName>
    <definedName name="IQ_OTHER_NON_INT_EXP_FFIEC" hidden="1">"c13027"</definedName>
    <definedName name="IQ_OTHER_NON_INT_EXP_TOTAL" hidden="1">"c954"</definedName>
    <definedName name="IQ_OTHER_NON_INT_EXPENSE_FDIC" hidden="1">"c6679"</definedName>
    <definedName name="IQ_OTHER_NON_INT_INC" hidden="1">"c955"</definedName>
    <definedName name="IQ_OTHER_NON_INT_INC_FDIC" hidden="1">"c6676"</definedName>
    <definedName name="IQ_OTHER_NON_INT_INC_OPERATING_INC_FFIEC" hidden="1">"c13392"</definedName>
    <definedName name="IQ_OTHER_NON_INT_INCOME_FFIEC" hidden="1">"c13016"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NONFARM_NONRES_GROSS_LOANS_FFIEC" hidden="1">"c13407"</definedName>
    <definedName name="IQ_OTHER_NONFARM_NONRES_LL_REC_DOM_FFIEC" hidden="1">"c12907"</definedName>
    <definedName name="IQ_OTHER_NONFARM_NONRES_RISK_BASED_FFIEC" hidden="1">"c13428"</definedName>
    <definedName name="IQ_OTHER_NONINTEREST_INC_FOREIGN_FFIEC" hidden="1">"c15380"</definedName>
    <definedName name="IQ_OTHER_OFF_BS_ITEMS_FFIEC" hidden="1">"c13126"</definedName>
    <definedName name="IQ_OTHER_OFF_BS_LIAB_FDIC" hidden="1">"c6533"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OVER_TOTAL" hidden="1">"c13770"</definedName>
    <definedName name="IQ_OTHER_PC_WRITTEN" hidden="1">"c1006"</definedName>
    <definedName name="IQ_OTHER_PROP" hidden="1">"c8764"</definedName>
    <definedName name="IQ_OTHER_PROP_OPERATING_EXPENSE" hidden="1">"c16043"</definedName>
    <definedName name="IQ_OTHER_PROP_OPERATING_REVENUE" hidden="1">"c16027"</definedName>
    <definedName name="IQ_OTHER_RE_OWNED_FDIC" hidden="1">"c6330"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REVOL_CREDIT_CONSUMER_LOANS_FFIEC" hidden="1">"c12823"</definedName>
    <definedName name="IQ_OTHER_REVOLVING_CREDIT_LL_REC_FFIEC" hidden="1">"c12890"</definedName>
    <definedName name="IQ_OTHER_REVOLVING_CREDIT_LOANS_TRADING_DOM_FFIEC" hidden="1">"c12934"</definedName>
    <definedName name="IQ_OTHER_ROOMS" hidden="1">"c8788"</definedName>
    <definedName name="IQ_OTHER_SAVINGS_DEPOSITS_FDIC" hidden="1">"c6554"</definedName>
    <definedName name="IQ_OTHER_SAVINGS_DEPOSITS_NON_TRANS_ACCTS_FFIEC" hidden="1">"c15331"</definedName>
    <definedName name="IQ_OTHER_SECURITIES_QUARTERLY_AVG_FFIEC" hidden="1">"c15472"</definedName>
    <definedName name="IQ_OTHER_SQ_FT" hidden="1">"c8780"</definedName>
    <definedName name="IQ_OTHER_STRIKE_PRICE_GRANTED" hidden="1">"c2692"</definedName>
    <definedName name="IQ_OTHER_TAX_EQUIVALENT_ADJUSTMENTS_FFIEC" hidden="1">"c13855"</definedName>
    <definedName name="IQ_OTHER_TRADING_ASSETS_FAIR_VALUE_TOT_FFIEC" hidden="1">"c15404"</definedName>
    <definedName name="IQ_OTHER_TRADING_ASSETS_FFIEC" hidden="1">"c12826"</definedName>
    <definedName name="IQ_OTHER_TRADING_ASSETS_LEVEL_1_FFIEC" hidden="1">"c15426"</definedName>
    <definedName name="IQ_OTHER_TRADING_ASSETS_LEVEL_2_FFIEC" hidden="1">"c15439"</definedName>
    <definedName name="IQ_OTHER_TRADING_ASSETS_LEVEL_3_FFIEC" hidden="1">"c15452"</definedName>
    <definedName name="IQ_OTHER_TRADING_ASSETS_TOTAL_FFIEC" hidden="1">"c12937"</definedName>
    <definedName name="IQ_OTHER_TRADING_LIABILITIES_FAIR_VALUE_TOT_FFIEC" hidden="1">"c15408"</definedName>
    <definedName name="IQ_OTHER_TRADING_LIABILITIES_FFIEC" hidden="1">"c12860"</definedName>
    <definedName name="IQ_OTHER_TRADING_LIABILITIES_LEVEL_1_FFIEC" hidden="1">"c15430"</definedName>
    <definedName name="IQ_OTHER_TRADING_LIABILITIES_LEVEL_2_FFIEC" hidden="1">"c15443"</definedName>
    <definedName name="IQ_OTHER_TRADING_LIABILITIES_LEVEL_3_FFIEC" hidden="1">"c15456"</definedName>
    <definedName name="IQ_OTHER_TRANSACTIONS_FDIC" hidden="1">"c6504"</definedName>
    <definedName name="IQ_OTHER_UNDRAWN" hidden="1">"c2522"</definedName>
    <definedName name="IQ_OTHER_UNITS" hidden="1">"c8772"</definedName>
    <definedName name="IQ_OTHER_UNUSED_COMMITMENTS_FDIC" hidden="1">"c6530"</definedName>
    <definedName name="IQ_OTHER_UNUSED_FFIEC" hidden="1">"c13248"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SUPPLE" hidden="1">"c13816"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localSheetId="20" hidden="1">"c1023"</definedName>
    <definedName name="IQ_OUTSTANDING_FILING_DATE" localSheetId="21" hidden="1">"c1023"</definedName>
    <definedName name="IQ_OUTSTANDING_FILING_DATE" localSheetId="22" hidden="1">"c1023"</definedName>
    <definedName name="IQ_OUTSTANDING_FILING_DATE" localSheetId="23" hidden="1">"c1023"</definedName>
    <definedName name="IQ_OUTSTANDING_FILING_DATE" localSheetId="24" hidden="1">"c1023"</definedName>
    <definedName name="IQ_OUTSTANDING_FILING_DATE" hidden="1">"c1023"</definedName>
    <definedName name="IQ_OVER_FIFETEEN_YEAR_MORTGAGE_PASS_THROUGHS_FDIC" hidden="1">"c6416"</definedName>
    <definedName name="IQ_OVER_FIFTEEN_YEAR_FIXED_AND_FLOATING_RATE_FDIC" hidden="1">"c6424"</definedName>
    <definedName name="IQ_OVER_THREE_YEARS_FDIC" hidden="1">"c6418"</definedName>
    <definedName name="IQ_OVERHEAD_EXP_AVG_ASSETS_FFIEC" hidden="1">"c13361"</definedName>
    <definedName name="IQ_OVERHEAD_EXP_REV_FFIEC" hidden="1">"c13494"</definedName>
    <definedName name="IQ_OVERHEAD_NON_INT_INC_AVG_ASSETS_FFIEC" hidden="1">"c13374"</definedName>
    <definedName name="IQ_OVERHEAD_NON_INT_OPERATING_INC_FFIEC" hidden="1">"c13393"</definedName>
    <definedName name="IQ_OVERHEAD_OPERATING_INC_FFIEC" hidden="1">"c13378"</definedName>
    <definedName name="IQ_OWNED_RESERVES_COAL" hidden="1">"c15916"</definedName>
    <definedName name="IQ_OWNED_RESERVES_TO_TOTAL_RESERVES_COAL" hidden="1">"c15957"</definedName>
    <definedName name="IQ_OWNER_OCCUPIED_GROSS_LOANS_FFIEC" hidden="1">"c13406"</definedName>
    <definedName name="IQ_OWNER_OCCUPIED_LOANS_RISK_BASED_FFIEC" hidden="1">"c13427"</definedName>
    <definedName name="IQ_OWNER_OCCUPIED_NONFARM_NONRES_LL_REC_DOM_FFIEC" hidden="1">"c12906"</definedName>
    <definedName name="IQ_OWNERSHIP" hidden="1">"c2160"</definedName>
    <definedName name="IQ_PART_TIME" hidden="1">"c1024"</definedName>
    <definedName name="IQ_PARTICIPATION_POOLS_RESIDENTIAL_MORTGAGES_FDIC" hidden="1">"c6403"</definedName>
    <definedName name="IQ_PARTICIPATIONS_ACCEPTANCES_FFIEC" hidden="1">"c13254"</definedName>
    <definedName name="IQ_PARTNERSHIP_INC_RE" hidden="1">"c12039"</definedName>
    <definedName name="IQ_PASS_THROUGH_FNMA_GNMA_TRADING_FFIEC" hidden="1">"c12816"</definedName>
    <definedName name="IQ_PAST_DUE_30_1_4_FAMILY_LOANS_FDIC" hidden="1">"c6693"</definedName>
    <definedName name="IQ_PAST_DUE_30_AUTO_LOANS_FDIC" hidden="1">"c6687"</definedName>
    <definedName name="IQ_PAST_DUE_30_CL_LOANS_FDIC" hidden="1">"c6688"</definedName>
    <definedName name="IQ_PAST_DUE_30_CREDIT_CARDS_RECEIVABLES_FDIC" hidden="1">"c6690"</definedName>
    <definedName name="IQ_PAST_DUE_30_HOME_EQUITY_LINES_FDIC" hidden="1">"c6691"</definedName>
    <definedName name="IQ_PAST_DUE_30_OTHER_CONSUMER_LOANS_FDIC" hidden="1">"c6689"</definedName>
    <definedName name="IQ_PAST_DUE_30_OTHER_LOANS_FDIC" hidden="1">"c6692"</definedName>
    <definedName name="IQ_PAST_DUE_90_1_4_FAMILY_LOANS_FDIC" hidden="1">"c6700"</definedName>
    <definedName name="IQ_PAST_DUE_90_AUTO_LOANS_FDIC" hidden="1">"c6694"</definedName>
    <definedName name="IQ_PAST_DUE_90_CL_LOANS_FDIC" hidden="1">"c6695"</definedName>
    <definedName name="IQ_PAST_DUE_90_CREDIT_CARDS_RECEIVABLES_FDIC" hidden="1">"c6697"</definedName>
    <definedName name="IQ_PAST_DUE_90_HOME_EQUITY_LINES_FDIC" hidden="1">"c6698"</definedName>
    <definedName name="IQ_PAST_DUE_90_OTHER_CONSUMER_LOANS_FDIC" hidden="1">"c6696"</definedName>
    <definedName name="IQ_PAST_DUE_90_OTHER_LOANS_FDIC" hidden="1">"c6699"</definedName>
    <definedName name="IQ_PAST_DUE_ALLOW_GROSS_LOANS_FFIEC" hidden="1">"c13416"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BV_FWD" hidden="1">"c15235"</definedName>
    <definedName name="IQ_PBV_FWD_CIQ" hidden="1">"c15236"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CIQ" hidden="1">"c4042"</definedName>
    <definedName name="IQ_PE_EXCL_FWD_THOM" hidden="1">"c4056"</definedName>
    <definedName name="IQ_PE_NORMALIZED" hidden="1">"c2207"</definedName>
    <definedName name="IQ_PE_RATIO" hidden="1">"c1610"</definedName>
    <definedName name="IQ_PEG_FWD" hidden="1">"c1863"</definedName>
    <definedName name="IQ_PEG_FWD_CIQ" hidden="1">"c4045"</definedName>
    <definedName name="IQ_PEG_FWD_THOM" hidden="1">"c4059"</definedName>
    <definedName name="IQ_PENETRATION_BASIC_CABLE" hidden="1">"c2850"</definedName>
    <definedName name="IQ_PENETRATION_BBAND" hidden="1">"c2852"</definedName>
    <definedName name="IQ_PENETRATION_BBAND_THP" hidden="1">"c2851"</definedName>
    <definedName name="IQ_PENETRATION_PHONE" hidden="1">"c2853"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CHANGE_EST_5YR_GROWTH_RATE_12MONTHS" hidden="1">"c1852"</definedName>
    <definedName name="IQ_PERCENT_CHANGE_EST_5YR_GROWTH_RATE_12MONTHS_CIQ" hidden="1">"c3790"</definedName>
    <definedName name="IQ_PERCENT_CHANGE_EST_5YR_GROWTH_RATE_12MONTHS_THOM" hidden="1">"c5269"</definedName>
    <definedName name="IQ_PERCENT_CHANGE_EST_5YR_GROWTH_RATE_18MONTHS" hidden="1">"c1853"</definedName>
    <definedName name="IQ_PERCENT_CHANGE_EST_5YR_GROWTH_RATE_18MONTHS_CIQ" hidden="1">"c3791"</definedName>
    <definedName name="IQ_PERCENT_CHANGE_EST_5YR_GROWTH_RATE_18MONTHS_THOM" hidden="1">"c5270"</definedName>
    <definedName name="IQ_PERCENT_CHANGE_EST_5YR_GROWTH_RATE_3MONTHS" hidden="1">"c1849"</definedName>
    <definedName name="IQ_PERCENT_CHANGE_EST_5YR_GROWTH_RATE_3MONTHS_CIQ" hidden="1">"c3787"</definedName>
    <definedName name="IQ_PERCENT_CHANGE_EST_5YR_GROWTH_RATE_3MONTHS_THOM" hidden="1">"c5266"</definedName>
    <definedName name="IQ_PERCENT_CHANGE_EST_5YR_GROWTH_RATE_6MONTHS" hidden="1">"c1850"</definedName>
    <definedName name="IQ_PERCENT_CHANGE_EST_5YR_GROWTH_RATE_6MONTHS_CIQ" hidden="1">"c3788"</definedName>
    <definedName name="IQ_PERCENT_CHANGE_EST_5YR_GROWTH_RATE_6MONTHS_THOM" hidden="1">"c5267"</definedName>
    <definedName name="IQ_PERCENT_CHANGE_EST_5YR_GROWTH_RATE_9MONTHS" hidden="1">"c1851"</definedName>
    <definedName name="IQ_PERCENT_CHANGE_EST_5YR_GROWTH_RATE_9MONTHS_CIQ" hidden="1">"c3789"</definedName>
    <definedName name="IQ_PERCENT_CHANGE_EST_5YR_GROWTH_RATE_9MONTHS_THOM" hidden="1">"c5268"</definedName>
    <definedName name="IQ_PERCENT_CHANGE_EST_5YR_GROWTH_RATE_DAY" hidden="1">"c1846"</definedName>
    <definedName name="IQ_PERCENT_CHANGE_EST_5YR_GROWTH_RATE_DAY_CIQ" hidden="1">"c3785"</definedName>
    <definedName name="IQ_PERCENT_CHANGE_EST_5YR_GROWTH_RATE_DAY_THOM" hidden="1">"c5264"</definedName>
    <definedName name="IQ_PERCENT_CHANGE_EST_5YR_GROWTH_RATE_MONTH" hidden="1">"c1848"</definedName>
    <definedName name="IQ_PERCENT_CHANGE_EST_5YR_GROWTH_RATE_MONTH_CIQ" hidden="1">"c3786"</definedName>
    <definedName name="IQ_PERCENT_CHANGE_EST_5YR_GROWTH_RATE_MONTH_THOM" hidden="1">"c5265"</definedName>
    <definedName name="IQ_PERCENT_CHANGE_EST_5YR_GROWTH_RATE_WEEK" hidden="1">"c1847"</definedName>
    <definedName name="IQ_PERCENT_CHANGE_EST_5YR_GROWTH_RATE_WEEK_CIQ" hidden="1">"c3797"</definedName>
    <definedName name="IQ_PERCENT_CHANGE_EST_5YR_GROWTH_RATE_WEEK_THOM" hidden="1">"c5277"</definedName>
    <definedName name="IQ_PERCENT_CHANGE_EST_CFPS_12MONTHS" hidden="1">"c1812"</definedName>
    <definedName name="IQ_PERCENT_CHANGE_EST_CFPS_12MONTHS_CIQ" hidden="1">"c3755"</definedName>
    <definedName name="IQ_PERCENT_CHANGE_EST_CFPS_12MONTHS_THOM" hidden="1">"c5234"</definedName>
    <definedName name="IQ_PERCENT_CHANGE_EST_CFPS_18MONTHS" hidden="1">"c1813"</definedName>
    <definedName name="IQ_PERCENT_CHANGE_EST_CFPS_18MONTHS_CIQ" hidden="1">"c3756"</definedName>
    <definedName name="IQ_PERCENT_CHANGE_EST_CFPS_18MONTHS_THOM" hidden="1">"c5235"</definedName>
    <definedName name="IQ_PERCENT_CHANGE_EST_CFPS_3MONTHS" hidden="1">"c1809"</definedName>
    <definedName name="IQ_PERCENT_CHANGE_EST_CFPS_3MONTHS_CIQ" hidden="1">"c3752"</definedName>
    <definedName name="IQ_PERCENT_CHANGE_EST_CFPS_3MONTHS_THOM" hidden="1">"c5231"</definedName>
    <definedName name="IQ_PERCENT_CHANGE_EST_CFPS_6MONTHS" hidden="1">"c1810"</definedName>
    <definedName name="IQ_PERCENT_CHANGE_EST_CFPS_6MONTHS_CIQ" hidden="1">"c3753"</definedName>
    <definedName name="IQ_PERCENT_CHANGE_EST_CFPS_6MONTHS_THOM" hidden="1">"c5232"</definedName>
    <definedName name="IQ_PERCENT_CHANGE_EST_CFPS_9MONTHS" hidden="1">"c1811"</definedName>
    <definedName name="IQ_PERCENT_CHANGE_EST_CFPS_9MONTHS_CIQ" hidden="1">"c3754"</definedName>
    <definedName name="IQ_PERCENT_CHANGE_EST_CFPS_9MONTHS_THOM" hidden="1">"c5233"</definedName>
    <definedName name="IQ_PERCENT_CHANGE_EST_CFPS_DAY" hidden="1">"c1806"</definedName>
    <definedName name="IQ_PERCENT_CHANGE_EST_CFPS_DAY_CIQ" hidden="1">"c3750"</definedName>
    <definedName name="IQ_PERCENT_CHANGE_EST_CFPS_DAY_THOM" hidden="1">"c5229"</definedName>
    <definedName name="IQ_PERCENT_CHANGE_EST_CFPS_MONTH" hidden="1">"c1808"</definedName>
    <definedName name="IQ_PERCENT_CHANGE_EST_CFPS_MONTH_CIQ" hidden="1">"c3751"</definedName>
    <definedName name="IQ_PERCENT_CHANGE_EST_CFPS_MONTH_THOM" hidden="1">"c5230"</definedName>
    <definedName name="IQ_PERCENT_CHANGE_EST_CFPS_WEEK" hidden="1">"c1807"</definedName>
    <definedName name="IQ_PERCENT_CHANGE_EST_CFPS_WEEK_CIQ" hidden="1">"c3793"</definedName>
    <definedName name="IQ_PERCENT_CHANGE_EST_CFPS_WEEK_THOM" hidden="1">"c5272"</definedName>
    <definedName name="IQ_PERCENT_CHANGE_EST_DPS_12MONTHS" hidden="1">"c1820"</definedName>
    <definedName name="IQ_PERCENT_CHANGE_EST_DPS_12MONTHS_CIQ" hidden="1">"c3762"</definedName>
    <definedName name="IQ_PERCENT_CHANGE_EST_DPS_12MONTHS_THOM" hidden="1">"c5241"</definedName>
    <definedName name="IQ_PERCENT_CHANGE_EST_DPS_18MONTHS" hidden="1">"c1821"</definedName>
    <definedName name="IQ_PERCENT_CHANGE_EST_DPS_18MONTHS_CIQ" hidden="1">"c3763"</definedName>
    <definedName name="IQ_PERCENT_CHANGE_EST_DPS_18MONTHS_THOM" hidden="1">"c5242"</definedName>
    <definedName name="IQ_PERCENT_CHANGE_EST_DPS_3MONTHS" hidden="1">"c1817"</definedName>
    <definedName name="IQ_PERCENT_CHANGE_EST_DPS_3MONTHS_CIQ" hidden="1">"c3759"</definedName>
    <definedName name="IQ_PERCENT_CHANGE_EST_DPS_3MONTHS_THOM" hidden="1">"c5238"</definedName>
    <definedName name="IQ_PERCENT_CHANGE_EST_DPS_6MONTHS" hidden="1">"c1818"</definedName>
    <definedName name="IQ_PERCENT_CHANGE_EST_DPS_6MONTHS_CIQ" hidden="1">"c3760"</definedName>
    <definedName name="IQ_PERCENT_CHANGE_EST_DPS_6MONTHS_THOM" hidden="1">"c5239"</definedName>
    <definedName name="IQ_PERCENT_CHANGE_EST_DPS_9MONTHS" hidden="1">"c1819"</definedName>
    <definedName name="IQ_PERCENT_CHANGE_EST_DPS_9MONTHS_CIQ" hidden="1">"c3761"</definedName>
    <definedName name="IQ_PERCENT_CHANGE_EST_DPS_9MONTHS_THOM" hidden="1">"c5240"</definedName>
    <definedName name="IQ_PERCENT_CHANGE_EST_DPS_DAY" hidden="1">"c1814"</definedName>
    <definedName name="IQ_PERCENT_CHANGE_EST_DPS_DAY_CIQ" hidden="1">"c3757"</definedName>
    <definedName name="IQ_PERCENT_CHANGE_EST_DPS_DAY_THOM" hidden="1">"c5236"</definedName>
    <definedName name="IQ_PERCENT_CHANGE_EST_DPS_MONTH" hidden="1">"c1816"</definedName>
    <definedName name="IQ_PERCENT_CHANGE_EST_DPS_MONTH_CIQ" hidden="1">"c3758"</definedName>
    <definedName name="IQ_PERCENT_CHANGE_EST_DPS_MONTH_THOM" hidden="1">"c5237"</definedName>
    <definedName name="IQ_PERCENT_CHANGE_EST_DPS_WEEK" hidden="1">"c1815"</definedName>
    <definedName name="IQ_PERCENT_CHANGE_EST_DPS_WEEK_CIQ" hidden="1">"c3794"</definedName>
    <definedName name="IQ_PERCENT_CHANGE_EST_DPS_WEEK_THOM" hidden="1">"c5273"</definedName>
    <definedName name="IQ_PERCENT_CHANGE_EST_EBITDA_12MONTHS" hidden="1">"c1804"</definedName>
    <definedName name="IQ_PERCENT_CHANGE_EST_EBITDA_12MONTHS_CIQ" hidden="1">"c3748"</definedName>
    <definedName name="IQ_PERCENT_CHANGE_EST_EBITDA_12MONTHS_THOM" hidden="1">"c5227"</definedName>
    <definedName name="IQ_PERCENT_CHANGE_EST_EBITDA_18MONTHS" hidden="1">"c1805"</definedName>
    <definedName name="IQ_PERCENT_CHANGE_EST_EBITDA_18MONTHS_CIQ" hidden="1">"c3749"</definedName>
    <definedName name="IQ_PERCENT_CHANGE_EST_EBITDA_18MONTHS_THOM" hidden="1">"c5228"</definedName>
    <definedName name="IQ_PERCENT_CHANGE_EST_EBITDA_3MONTHS" hidden="1">"c1801"</definedName>
    <definedName name="IQ_PERCENT_CHANGE_EST_EBITDA_3MONTHS_CIQ" hidden="1">"c3745"</definedName>
    <definedName name="IQ_PERCENT_CHANGE_EST_EBITDA_3MONTHS_THOM" hidden="1">"c5224"</definedName>
    <definedName name="IQ_PERCENT_CHANGE_EST_EBITDA_6MONTHS" hidden="1">"c1802"</definedName>
    <definedName name="IQ_PERCENT_CHANGE_EST_EBITDA_6MONTHS_CIQ" hidden="1">"c3746"</definedName>
    <definedName name="IQ_PERCENT_CHANGE_EST_EBITDA_6MONTHS_THOM" hidden="1">"c5225"</definedName>
    <definedName name="IQ_PERCENT_CHANGE_EST_EBITDA_9MONTHS" hidden="1">"c1803"</definedName>
    <definedName name="IQ_PERCENT_CHANGE_EST_EBITDA_9MONTHS_CIQ" hidden="1">"c3747"</definedName>
    <definedName name="IQ_PERCENT_CHANGE_EST_EBITDA_9MONTHS_THOM" hidden="1">"c5226"</definedName>
    <definedName name="IQ_PERCENT_CHANGE_EST_EBITDA_DAY" hidden="1">"c1798"</definedName>
    <definedName name="IQ_PERCENT_CHANGE_EST_EBITDA_DAY_CIQ" hidden="1">"c3743"</definedName>
    <definedName name="IQ_PERCENT_CHANGE_EST_EBITDA_DAY_THOM" hidden="1">"c5222"</definedName>
    <definedName name="IQ_PERCENT_CHANGE_EST_EBITDA_MONTH" hidden="1">"c1800"</definedName>
    <definedName name="IQ_PERCENT_CHANGE_EST_EBITDA_MONTH_CIQ" hidden="1">"c3744"</definedName>
    <definedName name="IQ_PERCENT_CHANGE_EST_EBITDA_MONTH_THOM" hidden="1">"c5223"</definedName>
    <definedName name="IQ_PERCENT_CHANGE_EST_EBITDA_WEEK" hidden="1">"c1799"</definedName>
    <definedName name="IQ_PERCENT_CHANGE_EST_EBITDA_WEEK_CIQ" hidden="1">"c3792"</definedName>
    <definedName name="IQ_PERCENT_CHANGE_EST_EBITDA_WEEK_THOM" hidden="1">"c5271"</definedName>
    <definedName name="IQ_PERCENT_CHANGE_EST_EPS_12MONTHS" hidden="1">"c1788"</definedName>
    <definedName name="IQ_PERCENT_CHANGE_EST_EPS_12MONTHS_CIQ" hidden="1">"c3733"</definedName>
    <definedName name="IQ_PERCENT_CHANGE_EST_EPS_12MONTHS_THOM" hidden="1">"c5212"</definedName>
    <definedName name="IQ_PERCENT_CHANGE_EST_EPS_18MONTHS" hidden="1">"c1789"</definedName>
    <definedName name="IQ_PERCENT_CHANGE_EST_EPS_18MONTHS_CIQ" hidden="1">"c3734"</definedName>
    <definedName name="IQ_PERCENT_CHANGE_EST_EPS_18MONTHS_THOM" hidden="1">"c5213"</definedName>
    <definedName name="IQ_PERCENT_CHANGE_EST_EPS_3MONTHS" hidden="1">"c1785"</definedName>
    <definedName name="IQ_PERCENT_CHANGE_EST_EPS_3MONTHS_CIQ" hidden="1">"c3730"</definedName>
    <definedName name="IQ_PERCENT_CHANGE_EST_EPS_3MONTHS_THOM" hidden="1">"c5209"</definedName>
    <definedName name="IQ_PERCENT_CHANGE_EST_EPS_6MONTHS" hidden="1">"c1786"</definedName>
    <definedName name="IQ_PERCENT_CHANGE_EST_EPS_6MONTHS_CIQ" hidden="1">"c3731"</definedName>
    <definedName name="IQ_PERCENT_CHANGE_EST_EPS_6MONTHS_THOM" hidden="1">"c5210"</definedName>
    <definedName name="IQ_PERCENT_CHANGE_EST_EPS_9MONTHS" hidden="1">"c1787"</definedName>
    <definedName name="IQ_PERCENT_CHANGE_EST_EPS_9MONTHS_CIQ" hidden="1">"c3732"</definedName>
    <definedName name="IQ_PERCENT_CHANGE_EST_EPS_9MONTHS_THOM" hidden="1">"c5211"</definedName>
    <definedName name="IQ_PERCENT_CHANGE_EST_EPS_DAY" hidden="1">"c1782"</definedName>
    <definedName name="IQ_PERCENT_CHANGE_EST_EPS_DAY_CIQ" hidden="1">"c3727"</definedName>
    <definedName name="IQ_PERCENT_CHANGE_EST_EPS_DAY_THOM" hidden="1">"c5206"</definedName>
    <definedName name="IQ_PERCENT_CHANGE_EST_EPS_MONTH" hidden="1">"c1784"</definedName>
    <definedName name="IQ_PERCENT_CHANGE_EST_EPS_MONTH_CIQ" hidden="1">"c3729"</definedName>
    <definedName name="IQ_PERCENT_CHANGE_EST_EPS_MONTH_THOM" hidden="1">"c5208"</definedName>
    <definedName name="IQ_PERCENT_CHANGE_EST_EPS_WEEK" hidden="1">"c1783"</definedName>
    <definedName name="IQ_PERCENT_CHANGE_EST_EPS_WEEK_CIQ" hidden="1">"c3728"</definedName>
    <definedName name="IQ_PERCENT_CHANGE_EST_EPS_WEEK_THOM" hidden="1">"c5207"</definedName>
    <definedName name="IQ_PERCENT_CHANGE_EST_FFO_12MONTHS" hidden="1">"c1828"</definedName>
    <definedName name="IQ_PERCENT_CHANGE_EST_FFO_12MONTHS_CIQ" hidden="1">"c3769"</definedName>
    <definedName name="IQ_PERCENT_CHANGE_EST_FFO_12MONTHS_CIQ_COL" hidden="1">"c11119"</definedName>
    <definedName name="IQ_PERCENT_CHANGE_EST_FFO_12MONTHS_REUT" hidden="1">"c3938"</definedName>
    <definedName name="IQ_PERCENT_CHANGE_EST_FFO_12MONTHS_THOM" hidden="1">"c5248"</definedName>
    <definedName name="IQ_PERCENT_CHANGE_EST_FFO_18MONTHS" hidden="1">"c1829"</definedName>
    <definedName name="IQ_PERCENT_CHANGE_EST_FFO_18MONTHS_CIQ" hidden="1">"c3770"</definedName>
    <definedName name="IQ_PERCENT_CHANGE_EST_FFO_18MONTHS_CIQ_COL" hidden="1">"c11120"</definedName>
    <definedName name="IQ_PERCENT_CHANGE_EST_FFO_18MONTHS_REUT" hidden="1">"c3939"</definedName>
    <definedName name="IQ_PERCENT_CHANGE_EST_FFO_18MONTHS_THOM" hidden="1">"c5249"</definedName>
    <definedName name="IQ_PERCENT_CHANGE_EST_FFO_3MONTHS" hidden="1">"c1825"</definedName>
    <definedName name="IQ_PERCENT_CHANGE_EST_FFO_3MONTHS_CIQ" hidden="1">"c3766"</definedName>
    <definedName name="IQ_PERCENT_CHANGE_EST_FFO_3MONTHS_CIQ_COL" hidden="1">"c11116"</definedName>
    <definedName name="IQ_PERCENT_CHANGE_EST_FFO_3MONTHS_REUT" hidden="1">"c3935"</definedName>
    <definedName name="IQ_PERCENT_CHANGE_EST_FFO_3MONTHS_THOM" hidden="1">"c5245"</definedName>
    <definedName name="IQ_PERCENT_CHANGE_EST_FFO_6MONTHS" hidden="1">"c1826"</definedName>
    <definedName name="IQ_PERCENT_CHANGE_EST_FFO_6MONTHS_CIQ" hidden="1">"c3767"</definedName>
    <definedName name="IQ_PERCENT_CHANGE_EST_FFO_6MONTHS_CIQ_COL" hidden="1">"c11117"</definedName>
    <definedName name="IQ_PERCENT_CHANGE_EST_FFO_6MONTHS_REUT" hidden="1">"c3936"</definedName>
    <definedName name="IQ_PERCENT_CHANGE_EST_FFO_6MONTHS_THOM" hidden="1">"c5246"</definedName>
    <definedName name="IQ_PERCENT_CHANGE_EST_FFO_9MONTHS" hidden="1">"c1827"</definedName>
    <definedName name="IQ_PERCENT_CHANGE_EST_FFO_9MONTHS_CIQ" hidden="1">"c3768"</definedName>
    <definedName name="IQ_PERCENT_CHANGE_EST_FFO_9MONTHS_CIQ_COL" hidden="1">"c11118"</definedName>
    <definedName name="IQ_PERCENT_CHANGE_EST_FFO_9MONTHS_REUT" hidden="1">"c3937"</definedName>
    <definedName name="IQ_PERCENT_CHANGE_EST_FFO_9MONTHS_THOM" hidden="1">"c5247"</definedName>
    <definedName name="IQ_PERCENT_CHANGE_EST_FFO_DAY" hidden="1">"c1822"</definedName>
    <definedName name="IQ_PERCENT_CHANGE_EST_FFO_DAY_CIQ" hidden="1">"c3764"</definedName>
    <definedName name="IQ_PERCENT_CHANGE_EST_FFO_DAY_CIQ_COL" hidden="1">"c11114"</definedName>
    <definedName name="IQ_PERCENT_CHANGE_EST_FFO_DAY_REUT" hidden="1">"c3933"</definedName>
    <definedName name="IQ_PERCENT_CHANGE_EST_FFO_DAY_THOM" hidden="1">"c5243"</definedName>
    <definedName name="IQ_PERCENT_CHANGE_EST_FFO_MONTH" hidden="1">"c1824"</definedName>
    <definedName name="IQ_PERCENT_CHANGE_EST_FFO_MONTH_CIQ" hidden="1">"c3765"</definedName>
    <definedName name="IQ_PERCENT_CHANGE_EST_FFO_MONTH_CIQ_COL" hidden="1">"c11115"</definedName>
    <definedName name="IQ_PERCENT_CHANGE_EST_FFO_MONTH_REUT" hidden="1">"c3934"</definedName>
    <definedName name="IQ_PERCENT_CHANGE_EST_FFO_MONTH_THOM" hidden="1">"c5244"</definedName>
    <definedName name="IQ_PERCENT_CHANGE_EST_FFO_SHARE_12MONTHS" hidden="1">"c1828"</definedName>
    <definedName name="IQ_PERCENT_CHANGE_EST_FFO_SHARE_12MONTHS_CIQ" hidden="1">"c3769"</definedName>
    <definedName name="IQ_PERCENT_CHANGE_EST_FFO_SHARE_18MONTHS" hidden="1">"c1829"</definedName>
    <definedName name="IQ_PERCENT_CHANGE_EST_FFO_SHARE_18MONTHS_CIQ" hidden="1">"c3770"</definedName>
    <definedName name="IQ_PERCENT_CHANGE_EST_FFO_SHARE_3MONTHS" hidden="1">"c1825"</definedName>
    <definedName name="IQ_PERCENT_CHANGE_EST_FFO_SHARE_3MONTHS_CIQ" hidden="1">"c3766"</definedName>
    <definedName name="IQ_PERCENT_CHANGE_EST_FFO_SHARE_6MONTHS" hidden="1">"c1826"</definedName>
    <definedName name="IQ_PERCENT_CHANGE_EST_FFO_SHARE_6MONTHS_CIQ" hidden="1">"c3767"</definedName>
    <definedName name="IQ_PERCENT_CHANGE_EST_FFO_SHARE_9MONTHS" hidden="1">"c1827"</definedName>
    <definedName name="IQ_PERCENT_CHANGE_EST_FFO_SHARE_9MONTHS_CIQ" hidden="1">"c3768"</definedName>
    <definedName name="IQ_PERCENT_CHANGE_EST_FFO_SHARE_DAY" hidden="1">"c1822"</definedName>
    <definedName name="IQ_PERCENT_CHANGE_EST_FFO_SHARE_DAY_CIQ" hidden="1">"c3764"</definedName>
    <definedName name="IQ_PERCENT_CHANGE_EST_FFO_SHARE_MONTH" hidden="1">"c1824"</definedName>
    <definedName name="IQ_PERCENT_CHANGE_EST_FFO_SHARE_MONTH_CIQ" hidden="1">"c3765"</definedName>
    <definedName name="IQ_PERCENT_CHANGE_EST_FFO_SHARE_WEEK" hidden="1">"c1823"</definedName>
    <definedName name="IQ_PERCENT_CHANGE_EST_FFO_SHARE_WEEK_CIQ" hidden="1">"c3795"</definedName>
    <definedName name="IQ_PERCENT_CHANGE_EST_FFO_WEEK" hidden="1">"c1823"</definedName>
    <definedName name="IQ_PERCENT_CHANGE_EST_FFO_WEEK_CIQ" hidden="1">"c3795"</definedName>
    <definedName name="IQ_PERCENT_CHANGE_EST_FFO_WEEK_CIQ_COL" hidden="1">"c11145"</definedName>
    <definedName name="IQ_PERCENT_CHANGE_EST_FFO_WEEK_REUT" hidden="1">"c3964"</definedName>
    <definedName name="IQ_PERCENT_CHANGE_EST_FFO_WEEK_THOM" hidden="1">"c5274"</definedName>
    <definedName name="IQ_PERCENT_CHANGE_EST_PRICE_TARGET_12MONTHS" hidden="1">"c1844"</definedName>
    <definedName name="IQ_PERCENT_CHANGE_EST_PRICE_TARGET_12MONTHS_CIQ" hidden="1">"c3783"</definedName>
    <definedName name="IQ_PERCENT_CHANGE_EST_PRICE_TARGET_12MONTHS_THOM" hidden="1">"c5262"</definedName>
    <definedName name="IQ_PERCENT_CHANGE_EST_PRICE_TARGET_18MONTHS" hidden="1">"c1845"</definedName>
    <definedName name="IQ_PERCENT_CHANGE_EST_PRICE_TARGET_18MONTHS_CIQ" hidden="1">"c3784"</definedName>
    <definedName name="IQ_PERCENT_CHANGE_EST_PRICE_TARGET_18MONTHS_THOM" hidden="1">"c5263"</definedName>
    <definedName name="IQ_PERCENT_CHANGE_EST_PRICE_TARGET_3MONTHS" hidden="1">"c1841"</definedName>
    <definedName name="IQ_PERCENT_CHANGE_EST_PRICE_TARGET_3MONTHS_CIQ" hidden="1">"c3780"</definedName>
    <definedName name="IQ_PERCENT_CHANGE_EST_PRICE_TARGET_3MONTHS_THOM" hidden="1">"c5259"</definedName>
    <definedName name="IQ_PERCENT_CHANGE_EST_PRICE_TARGET_6MONTHS" hidden="1">"c1842"</definedName>
    <definedName name="IQ_PERCENT_CHANGE_EST_PRICE_TARGET_6MONTHS_CIQ" hidden="1">"c3781"</definedName>
    <definedName name="IQ_PERCENT_CHANGE_EST_PRICE_TARGET_6MONTHS_THOM" hidden="1">"c5260"</definedName>
    <definedName name="IQ_PERCENT_CHANGE_EST_PRICE_TARGET_9MONTHS" hidden="1">"c1843"</definedName>
    <definedName name="IQ_PERCENT_CHANGE_EST_PRICE_TARGET_9MONTHS_CIQ" hidden="1">"c3782"</definedName>
    <definedName name="IQ_PERCENT_CHANGE_EST_PRICE_TARGET_9MONTHS_THOM" hidden="1">"c5261"</definedName>
    <definedName name="IQ_PERCENT_CHANGE_EST_PRICE_TARGET_DAY" hidden="1">"c1838"</definedName>
    <definedName name="IQ_PERCENT_CHANGE_EST_PRICE_TARGET_DAY_CIQ" hidden="1">"c3778"</definedName>
    <definedName name="IQ_PERCENT_CHANGE_EST_PRICE_TARGET_DAY_THOM" hidden="1">"c5257"</definedName>
    <definedName name="IQ_PERCENT_CHANGE_EST_PRICE_TARGET_MONTH" hidden="1">"c1840"</definedName>
    <definedName name="IQ_PERCENT_CHANGE_EST_PRICE_TARGET_MONTH_CIQ" hidden="1">"c3779"</definedName>
    <definedName name="IQ_PERCENT_CHANGE_EST_PRICE_TARGET_MONTH_THOM" hidden="1">"c5258"</definedName>
    <definedName name="IQ_PERCENT_CHANGE_EST_PRICE_TARGET_WEEK" hidden="1">"c1839"</definedName>
    <definedName name="IQ_PERCENT_CHANGE_EST_PRICE_TARGET_WEEK_CIQ" hidden="1">"c3798"</definedName>
    <definedName name="IQ_PERCENT_CHANGE_EST_PRICE_TARGET_WEEK_THOM" hidden="1">"c5276"</definedName>
    <definedName name="IQ_PERCENT_CHANGE_EST_RECO_12MONTHS" hidden="1">"c1836"</definedName>
    <definedName name="IQ_PERCENT_CHANGE_EST_RECO_12MONTHS_CIQ" hidden="1">"c3776"</definedName>
    <definedName name="IQ_PERCENT_CHANGE_EST_RECO_12MONTHS_THOM" hidden="1">"c5255"</definedName>
    <definedName name="IQ_PERCENT_CHANGE_EST_RECO_18MONTHS" hidden="1">"c1837"</definedName>
    <definedName name="IQ_PERCENT_CHANGE_EST_RECO_18MONTHS_CIQ" hidden="1">"c3777"</definedName>
    <definedName name="IQ_PERCENT_CHANGE_EST_RECO_18MONTHS_THOM" hidden="1">"c5256"</definedName>
    <definedName name="IQ_PERCENT_CHANGE_EST_RECO_3MONTHS" hidden="1">"c1833"</definedName>
    <definedName name="IQ_PERCENT_CHANGE_EST_RECO_3MONTHS_CIQ" hidden="1">"c3773"</definedName>
    <definedName name="IQ_PERCENT_CHANGE_EST_RECO_3MONTHS_THOM" hidden="1">"c5252"</definedName>
    <definedName name="IQ_PERCENT_CHANGE_EST_RECO_6MONTHS" hidden="1">"c1834"</definedName>
    <definedName name="IQ_PERCENT_CHANGE_EST_RECO_6MONTHS_CIQ" hidden="1">"c3774"</definedName>
    <definedName name="IQ_PERCENT_CHANGE_EST_RECO_6MONTHS_THOM" hidden="1">"c5253"</definedName>
    <definedName name="IQ_PERCENT_CHANGE_EST_RECO_9MONTHS" hidden="1">"c1835"</definedName>
    <definedName name="IQ_PERCENT_CHANGE_EST_RECO_9MONTHS_CIQ" hidden="1">"c3775"</definedName>
    <definedName name="IQ_PERCENT_CHANGE_EST_RECO_9MONTHS_THOM" hidden="1">"c5254"</definedName>
    <definedName name="IQ_PERCENT_CHANGE_EST_RECO_DAY" hidden="1">"c1830"</definedName>
    <definedName name="IQ_PERCENT_CHANGE_EST_RECO_DAY_CIQ" hidden="1">"c3771"</definedName>
    <definedName name="IQ_PERCENT_CHANGE_EST_RECO_DAY_THOM" hidden="1">"c5250"</definedName>
    <definedName name="IQ_PERCENT_CHANGE_EST_RECO_MONTH" hidden="1">"c1832"</definedName>
    <definedName name="IQ_PERCENT_CHANGE_EST_RECO_MONTH_CIQ" hidden="1">"c3772"</definedName>
    <definedName name="IQ_PERCENT_CHANGE_EST_RECO_MONTH_THOM" hidden="1">"c5251"</definedName>
    <definedName name="IQ_PERCENT_CHANGE_EST_RECO_WEEK" hidden="1">"c1831"</definedName>
    <definedName name="IQ_PERCENT_CHANGE_EST_RECO_WEEK_CIQ" hidden="1">"c3796"</definedName>
    <definedName name="IQ_PERCENT_CHANGE_EST_RECO_WEEK_THOM" hidden="1">"c5275"</definedName>
    <definedName name="IQ_PERCENT_CHANGE_EST_REV_12MONTHS" hidden="1">"c1796"</definedName>
    <definedName name="IQ_PERCENT_CHANGE_EST_REV_12MONTHS_CIQ" hidden="1">"c3741"</definedName>
    <definedName name="IQ_PERCENT_CHANGE_EST_REV_12MONTHS_THOM" hidden="1">"c5220"</definedName>
    <definedName name="IQ_PERCENT_CHANGE_EST_REV_18MONTHS" hidden="1">"c1797"</definedName>
    <definedName name="IQ_PERCENT_CHANGE_EST_REV_18MONTHS_CIQ" hidden="1">"c3742"</definedName>
    <definedName name="IQ_PERCENT_CHANGE_EST_REV_18MONTHS_THOM" hidden="1">"c5221"</definedName>
    <definedName name="IQ_PERCENT_CHANGE_EST_REV_3MONTHS" hidden="1">"c1793"</definedName>
    <definedName name="IQ_PERCENT_CHANGE_EST_REV_3MONTHS_CIQ" hidden="1">"c3738"</definedName>
    <definedName name="IQ_PERCENT_CHANGE_EST_REV_3MONTHS_THOM" hidden="1">"c5217"</definedName>
    <definedName name="IQ_PERCENT_CHANGE_EST_REV_6MONTHS" hidden="1">"c1794"</definedName>
    <definedName name="IQ_PERCENT_CHANGE_EST_REV_6MONTHS_CIQ" hidden="1">"c3739"</definedName>
    <definedName name="IQ_PERCENT_CHANGE_EST_REV_6MONTHS_THOM" hidden="1">"c5218"</definedName>
    <definedName name="IQ_PERCENT_CHANGE_EST_REV_9MONTHS" hidden="1">"c1795"</definedName>
    <definedName name="IQ_PERCENT_CHANGE_EST_REV_9MONTHS_CIQ" hidden="1">"c3740"</definedName>
    <definedName name="IQ_PERCENT_CHANGE_EST_REV_9MONTHS_THOM" hidden="1">"c5219"</definedName>
    <definedName name="IQ_PERCENT_CHANGE_EST_REV_DAY" hidden="1">"c1790"</definedName>
    <definedName name="IQ_PERCENT_CHANGE_EST_REV_DAY_CIQ" hidden="1">"c3735"</definedName>
    <definedName name="IQ_PERCENT_CHANGE_EST_REV_DAY_THOM" hidden="1">"c5214"</definedName>
    <definedName name="IQ_PERCENT_CHANGE_EST_REV_MONTH" hidden="1">"c1792"</definedName>
    <definedName name="IQ_PERCENT_CHANGE_EST_REV_MONTH_CIQ" hidden="1">"c3737"</definedName>
    <definedName name="IQ_PERCENT_CHANGE_EST_REV_MONTH_THOM" hidden="1">"c5216"</definedName>
    <definedName name="IQ_PERCENT_CHANGE_EST_REV_WEEK" hidden="1">"c1791"</definedName>
    <definedName name="IQ_PERCENT_CHANGE_EST_REV_WEEK_CIQ" hidden="1">"c3736"</definedName>
    <definedName name="IQ_PERCENT_CHANGE_EST_REV_WEEK_THOM" hidden="1">"c5215"</definedName>
    <definedName name="IQ_PERCENT_INSURED_FDIC" hidden="1">"c6374"</definedName>
    <definedName name="IQ_PERCENTAGE_RENT" hidden="1">"c16018"</definedName>
    <definedName name="IQ_PERCENTAGE_RENT_RENTAL_REVENUE" hidden="1">"c16063"</definedName>
    <definedName name="IQ_PERFORMANCE_LOC_FOREIGN_GUARANTEES_FFIEC" hidden="1">"c13251"</definedName>
    <definedName name="IQ_PERIODDATE" hidden="1">"c1414"</definedName>
    <definedName name="IQ_PERIODDATE_AP" hidden="1">"c11745"</definedName>
    <definedName name="IQ_PERIODDATE_BS" hidden="1">"c1032"</definedName>
    <definedName name="IQ_PERIODDATE_CF" hidden="1">"c1033"</definedName>
    <definedName name="IQ_PERIODDATE_FFIEC" hidden="1">"c13645"</definedName>
    <definedName name="IQ_PERIODDATE_IS" hidden="1">"c1034"</definedName>
    <definedName name="IQ_PERIODLENGTH_AP" hidden="1">"c11746"</definedName>
    <definedName name="IQ_PERIODLENGTH_CF" hidden="1">"c1502"</definedName>
    <definedName name="IQ_PERIODLENGTH_IS" hidden="1">"c1503"</definedName>
    <definedName name="IQ_PERSONAL_CONSUMER_SPENDING_DURABLE" hidden="1">"c6942"</definedName>
    <definedName name="IQ_PERSONAL_CONSUMER_SPENDING_DURABLE_APR" hidden="1">"c7602"</definedName>
    <definedName name="IQ_PERSONAL_CONSUMER_SPENDING_DURABLE_APR_FC" hidden="1">"c8482"</definedName>
    <definedName name="IQ_PERSONAL_CONSUMER_SPENDING_DURABLE_FC" hidden="1">"c7822"</definedName>
    <definedName name="IQ_PERSONAL_CONSUMER_SPENDING_DURABLE_POP" hidden="1">"c7162"</definedName>
    <definedName name="IQ_PERSONAL_CONSUMER_SPENDING_DURABLE_POP_FC" hidden="1">"c8042"</definedName>
    <definedName name="IQ_PERSONAL_CONSUMER_SPENDING_DURABLE_YOY" hidden="1">"c7382"</definedName>
    <definedName name="IQ_PERSONAL_CONSUMER_SPENDING_DURABLE_YOY_FC" hidden="1">"c8262"</definedName>
    <definedName name="IQ_PERSONAL_CONSUMER_SPENDING_NONDURABLE" hidden="1">"c6940"</definedName>
    <definedName name="IQ_PERSONAL_CONSUMER_SPENDING_NONDURABLE_APR" hidden="1">"c7600"</definedName>
    <definedName name="IQ_PERSONAL_CONSUMER_SPENDING_NONDURABLE_APR_FC" hidden="1">"c8480"</definedName>
    <definedName name="IQ_PERSONAL_CONSUMER_SPENDING_NONDURABLE_FC" hidden="1">"c7820"</definedName>
    <definedName name="IQ_PERSONAL_CONSUMER_SPENDING_NONDURABLE_POP" hidden="1">"c7160"</definedName>
    <definedName name="IQ_PERSONAL_CONSUMER_SPENDING_NONDURABLE_POP_FC" hidden="1">"c8040"</definedName>
    <definedName name="IQ_PERSONAL_CONSUMER_SPENDING_NONDURABLE_YOY" hidden="1">"c7380"</definedName>
    <definedName name="IQ_PERSONAL_CONSUMER_SPENDING_NONDURABLE_YOY_FC" hidden="1">"c8260"</definedName>
    <definedName name="IQ_PERSONAL_CONSUMER_SPENDING_REAL" hidden="1">"c6994"</definedName>
    <definedName name="IQ_PERSONAL_CONSUMER_SPENDING_REAL_APR" hidden="1">"c7654"</definedName>
    <definedName name="IQ_PERSONAL_CONSUMER_SPENDING_REAL_APR_FC" hidden="1">"c8534"</definedName>
    <definedName name="IQ_PERSONAL_CONSUMER_SPENDING_REAL_FC" hidden="1">"c7874"</definedName>
    <definedName name="IQ_PERSONAL_CONSUMER_SPENDING_REAL_POP" hidden="1">"c7214"</definedName>
    <definedName name="IQ_PERSONAL_CONSUMER_SPENDING_REAL_POP_FC" hidden="1">"c8094"</definedName>
    <definedName name="IQ_PERSONAL_CONSUMER_SPENDING_REAL_YOY" hidden="1">"c7434"</definedName>
    <definedName name="IQ_PERSONAL_CONSUMER_SPENDING_REAL_YOY_FC" hidden="1">"c8314"</definedName>
    <definedName name="IQ_PERSONAL_CONSUMER_SPENDING_SERVICES" hidden="1">"c6941"</definedName>
    <definedName name="IQ_PERSONAL_CONSUMER_SPENDING_SERVICES_APR" hidden="1">"c7601"</definedName>
    <definedName name="IQ_PERSONAL_CONSUMER_SPENDING_SERVICES_APR_FC" hidden="1">"c8481"</definedName>
    <definedName name="IQ_PERSONAL_CONSUMER_SPENDING_SERVICES_FC" hidden="1">"c7821"</definedName>
    <definedName name="IQ_PERSONAL_CONSUMER_SPENDING_SERVICES_POP" hidden="1">"c7161"</definedName>
    <definedName name="IQ_PERSONAL_CONSUMER_SPENDING_SERVICES_POP_FC" hidden="1">"c8041"</definedName>
    <definedName name="IQ_PERSONAL_CONSUMER_SPENDING_SERVICES_YOY" hidden="1">"c7381"</definedName>
    <definedName name="IQ_PERSONAL_CONSUMER_SPENDING_SERVICES_YOY_FC" hidden="1">"c8261"</definedName>
    <definedName name="IQ_PERSONAL_INCOME" hidden="1">"c6943"</definedName>
    <definedName name="IQ_PERSONAL_INCOME_APR" hidden="1">"c7603"</definedName>
    <definedName name="IQ_PERSONAL_INCOME_APR_FC" hidden="1">"c8483"</definedName>
    <definedName name="IQ_PERSONAL_INCOME_FC" hidden="1">"c7823"</definedName>
    <definedName name="IQ_PERSONAL_INCOME_POP" hidden="1">"c7163"</definedName>
    <definedName name="IQ_PERSONAL_INCOME_POP_FC" hidden="1">"c8043"</definedName>
    <definedName name="IQ_PERSONAL_INCOME_SAAR" hidden="1">"c6944"</definedName>
    <definedName name="IQ_PERSONAL_INCOME_SAAR_APR" hidden="1">"c7604"</definedName>
    <definedName name="IQ_PERSONAL_INCOME_SAAR_APR_FC" hidden="1">"c8484"</definedName>
    <definedName name="IQ_PERSONAL_INCOME_SAAR_FC" hidden="1">"c7824"</definedName>
    <definedName name="IQ_PERSONAL_INCOME_SAAR_POP" hidden="1">"c7164"</definedName>
    <definedName name="IQ_PERSONAL_INCOME_SAAR_POP_FC" hidden="1">"c8044"</definedName>
    <definedName name="IQ_PERSONAL_INCOME_SAAR_YOY" hidden="1">"c7384"</definedName>
    <definedName name="IQ_PERSONAL_INCOME_SAAR_YOY_FC" hidden="1">"c8264"</definedName>
    <definedName name="IQ_PERSONAL_INCOME_USD_APR_FC" hidden="1">"c11885"</definedName>
    <definedName name="IQ_PERSONAL_INCOME_USD_FC" hidden="1">"c11882"</definedName>
    <definedName name="IQ_PERSONAL_INCOME_USD_POP_FC" hidden="1">"c11883"</definedName>
    <definedName name="IQ_PERSONAL_INCOME_USD_YOY_FC" hidden="1">"c11884"</definedName>
    <definedName name="IQ_PERSONAL_INCOME_YOY" hidden="1">"c7383"</definedName>
    <definedName name="IQ_PERSONAL_INCOME_YOY_FC" hidden="1">"c8263"</definedName>
    <definedName name="IQ_PERSONNEL_EXP_AVG_ASSETS_FFIEC" hidden="1">"c13371"</definedName>
    <definedName name="IQ_PERSONNEL_EXP_OPERATING_INC_FFIEC" hidden="1">"c13379"</definedName>
    <definedName name="IQ_PERTYPE" hidden="1">"c1611"</definedName>
    <definedName name="IQ_PHARMBIO_NUMBER_LICENSED_PATENT_APP" hidden="1">"c10018"</definedName>
    <definedName name="IQ_PHARMBIO_NUMBER_LICENSED_PATENTS" hidden="1">"c10017"</definedName>
    <definedName name="IQ_PHARMBIO_NUMBER_PATENTS" hidden="1">"c10015"</definedName>
    <definedName name="IQ_PHARMBIO_NUMBER_PROD__APPROVED_DURING_PERIOD" hidden="1">"c12750"</definedName>
    <definedName name="IQ_PHARMBIO_NUMBER_PROD__CLINICAL_DEV" hidden="1">"c12745"</definedName>
    <definedName name="IQ_PHARMBIO_NUMBER_PROD__LAUNCHED_DURING_PERIOD" hidden="1">"c12751"</definedName>
    <definedName name="IQ_PHARMBIO_NUMBER_PROD__PHASE_I" hidden="1">"c12746"</definedName>
    <definedName name="IQ_PHARMBIO_NUMBER_PROD__PHASE_II" hidden="1">"c12747"</definedName>
    <definedName name="IQ_PHARMBIO_NUMBER_PROD__PHASE_III" hidden="1">"c12748"</definedName>
    <definedName name="IQ_PHARMBIO_NUMBER_PROD__PRE_CLINICAL_TRIALS" hidden="1">"c12744"</definedName>
    <definedName name="IQ_PHARMBIO_NUMBER_PROD__PRE_REGISTRATION" hidden="1">"c12749"</definedName>
    <definedName name="IQ_PHARMBIO_NUMBER_PROD__RESEARCH_DEV" hidden="1">"c12743"</definedName>
    <definedName name="IQ_PHARMBIO_NUMBER_PROD_APPROVED_DURING_PERIOD" hidden="1">"c10027"</definedName>
    <definedName name="IQ_PHARMBIO_NUMBER_PROD_CLINICAL_DEV" hidden="1">"c10022"</definedName>
    <definedName name="IQ_PHARMBIO_NUMBER_PROD_DISCOVERY_RESEARCH" hidden="1">"c10019"</definedName>
    <definedName name="IQ_PHARMBIO_NUMBER_PROD_LAUNCHED_DURING_PERIOD" hidden="1">"c10028"</definedName>
    <definedName name="IQ_PHARMBIO_NUMBER_PROD_PHASE_I" hidden="1">"c10023"</definedName>
    <definedName name="IQ_PHARMBIO_NUMBER_PROD_PHASE_II" hidden="1">"c10024"</definedName>
    <definedName name="IQ_PHARMBIO_NUMBER_PROD_PHASE_III" hidden="1">"c10025"</definedName>
    <definedName name="IQ_PHARMBIO_NUMBER_PROD_PRE_CLINICAL_TRIALS" hidden="1">"c10021"</definedName>
    <definedName name="IQ_PHARMBIO_NUMBER_PROD_PRE_REGISTRATION" hidden="1">"c10026"</definedName>
    <definedName name="IQ_PHARMBIO_NUMBER_PROD_RESEARCH_DEV" hidden="1">"c10020"</definedName>
    <definedName name="IQ_PHARMBIO_PATENT_APP" hidden="1">"c10016"</definedName>
    <definedName name="IQ_PHILADELPHIA_FED_DIFFUSION_INDEX" hidden="1">"c6945"</definedName>
    <definedName name="IQ_PHILADELPHIA_FED_DIFFUSION_INDEX_APR" hidden="1">"c7605"</definedName>
    <definedName name="IQ_PHILADELPHIA_FED_DIFFUSION_INDEX_APR_FC" hidden="1">"c8485"</definedName>
    <definedName name="IQ_PHILADELPHIA_FED_DIFFUSION_INDEX_FC" hidden="1">"c7825"</definedName>
    <definedName name="IQ_PHILADELPHIA_FED_DIFFUSION_INDEX_POP" hidden="1">"c7165"</definedName>
    <definedName name="IQ_PHILADELPHIA_FED_DIFFUSION_INDEX_POP_FC" hidden="1">"c8045"</definedName>
    <definedName name="IQ_PHILADELPHIA_FED_DIFFUSION_INDEX_YOY" hidden="1">"c7385"</definedName>
    <definedName name="IQ_PHILADELPHIA_FED_DIFFUSION_INDEX_YOY_FC" hidden="1">"c8265"</definedName>
    <definedName name="IQ_PLEDGED_SEC_INVEST_SECURITIES_FFIEC" hidden="1">"c13467"</definedName>
    <definedName name="IQ_PLEDGED_SECURITIES_FDIC" hidden="1">"c6401"</definedName>
    <definedName name="IQ_PLL" hidden="1">"c2114"</definedName>
    <definedName name="IQ_PMAC_DIFFUSION_INDEX" hidden="1">"c6946"</definedName>
    <definedName name="IQ_PMAC_DIFFUSION_INDEX_APR" hidden="1">"c7606"</definedName>
    <definedName name="IQ_PMAC_DIFFUSION_INDEX_APR_FC" hidden="1">"c8486"</definedName>
    <definedName name="IQ_PMAC_DIFFUSION_INDEX_FC" hidden="1">"c7826"</definedName>
    <definedName name="IQ_PMAC_DIFFUSION_INDEX_POP" hidden="1">"c7166"</definedName>
    <definedName name="IQ_PMAC_DIFFUSION_INDEX_POP_FC" hidden="1">"c8046"</definedName>
    <definedName name="IQ_PMAC_DIFFUSION_INDEX_YOY" hidden="1">"c7386"</definedName>
    <definedName name="IQ_PMAC_DIFFUSION_INDEX_YOY_FC" hidden="1">"c8266"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LICYHOLDER_BENEFITS_LH_FFIEC" hidden="1">"c13107"</definedName>
    <definedName name="IQ_POOL_AMT_ORIGINAL" hidden="1">"c8970"</definedName>
    <definedName name="IQ_POOL_NAME" hidden="1">"c8967"</definedName>
    <definedName name="IQ_POOL_NUMBER" hidden="1">"c8968"</definedName>
    <definedName name="IQ_POOL_TYPE" hidden="1">"c8969"</definedName>
    <definedName name="IQ_POSITIVE_FAIR_VALUE_DERIVATIVES_BENEFICIARY_FFIEC" hidden="1">"c13123"</definedName>
    <definedName name="IQ_POSITIVE_FAIR_VALUE_DERIVATIVES_GUARANTOR_FFIEC" hidden="1">"c13116"</definedName>
    <definedName name="IQ_POST_RETIRE_EXP" hidden="1">"c1039"</definedName>
    <definedName name="IQ_POSTAGE_FFIEC" hidden="1">"c13051"</definedName>
    <definedName name="IQ_POSTPAID_CHURN" hidden="1">"c2121"</definedName>
    <definedName name="IQ_POSTPAID_SUBS" hidden="1">"c2118"</definedName>
    <definedName name="IQ_POTENTIAL_UPSIDE" hidden="1">"c1855"</definedName>
    <definedName name="IQ_POTENTIAL_UPSIDE_CIQ" hidden="1">"c3799"</definedName>
    <definedName name="IQ_POTENTIAL_UPSIDE_THOM" hidden="1">"c5279"</definedName>
    <definedName name="IQ_PP_ATTRIB_ORE_RESERVES_ALUM" hidden="1">"c9218"</definedName>
    <definedName name="IQ_PP_ATTRIB_ORE_RESERVES_COP" hidden="1">"c9162"</definedName>
    <definedName name="IQ_PP_ATTRIB_ORE_RESERVES_DIAM" hidden="1">"c9642"</definedName>
    <definedName name="IQ_PP_ATTRIB_ORE_RESERVES_GOLD" hidden="1">"c9003"</definedName>
    <definedName name="IQ_PP_ATTRIB_ORE_RESERVES_IRON" hidden="1">"c9377"</definedName>
    <definedName name="IQ_PP_ATTRIB_ORE_RESERVES_LEAD" hidden="1">"c9430"</definedName>
    <definedName name="IQ_PP_ATTRIB_ORE_RESERVES_MANG" hidden="1">"c9483"</definedName>
    <definedName name="IQ_PP_ATTRIB_ORE_RESERVES_MOLYB" hidden="1">"c9695"</definedName>
    <definedName name="IQ_PP_ATTRIB_ORE_RESERVES_NICK" hidden="1">"c9271"</definedName>
    <definedName name="IQ_PP_ATTRIB_ORE_RESERVES_PLAT" hidden="1">"c9109"</definedName>
    <definedName name="IQ_PP_ATTRIB_ORE_RESERVES_SILVER" hidden="1">"c9056"</definedName>
    <definedName name="IQ_PP_ATTRIB_ORE_RESERVES_TITAN" hidden="1">"c9536"</definedName>
    <definedName name="IQ_PP_ATTRIB_ORE_RESERVES_URAN" hidden="1">"c9589"</definedName>
    <definedName name="IQ_PP_ATTRIB_ORE_RESERVES_ZINC" hidden="1">"c9324"</definedName>
    <definedName name="IQ_PP_ORE_RESERVES_ALUM" hidden="1">"c9211"</definedName>
    <definedName name="IQ_PP_ORE_RESERVES_COP" hidden="1">"c9155"</definedName>
    <definedName name="IQ_PP_ORE_RESERVES_DIAM" hidden="1">"c9635"</definedName>
    <definedName name="IQ_PP_ORE_RESERVES_GOLD" hidden="1">"c8996"</definedName>
    <definedName name="IQ_PP_ORE_RESERVES_IRON" hidden="1">"c9370"</definedName>
    <definedName name="IQ_PP_ORE_RESERVES_LEAD" hidden="1">"c9423"</definedName>
    <definedName name="IQ_PP_ORE_RESERVES_MANG" hidden="1">"c9476"</definedName>
    <definedName name="IQ_PP_ORE_RESERVES_MOLYB" hidden="1">"c9688"</definedName>
    <definedName name="IQ_PP_ORE_RESERVES_NICK" hidden="1">"c9264"</definedName>
    <definedName name="IQ_PP_ORE_RESERVES_PLAT" hidden="1">"c9102"</definedName>
    <definedName name="IQ_PP_ORE_RESERVES_SILVER" hidden="1">"c9049"</definedName>
    <definedName name="IQ_PP_ORE_RESERVES_TITAN" hidden="1">"c9529"</definedName>
    <definedName name="IQ_PP_ORE_RESERVES_URAN" hidden="1">"c9582"</definedName>
    <definedName name="IQ_PP_ORE_RESERVES_ZINC" hidden="1">"c9317"</definedName>
    <definedName name="IQ_PP_RECOV_ATTRIB_RESERVES_ALUM" hidden="1">"c9221"</definedName>
    <definedName name="IQ_PP_RECOV_ATTRIB_RESERVES_COAL" hidden="1">"c9805"</definedName>
    <definedName name="IQ_PP_RECOV_ATTRIB_RESERVES_COP" hidden="1">"c9165"</definedName>
    <definedName name="IQ_PP_RECOV_ATTRIB_RESERVES_DIAM" hidden="1">"c9645"</definedName>
    <definedName name="IQ_PP_RECOV_ATTRIB_RESERVES_GOLD" hidden="1">"c9006"</definedName>
    <definedName name="IQ_PP_RECOV_ATTRIB_RESERVES_IRON" hidden="1">"c9380"</definedName>
    <definedName name="IQ_PP_RECOV_ATTRIB_RESERVES_LEAD" hidden="1">"c9433"</definedName>
    <definedName name="IQ_PP_RECOV_ATTRIB_RESERVES_MANG" hidden="1">"c9486"</definedName>
    <definedName name="IQ_PP_RECOV_ATTRIB_RESERVES_MET_COAL" hidden="1">"c9745"</definedName>
    <definedName name="IQ_PP_RECOV_ATTRIB_RESERVES_MOLYB" hidden="1">"c9698"</definedName>
    <definedName name="IQ_PP_RECOV_ATTRIB_RESERVES_NICK" hidden="1">"c9274"</definedName>
    <definedName name="IQ_PP_RECOV_ATTRIB_RESERVES_PLAT" hidden="1">"c9112"</definedName>
    <definedName name="IQ_PP_RECOV_ATTRIB_RESERVES_SILVER" hidden="1">"c9059"</definedName>
    <definedName name="IQ_PP_RECOV_ATTRIB_RESERVES_STEAM" hidden="1">"c9775"</definedName>
    <definedName name="IQ_PP_RECOV_ATTRIB_RESERVES_TITAN" hidden="1">"c9539"</definedName>
    <definedName name="IQ_PP_RECOV_ATTRIB_RESERVES_URAN" hidden="1">"c9592"</definedName>
    <definedName name="IQ_PP_RECOV_ATTRIB_RESERVES_ZINC" hidden="1">"c9327"</definedName>
    <definedName name="IQ_PP_RECOV_RESERVES_ALUM" hidden="1">"c9215"</definedName>
    <definedName name="IQ_PP_RECOV_RESERVES_COAL" hidden="1">"c9802"</definedName>
    <definedName name="IQ_PP_RECOV_RESERVES_COP" hidden="1">"c9159"</definedName>
    <definedName name="IQ_PP_RECOV_RESERVES_DIAM" hidden="1">"c9639"</definedName>
    <definedName name="IQ_PP_RECOV_RESERVES_GOLD" hidden="1">"c9000"</definedName>
    <definedName name="IQ_PP_RECOV_RESERVES_IRON" hidden="1">"c9374"</definedName>
    <definedName name="IQ_PP_RECOV_RESERVES_LEAD" hidden="1">"c9427"</definedName>
    <definedName name="IQ_PP_RECOV_RESERVES_MANG" hidden="1">"c9480"</definedName>
    <definedName name="IQ_PP_RECOV_RESERVES_MET_COAL" hidden="1">"c9742"</definedName>
    <definedName name="IQ_PP_RECOV_RESERVES_MOLYB" hidden="1">"c9692"</definedName>
    <definedName name="IQ_PP_RECOV_RESERVES_NICK" hidden="1">"c9268"</definedName>
    <definedName name="IQ_PP_RECOV_RESERVES_PLAT" hidden="1">"c9106"</definedName>
    <definedName name="IQ_PP_RECOV_RESERVES_SILVER" hidden="1">"c9053"</definedName>
    <definedName name="IQ_PP_RECOV_RESERVES_STEAM" hidden="1">"c9772"</definedName>
    <definedName name="IQ_PP_RECOV_RESERVES_TITAN" hidden="1">"c9533"</definedName>
    <definedName name="IQ_PP_RECOV_RESERVES_URAN" hidden="1">"c9586"</definedName>
    <definedName name="IQ_PP_RECOV_RESERVES_ZINC" hidden="1">"c9321"</definedName>
    <definedName name="IQ_PP_RESERVES_CALORIFIC_VALUE_COAL" hidden="1">"c9799"</definedName>
    <definedName name="IQ_PP_RESERVES_CALORIFIC_VALUE_MET_COAL" hidden="1">"c9739"</definedName>
    <definedName name="IQ_PP_RESERVES_CALORIFIC_VALUE_STEAM" hidden="1">"c9769"</definedName>
    <definedName name="IQ_PP_RESERVES_GRADE_ALUM" hidden="1">"c9212"</definedName>
    <definedName name="IQ_PP_RESERVES_GRADE_COP" hidden="1">"c9156"</definedName>
    <definedName name="IQ_PP_RESERVES_GRADE_DIAM" hidden="1">"c9636"</definedName>
    <definedName name="IQ_PP_RESERVES_GRADE_GOLD" hidden="1">"c8997"</definedName>
    <definedName name="IQ_PP_RESERVES_GRADE_IRON" hidden="1">"c9371"</definedName>
    <definedName name="IQ_PP_RESERVES_GRADE_LEAD" hidden="1">"c9424"</definedName>
    <definedName name="IQ_PP_RESERVES_GRADE_MANG" hidden="1">"c9477"</definedName>
    <definedName name="IQ_PP_RESERVES_GRADE_MOLYB" hidden="1">"c9689"</definedName>
    <definedName name="IQ_PP_RESERVES_GRADE_NICK" hidden="1">"c9265"</definedName>
    <definedName name="IQ_PP_RESERVES_GRADE_PLAT" hidden="1">"c9103"</definedName>
    <definedName name="IQ_PP_RESERVES_GRADE_SILVER" hidden="1">"c9050"</definedName>
    <definedName name="IQ_PP_RESERVES_GRADE_TITAN" hidden="1">"c9530"</definedName>
    <definedName name="IQ_PP_RESERVES_GRADE_URAN" hidden="1">"c9583"</definedName>
    <definedName name="IQ_PP_RESERVES_GRADE_ZINC" hidden="1">"c9318"</definedName>
    <definedName name="IQ_PPI" hidden="1">"c6810"</definedName>
    <definedName name="IQ_PPI_APR" hidden="1">"c7470"</definedName>
    <definedName name="IQ_PPI_APR_FC" hidden="1">"c8350"</definedName>
    <definedName name="IQ_PPI_CORE" hidden="1">"c6840"</definedName>
    <definedName name="IQ_PPI_CORE_APR" hidden="1">"c7500"</definedName>
    <definedName name="IQ_PPI_CORE_APR_FC" hidden="1">"c8380"</definedName>
    <definedName name="IQ_PPI_CORE_FC" hidden="1">"c7720"</definedName>
    <definedName name="IQ_PPI_CORE_POP" hidden="1">"c7060"</definedName>
    <definedName name="IQ_PPI_CORE_POP_FC" hidden="1">"c7940"</definedName>
    <definedName name="IQ_PPI_CORE_YOY" hidden="1">"c7280"</definedName>
    <definedName name="IQ_PPI_CORE_YOY_FC" hidden="1">"c8160"</definedName>
    <definedName name="IQ_PPI_FC" hidden="1">"c7690"</definedName>
    <definedName name="IQ_PPI_POP" hidden="1">"c7030"</definedName>
    <definedName name="IQ_PPI_POP_FC" hidden="1">"c7910"</definedName>
    <definedName name="IQ_PPI_YOY" hidden="1">"c7250"</definedName>
    <definedName name="IQ_PPI_YOY_FC" hidden="1">"c8130"</definedName>
    <definedName name="IQ_PRE_OPEN_COST" hidden="1">"c1040"</definedName>
    <definedName name="IQ_PRE_TAX_ACT_OR_EST" hidden="1">"c2221"</definedName>
    <definedName name="IQ_PRE_TAX_ACT_OR_EST_CIQ" hidden="1">"c5064"</definedName>
    <definedName name="IQ_PRE_TAX_ACT_OR_EST_THOM" hidden="1">"c5305"</definedName>
    <definedName name="IQ_PRE_TAX_INCOME_FDIC" hidden="1">"c6581"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localSheetId="20" hidden="1">"C6022"</definedName>
    <definedName name="IQ_PREF_OTHER_UTI" localSheetId="21" hidden="1">"C6022"</definedName>
    <definedName name="IQ_PREF_OTHER_UTI" localSheetId="22" hidden="1">"C6022"</definedName>
    <definedName name="IQ_PREF_OTHER_UTI" localSheetId="23" hidden="1">"C6022"</definedName>
    <definedName name="IQ_PREF_OTHER_UTI" localSheetId="24" hidden="1">"C6022"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"c1416"</definedName>
    <definedName name="IQ_PREF_STOCK_FFIEC" hidden="1">"c12875"</definedName>
    <definedName name="IQ_PREF_TOT" hidden="1">"c1415"</definedName>
    <definedName name="IQ_PREFERRED_DEPOSITS_FFIEC" hidden="1">"c15312"</definedName>
    <definedName name="IQ_PREFERRED_FDIC" hidden="1">"c6349"</definedName>
    <definedName name="IQ_PREFERRED_LIST" hidden="1">"c13506"</definedName>
    <definedName name="IQ_PREMISES_EQUIPMENT_FDIC" hidden="1">"c6577"</definedName>
    <definedName name="IQ_PREMISES_FIXED_ASSETS_CAP_LEASES_FFIEC" hidden="1">"c12830"</definedName>
    <definedName name="IQ_PREMIUM_INSURANCE_CREDIT_FFIEC" hidden="1">"c13070"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SIDENT_ID" hidden="1">"c15216"</definedName>
    <definedName name="IQ_PRESIDENT_NAME" hidden="1">"c15215"</definedName>
    <definedName name="IQ_PRETAX_GW_INC_EST" hidden="1">"c1702"</definedName>
    <definedName name="IQ_PRETAX_GW_INC_EST_CIQ" hidden="1">"c4688"</definedName>
    <definedName name="IQ_PRETAX_GW_INC_HIGH_EST" hidden="1">"c1704"</definedName>
    <definedName name="IQ_PRETAX_GW_INC_HIGH_EST_CIQ" hidden="1">"c4690"</definedName>
    <definedName name="IQ_PRETAX_GW_INC_LOW_EST" hidden="1">"c1705"</definedName>
    <definedName name="IQ_PRETAX_GW_INC_LOW_EST_CIQ" hidden="1">"c4691"</definedName>
    <definedName name="IQ_PRETAX_GW_INC_MEDIAN_EST" hidden="1">"c1703"</definedName>
    <definedName name="IQ_PRETAX_GW_INC_MEDIAN_EST_CIQ" hidden="1">"c4689"</definedName>
    <definedName name="IQ_PRETAX_GW_INC_NUM_EST" hidden="1">"c1706"</definedName>
    <definedName name="IQ_PRETAX_GW_INC_NUM_EST_CIQ" hidden="1">"c4692"</definedName>
    <definedName name="IQ_PRETAX_GW_INC_STDDEV_EST" hidden="1">"c1707"</definedName>
    <definedName name="IQ_PRETAX_GW_INC_STDDEV_EST_CIQ" hidden="1">"c4693"</definedName>
    <definedName name="IQ_PRETAX_INC_AFTER_CAP_ALLOCATION_FOREIGN_FFIEC" hidden="1">"c15390"</definedName>
    <definedName name="IQ_PRETAX_INC_BEFORE_CAP_ALLOCATION_FOREIGN_FFIEC" hidden="1">"c15388"</definedName>
    <definedName name="IQ_PRETAX_INC_EST" hidden="1">"c1695"</definedName>
    <definedName name="IQ_PRETAX_INC_EST_CIQ" hidden="1">"c4681"</definedName>
    <definedName name="IQ_PRETAX_INC_EST_THOM" hidden="1">"c5119"</definedName>
    <definedName name="IQ_PRETAX_INC_HIGH_EST" hidden="1">"c1697"</definedName>
    <definedName name="IQ_PRETAX_INC_HIGH_EST_CIQ" hidden="1">"c4683"</definedName>
    <definedName name="IQ_PRETAX_INC_HIGH_EST_THOM" hidden="1">"c5121"</definedName>
    <definedName name="IQ_PRETAX_INC_LOW_EST" hidden="1">"c1698"</definedName>
    <definedName name="IQ_PRETAX_INC_LOW_EST_CIQ" hidden="1">"c4684"</definedName>
    <definedName name="IQ_PRETAX_INC_LOW_EST_THOM" hidden="1">"c5122"</definedName>
    <definedName name="IQ_PRETAX_INC_MEDIAN_EST" hidden="1">"c1696"</definedName>
    <definedName name="IQ_PRETAX_INC_MEDIAN_EST_CIQ" hidden="1">"c4682"</definedName>
    <definedName name="IQ_PRETAX_INC_MEDIAN_EST_THOM" hidden="1">"c5120"</definedName>
    <definedName name="IQ_PRETAX_INC_NUM_EST" hidden="1">"c1699"</definedName>
    <definedName name="IQ_PRETAX_INC_NUM_EST_CIQ" hidden="1">"c4685"</definedName>
    <definedName name="IQ_PRETAX_INC_NUM_EST_THOM" hidden="1">"c5123"</definedName>
    <definedName name="IQ_PRETAX_INC_STDDEV_EST" hidden="1">"c1700"</definedName>
    <definedName name="IQ_PRETAX_INC_STDDEV_EST_CIQ" hidden="1">"c4686"</definedName>
    <definedName name="IQ_PRETAX_INC_STDDEV_EST_THOM" hidden="1">"c5124"</definedName>
    <definedName name="IQ_PRETAX_OPERATING_INC_AVG_ASSETS_FFIEC" hidden="1">"c13365"</definedName>
    <definedName name="IQ_PRETAX_REPORT_INC_EST" hidden="1">"c1709"</definedName>
    <definedName name="IQ_PRETAX_REPORT_INC_EST_CIQ" hidden="1">"c4695"</definedName>
    <definedName name="IQ_PRETAX_REPORT_INC_HIGH_EST" hidden="1">"c1711"</definedName>
    <definedName name="IQ_PRETAX_REPORT_INC_HIGH_EST_CIQ" hidden="1">"c4697"</definedName>
    <definedName name="IQ_PRETAX_REPORT_INC_LOW_EST" hidden="1">"c1712"</definedName>
    <definedName name="IQ_PRETAX_REPORT_INC_LOW_EST_CIQ" hidden="1">"c4698"</definedName>
    <definedName name="IQ_PRETAX_REPORT_INC_MEDIAN_EST" hidden="1">"c1710"</definedName>
    <definedName name="IQ_PRETAX_REPORT_INC_MEDIAN_EST_CIQ" hidden="1">"c4696"</definedName>
    <definedName name="IQ_PRETAX_REPORT_INC_NUM_EST" hidden="1">"c1713"</definedName>
    <definedName name="IQ_PRETAX_REPORT_INC_NUM_EST_CIQ" hidden="1">"c4699"</definedName>
    <definedName name="IQ_PRETAX_REPORT_INC_STDDEV_EST" hidden="1">"c1714"</definedName>
    <definedName name="IQ_PRETAX_REPORT_INC_STDDEV_EST_CIQ" hidden="1">"c4700"</definedName>
    <definedName name="IQ_PRETAX_RETURN_ASSETS_FDIC" hidden="1">"c6731"</definedName>
    <definedName name="IQ_PREV_MONTHLY_FACTOR" hidden="1">"c8973"</definedName>
    <definedName name="IQ_PREV_MONTHLY_FACTOR_DATE" hidden="1">"c8974"</definedName>
    <definedName name="IQ_PRICE_CFPS_FWD" hidden="1">"c2237"</definedName>
    <definedName name="IQ_PRICE_CFPS_FWD_CIQ" hidden="1">"c4046"</definedName>
    <definedName name="IQ_PRICE_CFPS_FWD_THOM" hidden="1">"c4060"</definedName>
    <definedName name="IQ_PRICE_OVER_BVPS" hidden="1">"c1412"</definedName>
    <definedName name="IQ_PRICE_OVER_LTM_EPS" hidden="1">"c1413"</definedName>
    <definedName name="IQ_PRICE_PAID_FARM_INDEX" hidden="1">"c6948"</definedName>
    <definedName name="IQ_PRICE_PAID_FARM_INDEX_APR" hidden="1">"c7608"</definedName>
    <definedName name="IQ_PRICE_PAID_FARM_INDEX_APR_FC" hidden="1">"c8488"</definedName>
    <definedName name="IQ_PRICE_PAID_FARM_INDEX_FC" hidden="1">"c7828"</definedName>
    <definedName name="IQ_PRICE_PAID_FARM_INDEX_POP" hidden="1">"c7168"</definedName>
    <definedName name="IQ_PRICE_PAID_FARM_INDEX_POP_FC" hidden="1">"c8048"</definedName>
    <definedName name="IQ_PRICE_PAID_FARM_INDEX_YOY" hidden="1">"c7388"</definedName>
    <definedName name="IQ_PRICE_PAID_FARM_INDEX_YOY_FC" hidden="1">"c8268"</definedName>
    <definedName name="IQ_PRICE_TARGET" hidden="1">"c82"</definedName>
    <definedName name="IQ_PRICE_TARGET_BOTTOM_UP" hidden="1">"c5486"</definedName>
    <definedName name="IQ_PRICE_TARGET_BOTTOM_UP_CIQ" hidden="1">"c12023"</definedName>
    <definedName name="IQ_PRICE_TARGET_CIQ" hidden="1">"c3613"</definedName>
    <definedName name="IQ_PRICE_TARGET_THOM" hidden="1">"c3649"</definedName>
    <definedName name="IQ_PRICE_VOL_HIST_2YR" hidden="1">"c15637"</definedName>
    <definedName name="IQ_PRICE_VOL_HIST_3MTH" hidden="1">"c15634"</definedName>
    <definedName name="IQ_PRICE_VOL_HIST_5YR" hidden="1">"c15638"</definedName>
    <definedName name="IQ_PRICE_VOL_HIST_6MTH" hidden="1">"c15635"</definedName>
    <definedName name="IQ_PRICE_VOL_HIST_YR" hidden="1">"c15636"</definedName>
    <definedName name="IQ_PRICE_VOLATILITY_EST" hidden="1">"c4492"</definedName>
    <definedName name="IQ_PRICE_VOLATILITY_EST_CIQ" hidden="1">"c5030"</definedName>
    <definedName name="IQ_PRICE_VOLATILITY_HIGH" hidden="1">"c4493"</definedName>
    <definedName name="IQ_PRICE_VOLATILITY_HIGH_CIQ" hidden="1">"c5031"</definedName>
    <definedName name="IQ_PRICE_VOLATILITY_LOW" hidden="1">"c4494"</definedName>
    <definedName name="IQ_PRICE_VOLATILITY_LOW_CIQ" hidden="1">"c5032"</definedName>
    <definedName name="IQ_PRICE_VOLATILITY_MEDIAN" hidden="1">"c4495"</definedName>
    <definedName name="IQ_PRICE_VOLATILITY_MEDIAN_CIQ" hidden="1">"c5033"</definedName>
    <definedName name="IQ_PRICE_VOLATILITY_NUM" hidden="1">"c4496"</definedName>
    <definedName name="IQ_PRICE_VOLATILITY_NUM_CIQ" hidden="1">"c5034"</definedName>
    <definedName name="IQ_PRICE_VOLATILITY_STDDEV" hidden="1">"c4497"</definedName>
    <definedName name="IQ_PRICE_VOLATILITY_STDDEV_CIQ" hidden="1">"c5035"</definedName>
    <definedName name="IQ_PRICEDATE" hidden="1">"c1069"</definedName>
    <definedName name="IQ_PRICING_DATE" hidden="1">"c1613"</definedName>
    <definedName name="IQ_PRIMARY_EPS_TYPE" hidden="1">"c4498"</definedName>
    <definedName name="IQ_PRIMARY_EPS_TYPE_CIQ" hidden="1">"c5036"</definedName>
    <definedName name="IQ_PRIMARY_EPS_TYPE_THOM" hidden="1">"c5297"</definedName>
    <definedName name="IQ_PRIMARY_INDUSTRY" hidden="1">"c1070"</definedName>
    <definedName name="IQ_PRINCIPAL_AMT" hidden="1">"c2157"</definedName>
    <definedName name="IQ_PRIVATE_CONST_TOTAL_APR_FC_UNUSED" hidden="1">"c8559"</definedName>
    <definedName name="IQ_PRIVATE_CONST_TOTAL_APR_FC_UNUSED_UNUSED_UNUSED" hidden="1">"c8559"</definedName>
    <definedName name="IQ_PRIVATE_CONST_TOTAL_APR_UNUSED" hidden="1">"c7679"</definedName>
    <definedName name="IQ_PRIVATE_CONST_TOTAL_APR_UNUSED_UNUSED_UNUSED" hidden="1">"c7679"</definedName>
    <definedName name="IQ_PRIVATE_CONST_TOTAL_FC_UNUSED" hidden="1">"c7899"</definedName>
    <definedName name="IQ_PRIVATE_CONST_TOTAL_FC_UNUSED_UNUSED_UNUSED" hidden="1">"c7899"</definedName>
    <definedName name="IQ_PRIVATE_CONST_TOTAL_POP_FC_UNUSED" hidden="1">"c8119"</definedName>
    <definedName name="IQ_PRIVATE_CONST_TOTAL_POP_FC_UNUSED_UNUSED_UNUSED" hidden="1">"c8119"</definedName>
    <definedName name="IQ_PRIVATE_CONST_TOTAL_POP_UNUSED" hidden="1">"c7239"</definedName>
    <definedName name="IQ_PRIVATE_CONST_TOTAL_POP_UNUSED_UNUSED_UNUSED" hidden="1">"c7239"</definedName>
    <definedName name="IQ_PRIVATE_CONST_TOTAL_UNUSED" hidden="1">"c7019"</definedName>
    <definedName name="IQ_PRIVATE_CONST_TOTAL_UNUSED_UNUSED_UNUSED" hidden="1">"c7019"</definedName>
    <definedName name="IQ_PRIVATE_CONST_TOTAL_YOY_FC_UNUSED" hidden="1">"c8339"</definedName>
    <definedName name="IQ_PRIVATE_CONST_TOTAL_YOY_FC_UNUSED_UNUSED_UNUSED" hidden="1">"c8339"</definedName>
    <definedName name="IQ_PRIVATE_CONST_TOTAL_YOY_UNUSED" hidden="1">"c7459"</definedName>
    <definedName name="IQ_PRIVATE_CONST_TOTAL_YOY_UNUSED_UNUSED_UNUSED" hidden="1">"c7459"</definedName>
    <definedName name="IQ_PRIVATE_FIXED_INVEST_TOTAL" hidden="1">"c12006"</definedName>
    <definedName name="IQ_PRIVATE_FIXED_INVEST_TOTAL_APR" hidden="1">"c12009"</definedName>
    <definedName name="IQ_PRIVATE_FIXED_INVEST_TOTAL_POP" hidden="1">"c12007"</definedName>
    <definedName name="IQ_PRIVATE_FIXED_INVEST_TOTAL_YOY" hidden="1">"c12008"</definedName>
    <definedName name="IQ_PRIVATE_NONRES_CONST_IMPROV" hidden="1">"c6949"</definedName>
    <definedName name="IQ_PRIVATE_NONRES_CONST_IMPROV_APR" hidden="1">"c7609"</definedName>
    <definedName name="IQ_PRIVATE_NONRES_CONST_IMPROV_APR_FC" hidden="1">"c8489"</definedName>
    <definedName name="IQ_PRIVATE_NONRES_CONST_IMPROV_FC" hidden="1">"c7829"</definedName>
    <definedName name="IQ_PRIVATE_NONRES_CONST_IMPROV_POP" hidden="1">"c7169"</definedName>
    <definedName name="IQ_PRIVATE_NONRES_CONST_IMPROV_POP_FC" hidden="1">"c8049"</definedName>
    <definedName name="IQ_PRIVATE_NONRES_CONST_IMPROV_YOY" hidden="1">"c7389"</definedName>
    <definedName name="IQ_PRIVATE_NONRES_CONST_IMPROV_YOY_FC" hidden="1">"c8269"</definedName>
    <definedName name="IQ_PRIVATE_RES_CONST_IMPROV" hidden="1">"c6950"</definedName>
    <definedName name="IQ_PRIVATE_RES_CONST_IMPROV_APR" hidden="1">"c7610"</definedName>
    <definedName name="IQ_PRIVATE_RES_CONST_IMPROV_APR_FC" hidden="1">"c8490"</definedName>
    <definedName name="IQ_PRIVATE_RES_CONST_IMPROV_FC" hidden="1">"c7830"</definedName>
    <definedName name="IQ_PRIVATE_RES_CONST_IMPROV_POP" hidden="1">"c7170"</definedName>
    <definedName name="IQ_PRIVATE_RES_CONST_IMPROV_POP_FC" hidden="1">"c8050"</definedName>
    <definedName name="IQ_PRIVATE_RES_CONST_IMPROV_YOY" hidden="1">"c7390"</definedName>
    <definedName name="IQ_PRIVATE_RES_CONST_IMPROV_YOY_FC" hidden="1">"c8270"</definedName>
    <definedName name="IQ_PRIVATE_RES_CONST_REAL_APR_FC_UNUSED" hidden="1">"c8535"</definedName>
    <definedName name="IQ_PRIVATE_RES_CONST_REAL_APR_FC_UNUSED_UNUSED_UNUSED" hidden="1">"c8535"</definedName>
    <definedName name="IQ_PRIVATE_RES_CONST_REAL_APR_UNUSED" hidden="1">"c7655"</definedName>
    <definedName name="IQ_PRIVATE_RES_CONST_REAL_APR_UNUSED_UNUSED_UNUSED" hidden="1">"c7655"</definedName>
    <definedName name="IQ_PRIVATE_RES_CONST_REAL_FC_UNUSED" hidden="1">"c7875"</definedName>
    <definedName name="IQ_PRIVATE_RES_CONST_REAL_FC_UNUSED_UNUSED_UNUSED" hidden="1">"c7875"</definedName>
    <definedName name="IQ_PRIVATE_RES_CONST_REAL_POP_FC_UNUSED" hidden="1">"c8095"</definedName>
    <definedName name="IQ_PRIVATE_RES_CONST_REAL_POP_FC_UNUSED_UNUSED_UNUSED" hidden="1">"c8095"</definedName>
    <definedName name="IQ_PRIVATE_RES_CONST_REAL_POP_UNUSED" hidden="1">"c7215"</definedName>
    <definedName name="IQ_PRIVATE_RES_CONST_REAL_POP_UNUSED_UNUSED_UNUSED" hidden="1">"c7215"</definedName>
    <definedName name="IQ_PRIVATE_RES_CONST_REAL_UNUSED" hidden="1">"c6995"</definedName>
    <definedName name="IQ_PRIVATE_RES_CONST_REAL_UNUSED_UNUSED_UNUSED" hidden="1">"c6995"</definedName>
    <definedName name="IQ_PRIVATE_RES_CONST_REAL_YOY_FC_UNUSED" hidden="1">"c8315"</definedName>
    <definedName name="IQ_PRIVATE_RES_CONST_REAL_YOY_FC_UNUSED_UNUSED_UNUSED" hidden="1">"c8315"</definedName>
    <definedName name="IQ_PRIVATE_RES_CONST_REAL_YOY_UNUSED" hidden="1">"c7435"</definedName>
    <definedName name="IQ_PRIVATE_RES_CONST_REAL_YOY_UNUSED_UNUSED_UNUSED" hidden="1">"c7435"</definedName>
    <definedName name="IQ_PRIVATE_RES_FIXED_INVEST_REAL" hidden="1">"c11986"</definedName>
    <definedName name="IQ_PRIVATE_RES_FIXED_INVEST_REAL_APR" hidden="1">"c11989"</definedName>
    <definedName name="IQ_PRIVATE_RES_FIXED_INVEST_REAL_POP" hidden="1">"c11987"</definedName>
    <definedName name="IQ_PRIVATE_RES_FIXED_INVEST_REAL_YOY" hidden="1">"c11988"</definedName>
    <definedName name="IQ_PRIVATELY_ISSUED_MORTGAGE_BACKED_SECURITIES_FDIC" hidden="1">"c6407"</definedName>
    <definedName name="IQ_PRIVATELY_ISSUED_MORTGAGE_PASS_THROUGHS_FDIC" hidden="1">"c6405"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BABLE_ATTRIB_ORE_RESERVES_ALUM" hidden="1">"c9217"</definedName>
    <definedName name="IQ_PROBABLE_ATTRIB_ORE_RESERVES_COP" hidden="1">"c9161"</definedName>
    <definedName name="IQ_PROBABLE_ATTRIB_ORE_RESERVES_DIAM" hidden="1">"c9641"</definedName>
    <definedName name="IQ_PROBABLE_ATTRIB_ORE_RESERVES_GOLD" hidden="1">"c9002"</definedName>
    <definedName name="IQ_PROBABLE_ATTRIB_ORE_RESERVES_IRON" hidden="1">"c9376"</definedName>
    <definedName name="IQ_PROBABLE_ATTRIB_ORE_RESERVES_LEAD" hidden="1">"c9429"</definedName>
    <definedName name="IQ_PROBABLE_ATTRIB_ORE_RESERVES_MANG" hidden="1">"c9482"</definedName>
    <definedName name="IQ_PROBABLE_ATTRIB_ORE_RESERVES_MOLYB" hidden="1">"c9694"</definedName>
    <definedName name="IQ_PROBABLE_ATTRIB_ORE_RESERVES_NICK" hidden="1">"c9270"</definedName>
    <definedName name="IQ_PROBABLE_ATTRIB_ORE_RESERVES_PLAT" hidden="1">"c9108"</definedName>
    <definedName name="IQ_PROBABLE_ATTRIB_ORE_RESERVES_SILVER" hidden="1">"c9055"</definedName>
    <definedName name="IQ_PROBABLE_ATTRIB_ORE_RESERVES_TITAN" hidden="1">"c9535"</definedName>
    <definedName name="IQ_PROBABLE_ATTRIB_ORE_RESERVES_URAN" hidden="1">"c9588"</definedName>
    <definedName name="IQ_PROBABLE_ATTRIB_ORE_RESERVES_ZINC" hidden="1">"c9323"</definedName>
    <definedName name="IQ_PROBABLE_ORE_RESERVES_ALUM" hidden="1">"c9209"</definedName>
    <definedName name="IQ_PROBABLE_ORE_RESERVES_COP" hidden="1">"c9153"</definedName>
    <definedName name="IQ_PROBABLE_ORE_RESERVES_DIAM" hidden="1">"c9633"</definedName>
    <definedName name="IQ_PROBABLE_ORE_RESERVES_GOLD" hidden="1">"c8994"</definedName>
    <definedName name="IQ_PROBABLE_ORE_RESERVES_IRON" hidden="1">"c9368"</definedName>
    <definedName name="IQ_PROBABLE_ORE_RESERVES_LEAD" hidden="1">"c9421"</definedName>
    <definedName name="IQ_PROBABLE_ORE_RESERVES_MANG" hidden="1">"c9474"</definedName>
    <definedName name="IQ_PROBABLE_ORE_RESERVES_MOLYB" hidden="1">"c9686"</definedName>
    <definedName name="IQ_PROBABLE_ORE_RESERVES_NICK" hidden="1">"c9262"</definedName>
    <definedName name="IQ_PROBABLE_ORE_RESERVES_PLAT" hidden="1">"c9100"</definedName>
    <definedName name="IQ_PROBABLE_ORE_RESERVES_SILVER" hidden="1">"c9047"</definedName>
    <definedName name="IQ_PROBABLE_ORE_RESERVES_TITAN" hidden="1">"c9527"</definedName>
    <definedName name="IQ_PROBABLE_ORE_RESERVES_URAN" hidden="1">"c9580"</definedName>
    <definedName name="IQ_PROBABLE_ORE_RESERVES_ZINC" hidden="1">"c9315"</definedName>
    <definedName name="IQ_PROBABLE_RECOV_ATTRIB_RESERVES_ALUM" hidden="1">"c9220"</definedName>
    <definedName name="IQ_PROBABLE_RECOV_ATTRIB_RESERVES_COAL" hidden="1">"c9804"</definedName>
    <definedName name="IQ_PROBABLE_RECOV_ATTRIB_RESERVES_COP" hidden="1">"c9164"</definedName>
    <definedName name="IQ_PROBABLE_RECOV_ATTRIB_RESERVES_DIAM" hidden="1">"c9644"</definedName>
    <definedName name="IQ_PROBABLE_RECOV_ATTRIB_RESERVES_GOLD" hidden="1">"c9005"</definedName>
    <definedName name="IQ_PROBABLE_RECOV_ATTRIB_RESERVES_IRON" hidden="1">"c9379"</definedName>
    <definedName name="IQ_PROBABLE_RECOV_ATTRIB_RESERVES_LEAD" hidden="1">"c9432"</definedName>
    <definedName name="IQ_PROBABLE_RECOV_ATTRIB_RESERVES_MANG" hidden="1">"c9485"</definedName>
    <definedName name="IQ_PROBABLE_RECOV_ATTRIB_RESERVES_MET_COAL" hidden="1">"c9744"</definedName>
    <definedName name="IQ_PROBABLE_RECOV_ATTRIB_RESERVES_MOLYB" hidden="1">"c9697"</definedName>
    <definedName name="IQ_PROBABLE_RECOV_ATTRIB_RESERVES_NICK" hidden="1">"c9273"</definedName>
    <definedName name="IQ_PROBABLE_RECOV_ATTRIB_RESERVES_PLAT" hidden="1">"c9111"</definedName>
    <definedName name="IQ_PROBABLE_RECOV_ATTRIB_RESERVES_SILVER" hidden="1">"c9058"</definedName>
    <definedName name="IQ_PROBABLE_RECOV_ATTRIB_RESERVES_STEAM" hidden="1">"c9774"</definedName>
    <definedName name="IQ_PROBABLE_RECOV_ATTRIB_RESERVES_TITAN" hidden="1">"c9538"</definedName>
    <definedName name="IQ_PROBABLE_RECOV_ATTRIB_RESERVES_URAN" hidden="1">"c9591"</definedName>
    <definedName name="IQ_PROBABLE_RECOV_ATTRIB_RESERVES_ZINC" hidden="1">"c9326"</definedName>
    <definedName name="IQ_PROBABLE_RECOV_RESERVES_ALUM" hidden="1">"c9214"</definedName>
    <definedName name="IQ_PROBABLE_RECOV_RESERVES_COAL" hidden="1">"c9801"</definedName>
    <definedName name="IQ_PROBABLE_RECOV_RESERVES_COP" hidden="1">"c9158"</definedName>
    <definedName name="IQ_PROBABLE_RECOV_RESERVES_DIAM" hidden="1">"c9638"</definedName>
    <definedName name="IQ_PROBABLE_RECOV_RESERVES_GOLD" hidden="1">"c8999"</definedName>
    <definedName name="IQ_PROBABLE_RECOV_RESERVES_IRON" hidden="1">"c9373"</definedName>
    <definedName name="IQ_PROBABLE_RECOV_RESERVES_LEAD" hidden="1">"c9426"</definedName>
    <definedName name="IQ_PROBABLE_RECOV_RESERVES_MANG" hidden="1">"c9479"</definedName>
    <definedName name="IQ_PROBABLE_RECOV_RESERVES_MET_COAL" hidden="1">"c9741"</definedName>
    <definedName name="IQ_PROBABLE_RECOV_RESERVES_MOLYB" hidden="1">"c9691"</definedName>
    <definedName name="IQ_PROBABLE_RECOV_RESERVES_NICK" hidden="1">"c9267"</definedName>
    <definedName name="IQ_PROBABLE_RECOV_RESERVES_PLAT" hidden="1">"c9105"</definedName>
    <definedName name="IQ_PROBABLE_RECOV_RESERVES_SILVER" hidden="1">"c9052"</definedName>
    <definedName name="IQ_PROBABLE_RECOV_RESERVES_STEAM" hidden="1">"c9771"</definedName>
    <definedName name="IQ_PROBABLE_RECOV_RESERVES_TITAN" hidden="1">"c9532"</definedName>
    <definedName name="IQ_PROBABLE_RECOV_RESERVES_URAN" hidden="1">"c9585"</definedName>
    <definedName name="IQ_PROBABLE_RECOV_RESERVES_ZINC" hidden="1">"c9320"</definedName>
    <definedName name="IQ_PROBABLE_RESERVES_CALORIFIC_VALUE_COAL" hidden="1">"c9798"</definedName>
    <definedName name="IQ_PROBABLE_RESERVES_CALORIFIC_VALUE_MET_COAL" hidden="1">"c9738"</definedName>
    <definedName name="IQ_PROBABLE_RESERVES_CALORIFIC_VALUE_STEAM" hidden="1">"c9768"</definedName>
    <definedName name="IQ_PROBABLE_RESERVES_GRADE_ALUM" hidden="1">"c9210"</definedName>
    <definedName name="IQ_PROBABLE_RESERVES_GRADE_COP" hidden="1">"c9154"</definedName>
    <definedName name="IQ_PROBABLE_RESERVES_GRADE_DIAM" hidden="1">"c9634"</definedName>
    <definedName name="IQ_PROBABLE_RESERVES_GRADE_GOLD" hidden="1">"c8995"</definedName>
    <definedName name="IQ_PROBABLE_RESERVES_GRADE_IRON" hidden="1">"c9369"</definedName>
    <definedName name="IQ_PROBABLE_RESERVES_GRADE_LEAD" hidden="1">"c9422"</definedName>
    <definedName name="IQ_PROBABLE_RESERVES_GRADE_MANG" hidden="1">"c9475"</definedName>
    <definedName name="IQ_PROBABLE_RESERVES_GRADE_MOLYB" hidden="1">"c9687"</definedName>
    <definedName name="IQ_PROBABLE_RESERVES_GRADE_NICK" hidden="1">"c9263"</definedName>
    <definedName name="IQ_PROBABLE_RESERVES_GRADE_PLAT" hidden="1">"c9101"</definedName>
    <definedName name="IQ_PROBABLE_RESERVES_GRADE_SILVER" hidden="1">"c9048"</definedName>
    <definedName name="IQ_PROBABLE_RESERVES_GRADE_TITAN" hidden="1">"c9528"</definedName>
    <definedName name="IQ_PROBABLE_RESERVES_GRADE_URAN" hidden="1">"c9581"</definedName>
    <definedName name="IQ_PROBABLE_RESERVES_GRADE_ZINC" hidden="1">"c9316"</definedName>
    <definedName name="IQ_PROBABLE_RESERVES_TO_TOTAL_RESERVES_COAL" hidden="1">"c15953"</definedName>
    <definedName name="IQ_PRODUCTION_COST_ALUM" hidden="1">"c9253"</definedName>
    <definedName name="IQ_PRODUCTION_COST_COAL" hidden="1">"c9826"</definedName>
    <definedName name="IQ_PRODUCTION_COST_COP" hidden="1">"c9200"</definedName>
    <definedName name="IQ_PRODUCTION_COST_DIAM" hidden="1">"c9677"</definedName>
    <definedName name="IQ_PRODUCTION_COST_GOLD" hidden="1">"c9038"</definedName>
    <definedName name="IQ_PRODUCTION_COST_IRON" hidden="1">"c9412"</definedName>
    <definedName name="IQ_PRODUCTION_COST_LEAD" hidden="1">"c9465"</definedName>
    <definedName name="IQ_PRODUCTION_COST_MANG" hidden="1">"c9518"</definedName>
    <definedName name="IQ_PRODUCTION_COST_MET_COAL" hidden="1">"c9763"</definedName>
    <definedName name="IQ_PRODUCTION_COST_MOLYB" hidden="1">"c9730"</definedName>
    <definedName name="IQ_PRODUCTION_COST_NICK" hidden="1">"c9306"</definedName>
    <definedName name="IQ_PRODUCTION_COST_PLAT" hidden="1">"c9144"</definedName>
    <definedName name="IQ_PRODUCTION_COST_SILVER" hidden="1">"c9091"</definedName>
    <definedName name="IQ_PRODUCTION_COST_STEAM" hidden="1">"c9793"</definedName>
    <definedName name="IQ_PRODUCTION_COST_TITAN" hidden="1">"c9571"</definedName>
    <definedName name="IQ_PRODUCTION_COST_URAN" hidden="1">"c9624"</definedName>
    <definedName name="IQ_PRODUCTION_COST_ZINC" hidden="1">"c9359"</definedName>
    <definedName name="IQ_PRODUCTION_TO_SOLD_COAL" hidden="1">"c15945"</definedName>
    <definedName name="IQ_PROFESSIONAL" hidden="1">"c1071"</definedName>
    <definedName name="IQ_PROFESSIONAL_ASSISTANT_EMAIL" hidden="1">"c15169"</definedName>
    <definedName name="IQ_PROFESSIONAL_ASSISTANT_FAX" hidden="1">"c15171"</definedName>
    <definedName name="IQ_PROFESSIONAL_ASSISTANT_NAME" hidden="1">"c15168"</definedName>
    <definedName name="IQ_PROFESSIONAL_ASSISTANT_PHONE" hidden="1">"c15170"</definedName>
    <definedName name="IQ_PROFESSIONAL_BACKGROUND" hidden="1">"c15161"</definedName>
    <definedName name="IQ_PROFESSIONAL_DIRECT_FAX" hidden="1">"c15166"</definedName>
    <definedName name="IQ_PROFESSIONAL_DIRECT_PHONE" hidden="1">"c15165"</definedName>
    <definedName name="IQ_PROFESSIONAL_EMAIL" hidden="1">"c15167"</definedName>
    <definedName name="IQ_PROFESSIONAL_ID" hidden="1">"c13755"</definedName>
    <definedName name="IQ_PROFESSIONAL_MAIN_FAX" hidden="1">"c15164"</definedName>
    <definedName name="IQ_PROFESSIONAL_MAIN_PHONE" hidden="1">"c15163"</definedName>
    <definedName name="IQ_PROFESSIONAL_OFFICE_ADDRESS" hidden="1">"c15162"</definedName>
    <definedName name="IQ_PROFESSIONAL_TITLE" hidden="1">"c1072"</definedName>
    <definedName name="IQ_PROFIT_AFTER_COST_CAPITAL_NEW_BUSINESS" hidden="1">"c9969"</definedName>
    <definedName name="IQ_PROFIT_BEFORE_COST_CAPITAL_NEW_BUSINESS" hidden="1">"c9967"</definedName>
    <definedName name="IQ_PROGRAMMING_COSTS" hidden="1">"c2884"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_MGMT_EXPENSE" hidden="1">"c16038"</definedName>
    <definedName name="IQ_PROP_MGMT_INCOME" hidden="1">"c16028"</definedName>
    <definedName name="IQ_PROP_OPERATING_EXPENSE" hidden="1">"c16037"</definedName>
    <definedName name="IQ_PROP_RENTAL_REVENUE" hidden="1">"c16019"</definedName>
    <definedName name="IQ_PROP_SALES_EXPENSE" hidden="1">"c16044"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PERTY_TAX_INSURANCE" hidden="1">"c16033"</definedName>
    <definedName name="IQ_PROV_BAD_DEBTS" hidden="1">"c1075"</definedName>
    <definedName name="IQ_PROV_BAD_DEBTS_CF" hidden="1">"c1076"</definedName>
    <definedName name="IQ_PROVED_ATTRIB_ORE_RESERVES_ALUM" hidden="1">"c9216"</definedName>
    <definedName name="IQ_PROVED_ATTRIB_ORE_RESERVES_COP" hidden="1">"c9160"</definedName>
    <definedName name="IQ_PROVED_ATTRIB_ORE_RESERVES_DIAM" hidden="1">"c9640"</definedName>
    <definedName name="IQ_PROVED_ATTRIB_ORE_RESERVES_GOLD" hidden="1">"c9001"</definedName>
    <definedName name="IQ_PROVED_ATTRIB_ORE_RESERVES_IRON" hidden="1">"c9375"</definedName>
    <definedName name="IQ_PROVED_ATTRIB_ORE_RESERVES_LEAD" hidden="1">"c9428"</definedName>
    <definedName name="IQ_PROVED_ATTRIB_ORE_RESERVES_MANG" hidden="1">"c9481"</definedName>
    <definedName name="IQ_PROVED_ATTRIB_ORE_RESERVES_MOLYB" hidden="1">"c9693"</definedName>
    <definedName name="IQ_PROVED_ATTRIB_ORE_RESERVES_NICK" hidden="1">"c9269"</definedName>
    <definedName name="IQ_PROVED_ATTRIB_ORE_RESERVES_PLAT" hidden="1">"c9107"</definedName>
    <definedName name="IQ_PROVED_ATTRIB_ORE_RESERVES_SILVER" hidden="1">"c9054"</definedName>
    <definedName name="IQ_PROVED_ATTRIB_ORE_RESERVES_TITAN" hidden="1">"c9534"</definedName>
    <definedName name="IQ_PROVED_ATTRIB_ORE_RESERVES_URAN" hidden="1">"c9587"</definedName>
    <definedName name="IQ_PROVED_ATTRIB_ORE_RESERVES_ZINC" hidden="1">"c9322"</definedName>
    <definedName name="IQ_PROVED_ORE_RESERVES_ALUM" hidden="1">"c9207"</definedName>
    <definedName name="IQ_PROVED_ORE_RESERVES_COP" hidden="1">"c9151"</definedName>
    <definedName name="IQ_PROVED_ORE_RESERVES_DIAM" hidden="1">"c9631"</definedName>
    <definedName name="IQ_PROVED_ORE_RESERVES_GOLD" hidden="1">"c8992"</definedName>
    <definedName name="IQ_PROVED_ORE_RESERVES_IRON" hidden="1">"c9366"</definedName>
    <definedName name="IQ_PROVED_ORE_RESERVES_LEAD" hidden="1">"c9419"</definedName>
    <definedName name="IQ_PROVED_ORE_RESERVES_MANG" hidden="1">"c9472"</definedName>
    <definedName name="IQ_PROVED_ORE_RESERVES_MOLYB" hidden="1">"c9684"</definedName>
    <definedName name="IQ_PROVED_ORE_RESERVES_NICK" hidden="1">"c9260"</definedName>
    <definedName name="IQ_PROVED_ORE_RESERVES_PLAT" hidden="1">"c9098"</definedName>
    <definedName name="IQ_PROVED_ORE_RESERVES_SILVER" hidden="1">"c9045"</definedName>
    <definedName name="IQ_PROVED_ORE_RESERVES_TITAN" hidden="1">"c9525"</definedName>
    <definedName name="IQ_PROVED_ORE_RESERVES_URAN" hidden="1">"c9578"</definedName>
    <definedName name="IQ_PROVED_ORE_RESERVES_ZINC" hidden="1">"c9313"</definedName>
    <definedName name="IQ_PROVED_RECOV_ATTRIB_RESERVES_ALUM" hidden="1">"c9219"</definedName>
    <definedName name="IQ_PROVED_RECOV_ATTRIB_RESERVES_COAL" hidden="1">"c9803"</definedName>
    <definedName name="IQ_PROVED_RECOV_ATTRIB_RESERVES_COP" hidden="1">"c9163"</definedName>
    <definedName name="IQ_PROVED_RECOV_ATTRIB_RESERVES_DIAM" hidden="1">"c9643"</definedName>
    <definedName name="IQ_PROVED_RECOV_ATTRIB_RESERVES_GOLD" hidden="1">"c9004"</definedName>
    <definedName name="IQ_PROVED_RECOV_ATTRIB_RESERVES_IRON" hidden="1">"c9378"</definedName>
    <definedName name="IQ_PROVED_RECOV_ATTRIB_RESERVES_LEAD" hidden="1">"c9431"</definedName>
    <definedName name="IQ_PROVED_RECOV_ATTRIB_RESERVES_MANG" hidden="1">"c9484"</definedName>
    <definedName name="IQ_PROVED_RECOV_ATTRIB_RESERVES_MET_COAL" hidden="1">"c9743"</definedName>
    <definedName name="IQ_PROVED_RECOV_ATTRIB_RESERVES_MOLYB" hidden="1">"c9696"</definedName>
    <definedName name="IQ_PROVED_RECOV_ATTRIB_RESERVES_NICK" hidden="1">"c9272"</definedName>
    <definedName name="IQ_PROVED_RECOV_ATTRIB_RESERVES_PLAT" hidden="1">"c9110"</definedName>
    <definedName name="IQ_PROVED_RECOV_ATTRIB_RESERVES_SILVER" hidden="1">"c9057"</definedName>
    <definedName name="IQ_PROVED_RECOV_ATTRIB_RESERVES_STEAM" hidden="1">"c9773"</definedName>
    <definedName name="IQ_PROVED_RECOV_ATTRIB_RESERVES_TITAN" hidden="1">"c9537"</definedName>
    <definedName name="IQ_PROVED_RECOV_ATTRIB_RESERVES_URAN" hidden="1">"c9590"</definedName>
    <definedName name="IQ_PROVED_RECOV_ATTRIB_RESERVES_ZINC" hidden="1">"c9325"</definedName>
    <definedName name="IQ_PROVED_RECOV_RESERVES_ALUM" hidden="1">"c9213"</definedName>
    <definedName name="IQ_PROVED_RECOV_RESERVES_COAL" hidden="1">"c9800"</definedName>
    <definedName name="IQ_PROVED_RECOV_RESERVES_COP" hidden="1">"c9157"</definedName>
    <definedName name="IQ_PROVED_RECOV_RESERVES_DIAM" hidden="1">"c9637"</definedName>
    <definedName name="IQ_PROVED_RECOV_RESERVES_GOLD" hidden="1">"c8998"</definedName>
    <definedName name="IQ_PROVED_RECOV_RESERVES_IRON" hidden="1">"c9372"</definedName>
    <definedName name="IQ_PROVED_RECOV_RESERVES_LEAD" hidden="1">"c9425"</definedName>
    <definedName name="IQ_PROVED_RECOV_RESERVES_MANG" hidden="1">"c9478"</definedName>
    <definedName name="IQ_PROVED_RECOV_RESERVES_MET_COAL" hidden="1">"c9740"</definedName>
    <definedName name="IQ_PROVED_RECOV_RESERVES_MOLYB" hidden="1">"c9690"</definedName>
    <definedName name="IQ_PROVED_RECOV_RESERVES_NICK" hidden="1">"c9266"</definedName>
    <definedName name="IQ_PROVED_RECOV_RESERVES_PLAT" hidden="1">"c9104"</definedName>
    <definedName name="IQ_PROVED_RECOV_RESERVES_SILVER" hidden="1">"c9051"</definedName>
    <definedName name="IQ_PROVED_RECOV_RESERVES_STEAM" hidden="1">"c9770"</definedName>
    <definedName name="IQ_PROVED_RECOV_RESERVES_TITAN" hidden="1">"c9531"</definedName>
    <definedName name="IQ_PROVED_RECOV_RESERVES_URAN" hidden="1">"c9584"</definedName>
    <definedName name="IQ_PROVED_RECOV_RESERVES_ZINC" hidden="1">"c9319"</definedName>
    <definedName name="IQ_PROVED_RESERVES_CALORIFIC_VALUE_COAL" hidden="1">"c9797"</definedName>
    <definedName name="IQ_PROVED_RESERVES_CALORIFIC_VALUE_MET_COAL" hidden="1">"c9737"</definedName>
    <definedName name="IQ_PROVED_RESERVES_CALORIFIC_VALUE_STEAM" hidden="1">"c9767"</definedName>
    <definedName name="IQ_PROVED_RESERVES_GRADE_ALUM" hidden="1">"c9208"</definedName>
    <definedName name="IQ_PROVED_RESERVES_GRADE_COP" hidden="1">"c9152"</definedName>
    <definedName name="IQ_PROVED_RESERVES_GRADE_DIAM" hidden="1">"c9632"</definedName>
    <definedName name="IQ_PROVED_RESERVES_GRADE_GOLD" hidden="1">"c8993"</definedName>
    <definedName name="IQ_PROVED_RESERVES_GRADE_IRON" hidden="1">"c9367"</definedName>
    <definedName name="IQ_PROVED_RESERVES_GRADE_LEAD" hidden="1">"c9420"</definedName>
    <definedName name="IQ_PROVED_RESERVES_GRADE_MANG" hidden="1">"c9473"</definedName>
    <definedName name="IQ_PROVED_RESERVES_GRADE_MOLYB" hidden="1">"c9685"</definedName>
    <definedName name="IQ_PROVED_RESERVES_GRADE_NICK" hidden="1">"c9261"</definedName>
    <definedName name="IQ_PROVED_RESERVES_GRADE_PLAT" hidden="1">"c9099"</definedName>
    <definedName name="IQ_PROVED_RESERVES_GRADE_SILVER" hidden="1">"c9046"</definedName>
    <definedName name="IQ_PROVED_RESERVES_GRADE_TITAN" hidden="1">"c9526"</definedName>
    <definedName name="IQ_PROVED_RESERVES_GRADE_URAN" hidden="1">"c9579"</definedName>
    <definedName name="IQ_PROVED_RESERVES_GRADE_ZINC" hidden="1">"c9314"</definedName>
    <definedName name="IQ_PROVEN_RESERVES_TO_TOTAL_RESERVES_COAL" hidden="1">"c15952"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AVG_LOANS" hidden="1">"c15717"</definedName>
    <definedName name="IQ_PROVISION_CHARGE_OFFS" hidden="1">"c1083"</definedName>
    <definedName name="IQ_PROVISION_LL_FFIEC" hidden="1">"c13019"</definedName>
    <definedName name="IQ_PROVISION_LOAN_LOSS_AVG_ASSETS_FFIEC" hidden="1">"c18879"</definedName>
    <definedName name="IQ_PROVISION_LOSSES_AVG_ASSETS_FFIEC" hidden="1">"c13362"</definedName>
    <definedName name="IQ_PROVISION_LOSSES_AVG_LOANS_FFIEC" hidden="1">"c13470"</definedName>
    <definedName name="IQ_PROVISION_LOSSES_NET_LOSSES_FFIEC" hidden="1">"c13471"</definedName>
    <definedName name="IQ_PTBV" hidden="1">"c1084"</definedName>
    <definedName name="IQ_PTBV_AVG" hidden="1">"c1085"</definedName>
    <definedName name="IQ_PURCHASE_FOREIGN_CURRENCIES_FDIC" hidden="1">"c6513"</definedName>
    <definedName name="IQ_PURCHASE_TREASURY_FFIEC" hidden="1">"c12966"</definedName>
    <definedName name="IQ_PURCHASED_COAL" hidden="1">"c15934"</definedName>
    <definedName name="IQ_PURCHASED_CREDIT_RELS_SERVICING_ASSETS_FFIEC" hidden="1">"c12839"</definedName>
    <definedName name="IQ_PURCHASED_OPTION_CONTRACTS_FDIC" hidden="1">"c6510"</definedName>
    <definedName name="IQ_PURCHASED_OPTION_CONTRACTS_FX_RISK_FDIC" hidden="1">"c6515"</definedName>
    <definedName name="IQ_PURCHASED_OPTION_CONTRACTS_NON_FX_IR_FDIC" hidden="1">"c6520"</definedName>
    <definedName name="IQ_PURCHASED_PRODUCTION_TO_SOLD_COAL" hidden="1">"c15947"</definedName>
    <definedName name="IQ_PURCHASED_TO_PRODUCTION_COAL" hidden="1">"c15948"</definedName>
    <definedName name="IQ_PURCHASED_TO_SOLD_COAL" hidden="1">"c15946"</definedName>
    <definedName name="IQ_PURCHASES_EQUIP_NONRES_SAAR_APR_FC_UNUSED" hidden="1">"c8491"</definedName>
    <definedName name="IQ_PURCHASES_EQUIP_NONRES_SAAR_APR_FC_UNUSED_UNUSED_UNUSED" hidden="1">"c8491"</definedName>
    <definedName name="IQ_PURCHASES_EQUIP_NONRES_SAAR_APR_UNUSED" hidden="1">"c7611"</definedName>
    <definedName name="IQ_PURCHASES_EQUIP_NONRES_SAAR_APR_UNUSED_UNUSED_UNUSED" hidden="1">"c7611"</definedName>
    <definedName name="IQ_PURCHASES_EQUIP_NONRES_SAAR_FC_UNUSED" hidden="1">"c7831"</definedName>
    <definedName name="IQ_PURCHASES_EQUIP_NONRES_SAAR_FC_UNUSED_UNUSED_UNUSED" hidden="1">"c7831"</definedName>
    <definedName name="IQ_PURCHASES_EQUIP_NONRES_SAAR_POP_FC_UNUSED" hidden="1">"c8051"</definedName>
    <definedName name="IQ_PURCHASES_EQUIP_NONRES_SAAR_POP_FC_UNUSED_UNUSED_UNUSED" hidden="1">"c8051"</definedName>
    <definedName name="IQ_PURCHASES_EQUIP_NONRES_SAAR_POP_UNUSED" hidden="1">"c7171"</definedName>
    <definedName name="IQ_PURCHASES_EQUIP_NONRES_SAAR_POP_UNUSED_UNUSED_UNUSED" hidden="1">"c7171"</definedName>
    <definedName name="IQ_PURCHASES_EQUIP_NONRES_SAAR_UNUSED" hidden="1">"c6951"</definedName>
    <definedName name="IQ_PURCHASES_EQUIP_NONRES_SAAR_UNUSED_UNUSED_UNUSED" hidden="1">"c6951"</definedName>
    <definedName name="IQ_PURCHASES_EQUIP_NONRES_SAAR_YOY_FC_UNUSED" hidden="1">"c8271"</definedName>
    <definedName name="IQ_PURCHASES_EQUIP_NONRES_SAAR_YOY_FC_UNUSED_UNUSED_UNUSED" hidden="1">"c8271"</definedName>
    <definedName name="IQ_PURCHASES_EQUIP_NONRES_SAAR_YOY_UNUSED" hidden="1">"c7391"</definedName>
    <definedName name="IQ_PURCHASES_EQUIP_NONRES_SAAR_YOY_UNUSED_UNUSED_UNUSED" hidden="1">"c7391"</definedName>
    <definedName name="IQ_PURCHASING_SECURITIES_LL_REC_FFIEC" hidden="1">"c12893"</definedName>
    <definedName name="IQ_PUT_DATE_SCHEDULE" hidden="1">"c2483"</definedName>
    <definedName name="IQ_PUT_NOTIFICATION" hidden="1">"c2485"</definedName>
    <definedName name="IQ_PUT_PRICE_SCHEDULE" hidden="1">"c2484"</definedName>
    <definedName name="IQ_PV_PREMIUMS_NEW_BUSINESS" hidden="1">"c9973"</definedName>
    <definedName name="IQ_QTD" hidden="1">750000</definedName>
    <definedName name="IQ_QUALIFYING_MINORITY_INT_T1_FFIEC" hidden="1">"c13135"</definedName>
    <definedName name="IQ_QUALIFYING_SUB_DEBT_REDEEM_PREF_T2_FFIEC" hidden="1">"c13144"</definedName>
    <definedName name="IQ_QUALIFYING_TRUST_PREFERRED_T1_FFIEC" hidden="1">"c13136"</definedName>
    <definedName name="IQ_QUICK_COMP" hidden="1">"c13750"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AW_SALEABLE_INVENTORY_COAL" hidden="1">"c15941"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_1_4_RISK_BASED_FFIEC" hidden="1">"c13418"</definedName>
    <definedName name="IQ_RE_ACQ_SATISFACTION_DEBTS_FFIEC" hidden="1">"c12832"</definedName>
    <definedName name="IQ_RE_DEPR_AMORT" hidden="1">"c8750"</definedName>
    <definedName name="IQ_RE_DEPRECIATION" hidden="1">"c16045"</definedName>
    <definedName name="IQ_RE_FARMLAND_GROSS_LOANS_FFIEC" hidden="1">"c13408"</definedName>
    <definedName name="IQ_RE_FARMLAND_RISK_BASED_FFIEC" hidden="1">"c13429"</definedName>
    <definedName name="IQ_RE_FCCR" hidden="1">"c8858"</definedName>
    <definedName name="IQ_RE_FCCR_CONT_OPS" hidden="1">"c8859"</definedName>
    <definedName name="IQ_RE_FCCR_INCL_DISC_OPS" hidden="1">"c8860"</definedName>
    <definedName name="IQ_RE_FCCR_INCL_PREF_DIV" hidden="1">"c8861"</definedName>
    <definedName name="IQ_RE_FCCR_INCL_PREF_DIV_CONT_OPS" hidden="1">"c8862"</definedName>
    <definedName name="IQ_RE_FCCR_INCL_PREF_DIV_INCL_DISC_OPS" hidden="1">"c8863"</definedName>
    <definedName name="IQ_RE_FIXED_CHARGES" hidden="1">"c8856"</definedName>
    <definedName name="IQ_RE_FIXED_CHARGES_INCL_PREF_DIV" hidden="1">"c8857"</definedName>
    <definedName name="IQ_RE_FORECLOSURE_FDIC" hidden="1">"c6332"</definedName>
    <definedName name="IQ_RE_FOREIGN_FFIEC" hidden="1">"c13479"</definedName>
    <definedName name="IQ_RE_GAIN_LOSS_SALE_ASSETS" hidden="1">"c8751"</definedName>
    <definedName name="IQ_RE_INVEST_FDIC" hidden="1">"c6331"</definedName>
    <definedName name="IQ_RE_LOANS_1_4_GROSS_LOANS_FFIEC" hidden="1">"c13397"</definedName>
    <definedName name="IQ_RE_LOANS_DOM_QUARTERLY_AVG_FFIEC" hidden="1">"c15476"</definedName>
    <definedName name="IQ_RE_LOANS_DOMESTIC_CHARGE_OFFS_FDIC" hidden="1">"c6589"</definedName>
    <definedName name="IQ_RE_LOANS_DOMESTIC_FDIC" hidden="1">"c6309"</definedName>
    <definedName name="IQ_RE_LOANS_DOMESTIC_NET_CHARGE_OFFS_FDIC" hidden="1">"c6627"</definedName>
    <definedName name="IQ_RE_LOANS_DOMESTIC_RECOVERIES_FDIC" hidden="1">"c6608"</definedName>
    <definedName name="IQ_RE_LOANS_FDIC" hidden="1">"c6308"</definedName>
    <definedName name="IQ_RE_LOANS_FOREIGN_CHARGE_OFFS_FDIC" hidden="1">"c6595"</definedName>
    <definedName name="IQ_RE_LOANS_FOREIGN_NET_CHARGE_OFFS_FDIC" hidden="1">"c6633"</definedName>
    <definedName name="IQ_RE_LOANS_FOREIGN_RECOVERIES_FDIC" hidden="1">"c6614"</definedName>
    <definedName name="IQ_RE_LOANS_GROSS_LOANS_FFIEC" hidden="1">"c13396"</definedName>
    <definedName name="IQ_RE_MAINT_CAPEX" hidden="1">"c8755"</definedName>
    <definedName name="IQ_RE_MINORITY_INTEREST" hidden="1">"c8752"</definedName>
    <definedName name="IQ_RE_NET_INCOME" hidden="1">"c8749"</definedName>
    <definedName name="IQ_RE_NOI" hidden="1">"c8864"</definedName>
    <definedName name="IQ_RE_NOI_GROWTH_SAME_PROP" hidden="1">"c8866"</definedName>
    <definedName name="IQ_RE_NOI_SAME_PROP" hidden="1">"c8865"</definedName>
    <definedName name="IQ_RE_OTHER_ITEMS" hidden="1">"c8753"</definedName>
    <definedName name="IQ_RE_RENTAL_EXPENSE" hidden="1">"c16036"</definedName>
    <definedName name="IQ_RE_RISK_BASED_FFIEC" hidden="1">"c13417"</definedName>
    <definedName name="IQ_REAL_ESTATE" hidden="1">"c1093"</definedName>
    <definedName name="IQ_REAL_ESTATE_ASSETS" hidden="1">"c1094"</definedName>
    <definedName name="IQ_REALIZED_GAINS_AVAIL_SALE_SEC_FFIEC" hidden="1">"c13022"</definedName>
    <definedName name="IQ_REALIZED_GAINS_HELD_MATURITY_SEC_FFIEC" hidden="1">"c13021"</definedName>
    <definedName name="IQ_REALIZED_GAINS_SEC_TOT_FFIEC" hidden="1">"c13517"</definedName>
    <definedName name="IQ_RECOVERIES_1_4_FAMILY_LOANS_FDIC" hidden="1">"c6707"</definedName>
    <definedName name="IQ_RECOVERIES_AUTO_LOANS_FDIC" hidden="1">"c6701"</definedName>
    <definedName name="IQ_RECOVERIES_AVG_LOANS_FFIEC" hidden="1">"c13476"</definedName>
    <definedName name="IQ_RECOVERIES_CL_LOANS_FDIC" hidden="1">"c6702"</definedName>
    <definedName name="IQ_RECOVERIES_CREDIT_CARDS_RECEIVABLES_FDIC" hidden="1">"c6704"</definedName>
    <definedName name="IQ_RECOVERIES_HOME_EQUITY_LINES_FDIC" hidden="1">"c6705"</definedName>
    <definedName name="IQ_RECOVERIES_OTHER_CONSUMER_LOANS_FDIC" hidden="1">"c6703"</definedName>
    <definedName name="IQ_RECOVERIES_OTHER_LOANS_FDIC" hidden="1">"c6706"</definedName>
    <definedName name="IQ_RECURRING_PROFIT_ACT_OR_EST" hidden="1">"c4507"</definedName>
    <definedName name="IQ_RECURRING_PROFIT_ACT_OR_EST_CIQ" hidden="1">"c5045"</definedName>
    <definedName name="IQ_RECURRING_PROFIT_EST" hidden="1">"c4499"</definedName>
    <definedName name="IQ_RECURRING_PROFIT_EST_CIQ" hidden="1">"c5037"</definedName>
    <definedName name="IQ_RECURRING_PROFIT_HIGH_EST" hidden="1">"c4501"</definedName>
    <definedName name="IQ_RECURRING_PROFIT_HIGH_EST_CIQ" hidden="1">"c5039"</definedName>
    <definedName name="IQ_RECURRING_PROFIT_LOW_EST" hidden="1">"c4502"</definedName>
    <definedName name="IQ_RECURRING_PROFIT_LOW_EST_CIQ" hidden="1">"c5040"</definedName>
    <definedName name="IQ_RECURRING_PROFIT_MEDIAN_EST" hidden="1">"c4503"</definedName>
    <definedName name="IQ_RECURRING_PROFIT_MEDIAN_EST_CIQ" hidden="1">"c5041"</definedName>
    <definedName name="IQ_RECURRING_PROFIT_NUM_EST" hidden="1">"c4504"</definedName>
    <definedName name="IQ_RECURRING_PROFIT_NUM_EST_CIQ" hidden="1">"c5042"</definedName>
    <definedName name="IQ_RECURRING_PROFIT_SHARE_ACT_OR_EST" hidden="1">"c4508"</definedName>
    <definedName name="IQ_RECURRING_PROFIT_SHARE_ACT_OR_EST_CIQ" hidden="1">"c5046"</definedName>
    <definedName name="IQ_RECURRING_PROFIT_SHARE_EST" hidden="1">"c4506"</definedName>
    <definedName name="IQ_RECURRING_PROFIT_SHARE_EST_CIQ" hidden="1">"c5044"</definedName>
    <definedName name="IQ_RECURRING_PROFIT_SHARE_HIGH_EST" hidden="1">"c4510"</definedName>
    <definedName name="IQ_RECURRING_PROFIT_SHARE_HIGH_EST_CIQ" hidden="1">"c5048"</definedName>
    <definedName name="IQ_RECURRING_PROFIT_SHARE_LOW_EST" hidden="1">"c4511"</definedName>
    <definedName name="IQ_RECURRING_PROFIT_SHARE_LOW_EST_CIQ" hidden="1">"c5049"</definedName>
    <definedName name="IQ_RECURRING_PROFIT_SHARE_MEDIAN_EST" hidden="1">"c4512"</definedName>
    <definedName name="IQ_RECURRING_PROFIT_SHARE_MEDIAN_EST_CIQ" hidden="1">"c5050"</definedName>
    <definedName name="IQ_RECURRING_PROFIT_SHARE_NUM_EST" hidden="1">"c4513"</definedName>
    <definedName name="IQ_RECURRING_PROFIT_SHARE_NUM_EST_CIQ" hidden="1">"c5051"</definedName>
    <definedName name="IQ_RECURRING_PROFIT_SHARE_STDDEV_EST" hidden="1">"c4514"</definedName>
    <definedName name="IQ_RECURRING_PROFIT_SHARE_STDDEV_EST_CIQ" hidden="1">"c5052"</definedName>
    <definedName name="IQ_RECURRING_PROFIT_STDDEV_EST" hidden="1">"c4516"</definedName>
    <definedName name="IQ_RECURRING_PROFIT_STDDEV_EST_CIQ" hidden="1">"c5054"</definedName>
    <definedName name="IQ_REDEEM_PREF_STOCK" hidden="1">"c1417"</definedName>
    <definedName name="IQ_REDUCTION_TAX_POSITION_CURRENT_YR" hidden="1">"c15734"</definedName>
    <definedName name="IQ_REDUCTION_TAX_POSITION_PRIOR_YRS" hidden="1">"c15736"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INSURANCE_RECOVERABLE_ASSETS_LH_FFIEC" hidden="1">"c13104"</definedName>
    <definedName name="IQ_REINSURANCE_RECOVERABLE_ASSETS_PC_FFIEC" hidden="1">"c13098"</definedName>
    <definedName name="IQ_RELATED_PLANS_FDIC" hidden="1">"c6320"</definedName>
    <definedName name="IQ_RENT_AVG_PROP" hidden="1">"c16056"</definedName>
    <definedName name="IQ_RENT_OTHER_INC_FROM_OREO_FFIEC" hidden="1">"c13043"</definedName>
    <definedName name="IQ_RENT_PER_SQ_FT_AVG_CONSOL" hidden="1">"c8846"</definedName>
    <definedName name="IQ_RENT_PER_SQ_FT_AVG_MANAGED" hidden="1">"c8848"</definedName>
    <definedName name="IQ_RENT_PER_SQ_FT_AVG_OTHER" hidden="1">"c8849"</definedName>
    <definedName name="IQ_RENT_PER_SQ_FT_AVG_TOTAL" hidden="1">"c8850"</definedName>
    <definedName name="IQ_RENT_PER_SQ_FT_AVG_UNCONSOL" hidden="1">"c8847"</definedName>
    <definedName name="IQ_RENT_PER_SQ_METER_AVG_CONSOL" hidden="1">"c8851"</definedName>
    <definedName name="IQ_RENT_PER_SQ_METER_AVG_MANAGED" hidden="1">"c8853"</definedName>
    <definedName name="IQ_RENT_PER_SQ_METER_AVG_OTHER" hidden="1">"c8854"</definedName>
    <definedName name="IQ_RENT_PER_SQ_METER_AVG_TOTAL" hidden="1">"c8855"</definedName>
    <definedName name="IQ_RENT_PER_SQ_METER_AVG_UNCONSOL" hidden="1">"c8852"</definedName>
    <definedName name="IQ_RENT_SAFE_DEPOSIT_FFIEC" hidden="1">"c13044"</definedName>
    <definedName name="IQ_RENTAL_NOI" hidden="1">"c16065"</definedName>
    <definedName name="IQ_RENTAL_NOI_AVG_GROSS_PROP" hidden="1">"c16057"</definedName>
    <definedName name="IQ_RENTAL_NOI_TOTAL_RENT_REVENUE" hidden="1">"c16061"</definedName>
    <definedName name="IQ_RENTAL_REV" hidden="1">"c1101"</definedName>
    <definedName name="IQ_REPAIRS_MAINTENANCE" hidden="1">"c16032"</definedName>
    <definedName name="IQ_REPRICEABLE_EARNING_ASSETS_INT_SENSITIVITY_FFIEC" hidden="1">"c13093"</definedName>
    <definedName name="IQ_REPRICEABLE_INT_DEPOSITS_INT_SENSITIVITY_FFIEC" hidden="1">"c13094"</definedName>
    <definedName name="IQ_REPURCHASED_REBOOKED_GNMA_DUE_30_89_FFIEC" hidden="1">"c13283"</definedName>
    <definedName name="IQ_REPURCHASED_REBOOKED_GNMA_DUE_90_FFIEC" hidden="1">"c13309"</definedName>
    <definedName name="IQ_REPURCHASED_REBOOKED_GNMA_NON_ACCRUAL_FFIEC" hidden="1">"c13334"</definedName>
    <definedName name="IQ_RES_CONST_REAL_APR_FC_UNUSED" hidden="1">"c8536"</definedName>
    <definedName name="IQ_RES_CONST_REAL_APR_FC_UNUSED_UNUSED_UNUSED" hidden="1">"c8536"</definedName>
    <definedName name="IQ_RES_CONST_REAL_APR_UNUSED" hidden="1">"c7656"</definedName>
    <definedName name="IQ_RES_CONST_REAL_APR_UNUSED_UNUSED_UNUSED" hidden="1">"c7656"</definedName>
    <definedName name="IQ_RES_CONST_REAL_FC_UNUSED" hidden="1">"c7876"</definedName>
    <definedName name="IQ_RES_CONST_REAL_FC_UNUSED_UNUSED_UNUSED" hidden="1">"c7876"</definedName>
    <definedName name="IQ_RES_CONST_REAL_POP_FC_UNUSED" hidden="1">"c8096"</definedName>
    <definedName name="IQ_RES_CONST_REAL_POP_FC_UNUSED_UNUSED_UNUSED" hidden="1">"c8096"</definedName>
    <definedName name="IQ_RES_CONST_REAL_POP_UNUSED" hidden="1">"c7216"</definedName>
    <definedName name="IQ_RES_CONST_REAL_POP_UNUSED_UNUSED_UNUSED" hidden="1">"c7216"</definedName>
    <definedName name="IQ_RES_CONST_REAL_SAAR_APR_FC_UNUSED" hidden="1">"c8537"</definedName>
    <definedName name="IQ_RES_CONST_REAL_SAAR_APR_FC_UNUSED_UNUSED_UNUSED" hidden="1">"c8537"</definedName>
    <definedName name="IQ_RES_CONST_REAL_SAAR_APR_UNUSED" hidden="1">"c7657"</definedName>
    <definedName name="IQ_RES_CONST_REAL_SAAR_APR_UNUSED_UNUSED_UNUSED" hidden="1">"c7657"</definedName>
    <definedName name="IQ_RES_CONST_REAL_SAAR_FC_UNUSED" hidden="1">"c7877"</definedName>
    <definedName name="IQ_RES_CONST_REAL_SAAR_FC_UNUSED_UNUSED_UNUSED" hidden="1">"c7877"</definedName>
    <definedName name="IQ_RES_CONST_REAL_SAAR_POP_FC_UNUSED" hidden="1">"c8097"</definedName>
    <definedName name="IQ_RES_CONST_REAL_SAAR_POP_FC_UNUSED_UNUSED_UNUSED" hidden="1">"c8097"</definedName>
    <definedName name="IQ_RES_CONST_REAL_SAAR_POP_UNUSED" hidden="1">"c7217"</definedName>
    <definedName name="IQ_RES_CONST_REAL_SAAR_POP_UNUSED_UNUSED_UNUSED" hidden="1">"c7217"</definedName>
    <definedName name="IQ_RES_CONST_REAL_SAAR_UNUSED" hidden="1">"c6997"</definedName>
    <definedName name="IQ_RES_CONST_REAL_SAAR_UNUSED_UNUSED_UNUSED" hidden="1">"c6997"</definedName>
    <definedName name="IQ_RES_CONST_REAL_SAAR_YOY_FC_UNUSED" hidden="1">"c8317"</definedName>
    <definedName name="IQ_RES_CONST_REAL_SAAR_YOY_FC_UNUSED_UNUSED_UNUSED" hidden="1">"c8317"</definedName>
    <definedName name="IQ_RES_CONST_REAL_SAAR_YOY_UNUSED" hidden="1">"c7437"</definedName>
    <definedName name="IQ_RES_CONST_REAL_SAAR_YOY_UNUSED_UNUSED_UNUSED" hidden="1">"c7437"</definedName>
    <definedName name="IQ_RES_CONST_REAL_UNUSED" hidden="1">"c6996"</definedName>
    <definedName name="IQ_RES_CONST_REAL_UNUSED_UNUSED_UNUSED" hidden="1">"c6996"</definedName>
    <definedName name="IQ_RES_CONST_REAL_YOY_FC_UNUSED" hidden="1">"c8316"</definedName>
    <definedName name="IQ_RES_CONST_REAL_YOY_FC_UNUSED_UNUSED_UNUSED" hidden="1">"c8316"</definedName>
    <definedName name="IQ_RES_CONST_REAL_YOY_UNUSED" hidden="1">"c7436"</definedName>
    <definedName name="IQ_RES_CONST_REAL_YOY_UNUSED_UNUSED_UNUSED" hidden="1">"c7436"</definedName>
    <definedName name="IQ_RES_CONST_SAAR_APR_FC_UNUSED" hidden="1">"c8540"</definedName>
    <definedName name="IQ_RES_CONST_SAAR_APR_FC_UNUSED_UNUSED_UNUSED" hidden="1">"c8540"</definedName>
    <definedName name="IQ_RES_CONST_SAAR_APR_UNUSED" hidden="1">"c7660"</definedName>
    <definedName name="IQ_RES_CONST_SAAR_APR_UNUSED_UNUSED_UNUSED" hidden="1">"c7660"</definedName>
    <definedName name="IQ_RES_CONST_SAAR_FC_UNUSED" hidden="1">"c7880"</definedName>
    <definedName name="IQ_RES_CONST_SAAR_FC_UNUSED_UNUSED_UNUSED" hidden="1">"c7880"</definedName>
    <definedName name="IQ_RES_CONST_SAAR_POP_FC_UNUSED" hidden="1">"c8100"</definedName>
    <definedName name="IQ_RES_CONST_SAAR_POP_FC_UNUSED_UNUSED_UNUSED" hidden="1">"c8100"</definedName>
    <definedName name="IQ_RES_CONST_SAAR_POP_UNUSED" hidden="1">"c7220"</definedName>
    <definedName name="IQ_RES_CONST_SAAR_POP_UNUSED_UNUSED_UNUSED" hidden="1">"c7220"</definedName>
    <definedName name="IQ_RES_CONST_SAAR_UNUSED" hidden="1">"c7000"</definedName>
    <definedName name="IQ_RES_CONST_SAAR_UNUSED_UNUSED_UNUSED" hidden="1">"c7000"</definedName>
    <definedName name="IQ_RES_CONST_SAAR_YOY_FC_UNUSED" hidden="1">"c8320"</definedName>
    <definedName name="IQ_RES_CONST_SAAR_YOY_FC_UNUSED_UNUSED_UNUSED" hidden="1">"c8320"</definedName>
    <definedName name="IQ_RES_CONST_SAAR_YOY_UNUSED" hidden="1">"c7440"</definedName>
    <definedName name="IQ_RES_CONST_SAAR_YOY_UNUSED_UNUSED_UNUSED" hidden="1">"c7440"</definedName>
    <definedName name="IQ_RES_FIXED_INVEST" hidden="1">"c7001"</definedName>
    <definedName name="IQ_RES_FIXED_INVEST_APR" hidden="1">"c7661"</definedName>
    <definedName name="IQ_RES_FIXED_INVEST_APR_FC" hidden="1">"c8541"</definedName>
    <definedName name="IQ_RES_FIXED_INVEST_FC" hidden="1">"c7881"</definedName>
    <definedName name="IQ_RES_FIXED_INVEST_POP" hidden="1">"c7221"</definedName>
    <definedName name="IQ_RES_FIXED_INVEST_POP_FC" hidden="1">"c8101"</definedName>
    <definedName name="IQ_RES_FIXED_INVEST_REAL" hidden="1">"c6998"</definedName>
    <definedName name="IQ_RES_FIXED_INVEST_REAL_APR" hidden="1">"c7658"</definedName>
    <definedName name="IQ_RES_FIXED_INVEST_REAL_APR_FC" hidden="1">"c8538"</definedName>
    <definedName name="IQ_RES_FIXED_INVEST_REAL_FC" hidden="1">"c7878"</definedName>
    <definedName name="IQ_RES_FIXED_INVEST_REAL_POP" hidden="1">"c7218"</definedName>
    <definedName name="IQ_RES_FIXED_INVEST_REAL_POP_FC" hidden="1">"c8098"</definedName>
    <definedName name="IQ_RES_FIXED_INVEST_REAL_YOY" hidden="1">"c7438"</definedName>
    <definedName name="IQ_RES_FIXED_INVEST_REAL_YOY_FC" hidden="1">"c8318"</definedName>
    <definedName name="IQ_RES_FIXED_INVEST_SAAR" hidden="1">"c11994"</definedName>
    <definedName name="IQ_RES_FIXED_INVEST_SAAR_APR" hidden="1">"c11997"</definedName>
    <definedName name="IQ_RES_FIXED_INVEST_SAAR_POP" hidden="1">"c11995"</definedName>
    <definedName name="IQ_RES_FIXED_INVEST_SAAR_REAL" hidden="1">"c11990"</definedName>
    <definedName name="IQ_RES_FIXED_INVEST_SAAR_REAL_APR" hidden="1">"c11993"</definedName>
    <definedName name="IQ_RES_FIXED_INVEST_SAAR_REAL_POP" hidden="1">"c11991"</definedName>
    <definedName name="IQ_RES_FIXED_INVEST_SAAR_REAL_YOY" hidden="1">"c11992"</definedName>
    <definedName name="IQ_RES_FIXED_INVEST_SAAR_YOY" hidden="1">"c11996"</definedName>
    <definedName name="IQ_RES_FIXED_INVEST_YOY" hidden="1">"c7441"</definedName>
    <definedName name="IQ_RES_FIXED_INVEST_YOY_FC" hidden="1">"c8321"</definedName>
    <definedName name="IQ_RESEARCH_DEV" hidden="1">"c1419"</definedName>
    <definedName name="IQ_RESIDENTIAL_LOANS" hidden="1">"c1102"</definedName>
    <definedName name="IQ_REST_ACQUIRED_AFFILIATED_OTHER_RESTAURANTS" hidden="1">"c9873"</definedName>
    <definedName name="IQ_REST_ACQUIRED_FRANCHISE_RESTAURANTS" hidden="1">"c9867"</definedName>
    <definedName name="IQ_REST_ACQUIRED_OWNED_RESTAURANTS" hidden="1">"c9861"</definedName>
    <definedName name="IQ_REST_ACQUIRED_RESTAURANTS" hidden="1">"c9855"</definedName>
    <definedName name="IQ_REST_AFFILIATED_OTHER_RESTAURANTS_BEG" hidden="1">"c9871"</definedName>
    <definedName name="IQ_REST_AVG_VALUE_TRANSACTION" hidden="1">"c9887"</definedName>
    <definedName name="IQ_REST_AVG_VALUE_TRANSACTION_GROWTH" hidden="1">"c9888"</definedName>
    <definedName name="IQ_REST_AVG_WEEKLY_SALES" hidden="1">"c9879"</definedName>
    <definedName name="IQ_REST_AVG_WEEKLY_SALES_FRANCHISE" hidden="1">"c9877"</definedName>
    <definedName name="IQ_REST_AVG_WEEKLY_SALES_OWNED" hidden="1">"c9878"</definedName>
    <definedName name="IQ_REST_CLOSED_AFFILIATED_OTHER_RESTAURANTS" hidden="1">"c9874"</definedName>
    <definedName name="IQ_REST_CLOSED_FRANCHISE_RESTAURANTS" hidden="1">"c9868"</definedName>
    <definedName name="IQ_REST_CLOSED_OWNED_RESTAURANTS" hidden="1">"c9862"</definedName>
    <definedName name="IQ_REST_CLOSED_RESTAURANTS" hidden="1">"c9856"</definedName>
    <definedName name="IQ_REST_FRANCHISE_RESTAURANTS_BEG" hidden="1">"c9865"</definedName>
    <definedName name="IQ_REST_GUEST_COUNT_GROWTH" hidden="1">"c9889"</definedName>
    <definedName name="IQ_REST_OPENED_AFFILIATED_OTHER_RESTAURANTS" hidden="1">"c9872"</definedName>
    <definedName name="IQ_REST_OPENED_FRANCHISE_RESTAURANTS" hidden="1">"c9866"</definedName>
    <definedName name="IQ_REST_OPENED_OWNED_RESTAURANTS" hidden="1">"c9860"</definedName>
    <definedName name="IQ_REST_OPENED_RESTAURANTS" hidden="1">"c9854"</definedName>
    <definedName name="IQ_REST_OPERATING_MARGIN" hidden="1">"c9886"</definedName>
    <definedName name="IQ_REST_OWNED_RESTAURANTS_BEG" hidden="1">"c9859"</definedName>
    <definedName name="IQ_REST_RESTAURANTS_BEG" hidden="1">"c9853"</definedName>
    <definedName name="IQ_REST_SAME_RESTAURANT_SALES" hidden="1">"c9885"</definedName>
    <definedName name="IQ_REST_SAME_RESTAURANT_SALES_FRANCHISE" hidden="1">"c9883"</definedName>
    <definedName name="IQ_REST_SAME_RESTAURANT_SALES_GROWTH" hidden="1">"c9882"</definedName>
    <definedName name="IQ_REST_SAME_RESTAURANT_SALES_GROWTH_FRANCHISE" hidden="1">"c9880"</definedName>
    <definedName name="IQ_REST_SAME_RESTAURANT_SALES_GROWTH_OWNED" hidden="1">"c9881"</definedName>
    <definedName name="IQ_REST_SAME_RESTAURANT_SALES_OWNED" hidden="1">"c9884"</definedName>
    <definedName name="IQ_REST_SOLD_AFFILIATED_OTHER_RESTAURANTS" hidden="1">"c9875"</definedName>
    <definedName name="IQ_REST_SOLD_FRANCHISE_RESTAURANTS" hidden="1">"c9869"</definedName>
    <definedName name="IQ_REST_SOLD_OWNED_RESTAURANTS" hidden="1">"c9863"</definedName>
    <definedName name="IQ_REST_SOLD_RESTAURANTS" hidden="1">"c9857"</definedName>
    <definedName name="IQ_REST_TOTAL_AFFILIATED_OTHER_RESTAURANTS" hidden="1">"c9876"</definedName>
    <definedName name="IQ_REST_TOTAL_FRANCHISE_RESTAURANTS" hidden="1">"c9870"</definedName>
    <definedName name="IQ_REST_TOTAL_OWNED_RESTAURANTS" hidden="1">"c9864"</definedName>
    <definedName name="IQ_REST_TOTAL_RESTAURANTS" hidden="1">"c9858"</definedName>
    <definedName name="IQ_RESTATEMENT_BS" hidden="1">"c1643"</definedName>
    <definedName name="IQ_RESTATEMENT_CF" hidden="1">"c1644"</definedName>
    <definedName name="IQ_RESTATEMENT_IS" hidden="1">"c1642"</definedName>
    <definedName name="IQ_RESTATEMENTS_FFIEC" hidden="1">"c12958"</definedName>
    <definedName name="IQ_RESTATEMENTS_NET_FDIC" hidden="1">"c6500"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SUPPLE" hidden="1">"c13809"</definedName>
    <definedName name="IQ_RESTRUCTURE_UTI" hidden="1">"c1111"</definedName>
    <definedName name="IQ_RESTRUCTURED_LOANS" hidden="1">"c1112"</definedName>
    <definedName name="IQ_RESTRUCTURED_LOANS_1_4_RESIDENTIAL_FDIC" hidden="1">"c6378"</definedName>
    <definedName name="IQ_RESTRUCTURED_LOANS_LEASES_FDIC" hidden="1">"c6377"</definedName>
    <definedName name="IQ_RESTRUCTURED_LOANS_NON_1_4_FDIC" hidden="1">"c6379"</definedName>
    <definedName name="IQ_RETAIL_ACQUIRED_AFFILIATED_OTHER_STORES" hidden="1">"c9892"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FFILIATED_OTHER_STORES_BEG" hidden="1">"c9890"</definedName>
    <definedName name="IQ_RETAIL_AVG_SQ_METERS_GROSS" hidden="1">"c9908"</definedName>
    <definedName name="IQ_RETAIL_AVG_SQ_METERS_NET" hidden="1">"c9907"</definedName>
    <definedName name="IQ_RETAIL_AVG_STORE_SIZE_GROSS" hidden="1">"c2066"</definedName>
    <definedName name="IQ_RETAIL_AVG_STORE_SIZE_NET" hidden="1">"c2067"</definedName>
    <definedName name="IQ_RETAIL_AVG_VALUE_TRANSACTION" hidden="1">"c9915"</definedName>
    <definedName name="IQ_RETAIL_AVG_VALUE_TRANSACTION_GROWTH" hidden="1">"c9916"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ATALOG_REVENUES" hidden="1">"c9903"</definedName>
    <definedName name="IQ_RETAIL_CLOSED_AFFILIATED_OTHER_STORES" hidden="1">"c9893"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DEPOSITS_FDIC" hidden="1">"c6488"</definedName>
    <definedName name="IQ_RETAIL_FRANCHISE_STORES_BEG" hidden="1">"c2893"</definedName>
    <definedName name="IQ_RETAIL_GROSS_MARGIN" hidden="1">"c9899"</definedName>
    <definedName name="IQ_RETAIL_IS_RATIO" hidden="1">"c7002"</definedName>
    <definedName name="IQ_RETAIL_IS_RATIO_FC" hidden="1">"c7882"</definedName>
    <definedName name="IQ_RETAIL_IS_RATIO_POP" hidden="1">"c7222"</definedName>
    <definedName name="IQ_RETAIL_IS_RATIO_POP_FC" hidden="1">"c8102"</definedName>
    <definedName name="IQ_RETAIL_IS_RATIO_YOY" hidden="1">"c7442"</definedName>
    <definedName name="IQ_RETAIL_IS_RATIO_YOY_FC" hidden="1">"c8322"</definedName>
    <definedName name="IQ_RETAIL_MERCHANDISE_MARGIN" hidden="1">"c9901"</definedName>
    <definedName name="IQ_RETAIL_ONLINE_REVENUES" hidden="1">"c9904"</definedName>
    <definedName name="IQ_RETAIL_OPENED_AFFILIATED_OTHER_STORES" hidden="1">"c9891"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PERATING_MARGIN" hidden="1">"c9900"</definedName>
    <definedName name="IQ_RETAIL_OWNED_STORES_BEG" hidden="1">"c2901"</definedName>
    <definedName name="IQ_RETAIL_REVENUES" hidden="1">"c9902"</definedName>
    <definedName name="IQ_RETAIL_SALES" hidden="1">"c7003"</definedName>
    <definedName name="IQ_RETAIL_SALES_APR" hidden="1">"c7663"</definedName>
    <definedName name="IQ_RETAIL_SALES_APR_FC" hidden="1">"c8543"</definedName>
    <definedName name="IQ_RETAIL_SALES_CATALOG" localSheetId="20" hidden="1">"c9903"</definedName>
    <definedName name="IQ_RETAIL_SALES_CATALOG" localSheetId="21" hidden="1">"c9903"</definedName>
    <definedName name="IQ_RETAIL_SALES_CATALOG" localSheetId="22" hidden="1">"c9903"</definedName>
    <definedName name="IQ_RETAIL_SALES_CATALOG" localSheetId="23" hidden="1">"c9903"</definedName>
    <definedName name="IQ_RETAIL_SALES_CATALOG" localSheetId="24" hidden="1">"c9903"</definedName>
    <definedName name="IQ_RETAIL_SALES_CATALOG" hidden="1">"c9903"</definedName>
    <definedName name="IQ_RETAIL_SALES_FC" hidden="1">"c7883"</definedName>
    <definedName name="IQ_RETAIL_SALES_FOOD" hidden="1">"c7004"</definedName>
    <definedName name="IQ_RETAIL_SALES_FOOD_APR" hidden="1">"c7664"</definedName>
    <definedName name="IQ_RETAIL_SALES_FOOD_APR_FC" hidden="1">"c8544"</definedName>
    <definedName name="IQ_RETAIL_SALES_FOOD_EXCL_VEHICLE" hidden="1">"c7005"</definedName>
    <definedName name="IQ_RETAIL_SALES_FOOD_EXCL_VEHICLE_APR" hidden="1">"c7665"</definedName>
    <definedName name="IQ_RETAIL_SALES_FOOD_EXCL_VEHICLE_APR_FC" hidden="1">"c8545"</definedName>
    <definedName name="IQ_RETAIL_SALES_FOOD_EXCL_VEHICLE_FC" hidden="1">"c7885"</definedName>
    <definedName name="IQ_RETAIL_SALES_FOOD_EXCL_VEHICLE_POP" hidden="1">"c7225"</definedName>
    <definedName name="IQ_RETAIL_SALES_FOOD_EXCL_VEHICLE_POP_FC" hidden="1">"c8105"</definedName>
    <definedName name="IQ_RETAIL_SALES_FOOD_EXCL_VEHICLE_YOY" hidden="1">"c7445"</definedName>
    <definedName name="IQ_RETAIL_SALES_FOOD_EXCL_VEHICLE_YOY_FC" hidden="1">"c8325"</definedName>
    <definedName name="IQ_RETAIL_SALES_FOOD_FC" hidden="1">"c7884"</definedName>
    <definedName name="IQ_RETAIL_SALES_FOOD_POP" hidden="1">"c7224"</definedName>
    <definedName name="IQ_RETAIL_SALES_FOOD_POP_FC" hidden="1">"c8104"</definedName>
    <definedName name="IQ_RETAIL_SALES_FOOD_YOY" hidden="1">"c7444"</definedName>
    <definedName name="IQ_RETAIL_SALES_FOOD_YOY_FC" hidden="1">"c8324"</definedName>
    <definedName name="IQ_RETAIL_SALES_ONLINE" localSheetId="20" hidden="1">"c9904"</definedName>
    <definedName name="IQ_RETAIL_SALES_ONLINE" localSheetId="21" hidden="1">"c9904"</definedName>
    <definedName name="IQ_RETAIL_SALES_ONLINE" localSheetId="22" hidden="1">"c9904"</definedName>
    <definedName name="IQ_RETAIL_SALES_ONLINE" localSheetId="23" hidden="1">"c9904"</definedName>
    <definedName name="IQ_RETAIL_SALES_ONLINE" localSheetId="24" hidden="1">"c9904"</definedName>
    <definedName name="IQ_RETAIL_SALES_ONLINE" hidden="1">"c9904"</definedName>
    <definedName name="IQ_RETAIL_SALES_POP" hidden="1">"c7223"</definedName>
    <definedName name="IQ_RETAIL_SALES_POP_FC" hidden="1">"c8103"</definedName>
    <definedName name="IQ_RETAIL_SALES_RETAIL" localSheetId="20" hidden="1">"c9902"</definedName>
    <definedName name="IQ_RETAIL_SALES_RETAIL" localSheetId="21" hidden="1">"c9902"</definedName>
    <definedName name="IQ_RETAIL_SALES_RETAIL" localSheetId="22" hidden="1">"c9902"</definedName>
    <definedName name="IQ_RETAIL_SALES_RETAIL" localSheetId="23" hidden="1">"c9902"</definedName>
    <definedName name="IQ_RETAIL_SALES_RETAIL" localSheetId="24" hidden="1">"c9902"</definedName>
    <definedName name="IQ_RETAIL_SALES_RETAIL" hidden="1">"c9902"</definedName>
    <definedName name="IQ_RETAIL_SALES_SAAR" hidden="1">"c7009"</definedName>
    <definedName name="IQ_RETAIL_SALES_SAAR_APR" hidden="1">"c7669"</definedName>
    <definedName name="IQ_RETAIL_SALES_SAAR_APR_FC" hidden="1">"c8549"</definedName>
    <definedName name="IQ_RETAIL_SALES_SAAR_FC" hidden="1">"c7889"</definedName>
    <definedName name="IQ_RETAIL_SALES_SAAR_POP" hidden="1">"c7229"</definedName>
    <definedName name="IQ_RETAIL_SALES_SAAR_POP_FC" hidden="1">"c8109"</definedName>
    <definedName name="IQ_RETAIL_SALES_SAAR_YOY" hidden="1">"c7449"</definedName>
    <definedName name="IQ_RETAIL_SALES_SAAR_YOY_FC" hidden="1">"c8329"</definedName>
    <definedName name="IQ_RETAIL_SALES_SQ_METER_COMPARABLE_GROSS" hidden="1">"c9914"</definedName>
    <definedName name="IQ_RETAIL_SALES_SQ_METER_COMPARABLE_NET" hidden="1">"c9913"</definedName>
    <definedName name="IQ_RETAIL_SALES_SQ_METER_GROSS" hidden="1">"c9910"</definedName>
    <definedName name="IQ_RETAIL_SALES_SQ_METER_NET" hidden="1">"c9909"</definedName>
    <definedName name="IQ_RETAIL_SALES_SQ_METER_OWNED_GROSS" hidden="1">"c9912"</definedName>
    <definedName name="IQ_RETAIL_SALES_SQ_METER_OWNED_NET" hidden="1">"c9911"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ALES_VALUE_INDEX" hidden="1">"c7006"</definedName>
    <definedName name="IQ_RETAIL_SALES_VALUE_INDEX_APR" hidden="1">"c7666"</definedName>
    <definedName name="IQ_RETAIL_SALES_VALUE_INDEX_APR_FC" hidden="1">"c8546"</definedName>
    <definedName name="IQ_RETAIL_SALES_VALUE_INDEX_FC" hidden="1">"c7886"</definedName>
    <definedName name="IQ_RETAIL_SALES_VALUE_INDEX_POP" hidden="1">"c7226"</definedName>
    <definedName name="IQ_RETAIL_SALES_VALUE_INDEX_POP_FC" hidden="1">"c8106"</definedName>
    <definedName name="IQ_RETAIL_SALES_VALUE_INDEX_YOY" hidden="1">"c7446"</definedName>
    <definedName name="IQ_RETAIL_SALES_VALUE_INDEX_YOY_FC" hidden="1">"c8326"</definedName>
    <definedName name="IQ_RETAIL_SALES_VOL_INDEX" hidden="1">"c7007"</definedName>
    <definedName name="IQ_RETAIL_SALES_VOL_INDEX_APR" hidden="1">"c7667"</definedName>
    <definedName name="IQ_RETAIL_SALES_VOL_INDEX_APR_FC" hidden="1">"c8547"</definedName>
    <definedName name="IQ_RETAIL_SALES_VOL_INDEX_EXCL_MOTOR" hidden="1">"c7008"</definedName>
    <definedName name="IQ_RETAIL_SALES_VOL_INDEX_EXCL_MOTOR_APR" hidden="1">"c7668"</definedName>
    <definedName name="IQ_RETAIL_SALES_VOL_INDEX_EXCL_MOTOR_APR_FC" hidden="1">"c8548"</definedName>
    <definedName name="IQ_RETAIL_SALES_VOL_INDEX_EXCL_MOTOR_FC" hidden="1">"c7888"</definedName>
    <definedName name="IQ_RETAIL_SALES_VOL_INDEX_EXCL_MOTOR_POP" hidden="1">"c7228"</definedName>
    <definedName name="IQ_RETAIL_SALES_VOL_INDEX_EXCL_MOTOR_POP_FC" hidden="1">"c8108"</definedName>
    <definedName name="IQ_RETAIL_SALES_VOL_INDEX_EXCL_MOTOR_YOY" hidden="1">"c7448"</definedName>
    <definedName name="IQ_RETAIL_SALES_VOL_INDEX_EXCL_MOTOR_YOY_FC" hidden="1">"c8328"</definedName>
    <definedName name="IQ_RETAIL_SALES_VOL_INDEX_FC" hidden="1">"c7887"</definedName>
    <definedName name="IQ_RETAIL_SALES_VOL_INDEX_POP" hidden="1">"c7227"</definedName>
    <definedName name="IQ_RETAIL_SALES_VOL_INDEX_POP_FC" hidden="1">"c8107"</definedName>
    <definedName name="IQ_RETAIL_SALES_VOL_INDEX_YOY" hidden="1">"c7447"</definedName>
    <definedName name="IQ_RETAIL_SALES_VOL_INDEX_YOY_FC" hidden="1">"c8327"</definedName>
    <definedName name="IQ_RETAIL_SALES_YOY" hidden="1">"c7443"</definedName>
    <definedName name="IQ_RETAIL_SALES_YOY_FC" hidden="1">"c8323"</definedName>
    <definedName name="IQ_RETAIL_SAME_STORE_SALES" hidden="1">"c9898"</definedName>
    <definedName name="IQ_RETAIL_SAME_STORE_SALES_FRANCHISE" hidden="1">"c9896"</definedName>
    <definedName name="IQ_RETAIL_SAME_STORE_SALES_OWNED" hidden="1">"c9897"</definedName>
    <definedName name="IQ_RETAIL_SOLD_AFFILIATED_OTHER_STORES" hidden="1">"c9894"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AFFILIATED_OTHER_STORES" hidden="1">"c9895"</definedName>
    <definedName name="IQ_RETAIL_TOTAL_FRANCHISE_STORES" hidden="1">"c2898"</definedName>
    <definedName name="IQ_RETAIL_TOTAL_OWNED_STORES" hidden="1">"c2906"</definedName>
    <definedName name="IQ_RETAIL_TOTAL_SQ_METERS_GROSS" hidden="1">"c9906"</definedName>
    <definedName name="IQ_RETAIL_TOTAL_SQ_METERS_NET" hidden="1">"c9905"</definedName>
    <definedName name="IQ_RETAIL_TOTAL_STORES" hidden="1">"c2061"</definedName>
    <definedName name="IQ_RETAIL_WHOLESALE_REVENUES" hidden="1">"c15895"</definedName>
    <definedName name="IQ_RETAINED_EARN" hidden="1">"c1420"</definedName>
    <definedName name="IQ_RETAINED_EARNINGS_AVERAGE_EQUITY_FDIC" hidden="1">"c6733"</definedName>
    <definedName name="IQ_RETAINED_EARNINGS_EQUITY_FFIEC" hidden="1">"c13348"</definedName>
    <definedName name="IQ_RETAINED_EARNINGS_FFIEC" hidden="1">"c12878"</definedName>
    <definedName name="IQ_RETURN_ASSETS" hidden="1">"c1113"</definedName>
    <definedName name="IQ_RETURN_ASSETS_ACT_OR_EST" hidden="1">"c3585"</definedName>
    <definedName name="IQ_RETURN_ASSETS_ACT_OR_EST_CIQ" hidden="1">"c12020"</definedName>
    <definedName name="IQ_RETURN_ASSETS_ACT_OR_EST_THOM" hidden="1">"c5310"</definedName>
    <definedName name="IQ_RETURN_ASSETS_BANK" hidden="1">"c1114"</definedName>
    <definedName name="IQ_RETURN_ASSETS_BROK" hidden="1">"c1115"</definedName>
    <definedName name="IQ_RETURN_ASSETS_EST" hidden="1">"c3529"</definedName>
    <definedName name="IQ_RETURN_ASSETS_EST_CIQ" hidden="1">"c3828"</definedName>
    <definedName name="IQ_RETURN_ASSETS_EST_THOM" hidden="1">"c4034"</definedName>
    <definedName name="IQ_RETURN_ASSETS_FDIC" hidden="1">"c6730"</definedName>
    <definedName name="IQ_RETURN_ASSETS_FS" hidden="1">"c1116"</definedName>
    <definedName name="IQ_RETURN_ASSETS_GUIDANCE" hidden="1">"c4517"</definedName>
    <definedName name="IQ_RETURN_ASSETS_HIGH_EST" hidden="1">"c3530"</definedName>
    <definedName name="IQ_RETURN_ASSETS_HIGH_EST_CIQ" hidden="1">"c3830"</definedName>
    <definedName name="IQ_RETURN_ASSETS_HIGH_EST_THOM" hidden="1">"c4036"</definedName>
    <definedName name="IQ_RETURN_ASSETS_HIGH_GUIDANCE" hidden="1">"c4183"</definedName>
    <definedName name="IQ_RETURN_ASSETS_LOW_EST" hidden="1">"c3531"</definedName>
    <definedName name="IQ_RETURN_ASSETS_LOW_EST_CIQ" hidden="1">"c3831"</definedName>
    <definedName name="IQ_RETURN_ASSETS_LOW_EST_THOM" hidden="1">"c4037"</definedName>
    <definedName name="IQ_RETURN_ASSETS_LOW_GUIDANCE" hidden="1">"c4223"</definedName>
    <definedName name="IQ_RETURN_ASSETS_MEDIAN_EST" hidden="1">"c3532"</definedName>
    <definedName name="IQ_RETURN_ASSETS_MEDIAN_EST_CIQ" hidden="1">"c3829"</definedName>
    <definedName name="IQ_RETURN_ASSETS_MEDIAN_EST_THOM" hidden="1">"c4035"</definedName>
    <definedName name="IQ_RETURN_ASSETS_NUM_EST" hidden="1">"c3527"</definedName>
    <definedName name="IQ_RETURN_ASSETS_NUM_EST_CIQ" hidden="1">"c3832"</definedName>
    <definedName name="IQ_RETURN_ASSETS_NUM_EST_THOM" hidden="1">"c4038"</definedName>
    <definedName name="IQ_RETURN_ASSETS_STDDEV_EST" hidden="1">"c3528"</definedName>
    <definedName name="IQ_RETURN_ASSETS_STDDEV_EST_CIQ" hidden="1">"c3833"</definedName>
    <definedName name="IQ_RETURN_ASSETS_STDDEV_EST_THOM" hidden="1">"c4039"</definedName>
    <definedName name="IQ_RETURN_CAPITAL" hidden="1">"c1117"</definedName>
    <definedName name="IQ_RETURN_COMMON_EQUITY" hidden="1">"c13838"</definedName>
    <definedName name="IQ_RETURN_EMBEDDED_VALUE" hidden="1">"c9974"</definedName>
    <definedName name="IQ_RETURN_EQUITY" hidden="1">"c1118"</definedName>
    <definedName name="IQ_RETURN_EQUITY_ACT_OR_EST" hidden="1">"c3586"</definedName>
    <definedName name="IQ_RETURN_EQUITY_ACT_OR_EST_CIQ" hidden="1">"c12021"</definedName>
    <definedName name="IQ_RETURN_EQUITY_ACT_OR_EST_THOM" hidden="1">"c5311"</definedName>
    <definedName name="IQ_RETURN_EQUITY_BANK" hidden="1">"c1119"</definedName>
    <definedName name="IQ_RETURN_EQUITY_BROK" hidden="1">"c1120"</definedName>
    <definedName name="IQ_RETURN_EQUITY_EST" hidden="1">"c3535"</definedName>
    <definedName name="IQ_RETURN_EQUITY_EST_CIQ" hidden="1">"c3821"</definedName>
    <definedName name="IQ_RETURN_EQUITY_EST_THOM" hidden="1">"c5479"</definedName>
    <definedName name="IQ_RETURN_EQUITY_FDIC" hidden="1">"c6732"</definedName>
    <definedName name="IQ_RETURN_EQUITY_FS" hidden="1">"c1121"</definedName>
    <definedName name="IQ_RETURN_EQUITY_GUIDANCE" hidden="1">"c4518"</definedName>
    <definedName name="IQ_RETURN_EQUITY_HIGH_EST" hidden="1">"c3536"</definedName>
    <definedName name="IQ_RETURN_EQUITY_HIGH_EST_CIQ" hidden="1">"c3823"</definedName>
    <definedName name="IQ_RETURN_EQUITY_HIGH_EST_THOM" hidden="1">"c5283"</definedName>
    <definedName name="IQ_RETURN_EQUITY_HIGH_GUIDANCE" hidden="1">"c4182"</definedName>
    <definedName name="IQ_RETURN_EQUITY_LOW_EST" hidden="1">"c3537"</definedName>
    <definedName name="IQ_RETURN_EQUITY_LOW_EST_CIQ" hidden="1">"c3824"</definedName>
    <definedName name="IQ_RETURN_EQUITY_LOW_EST_THOM" hidden="1">"c5284"</definedName>
    <definedName name="IQ_RETURN_EQUITY_LOW_GUIDANCE" hidden="1">"c4222"</definedName>
    <definedName name="IQ_RETURN_EQUITY_MEDIAN_EST" hidden="1">"c3538"</definedName>
    <definedName name="IQ_RETURN_EQUITY_MEDIAN_EST_CIQ" hidden="1">"c3822"</definedName>
    <definedName name="IQ_RETURN_EQUITY_MEDIAN_EST_THOM" hidden="1">"c5282"</definedName>
    <definedName name="IQ_RETURN_EQUITY_NUM_EST" hidden="1">"c3533"</definedName>
    <definedName name="IQ_RETURN_EQUITY_NUM_EST_CIQ" hidden="1">"c3825"</definedName>
    <definedName name="IQ_RETURN_EQUITY_NUM_EST_THOM" hidden="1">"c5285"</definedName>
    <definedName name="IQ_RETURN_EQUITY_STDDEV_EST" hidden="1">"c3534"</definedName>
    <definedName name="IQ_RETURN_EQUITY_STDDEV_EST_CIQ" hidden="1">"c3826"</definedName>
    <definedName name="IQ_RETURN_EQUITY_STDDEV_EST_THOM" hidden="1">"c5286"</definedName>
    <definedName name="IQ_RETURN_INVESTMENT" hidden="1">"c1421"</definedName>
    <definedName name="IQ_REV" hidden="1">"c1122"</definedName>
    <definedName name="IQ_REV_AP" hidden="1">"c8873"</definedName>
    <definedName name="IQ_REV_AP_ABS" hidden="1">"c8892"</definedName>
    <definedName name="IQ_REV_BEFORE_LL" hidden="1">"c1123"</definedName>
    <definedName name="IQ_REV_BEFORE_LOAN_LOSS_FOREIGN_FFIEC" hidden="1">"c15381"</definedName>
    <definedName name="IQ_REV_NAME_AP" hidden="1">"c8911"</definedName>
    <definedName name="IQ_REV_NAME_AP_ABS" hidden="1">"c8930"</definedName>
    <definedName name="IQ_REV_STDDEV_EST" hidden="1">"c1124"</definedName>
    <definedName name="IQ_REV_STDDEV_EST_CIQ" hidden="1">"c3621"</definedName>
    <definedName name="IQ_REV_STDDEV_EST_THOM" hidden="1">"c3657"</definedName>
    <definedName name="IQ_REV_UTI" hidden="1">"c1125"</definedName>
    <definedName name="IQ_REVALUATION_GAINS_DERIVATIVE_DOM_FFIEC" hidden="1">"c12828"</definedName>
    <definedName name="IQ_REVALUATION_GAINS_DERIVATIVE_FOREIGN_FFIEC" hidden="1">"c12829"</definedName>
    <definedName name="IQ_REVALUATION_GAINS_FDIC" hidden="1">"c6428"</definedName>
    <definedName name="IQ_REVALUATION_LOSSES_FDIC" hidden="1">"c6429"</definedName>
    <definedName name="IQ_REVALUATION_NON_TRADING_PROP" hidden="1">"c15999"</definedName>
    <definedName name="IQ_REVENUE" hidden="1">"c1422"</definedName>
    <definedName name="IQ_REVENUE_ACT_OR_EST" hidden="1">"c2214"</definedName>
    <definedName name="IQ_REVENUE_ACT_OR_EST_CIQ" hidden="1">"c5059"</definedName>
    <definedName name="IQ_REVENUE_ACT_OR_EST_THOM" hidden="1">"c5299"</definedName>
    <definedName name="IQ_REVENUE_ADVERTISING" hidden="1">"c2880"</definedName>
    <definedName name="IQ_REVENUE_ANALOG_CABLE" hidden="1">"c2875"</definedName>
    <definedName name="IQ_REVENUE_BASIC_CABLE" hidden="1">"c2877"</definedName>
    <definedName name="IQ_REVENUE_BBAND" hidden="1">"c2878"</definedName>
    <definedName name="IQ_REVENUE_BEFORE_LL_FFIEC" hidden="1">"c13018"</definedName>
    <definedName name="IQ_REVENUE_COMMERCIAL" hidden="1">"c2881"</definedName>
    <definedName name="IQ_REVENUE_DIGITAL_CABLE" hidden="1">"c2876"</definedName>
    <definedName name="IQ_REVENUE_EST" hidden="1">"c1126"</definedName>
    <definedName name="IQ_REVENUE_EST_BOTTOM_UP" hidden="1">"c5488"</definedName>
    <definedName name="IQ_REVENUE_EST_BOTTOM_UP_CIQ" hidden="1">"c12025"</definedName>
    <definedName name="IQ_REVENUE_EST_CIQ" hidden="1">"c3616"</definedName>
    <definedName name="IQ_REVENUE_EST_THOM" hidden="1">"c3652"</definedName>
    <definedName name="IQ_REVENUE_GUIDANCE" hidden="1">"c4519"</definedName>
    <definedName name="IQ_REVENUE_HIGH_EST" hidden="1">"c1127"</definedName>
    <definedName name="IQ_REVENUE_HIGH_EST_CIQ" hidden="1">"c3618"</definedName>
    <definedName name="IQ_REVENUE_HIGH_EST_THOM" hidden="1">"c3654"</definedName>
    <definedName name="IQ_REVENUE_HIGH_GUIDANCE" hidden="1">"c4169"</definedName>
    <definedName name="IQ_REVENUE_LOW_EST" hidden="1">"c1128"</definedName>
    <definedName name="IQ_REVENUE_LOW_EST_CIQ" hidden="1">"c3619"</definedName>
    <definedName name="IQ_REVENUE_LOW_EST_THOM" hidden="1">"c3655"</definedName>
    <definedName name="IQ_REVENUE_LOW_GUIDANCE" hidden="1">"c4209"</definedName>
    <definedName name="IQ_REVENUE_MEDIAN_EST" hidden="1">"c1662"</definedName>
    <definedName name="IQ_REVENUE_MEDIAN_EST_CIQ" hidden="1">"c3617"</definedName>
    <definedName name="IQ_REVENUE_MEDIAN_EST_THOM" hidden="1">"c3653"</definedName>
    <definedName name="IQ_REVENUE_NUM_EST" hidden="1">"c1129"</definedName>
    <definedName name="IQ_REVENUE_NUM_EST_CIQ" hidden="1">"c3620"</definedName>
    <definedName name="IQ_REVENUE_NUM_EST_THOM" hidden="1">"c3656"</definedName>
    <definedName name="IQ_REVENUE_OTHER" hidden="1">"c2882"</definedName>
    <definedName name="IQ_REVENUE_PHONE" hidden="1">"c2879"</definedName>
    <definedName name="IQ_REVENUE_TOTAL" hidden="1">"c2883"</definedName>
    <definedName name="IQ_REVENUES_SATELLITE" hidden="1">"c15792"</definedName>
    <definedName name="IQ_REVENUES_WIRELESS" hidden="1">"c15793"</definedName>
    <definedName name="IQ_REVISION_DATE_" localSheetId="20" hidden="1">39776.5159259259</definedName>
    <definedName name="IQ_REVISION_DATE_" localSheetId="21" hidden="1">39776.5159259259</definedName>
    <definedName name="IQ_REVISION_DATE_" localSheetId="22" hidden="1">39776.5159259259</definedName>
    <definedName name="IQ_REVISION_DATE_" localSheetId="23" hidden="1">39776.5159259259</definedName>
    <definedName name="IQ_REVISION_DATE_" localSheetId="24" hidden="1">39776.5159259259</definedName>
    <definedName name="IQ_REVISION_DATE_" hidden="1">39776.5159259259</definedName>
    <definedName name="IQ_REVOLV_OPEN_SECURED_1_4_LL_REC_DOM_FFIEC" hidden="1">"c12902"</definedName>
    <definedName name="IQ_REVOLVING_HOME_EQUITY_LINES_UNUSED_FFIEC" hidden="1">"c13241"</definedName>
    <definedName name="IQ_REVOLVING_LOANS_GROSS_LOANS_FFIEC" hidden="1">"c13398"</definedName>
    <definedName name="IQ_REVOLVING_LOANS_RISK_BASED_FFIEC" hidden="1">"c13419"</definedName>
    <definedName name="IQ_REVOLVING_LOANS_SEC_1_4_DOM_CHARGE_OFFS_FFIEC" hidden="1">"c13168"</definedName>
    <definedName name="IQ_REVOLVING_LOANS_SEC_1_4_DOM_RECOV_FFIEC" hidden="1">"c13190"</definedName>
    <definedName name="IQ_REVOLVING_OPEN_END_1_4_TRADING_DOM_FFIEC" hidden="1">"c12927"</definedName>
    <definedName name="IQ_REVOLVING_SECURED_1_4_DUE_30_89_FFIEC" hidden="1">"c13260"</definedName>
    <definedName name="IQ_REVOLVING_SECURED_1_4_DUE_90_FFIEC" hidden="1">"c13288"</definedName>
    <definedName name="IQ_REVOLVING_SECURED_1_4_NON_ACCRUAL_FFIEC" hidden="1">"c13314"</definedName>
    <definedName name="IQ_RGU" hidden="1">"c2863"</definedName>
    <definedName name="IQ_RISK_ADJ_BANK_ASSETS" hidden="1">"c2670"</definedName>
    <definedName name="IQ_RISK_WEIGHTED_ASSETS_0_PCT_FFIEC" hidden="1">"c18874"</definedName>
    <definedName name="IQ_RISK_WEIGHTED_ASSETS_100_PCT_FFIEC" hidden="1">"c18877"</definedName>
    <definedName name="IQ_RISK_WEIGHTED_ASSETS_20_PCT_FFIEC" hidden="1">"c18875"</definedName>
    <definedName name="IQ_RISK_WEIGHTED_ASSETS_50_PCT_FFIEC" hidden="1">"c18876"</definedName>
    <definedName name="IQ_RISK_WEIGHTED_ASSETS_FDIC" hidden="1">"c6370"</definedName>
    <definedName name="IQ_ROAM_MIN_USE_OTHER_CARRIERS" hidden="1">"c15765"</definedName>
    <definedName name="IQ_ROYALTIES_DUE_AFTER_FIVE" hidden="1">"c15969"</definedName>
    <definedName name="IQ_ROYALTIES_DUE_CY" hidden="1">"c15964"</definedName>
    <definedName name="IQ_ROYALTIES_DUE_CY1" hidden="1">"c15965"</definedName>
    <definedName name="IQ_ROYALTIES_DUE_CY2" hidden="1">"c15966"</definedName>
    <definedName name="IQ_ROYALTIES_DUE_CY3" hidden="1">"c15967"</definedName>
    <definedName name="IQ_ROYALTIES_DUE_CY4" hidden="1">"c15968"</definedName>
    <definedName name="IQ_ROYALTY_REVENUE_COAL" hidden="1">"c15932"</definedName>
    <definedName name="IQ_RSI" hidden="1">"c12704"</definedName>
    <definedName name="IQ_RSI_ADJ" hidden="1">"c12705"</definedName>
    <definedName name="IQ_SALARIED_WORKFORCE" hidden="1">"c7010"</definedName>
    <definedName name="IQ_SALARIED_WORKFORCE_APR" hidden="1">"c7670"</definedName>
    <definedName name="IQ_SALARIED_WORKFORCE_APR_FC" hidden="1">"c8550"</definedName>
    <definedName name="IQ_SALARIED_WORKFORCE_FC" hidden="1">"c7890"</definedName>
    <definedName name="IQ_SALARIED_WORKFORCE_POP" hidden="1">"c7230"</definedName>
    <definedName name="IQ_SALARIED_WORKFORCE_POP_FC" hidden="1">"c8110"</definedName>
    <definedName name="IQ_SALARIED_WORKFORCE_YOY" hidden="1">"c7450"</definedName>
    <definedName name="IQ_SALARIED_WORKFORCE_YOY_FC" hidden="1">"c8330"</definedName>
    <definedName name="IQ_SALARIES_EMPLOYEE_BENEFITS_FFIEC" hidden="1">"c13023"</definedName>
    <definedName name="IQ_SALARIES_OTHER_BENEFITS" hidden="1">"c16176"</definedName>
    <definedName name="IQ_SALARY" hidden="1">"c1130"</definedName>
    <definedName name="IQ_SALARY_FDIC" hidden="1">"c6576"</definedName>
    <definedName name="IQ_SALE_COMMON_GROSS_FFIEC" hidden="1">"c12963"</definedName>
    <definedName name="IQ_SALE_CONVERSION_ACQUISITION_NET_COMMON_FFIEC" hidden="1">"c15351"</definedName>
    <definedName name="IQ_SALE_CONVERSION_RETIREMENT_STOCK_FDIC" hidden="1">"c6661"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PREF_FFIEC" hidden="1">"c12961"</definedName>
    <definedName name="IQ_SALE_PROP" hidden="1">"c16029"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_TREASURY_FFIEC" hidden="1">"c12965"</definedName>
    <definedName name="IQ_SALES_COAL" hidden="1">"c15930"</definedName>
    <definedName name="IQ_SALES_MARKETING" hidden="1">"c2240"</definedName>
    <definedName name="IQ_SALES_TO_TOTAL_REVENUE_COAL" hidden="1">"c15943"</definedName>
    <definedName name="IQ_SAME_PROP_AGG_GLA" hidden="1">"c16055"</definedName>
    <definedName name="IQ_SAME_PROP_AGG_UNITS" hidden="1">"c16053"</definedName>
    <definedName name="IQ_SAME_PROP_EXPENSE" hidden="1">"c16050"</definedName>
    <definedName name="IQ_SAME_PROP_EXPENSE_GROWTH" hidden="1">"c16051"</definedName>
    <definedName name="IQ_SAME_PROP_NUMBER_PROP" hidden="1">"c16052"</definedName>
    <definedName name="IQ_SAME_PROP_PORTFOLIO_AREA" hidden="1">"c16054"</definedName>
    <definedName name="IQ_SAME_PROP_REV_GROWTH" hidden="1">"c16049"</definedName>
    <definedName name="IQ_SAME_PROP_REVENUE" hidden="1">"c16048"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AVINGS_ACCT_DEPOSITS_TOTAL_DEPOSITS" hidden="1">"c15721"</definedName>
    <definedName name="IQ_SAVINGS_DEPOSITS_NON_TRANS_ACCTS_FFIEC" hidden="1">"c15329"</definedName>
    <definedName name="IQ_SAVINGS_DEPOSITS_QUARTERLY_AVG_FFIEC" hidden="1">"c15485"</definedName>
    <definedName name="IQ_SAVINGS_RATE_DISP_INC_PCT" hidden="1">"c7011"</definedName>
    <definedName name="IQ_SAVINGS_RATE_DISP_INC_PCT_FC" hidden="1">"c7891"</definedName>
    <definedName name="IQ_SAVINGS_RATE_DISP_INC_PCT_POP" hidden="1">"c7231"</definedName>
    <definedName name="IQ_SAVINGS_RATE_DISP_INC_PCT_POP_FC" hidden="1">"c8111"</definedName>
    <definedName name="IQ_SAVINGS_RATE_DISP_INC_PCT_YOY" hidden="1">"c7451"</definedName>
    <definedName name="IQ_SAVINGS_RATE_DISP_INC_PCT_YOY_FC" hidden="1">"c8331"</definedName>
    <definedName name="IQ_SAVINGS_RATE_GDP_PCT" hidden="1">"c7012"</definedName>
    <definedName name="IQ_SAVINGS_RATE_GDP_PCT_FC" hidden="1">"c7892"</definedName>
    <definedName name="IQ_SAVINGS_RATE_GDP_PCT_POP" hidden="1">"c7232"</definedName>
    <definedName name="IQ_SAVINGS_RATE_GDP_PCT_POP_FC" hidden="1">"c8112"</definedName>
    <definedName name="IQ_SAVINGS_RATE_GDP_PCT_YOY" hidden="1">"c7452"</definedName>
    <definedName name="IQ_SAVINGS_RATE_GDP_PCT_YOY_FC" hidden="1">"c8332"</definedName>
    <definedName name="IQ_SAVINGS_RATE_PERSONAL_INC_PCT" hidden="1">"c7013"</definedName>
    <definedName name="IQ_SAVINGS_RATE_PERSONAL_INC_PCT_FC" hidden="1">"c7893"</definedName>
    <definedName name="IQ_SAVINGS_RATE_PERSONAL_INC_PCT_POP" hidden="1">"c7233"</definedName>
    <definedName name="IQ_SAVINGS_RATE_PERSONAL_INC_PCT_POP_FC" hidden="1">"c8113"</definedName>
    <definedName name="IQ_SAVINGS_RATE_PERSONAL_INC_PCT_YOY" hidden="1">"c7453"</definedName>
    <definedName name="IQ_SAVINGS_RATE_PERSONAL_INC_PCT_YOY_FC" hidden="1">"c8333"</definedName>
    <definedName name="IQ_SBC_EXPENSE_FFIEC" hidden="1">"c13077"</definedName>
    <definedName name="IQ_SCALABLE_INFRASTRUCTURE_CABLE_INVEST" hidden="1">"c15802"</definedName>
    <definedName name="IQ_SEC_1_4_CONSTRUCTION_DOM_CHARGE_OFFS_FFIEC" hidden="1">"c13165"</definedName>
    <definedName name="IQ_SEC_1_4_CONSTRUCTION_DOM_RECOV_FFIEC" hidden="1">"c13187"</definedName>
    <definedName name="IQ_SEC_BORROWED_OFF_BS_FFIEC" hidden="1">"c13127"</definedName>
    <definedName name="IQ_SEC_FARMLAND_DOM_CHARGE_OFFS_FFIEC" hidden="1">"c13167"</definedName>
    <definedName name="IQ_SEC_FARMLAND_DOM_RECOV_FFIEC" hidden="1">"c13189"</definedName>
    <definedName name="IQ_SEC_FUNDS_PURCHASED_ASSETS_TOT_FFIEC" hidden="1">"c13447"</definedName>
    <definedName name="IQ_SEC_ISSUED_US_AVAIL_SALE_FFIEC" hidden="1">"c12795"</definedName>
    <definedName name="IQ_SEC_ISSUED_US_TRADING_DOM_FFIEC" hidden="1">"c12920"</definedName>
    <definedName name="IQ_SEC_ISSUED_US_TRADING_FFIEC" hidden="1">"c12815"</definedName>
    <definedName name="IQ_SEC_MULTIFAM_DOM_CHARGE_OFFS_FFIEC" hidden="1">"c13171"</definedName>
    <definedName name="IQ_SEC_MULTIFAM_DOM_DUE_30_89_FFIEC" hidden="1">"c13263"</definedName>
    <definedName name="IQ_SEC_MULTIFAM_DOM_DUE_90_FFIEC" hidden="1">"c13291"</definedName>
    <definedName name="IQ_SEC_MULTIFAM_DOM_NON_ACCRUAL_FFIEC" hidden="1">"c13317"</definedName>
    <definedName name="IQ_SEC_MULTIFAM_DOM_RECOV_FFIEC" hidden="1">"c13193"</definedName>
    <definedName name="IQ_SEC_NONFARM_NONRES_CHARGE_OFFS_FFIEC" hidden="1">"c13629"</definedName>
    <definedName name="IQ_SEC_NONFARM_NONRES_DOM_OFFICES_DUE_30_89_FFIEC" hidden="1">"c13264"</definedName>
    <definedName name="IQ_SEC_NONFARM_NONRES_DOM_OFFICES_DUE_90_FFIEC" hidden="1">"c13292"</definedName>
    <definedName name="IQ_SEC_NONFARM_NONRES_DOM_OFFICES_NON_ACCRUAL_FFIEC" hidden="1">"c13318"</definedName>
    <definedName name="IQ_SEC_NONFARM_NONRES_RECOV_FFIEC" hidden="1">"c13633"</definedName>
    <definedName name="IQ_SEC_OTHER_CONSTRUCTION_DOM_CHARGE_OFFS_FFIEC" hidden="1">"c13166"</definedName>
    <definedName name="IQ_SEC_OTHER_CONSTRUCTION_DOM_RECOV_FFIEC" hidden="1">"c13188"</definedName>
    <definedName name="IQ_SEC_OTHER_NONFARM_NONRES_CHARGE_OFFS_FFIEC" hidden="1">"c13173"</definedName>
    <definedName name="IQ_SEC_OTHER_NONFARM_NONRES_DUE_30_89_FFIEC" hidden="1">"c13266"</definedName>
    <definedName name="IQ_SEC_OTHER_NONFARM_NONRES_DUE_90_FFIEC" hidden="1">"c13637"</definedName>
    <definedName name="IQ_SEC_OTHER_NONFARM_NONRES_NON_ACCRUAL_FFIEC" hidden="1">"c15462"</definedName>
    <definedName name="IQ_SEC_OTHER_NONFARM_NONRES_RECOV_FFIEC" hidden="1">"c13195"</definedName>
    <definedName name="IQ_SEC_OWNER_NONFARM_NONRES_CHARGE_OFFS_FFIEC" hidden="1">"c13172"</definedName>
    <definedName name="IQ_SEC_OWNER_NONFARM_NONRES_DUE_30_89_FFIEC" hidden="1">"c13265"</definedName>
    <definedName name="IQ_SEC_OWNER_NONFARM_NONRES_DUE_90_FFIEC" hidden="1">"c13636"</definedName>
    <definedName name="IQ_SEC_OWNER_NONFARM_NONRES_NON_ACCRUAL_FFIEC" hidden="1">"c15461"</definedName>
    <definedName name="IQ_SEC_OWNER_NONFARM_NONRES_RECOV_FFIEC" hidden="1">"c13194"</definedName>
    <definedName name="IQ_SEC_PURCHASED_RESELL" hidden="1">"c5513"</definedName>
    <definedName name="IQ_SEC_PURCHASED_RESELL_FFIEC" hidden="1">"c12807"</definedName>
    <definedName name="IQ_SEC_RE_FOREIGN_DUE_30_89_FFIEC" hidden="1">"c13267"</definedName>
    <definedName name="IQ_SEC_RE_FOREIGN_DUE_90_FFIEC" hidden="1">"c13293"</definedName>
    <definedName name="IQ_SEC_RE_FOREIGN_NON_ACCRUAL_FFIEC" hidden="1">"c13319"</definedName>
    <definedName name="IQ_SEC_SOLD_REPURCHASE_FFIEC" hidden="1">"c12857"</definedName>
    <definedName name="IQ_SECUR_RECEIV" hidden="1">"c1151"</definedName>
    <definedName name="IQ_SECURED_1_4_FAMILY_RESIDENTIAL_CHARGE_OFFS_FDIC" hidden="1">"c6590"</definedName>
    <definedName name="IQ_SECURED_1_4_FAMILY_RESIDENTIAL_NET_CHARGE_OFFS_FDIC" hidden="1">"c6628"</definedName>
    <definedName name="IQ_SECURED_1_4_FAMILY_RESIDENTIAL_RECOVERIES_FDIC" hidden="1">"c6609"</definedName>
    <definedName name="IQ_SECURED_DEBT" hidden="1">"c2546"</definedName>
    <definedName name="IQ_SECURED_DEBT_PCT" hidden="1">"c2547"</definedName>
    <definedName name="IQ_SECURED_FARMLAND_CHARGE_OFFS_FDIC" hidden="1">"c6593"</definedName>
    <definedName name="IQ_SECURED_FARMLAND_DOM_DUE_30_89_FFIEC" hidden="1">"c13259"</definedName>
    <definedName name="IQ_SECURED_FARMLAND_DOM_DUE_90_FFIEC" hidden="1">"c13287"</definedName>
    <definedName name="IQ_SECURED_FARMLAND_DOM_NON_ACCRUAL_FFIEC" hidden="1">"c13313"</definedName>
    <definedName name="IQ_SECURED_FARMLAND_LL_REC_DOM_FFIEC" hidden="1">"c12901"</definedName>
    <definedName name="IQ_SECURED_FARMLAND_NET_CHARGE_OFFS_FDIC" hidden="1">"c6631"</definedName>
    <definedName name="IQ_SECURED_FARMLAND_RECOVERIES_FDIC" hidden="1">"c6612"</definedName>
    <definedName name="IQ_SECURED_MULTI_RES_LL_REC_DOM_FFIEC" hidden="1">"c12905"</definedName>
    <definedName name="IQ_SECURED_MULTIFAMILY_RESIDENTIAL_CHARGE_OFFS_FDIC" hidden="1">"c6591"</definedName>
    <definedName name="IQ_SECURED_MULTIFAMILY_RESIDENTIAL_NET_CHARGE_OFFS_FDIC" hidden="1">"c6629"</definedName>
    <definedName name="IQ_SECURED_MULTIFAMILY_RESIDENTIAL_RECOVERIES_FDIC" hidden="1">"c6610"</definedName>
    <definedName name="IQ_SECURED_NONFARM_NONRESIDENTIAL_CHARGE_OFFS_FDIC" hidden="1">"c6592"</definedName>
    <definedName name="IQ_SECURED_NONFARM_NONRESIDENTIAL_NET_CHARGE_OFFS_FDIC" hidden="1">"c6630"</definedName>
    <definedName name="IQ_SECURED_NONFARM_NONRESIDENTIAL_RECOVERIES_FDIC" hidden="1">"c6611"</definedName>
    <definedName name="IQ_SECURITIES_GAINS_FDIC" hidden="1">"c6584"</definedName>
    <definedName name="IQ_SECURITIES_HELD_MATURITY_FFIEC" hidden="1">"c12777"</definedName>
    <definedName name="IQ_SECURITIES_ISSUED_STATES_FDIC" hidden="1">"c6300"</definedName>
    <definedName name="IQ_SECURITIES_ISSUED_US_FFIEC" hidden="1">"c12781"</definedName>
    <definedName name="IQ_SECURITIES_LENT_FDIC" hidden="1">"c6532"</definedName>
    <definedName name="IQ_SECURITIES_LENT_FFIEC" hidden="1">"c13255"</definedName>
    <definedName name="IQ_SECURITIES_QUARTERLY_AVG_FFIEC" hidden="1">"c13079"</definedName>
    <definedName name="IQ_SECURITIES_STATE_POLI_SUBD_QUARTERLY_AVG_FFIEC" hidden="1">"c15470"</definedName>
    <definedName name="IQ_SECURITIES_UNDERWRITING_FDIC" hidden="1">"c6529"</definedName>
    <definedName name="IQ_SECURITIES_UNDERWRITING_UNUSED_FFIEC" hidden="1">"c13247"</definedName>
    <definedName name="IQ_SECURITIZATION_INC_OPERATING_INC_FFIEC" hidden="1">"c13390"</definedName>
    <definedName name="IQ_SECURITIZATION_INCOME_FFIEC" hidden="1">"c13012"</definedName>
    <definedName name="IQ_SECURITY_ACTIVE_STATUS" hidden="1">"c15160"</definedName>
    <definedName name="IQ_SECURITY_BORROW" hidden="1">"c1152"</definedName>
    <definedName name="IQ_SECURITY_LEVEL" hidden="1">"c2159"</definedName>
    <definedName name="IQ_SECURITY_NAME" hidden="1">"c15159"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LECTED_FOREIGN_ASSETS_FFIEC" hidden="1">"c13485"</definedName>
    <definedName name="IQ_SEMI_BACKLOG" hidden="1">"c10005"</definedName>
    <definedName name="IQ_SEMI_BACKLOG_AVG_PRICE" hidden="1">"c10006"</definedName>
    <definedName name="IQ_SEMI_BACKLOG_VALUE" hidden="1">"c10007"</definedName>
    <definedName name="IQ_SEMI_BOOK_TO_BILL_RATIO" hidden="1">"c10008"</definedName>
    <definedName name="IQ_SEMI_ORDER_AVG_PRICE" hidden="1">"c10002"</definedName>
    <definedName name="IQ_SEMI_ORDER_VALUE" hidden="1">"c10003"</definedName>
    <definedName name="IQ_SEMI_ORDER_VALUE_CHANGE" hidden="1">"c10004"</definedName>
    <definedName name="IQ_SEMI_ORDERS" hidden="1">"c10001"</definedName>
    <definedName name="IQ_SEMI_WARRANTY_RES_ACQ" hidden="1">"c10011"</definedName>
    <definedName name="IQ_SEMI_WARRANTY_RES_BEG" hidden="1">"c10009"</definedName>
    <definedName name="IQ_SEMI_WARRANTY_RES_END" hidden="1">"c10014"</definedName>
    <definedName name="IQ_SEMI_WARRANTY_RES_ISS" hidden="1">"c10010"</definedName>
    <definedName name="IQ_SEMI_WARRANTY_RES_OTHER" hidden="1">"c10013"</definedName>
    <definedName name="IQ_SEMI_WARRANTY_RES_PAY" hidden="1">"c10012"</definedName>
    <definedName name="IQ_SEP_ACCOUNT_ASSETS_LH_FFIEC" hidden="1">"c13105"</definedName>
    <definedName name="IQ_SEPARATE_ACCOUNT_LIAB_LH_FFIEC" hidden="1">"c13108"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ERVICE_CHARGES_DEPOSIT_ACCOUNTS_DOM_FFIEC" hidden="1">"c13003"</definedName>
    <definedName name="IQ_SERVICE_CHARGES_FDIC" hidden="1">"c6572"</definedName>
    <definedName name="IQ_SERVICE_CHARGES_OPERATING_INC_FFIEC" hidden="1">"c13384"</definedName>
    <definedName name="IQ_SERVICE_FEE" hidden="1">"c8951"</definedName>
    <definedName name="IQ_SERVICING_FEES_FFIEC" hidden="1">"c13011"</definedName>
    <definedName name="IQ_SERVICING_FEES_OPERATING_INC_FFIEC" hidden="1">"c13389"</definedName>
    <definedName name="IQ_SETTLEMENTS_TAX_AUTHORITIES" hidden="1">"c15737"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_PARTNERSHIP_ASSETS" hidden="1">"c16071"</definedName>
    <definedName name="IQ_SHARE_PARTNERSHIP_CURRENT_ASSETS" hidden="1">"c16069"</definedName>
    <definedName name="IQ_SHARE_PARTNERSHIP_CURRENT_LIAB" hidden="1">"c16073"</definedName>
    <definedName name="IQ_SHARE_PARTNERSHIP_CURRENT_TAX" hidden="1">"c16091"</definedName>
    <definedName name="IQ_SHARE_PARTNERSHIP_DEBT" hidden="1">"c16078"</definedName>
    <definedName name="IQ_SHARE_PARTNERSHIP_DEFERRED_TAX" hidden="1">"c16092"</definedName>
    <definedName name="IQ_SHARE_PARTNERSHIP_DEPRECIATION" hidden="1">"c16089"</definedName>
    <definedName name="IQ_SHARE_PARTNERSHIP_FLOAT_DEBT" hidden="1">"c16077"</definedName>
    <definedName name="IQ_SHARE_PARTNERSHIP_FR_DEBT" hidden="1">"c16076"</definedName>
    <definedName name="IQ_SHARE_PARTNERSHIP_INT_EXPENSE" hidden="1">"c16088"</definedName>
    <definedName name="IQ_SHARE_PARTNERSHIP_INT_INCOME" hidden="1">"c16090"</definedName>
    <definedName name="IQ_SHARE_PARTNERSHIP_LIAB" hidden="1">"c16075"</definedName>
    <definedName name="IQ_SHARE_PARTNERSHIP_LT_ASSETS" hidden="1">"c16070"</definedName>
    <definedName name="IQ_SHARE_PARTNERSHIP_NOI" hidden="1">"c16084"</definedName>
    <definedName name="IQ_SHARE_PARTNERSHIP_NON_CURRENT_LIAB" hidden="1">"c16074"</definedName>
    <definedName name="IQ_SHARE_PARTNERSHIP_OPEX" hidden="1">"c16086"</definedName>
    <definedName name="IQ_SHARE_PARTNERSHIP_OTHER_EXPENSE" hidden="1">"c16087"</definedName>
    <definedName name="IQ_SHARE_PARTNERSHIP_OTHER_INCOME" hidden="1">"c16085"</definedName>
    <definedName name="IQ_SHARE_PARTNERSHIP_REVENUE" hidden="1">"c16083"</definedName>
    <definedName name="IQ_SHARE_RE_ASSET" hidden="1">"c16082"</definedName>
    <definedName name="IQ_SHARE_RE_ASSET_DEVELOP_PROP" hidden="1">"c16080"</definedName>
    <definedName name="IQ_SHARE_RE_ASSET_INV_PROP" hidden="1">"c16079"</definedName>
    <definedName name="IQ_SHARE_RE_ASSET_OTHER" hidden="1">"c16081"</definedName>
    <definedName name="IQ_SHAREOUTSTANDING" hidden="1">"c1347"</definedName>
    <definedName name="IQ_SHARES_PER_DR" hidden="1">"c204"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POSITIONS_FFIEC" hidden="1">"c12859"</definedName>
    <definedName name="IQ_SHORT_TERM_INVEST" hidden="1">"c1425"</definedName>
    <definedName name="IQ_SMALL_INT_BEAR_CD" localSheetId="20" hidden="1">"c11748"</definedName>
    <definedName name="IQ_SMALL_INT_BEAR_CD" localSheetId="21" hidden="1">"c11748"</definedName>
    <definedName name="IQ_SMALL_INT_BEAR_CD" localSheetId="22" hidden="1">"c11748"</definedName>
    <definedName name="IQ_SMALL_INT_BEAR_CD" localSheetId="23" hidden="1">"c11748"</definedName>
    <definedName name="IQ_SMALL_INT_BEAR_CD" localSheetId="24" hidden="1">"c11748"</definedName>
    <definedName name="IQ_SMALL_INT_BEAR_CD" hidden="1">"c11748"</definedName>
    <definedName name="IQ_SOC_SEC_RECEIPTS_SAAR_USD_APR_FC" hidden="1">"c12005"</definedName>
    <definedName name="IQ_SOC_SEC_RECEIPTS_SAAR_USD_FC" hidden="1">"c12002"</definedName>
    <definedName name="IQ_SOC_SEC_RECEIPTS_SAAR_USD_POP_FC" hidden="1">"c12003"</definedName>
    <definedName name="IQ_SOC_SEC_RECEIPTS_SAAR_USD_YOY_FC" hidden="1">"c12004"</definedName>
    <definedName name="IQ_SOC_SEC_RECEIPTS_USD_APR_FC" hidden="1">"c12001"</definedName>
    <definedName name="IQ_SOC_SEC_RECEIPTS_USD_FC" hidden="1">"c11998"</definedName>
    <definedName name="IQ_SOC_SEC_RECEIPTS_USD_POP_FC" hidden="1">"c11999"</definedName>
    <definedName name="IQ_SOC_SEC_RECEIPTS_USD_YOY_FC" hidden="1">"c12000"</definedName>
    <definedName name="IQ_SOCIAL_SEC_RECEIPTS" hidden="1">"c7015"</definedName>
    <definedName name="IQ_SOCIAL_SEC_RECEIPTS_APR" hidden="1">"c7675"</definedName>
    <definedName name="IQ_SOCIAL_SEC_RECEIPTS_APR_FC" hidden="1">"c8555"</definedName>
    <definedName name="IQ_SOCIAL_SEC_RECEIPTS_FC" hidden="1">"c7895"</definedName>
    <definedName name="IQ_SOCIAL_SEC_RECEIPTS_POP" hidden="1">"c7235"</definedName>
    <definedName name="IQ_SOCIAL_SEC_RECEIPTS_POP_FC" hidden="1">"c8115"</definedName>
    <definedName name="IQ_SOCIAL_SEC_RECEIPTS_SAAR" hidden="1">"c7016"</definedName>
    <definedName name="IQ_SOCIAL_SEC_RECEIPTS_SAAR_APR" hidden="1">"c7676"</definedName>
    <definedName name="IQ_SOCIAL_SEC_RECEIPTS_SAAR_APR_FC" hidden="1">"c8556"</definedName>
    <definedName name="IQ_SOCIAL_SEC_RECEIPTS_SAAR_FC" hidden="1">"c7896"</definedName>
    <definedName name="IQ_SOCIAL_SEC_RECEIPTS_SAAR_POP" hidden="1">"c7236"</definedName>
    <definedName name="IQ_SOCIAL_SEC_RECEIPTS_SAAR_POP_FC" hidden="1">"c8116"</definedName>
    <definedName name="IQ_SOCIAL_SEC_RECEIPTS_SAAR_YOY" hidden="1">"c7456"</definedName>
    <definedName name="IQ_SOCIAL_SEC_RECEIPTS_SAAR_YOY_FC" hidden="1">"c8336"</definedName>
    <definedName name="IQ_SOCIAL_SEC_RECEIPTS_YOY" hidden="1">"c7455"</definedName>
    <definedName name="IQ_SOCIAL_SEC_RECEIPTS_YOY_FC" hidden="1">"c8335"</definedName>
    <definedName name="IQ_SOFTWARE" hidden="1">"c1167"</definedName>
    <definedName name="IQ_SOLD_COAL" hidden="1">"c15936"</definedName>
    <definedName name="IQ_SOURCE" hidden="1">"c1168"</definedName>
    <definedName name="IQ_SP_BANK" hidden="1">"c2637"</definedName>
    <definedName name="IQ_SP_BANK_ACTION" hidden="1">"c2636"</definedName>
    <definedName name="IQ_SP_BANK_DATE" hidden="1">"c2635"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NSR_ACTION_LT" hidden="1">"c13616"</definedName>
    <definedName name="IQ_SP_ISSUE_NSR_ACTION_ST" hidden="1">"c13622"</definedName>
    <definedName name="IQ_SP_ISSUE_NSR_DATE_LT" hidden="1">"c13615"</definedName>
    <definedName name="IQ_SP_ISSUE_NSR_DATE_ST" hidden="1">"c13621"</definedName>
    <definedName name="IQ_SP_ISSUE_NSR_LT" hidden="1">"c13614"</definedName>
    <definedName name="IQ_SP_ISSUE_NSR_ST" hidden="1">"c13620"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NSR_ACTION_LT" hidden="1">"c13613"</definedName>
    <definedName name="IQ_SP_NSR_ACTION_ST" hidden="1">"c13619"</definedName>
    <definedName name="IQ_SP_NSR_DATE_LT" hidden="1">"c13612"</definedName>
    <definedName name="IQ_SP_NSR_DATE_ST" hidden="1">"c13618"</definedName>
    <definedName name="IQ_SP_NSR_LT" hidden="1">"c13611"</definedName>
    <definedName name="IQ_SP_NSR_ST" hidden="1">"c13617"</definedName>
    <definedName name="IQ_SP_OUTLOOK_WATCH" hidden="1">"c2639"</definedName>
    <definedName name="IQ_SP_OUTLOOK_WATCH_DATE" hidden="1">"c2638"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PECIFIC_ALLOWANCE" hidden="1">"c15247"</definedName>
    <definedName name="IQ_SQ_FT_LEASED_GROSS_CONSOL" hidden="1">"c8820"</definedName>
    <definedName name="IQ_SQ_FT_LEASED_GROSS_MANAGED" hidden="1">"c8822"</definedName>
    <definedName name="IQ_SQ_FT_LEASED_GROSS_OTHER" hidden="1">"c8823"</definedName>
    <definedName name="IQ_SQ_FT_LEASED_GROSS_TOTAL" hidden="1">"c8824"</definedName>
    <definedName name="IQ_SQ_FT_LEASED_GROSS_UNCONSOL" hidden="1">"c8821"</definedName>
    <definedName name="IQ_SQ_FT_LEASED_NET_CONSOL" hidden="1">"c8825"</definedName>
    <definedName name="IQ_SQ_FT_LEASED_NET_MANAGED" hidden="1">"c8827"</definedName>
    <definedName name="IQ_SQ_FT_LEASED_NET_OTHER" hidden="1">"c8828"</definedName>
    <definedName name="IQ_SQ_FT_LEASED_NET_TOTAL" hidden="1">"c8829"</definedName>
    <definedName name="IQ_SQ_FT_LEASED_NET_UNCONSOL" hidden="1">"c8826"</definedName>
    <definedName name="IQ_SQ_METER_LEASED_GROSS_CONSOL" hidden="1">"c8830"</definedName>
    <definedName name="IQ_SQ_METER_LEASED_GROSS_MANAGED" hidden="1">"c8832"</definedName>
    <definedName name="IQ_SQ_METER_LEASED_GROSS_OTHER" hidden="1">"c8833"</definedName>
    <definedName name="IQ_SQ_METER_LEASED_GROSS_TOTAL" hidden="1">"c8834"</definedName>
    <definedName name="IQ_SQ_METER_LEASED_GROSS_UNCONSOL" hidden="1">"c8831"</definedName>
    <definedName name="IQ_SQ_METER_LEASED_NET_CONSOL" hidden="1">"c8835"</definedName>
    <definedName name="IQ_SQ_METER_LEASED_NET_MANAGED" hidden="1">"c8837"</definedName>
    <definedName name="IQ_SQ_METER_LEASED_NET_OTHER" hidden="1">"c8838"</definedName>
    <definedName name="IQ_SQ_METER_LEASED_NET_TOTAL" hidden="1">"c8839"</definedName>
    <definedName name="IQ_SQ_METER_LEASED_NET_UNCONSOL" hidden="1">"c8836"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ASSETS_TOT_FFIEC" hidden="1">"c13438"</definedName>
    <definedName name="IQ_ST_INVEST_ST_NONCORE_FUNDING_FFIEC" hidden="1">"c13338"</definedName>
    <definedName name="IQ_ST_INVEST_UTI" hidden="1">"c1198"</definedName>
    <definedName name="IQ_ST_NOTE_RECEIV" hidden="1">"c1199"</definedName>
    <definedName name="IQ_STANDBY_LOC_FHLB_BANK_BEHALF_OFF_BS_FFIEC" hidden="1">"c15412"</definedName>
    <definedName name="IQ_STATE" hidden="1">"c1200"</definedName>
    <definedName name="IQ_STATE_LOCAL_SPENDING_SAAR" hidden="1">"c7017"</definedName>
    <definedName name="IQ_STATE_LOCAL_SPENDING_SAAR_APR" hidden="1">"c7677"</definedName>
    <definedName name="IQ_STATE_LOCAL_SPENDING_SAAR_APR_FC" hidden="1">"c8557"</definedName>
    <definedName name="IQ_STATE_LOCAL_SPENDING_SAAR_FC" hidden="1">"c7897"</definedName>
    <definedName name="IQ_STATE_LOCAL_SPENDING_SAAR_POP" hidden="1">"c7237"</definedName>
    <definedName name="IQ_STATE_LOCAL_SPENDING_SAAR_POP_FC" hidden="1">"c8117"</definedName>
    <definedName name="IQ_STATE_LOCAL_SPENDING_SAAR_YOY" hidden="1">"c7457"</definedName>
    <definedName name="IQ_STATE_LOCAL_SPENDING_SAAR_YOY_FC" hidden="1">"c8337"</definedName>
    <definedName name="IQ_STATES_NONTRANSACTION_ACCOUNTS_FDIC" hidden="1">"c6547"</definedName>
    <definedName name="IQ_STATES_POLI_SUBD_US_NON_TRANS_ACCTS_FFIEC" hidden="1">"c15324"</definedName>
    <definedName name="IQ_STATES_POLI_SUBD_US_TRANS_ACCTS_FFIEC" hidden="1">"c15316"</definedName>
    <definedName name="IQ_STATES_TOTAL_DEPOSITS_FDIC" hidden="1">"c6473"</definedName>
    <definedName name="IQ_STATES_TRANSACTION_ACCOUNTS_FDIC" hidden="1">"c6539"</definedName>
    <definedName name="IQ_STATUTORY_SURPLUS" hidden="1">"c1201"</definedName>
    <definedName name="IQ_STATUTORY_SURPLUS_GAAP_EQUITY" hidden="1">"c15883"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EST" hidden="1">"c4520"</definedName>
    <definedName name="IQ_STOCK_BASED_EST_CIQ" hidden="1">"c5073"</definedName>
    <definedName name="IQ_STOCK_BASED_EXPLORE_DRILL" hidden="1">"c13851"</definedName>
    <definedName name="IQ_STOCK_BASED_GA" hidden="1">"c2993"</definedName>
    <definedName name="IQ_STOCK_BASED_HIGH_EST" hidden="1">"c4521"</definedName>
    <definedName name="IQ_STOCK_BASED_HIGH_EST_CIQ" hidden="1">"c5074"</definedName>
    <definedName name="IQ_STOCK_BASED_LOW_EST" hidden="1">"c4522"</definedName>
    <definedName name="IQ_STOCK_BASED_LOW_EST_CIQ" hidden="1">"c5075"</definedName>
    <definedName name="IQ_STOCK_BASED_MEDIAN_EST" hidden="1">"c4523"</definedName>
    <definedName name="IQ_STOCK_BASED_MEDIAN_EST_CIQ" hidden="1">"c5076"</definedName>
    <definedName name="IQ_STOCK_BASED_NUM_EST" hidden="1">"c4524"</definedName>
    <definedName name="IQ_STOCK_BASED_NUM_EST_CIQ" hidden="1">"c5077"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STDDEV_EST" hidden="1">"c4525"</definedName>
    <definedName name="IQ_STOCK_BASED_STDDEV_EST_CIQ" hidden="1">"c5078"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AIGHT_LINE_RENT_ADJ" hidden="1">"c16178"</definedName>
    <definedName name="IQ_STRATEGY_NOTE" hidden="1">"c6791"</definedName>
    <definedName name="IQ_STRIKE_PRICE_ISSUED" hidden="1">"c1645"</definedName>
    <definedName name="IQ_STRIKE_PRICE_OS" hidden="1">"c1646"</definedName>
    <definedName name="IQ_STRIPS_RECEIVABLE_MORTGAGE_LOANS_FFIEC" hidden="1">"c12844"</definedName>
    <definedName name="IQ_STRIPS_RECEIVABLE_OTHER_FFIEC" hidden="1">"c12845"</definedName>
    <definedName name="IQ_STRUCT_FIN_CLASS" hidden="1">"c8950"</definedName>
    <definedName name="IQ_STRUCT_FIN_SERIES" hidden="1">"c8956"</definedName>
    <definedName name="IQ_STRUCTURED_NOTES_INVEST_SECURITIES_FFIEC" hidden="1">"c13468"</definedName>
    <definedName name="IQ_STRUCTURING_NOTES_TIER_1_FFIEC" hidden="1">"c13344"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FDIC" hidden="1">"c6346"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UB_NOTES_DEBENTURES_FAIR_VALUE_TOT_FFIEC" hidden="1">"c15410"</definedName>
    <definedName name="IQ_SUB_NOTES_DEBENTURES_FFIEC" hidden="1">"c12867"</definedName>
    <definedName name="IQ_SUB_NOTES_DEBENTURES_LEVEL_1_FFIEC" hidden="1">"c15432"</definedName>
    <definedName name="IQ_SUB_NOTES_DEBENTURES_LEVEL_2_FFIEC" hidden="1">"c15445"</definedName>
    <definedName name="IQ_SUB_NOTES_DEBENTURES_LEVEL_3_FFIEC" hidden="1">"c15458"</definedName>
    <definedName name="IQ_SUB_NOTES_PAYABLE_UNCONSOLIDATED_TRUSTS_FFIEC" hidden="1">"c12868"</definedName>
    <definedName name="IQ_SUBS_ANALOG_CABLE" hidden="1">"c2855"</definedName>
    <definedName name="IQ_SUBS_BASIC_CABLE" hidden="1">"c2857"</definedName>
    <definedName name="IQ_SUBS_BBAND" hidden="1">"c2858"</definedName>
    <definedName name="IQ_SUBS_BUNDLED" hidden="1">"c2861"</definedName>
    <definedName name="IQ_SUBS_DIG_CABLE" hidden="1">"c2856"</definedName>
    <definedName name="IQ_SUBS_NON_VIDEO" hidden="1">"c2860"</definedName>
    <definedName name="IQ_SUBS_PHONE" hidden="1">"c2859"</definedName>
    <definedName name="IQ_SUBS_POSTPAID_WIRELESS" hidden="1">"c2118"</definedName>
    <definedName name="IQ_SUBS_PREPAID_WIRELESS" hidden="1">"c2117"</definedName>
    <definedName name="IQ_SUBS_RESELL_WHOLESALE_WIRELESS" hidden="1">"c15749"</definedName>
    <definedName name="IQ_SUBS_TOTAL" hidden="1">"c2862"</definedName>
    <definedName name="IQ_SUBS_TOTAL_WIRELESS" hidden="1">"c2119"</definedName>
    <definedName name="IQ_SUPPLIES_FFIEC" hidden="1">"c13050"</definedName>
    <definedName name="IQ_SUPPORT_INFRASTRUCTURE_CABLE_INVEST" hidden="1">"c15805"</definedName>
    <definedName name="IQ_SURFACE_RESERVES_COAL" hidden="1">"c15920"</definedName>
    <definedName name="IQ_SURFACE_RESERVES_TO_TOTAL_RESERVES_COAL" hidden="1">"c15959"</definedName>
    <definedName name="IQ_SURPLUS_FDIC" hidden="1">"c6351"</definedName>
    <definedName name="IQ_SURPLUS_FFIEC" hidden="1">"c12877"</definedName>
    <definedName name="IQ_SVA" hidden="1">"c1214"</definedName>
    <definedName name="IQ_SYNTHETIC_STRUCTURED_PRODUCTS_AVAIL_SALE_FFIEC" hidden="1">"c15264"</definedName>
    <definedName name="IQ_SYNTHETIC_STRUCTURED_PRODUCTS_FFIEC" hidden="1">"c15261"</definedName>
    <definedName name="IQ_TANGIBLE_ASSETS_FFIEC" hidden="1">"c13916"</definedName>
    <definedName name="IQ_TANGIBLE_COMMON_EQUITY_FFIEC" hidden="1">"c13914"</definedName>
    <definedName name="IQ_TANGIBLE_EQUITY_ASSETS_FFIEC" hidden="1">"c13346"</definedName>
    <definedName name="IQ_TANGIBLE_EQUITY_FFIEC" hidden="1">"c13915"</definedName>
    <definedName name="IQ_TANGIBLE_TIER_1_LEVERAGE_FFIEC" hidden="1">"c13345"</definedName>
    <definedName name="IQ_TARGET_PRICE_NUM" hidden="1">"c1653"</definedName>
    <definedName name="IQ_TARGET_PRICE_NUM_CIQ" hidden="1">"c4661"</definedName>
    <definedName name="IQ_TARGET_PRICE_NUM_THOM" hidden="1">"c5098"</definedName>
    <definedName name="IQ_TARGET_PRICE_STDDEV" hidden="1">"c1654"</definedName>
    <definedName name="IQ_TARGET_PRICE_STDDEV_CIQ" hidden="1">"c4662"</definedName>
    <definedName name="IQ_TARGET_PRICE_STDDEV_THOM" hidden="1">"c5099"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AX_EQUIVALENT_ADJUSTMENTS_FFIEC" hidden="1">"c13854"</definedName>
    <definedName name="IQ_TAX_OTHER_EXP_AP" hidden="1">"c8878"</definedName>
    <definedName name="IQ_TAX_OTHER_EXP_AP_ABS" hidden="1">"c8897"</definedName>
    <definedName name="IQ_TAX_OTHER_EXP_NAME_AP" hidden="1">"c8916"</definedName>
    <definedName name="IQ_TAX_OTHER_EXP_NAME_AP_ABS" hidden="1">"c8935"</definedName>
    <definedName name="IQ_TAXES_ADJ_NOI_FFIEC" hidden="1">"c13395"</definedName>
    <definedName name="IQ_TAXES_NOI_FFIEC" hidden="1">"c13394"</definedName>
    <definedName name="IQ_TAXES_TE_AVG_ASSETS_FFIEC" hidden="1">"c13366"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EXCL_FFIEC" hidden="1">"c13516"</definedName>
    <definedName name="IQ_TBV_SHARE" hidden="1">"c1217"</definedName>
    <definedName name="IQ_TELECOM_FFIEC" hidden="1">"c13057"</definedName>
    <definedName name="IQ_TEMPLATE" hidden="1">"c1521"</definedName>
    <definedName name="IQ_TENANT" hidden="1">"c1218"</definedName>
    <definedName name="IQ_TENANT_LEASE_COMMISSION" hidden="1">"c16177"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_FWD_CIQ" hidden="1">"c4047"</definedName>
    <definedName name="IQ_TEV_EBIT_FWD_THOM" hidden="1">"c4061"</definedName>
    <definedName name="IQ_TEV_EBITDA" hidden="1">"c1222"</definedName>
    <definedName name="IQ_TEV_EBITDA_AVG" hidden="1">"c1223"</definedName>
    <definedName name="IQ_TEV_EBITDA_FWD" hidden="1">"c1224"</definedName>
    <definedName name="IQ_TEV_EBITDA_FWD_CIQ" hidden="1">"c4043"</definedName>
    <definedName name="IQ_TEV_EBITDA_FWD_THOM" hidden="1">"c4057"</definedName>
    <definedName name="IQ_TEV_EMPLOYEE_AVG" hidden="1">"c1225"</definedName>
    <definedName name="IQ_TEV_EST" hidden="1">"c4526"</definedName>
    <definedName name="IQ_TEV_EST_CIQ" hidden="1">"c5079"</definedName>
    <definedName name="IQ_TEV_EST_THOM" hidden="1">"c5529"</definedName>
    <definedName name="IQ_TEV_HIGH_EST" hidden="1">"c4527"</definedName>
    <definedName name="IQ_TEV_HIGH_EST_CIQ" hidden="1">"c5080"</definedName>
    <definedName name="IQ_TEV_HIGH_EST_THOM" hidden="1">"c5530"</definedName>
    <definedName name="IQ_TEV_LOW_EST" hidden="1">"c4528"</definedName>
    <definedName name="IQ_TEV_LOW_EST_CIQ" hidden="1">"c5081"</definedName>
    <definedName name="IQ_TEV_LOW_EST_THOM" hidden="1">"c5531"</definedName>
    <definedName name="IQ_TEV_MEDIAN_EST" hidden="1">"c4529"</definedName>
    <definedName name="IQ_TEV_MEDIAN_EST_CIQ" hidden="1">"c5082"</definedName>
    <definedName name="IQ_TEV_MEDIAN_EST_THOM" hidden="1">"c5532"</definedName>
    <definedName name="IQ_TEV_NUM_EST" hidden="1">"c4530"</definedName>
    <definedName name="IQ_TEV_NUM_EST_CIQ" hidden="1">"c5083"</definedName>
    <definedName name="IQ_TEV_NUM_EST_THOM" hidden="1">"c5533"</definedName>
    <definedName name="IQ_TEV_STDDEV_EST" hidden="1">"c4531"</definedName>
    <definedName name="IQ_TEV_STDDEV_EST_CIQ" hidden="1">"c5084"</definedName>
    <definedName name="IQ_TEV_STDDEV_EST_THOM" hidden="1">"c5534"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CIQ" hidden="1">"c4044"</definedName>
    <definedName name="IQ_TEV_TOTAL_REV_FWD_THOM" hidden="1">"c4058"</definedName>
    <definedName name="IQ_TEV_UFCF" hidden="1">"c2208"</definedName>
    <definedName name="IQ_THREE_MONTHS_FIXED_AND_FLOATING_FDIC" hidden="1">"c6419"</definedName>
    <definedName name="IQ_THREE_MONTHS_MORTGAGE_PASS_THROUGHS_FDIC" hidden="1">"c6411"</definedName>
    <definedName name="IQ_THREE_YEAR_FIXED_AND_FLOATING_RATE_FDIC" hidden="1">"c6421"</definedName>
    <definedName name="IQ_THREE_YEAR_MORTGAGE_PASS_THROUGHS_FDIC" hidden="1">"c6413"</definedName>
    <definedName name="IQ_THREE_YEARS_LESS_FDIC" hidden="1">"c6417"</definedName>
    <definedName name="IQ_TIER_1_CAPITAL_BEFORE_CHARGES_T1_FFIEC" hidden="1">"c13139"</definedName>
    <definedName name="IQ_TIER_1_CAPITAL_FFIEC" hidden="1">"c13143"</definedName>
    <definedName name="IQ_TIER_1_LEVERAGE_RATIO_FFIEC" hidden="1">"c13160"</definedName>
    <definedName name="IQ_TIER_1_RISK_BASED_CAPITAL_RATIO_FDIC" hidden="1">"c6746"</definedName>
    <definedName name="IQ_TIER_1_RISK_BASED_CAPITAL_RATIO_FFIEC" hidden="1">"c13161"</definedName>
    <definedName name="IQ_TIER_2_CAPITAL_FFIEC" hidden="1">"c13149"</definedName>
    <definedName name="IQ_TIER_3_CAPITAL_ALLOCATED_MARKET_RISK_FFIEC" hidden="1">"c13151"</definedName>
    <definedName name="IQ_TIER_ONE_CAPITAL" hidden="1">"c2667"</definedName>
    <definedName name="IQ_TIER_ONE_FDIC" hidden="1">"c6369"</definedName>
    <definedName name="IQ_TIER_ONE_RATIO" hidden="1">"c1229"</definedName>
    <definedName name="IQ_TIER_TWO_CAPITAL" hidden="1">"c2669"</definedName>
    <definedName name="IQ_TIER_TWO_CAPITAL_RATIO" hidden="1">"c15241"</definedName>
    <definedName name="IQ_TIME_DEP" hidden="1">"c1230"</definedName>
    <definedName name="IQ_TIME_DEPOSIT_LESS_100000_QUARTERLY_AVG_FFIEC" hidden="1">"c15487"</definedName>
    <definedName name="IQ_TIME_DEPOSIT_MORE_100000_QUARTERLY_AVG_FFIEC" hidden="1">"c15486"</definedName>
    <definedName name="IQ_TIME_DEPOSITS_LESS_100K_OTHER_INSTITUTIONS_FFIEC" hidden="1">"c12953"</definedName>
    <definedName name="IQ_TIME_DEPOSITS_LESS_100K_TOT_DEPOSITS_FFIEC" hidden="1">"c13907"</definedName>
    <definedName name="IQ_TIME_DEPOSITS_LESS_THAN_100K_FDIC" hidden="1">"c6465"</definedName>
    <definedName name="IQ_TIME_DEPOSITS_MORE_100K_OTHER_INSTITUTIONS_FFIEC" hidden="1">"c12954"</definedName>
    <definedName name="IQ_TIME_DEPOSITS_MORE_100K_TOT_DEPOSITS_FFIEC" hidden="1">"c13906"</definedName>
    <definedName name="IQ_TIME_DEPOSITS_MORE_THAN_100K_FDIC" hidden="1">"c6470"</definedName>
    <definedName name="IQ_TIME_DEPOSITS_TOTAL_DEPOSITS" hidden="1">"c15723"</definedName>
    <definedName name="IQ_TODAY" hidden="1">0</definedName>
    <definedName name="IQ_TOT_1_4_FAM_LOANS_TOT_LOANS_FFIEC" hidden="1">"c13868"</definedName>
    <definedName name="IQ_TOT_ADJ_INC" hidden="1">"c1616"</definedName>
    <definedName name="IQ_TOT_LEASES_TOT_LOANS_FFIEC" hidden="1">"c13876"</definedName>
    <definedName name="IQ_TOT_NON_RE_LOANS_TOT_LOANS_FFIEC" hidden="1">"c13877"</definedName>
    <definedName name="IQ_TOT_NONTRANS_ACCTS_TOT_DEPOSITS_FFIEC" hidden="1">"c13909"</definedName>
    <definedName name="IQ_TOT_RE_LOANS_TOT_LOANS_FFIEC" hidden="1">"c13873"</definedName>
    <definedName name="IQ_TOT_TIME_DEPOSITS_TOT_DEPOSITS_FFIEC" hidden="1">"c13908"</definedName>
    <definedName name="IQ_TOTAL_AR_BR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SSETS_BNK_SUBTOTAL_AP" hidden="1">"c13644"</definedName>
    <definedName name="IQ_TOTAL_ASSETS_FAIR_VALUE_TOT_FFIEC" hidden="1">"c15405"</definedName>
    <definedName name="IQ_TOTAL_ASSETS_FDIC" hidden="1">"c6339"</definedName>
    <definedName name="IQ_TOTAL_ASSETS_FFIEC" hidden="1">"c12849"</definedName>
    <definedName name="IQ_TOTAL_ASSETS_LEVEL_1_FFIEC" hidden="1">"c15427"</definedName>
    <definedName name="IQ_TOTAL_ASSETS_LEVEL_2_FFIEC" hidden="1">"c15440"</definedName>
    <definedName name="IQ_TOTAL_ASSETS_LEVEL_3_FFIEC" hidden="1">"c15453"</definedName>
    <definedName name="IQ_TOTAL_ASSETS_LH_FFIEC" hidden="1">"c13106"</definedName>
    <definedName name="IQ_TOTAL_ASSETS_PC_FFIEC" hidden="1">"c13099"</definedName>
    <definedName name="IQ_TOTAL_ASSETS_SUBTOTAL_AP" hidden="1">"c8985"</definedName>
    <definedName name="IQ_TOTAL_ATTRIB_ORE_RESOURCES_ALUM" hidden="1">"c9241"</definedName>
    <definedName name="IQ_TOTAL_ATTRIB_ORE_RESOURCES_COP" hidden="1">"c9185"</definedName>
    <definedName name="IQ_TOTAL_ATTRIB_ORE_RESOURCES_DIAM" hidden="1">"c9665"</definedName>
    <definedName name="IQ_TOTAL_ATTRIB_ORE_RESOURCES_GOLD" hidden="1">"c9026"</definedName>
    <definedName name="IQ_TOTAL_ATTRIB_ORE_RESOURCES_IRON" hidden="1">"c9400"</definedName>
    <definedName name="IQ_TOTAL_ATTRIB_ORE_RESOURCES_LEAD" hidden="1">"c9453"</definedName>
    <definedName name="IQ_TOTAL_ATTRIB_ORE_RESOURCES_MANG" hidden="1">"c9506"</definedName>
    <definedName name="IQ_TOTAL_ATTRIB_ORE_RESOURCES_MOLYB" hidden="1">"c9718"</definedName>
    <definedName name="IQ_TOTAL_ATTRIB_ORE_RESOURCES_NICK" hidden="1">"c9294"</definedName>
    <definedName name="IQ_TOTAL_ATTRIB_ORE_RESOURCES_PLAT" hidden="1">"c9132"</definedName>
    <definedName name="IQ_TOTAL_ATTRIB_ORE_RESOURCES_SILVER" hidden="1">"c9079"</definedName>
    <definedName name="IQ_TOTAL_ATTRIB_ORE_RESOURCES_TITAN" hidden="1">"c9559"</definedName>
    <definedName name="IQ_TOTAL_ATTRIB_ORE_RESOURCES_URAN" hidden="1">"c9612"</definedName>
    <definedName name="IQ_TOTAL_ATTRIB_ORE_RESOURCES_ZINC" hidden="1">"c9347"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BEDS" hidden="1">"c8785"</definedName>
    <definedName name="IQ_TOTAL_BROKERED_DEPOSIT_FFIEC" hidden="1">"c15304"</definedName>
    <definedName name="IQ_TOTAL_CA" hidden="1">"c1243"</definedName>
    <definedName name="IQ_TOTAL_CA_SUBTOTAL_AP" hidden="1">"c8986"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DUE_DEPOSITORY_INSTIT_DOM_FFIEC" hidden="1">"c15291"</definedName>
    <definedName name="IQ_TOTAL_CASH_DUE_DEPOSITORY_INSTIT_FFIEC" hidden="1">"c15285"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ARGE_OFFS_FDIC" hidden="1">"c6603"</definedName>
    <definedName name="IQ_TOTAL_CHURN" hidden="1">"c2122"</definedName>
    <definedName name="IQ_TOTAL_CL" hidden="1">"c1245"</definedName>
    <definedName name="IQ_TOTAL_CL_SUBTOTAL_AP" hidden="1">"c8987"</definedName>
    <definedName name="IQ_TOTAL_COAL_PRODUCTION_COAL" hidden="1">"c9824"</definedName>
    <definedName name="IQ_TOTAL_COMMON" hidden="1">"c1411"</definedName>
    <definedName name="IQ_TOTAL_COMMON_EQUITY" hidden="1">"c1246"</definedName>
    <definedName name="IQ_TOTAL_COMMON_EQUITY_FFIEC" hidden="1">"c13913"</definedName>
    <definedName name="IQ_TOTAL_COMMON_EQUITY_TOTAL_ASSETS_FFIEC" hidden="1">"c13864"</definedName>
    <definedName name="IQ_TOTAL_COMMON_SHARES_OUT_FFIEC" hidden="1">"c12955"</definedName>
    <definedName name="IQ_TOTAL_CONSTRUCTION_LL_REC_DOM_FFIEC" hidden="1">"c13515"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CURRENT" hidden="1">"c6190"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ST" hidden="1">"c4532"</definedName>
    <definedName name="IQ_TOTAL_DEBT_EST_CIQ" hidden="1">"c5085"</definedName>
    <definedName name="IQ_TOTAL_DEBT_EXCL_FIN" hidden="1">"c2937"</definedName>
    <definedName name="IQ_TOTAL_DEBT_HIGH_EST" hidden="1">"c4534"</definedName>
    <definedName name="IQ_TOTAL_DEBT_HIGH_EST_CIQ" hidden="1">"c5087"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LOW_EST" hidden="1">"c4535"</definedName>
    <definedName name="IQ_TOTAL_DEBT_LOW_EST_CIQ" hidden="1">"c5088"</definedName>
    <definedName name="IQ_TOTAL_DEBT_MEDIAN_EST" hidden="1">"c4536"</definedName>
    <definedName name="IQ_TOTAL_DEBT_MEDIAN_EST_CIQ" hidden="1">"c5089"</definedName>
    <definedName name="IQ_TOTAL_DEBT_NON_CURRENT" hidden="1">"c6191"</definedName>
    <definedName name="IQ_TOTAL_DEBT_NUM_EST" hidden="1">"c4537"</definedName>
    <definedName name="IQ_TOTAL_DEBT_NUM_EST_CIQ" hidden="1">"c5090"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BT_SECURITIES_FDIC" hidden="1">"c6410"</definedName>
    <definedName name="IQ_TOTAL_DEBT_STDDEV_EST" hidden="1">"c4538"</definedName>
    <definedName name="IQ_TOTAL_DEBT_STDDEV_EST_CIQ" hidden="1">"c5091"</definedName>
    <definedName name="IQ_TOTAL_DEPOSITS" hidden="1">"c1265"</definedName>
    <definedName name="IQ_TOTAL_DEPOSITS_DOM_FFIEC" hidden="1">"c15313"</definedName>
    <definedName name="IQ_TOTAL_DEPOSITS_FDIC" hidden="1">"c6342"</definedName>
    <definedName name="IQ_TOTAL_DEPOSITS_FFIEC" hidden="1">"c13623"</definedName>
    <definedName name="IQ_TOTAL_DEPOSITS_SUPPLE" hidden="1">"c15253"</definedName>
    <definedName name="IQ_TOTAL_DIV_PAID_CF" hidden="1">"c1266"</definedName>
    <definedName name="IQ_TOTAL_EMPLOYEE" localSheetId="20" hidden="1">"c2141"</definedName>
    <definedName name="IQ_TOTAL_EMPLOYEE" localSheetId="21" hidden="1">"c2141"</definedName>
    <definedName name="IQ_TOTAL_EMPLOYEE" localSheetId="22" hidden="1">"c2141"</definedName>
    <definedName name="IQ_TOTAL_EMPLOYEE" localSheetId="23" hidden="1">"c2141"</definedName>
    <definedName name="IQ_TOTAL_EMPLOYEE" localSheetId="24" hidden="1">"c2141"</definedName>
    <definedName name="IQ_TOTAL_EMPLOYEE" hidden="1">"c2141"</definedName>
    <definedName name="IQ_TOTAL_EMPLOYEES" hidden="1">"c1522"</definedName>
    <definedName name="IQ_TOTAL_EMPLOYEES_FDIC" hidden="1">"c6355"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EQUITY_CAPITAL_T1_FFIEC" hidden="1">"c13130"</definedName>
    <definedName name="IQ_TOTAL_EQUITY_FFIEC" hidden="1">"c12881"</definedName>
    <definedName name="IQ_TOTAL_EQUITY_INCL_MINORITY_INTEREST_FFIEC" hidden="1">"c15278"</definedName>
    <definedName name="IQ_TOTAL_EQUITY_LH_FFIEC" hidden="1">"c13109"</definedName>
    <definedName name="IQ_TOTAL_EQUITY_PC_FFIEC" hidden="1">"c13102"</definedName>
    <definedName name="IQ_TOTAL_EQUITY_SUBTOTAL_AP" hidden="1">"c8989"</definedName>
    <definedName name="IQ_TOTAL_EQUITY_TOTAL_ASSETS_FFIEC" hidden="1">"c13863"</definedName>
    <definedName name="IQ_TOTAL_FOREIGN_DEPOSITS_FFIEC" hidden="1">"c15348"</definedName>
    <definedName name="IQ_TOTAL_FOREIGN_LOANS_QUARTERLY_AVG_FFIEC" hidden="1">"c15482"</definedName>
    <definedName name="IQ_TOTAL_IBF_ASSETS_CONSOL_BANK_FFIEC" hidden="1">"c15299"</definedName>
    <definedName name="IQ_TOTAL_IBF_LIABILITIES_FFIEC" hidden="1">"c15302"</definedName>
    <definedName name="IQ_TOTAL_IBF_LL_REC_FFIEC" hidden="1">"c15297"</definedName>
    <definedName name="IQ_TOTAL_INT_EXPENSE_FFIEC" hidden="1">"c13000"</definedName>
    <definedName name="IQ_TOTAL_INT_INCOME_FFIEC" hidden="1">"c12989"</definedName>
    <definedName name="IQ_TOTAL_INTEREST_EXP" hidden="1">"c1382"</definedName>
    <definedName name="IQ_TOTAL_INTEREST_EXP_FOREIGN_FFIEC" hidden="1">"c15374"</definedName>
    <definedName name="IQ_TOTAL_INTEREST_INC_FOREIGN_FFIEC" hidden="1">"c15373"</definedName>
    <definedName name="IQ_TOTAL_INVENTORY" hidden="1">"c1385"</definedName>
    <definedName name="IQ_TOTAL_INVEST" hidden="1">"c1275"</definedName>
    <definedName name="IQ_TOTAL_IRA_KEOGH_PLAN_ACCOUNTS_FFIEC" hidden="1">"c15303"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EQUITY_FDIC" hidden="1">"c6354"</definedName>
    <definedName name="IQ_TOTAL_LIAB_EQUITY_SUBTOTAL_AP" hidden="1">"c8988"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IABILITIES_EQUITY_FFIEC" hidden="1">"c12882"</definedName>
    <definedName name="IQ_TOTAL_LIABILITIES_FAIR_VALUE_TOT_FFIEC" hidden="1">"c15411"</definedName>
    <definedName name="IQ_TOTAL_LIABILITIES_FDIC" hidden="1">"c6348"</definedName>
    <definedName name="IQ_TOTAL_LIABILITIES_FFIEC" hidden="1">"c12873"</definedName>
    <definedName name="IQ_TOTAL_LIABILITIES_LEVEL_1_FFIEC" hidden="1">"c15433"</definedName>
    <definedName name="IQ_TOTAL_LIABILITIES_LEVEL_2_FFIEC" hidden="1">"c15446"</definedName>
    <definedName name="IQ_TOTAL_LIABILITIES_LEVEL_3_FFIEC" hidden="1">"c15459"</definedName>
    <definedName name="IQ_TOTAL_LL_REC_DOM_FFIEC" hidden="1">"c12917"</definedName>
    <definedName name="IQ_TOTAL_LL_REC_FFIEC" hidden="1">"c12898"</definedName>
    <definedName name="IQ_TOTAL_LOANS" hidden="1">"c5653"</definedName>
    <definedName name="IQ_TOTAL_LOANS_DOM_QUARTERLY_AVG_FFIEC" hidden="1">"c15475"</definedName>
    <definedName name="IQ_TOTAL_LOANS_LEASES_AND_OTHER_DUE_30_89_FFIEC" hidden="1">"c15416"</definedName>
    <definedName name="IQ_TOTAL_LOANS_LEASES_AND_OTHER_DUE_90_FFIEC" hidden="1">"c15420"</definedName>
    <definedName name="IQ_TOTAL_LOANS_LEASES_AND_OTHER_NON_ACCRUAL_FFIEC" hidden="1">"c15466"</definedName>
    <definedName name="IQ_TOTAL_LOANS_LEASES_CHARGE_OFFS_FFIEC" hidden="1">"c13186"</definedName>
    <definedName name="IQ_TOTAL_LOANS_LEASES_DUE_30_89_FFIEC" hidden="1">"c13280"</definedName>
    <definedName name="IQ_TOTAL_LOANS_LEASES_DUE_90_FFIEC" hidden="1">"c13306"</definedName>
    <definedName name="IQ_TOTAL_LOANS_LEASES_NON_ACCRUAL_FFIEC" hidden="1">"c13757"</definedName>
    <definedName name="IQ_TOTAL_LOANS_LEASES_RECOV_FFIEC" hidden="1">"c13208"</definedName>
    <definedName name="IQ_TOTAL_LONG_DEBT" hidden="1">"c1617"</definedName>
    <definedName name="IQ_TOTAL_NON_REC" hidden="1">"c1444"</definedName>
    <definedName name="IQ_TOTAL_NON_TRANS_ACCTS_FFIEC" hidden="1">"c15328"</definedName>
    <definedName name="IQ_TOTAL_NONINTEREST_EXPENSE_FOREIGN_FFIEC" hidden="1">"c15386"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ERATING_EXPENSE" hidden="1">"c16047"</definedName>
    <definedName name="IQ_TOTAL_OPERATING_REVENUE" hidden="1">"c16030"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RE_RESOURCES_ALUM" hidden="1">"c9230"</definedName>
    <definedName name="IQ_TOTAL_ORE_RESOURCES_COP" hidden="1">"c9174"</definedName>
    <definedName name="IQ_TOTAL_ORE_RESOURCES_DIAM" hidden="1">"c9654"</definedName>
    <definedName name="IQ_TOTAL_ORE_RESOURCES_GOLD" hidden="1">"c9015"</definedName>
    <definedName name="IQ_TOTAL_ORE_RESOURCES_IRON" hidden="1">"c9389"</definedName>
    <definedName name="IQ_TOTAL_ORE_RESOURCES_LEAD" hidden="1">"c9442"</definedName>
    <definedName name="IQ_TOTAL_ORE_RESOURCES_MANG" hidden="1">"c9495"</definedName>
    <definedName name="IQ_TOTAL_ORE_RESOURCES_MOLYB" hidden="1">"c9707"</definedName>
    <definedName name="IQ_TOTAL_ORE_RESOURCES_NICK" hidden="1">"c9283"</definedName>
    <definedName name="IQ_TOTAL_ORE_RESOURCES_PLAT" hidden="1">"c9121"</definedName>
    <definedName name="IQ_TOTAL_ORE_RESOURCES_SILVER" hidden="1">"c9068"</definedName>
    <definedName name="IQ_TOTAL_ORE_RESOURCES_TITAN" hidden="1">"c9548"</definedName>
    <definedName name="IQ_TOTAL_ORE_RESOURCES_URAN" hidden="1">"c9601"</definedName>
    <definedName name="IQ_TOTAL_ORE_RESOURCES_ZINC" hidden="1">"c9336"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PCT" hidden="1">"c2510"</definedName>
    <definedName name="IQ_TOTAL_PROP" hidden="1">"c8765"</definedName>
    <definedName name="IQ_TOTAL_PROVED_RESERVES_NGL" hidden="1">"c2924"</definedName>
    <definedName name="IQ_TOTAL_PROVED_RESERVES_OIL" hidden="1">"c2040"</definedName>
    <definedName name="IQ_TOTAL_RE_LOANS_TOTAL_LOANS" hidden="1">"c15715"</definedName>
    <definedName name="IQ_TOTAL_RE_NOI_AVG_GROSS_PROP" hidden="1">"c16059"</definedName>
    <definedName name="IQ_TOTAL_RECEIV" hidden="1">"c1293"</definedName>
    <definedName name="IQ_TOTAL_RECOV_ATTRIB_RESOURCES_ALUM" hidden="1">"c9246"</definedName>
    <definedName name="IQ_TOTAL_RECOV_ATTRIB_RESOURCES_COAL" hidden="1">"c9820"</definedName>
    <definedName name="IQ_TOTAL_RECOV_ATTRIB_RESOURCES_COP" hidden="1">"c9190"</definedName>
    <definedName name="IQ_TOTAL_RECOV_ATTRIB_RESOURCES_DIAM" hidden="1">"c9670"</definedName>
    <definedName name="IQ_TOTAL_RECOV_ATTRIB_RESOURCES_GOLD" hidden="1">"c9031"</definedName>
    <definedName name="IQ_TOTAL_RECOV_ATTRIB_RESOURCES_IRON" hidden="1">"c9405"</definedName>
    <definedName name="IQ_TOTAL_RECOV_ATTRIB_RESOURCES_LEAD" hidden="1">"c9458"</definedName>
    <definedName name="IQ_TOTAL_RECOV_ATTRIB_RESOURCES_MANG" hidden="1">"c9511"</definedName>
    <definedName name="IQ_TOTAL_RECOV_ATTRIB_RESOURCES_MET_COAL" hidden="1">"c9760"</definedName>
    <definedName name="IQ_TOTAL_RECOV_ATTRIB_RESOURCES_MOLYB" hidden="1">"c9723"</definedName>
    <definedName name="IQ_TOTAL_RECOV_ATTRIB_RESOURCES_NICK" hidden="1">"c9299"</definedName>
    <definedName name="IQ_TOTAL_RECOV_ATTRIB_RESOURCES_PLAT" hidden="1">"c9137"</definedName>
    <definedName name="IQ_TOTAL_RECOV_ATTRIB_RESOURCES_SILVER" hidden="1">"c9084"</definedName>
    <definedName name="IQ_TOTAL_RECOV_ATTRIB_RESOURCES_STEAM" hidden="1">"c9790"</definedName>
    <definedName name="IQ_TOTAL_RECOV_ATTRIB_RESOURCES_TITAN" hidden="1">"c9564"</definedName>
    <definedName name="IQ_TOTAL_RECOV_ATTRIB_RESOURCES_URAN" hidden="1">"c9617"</definedName>
    <definedName name="IQ_TOTAL_RECOV_ATTRIB_RESOURCES_ZINC" hidden="1">"c9352"</definedName>
    <definedName name="IQ_TOTAL_RECOV_RESOURCES_ALUM" hidden="1">"c9236"</definedName>
    <definedName name="IQ_TOTAL_RECOV_RESOURCES_COAL" hidden="1">"c9815"</definedName>
    <definedName name="IQ_TOTAL_RECOV_RESOURCES_COP" hidden="1">"c9180"</definedName>
    <definedName name="IQ_TOTAL_RECOV_RESOURCES_DIAM" hidden="1">"c9660"</definedName>
    <definedName name="IQ_TOTAL_RECOV_RESOURCES_GOLD" hidden="1">"c9021"</definedName>
    <definedName name="IQ_TOTAL_RECOV_RESOURCES_IRON" hidden="1">"c9395"</definedName>
    <definedName name="IQ_TOTAL_RECOV_RESOURCES_LEAD" hidden="1">"c9448"</definedName>
    <definedName name="IQ_TOTAL_RECOV_RESOURCES_MANG" hidden="1">"c9501"</definedName>
    <definedName name="IQ_TOTAL_RECOV_RESOURCES_MET_COAL" hidden="1">"c9755"</definedName>
    <definedName name="IQ_TOTAL_RECOV_RESOURCES_MOLYB" hidden="1">"c9713"</definedName>
    <definedName name="IQ_TOTAL_RECOV_RESOURCES_NICK" hidden="1">"c9289"</definedName>
    <definedName name="IQ_TOTAL_RECOV_RESOURCES_PLAT" hidden="1">"c9127"</definedName>
    <definedName name="IQ_TOTAL_RECOV_RESOURCES_SILVER" hidden="1">"c9074"</definedName>
    <definedName name="IQ_TOTAL_RECOV_RESOURCES_STEAM" hidden="1">"c9785"</definedName>
    <definedName name="IQ_TOTAL_RECOV_RESOURCES_TITAN" hidden="1">"c9554"</definedName>
    <definedName name="IQ_TOTAL_RECOV_RESOURCES_URAN" hidden="1">"c9607"</definedName>
    <definedName name="IQ_TOTAL_RECOV_RESOURCES_ZINC" hidden="1">"c9342"</definedName>
    <definedName name="IQ_TOTAL_RECOVERIES_FDIC" hidden="1">"c6622"</definedName>
    <definedName name="IQ_TOTAL_RENTAL_REVENUE" hidden="1">"c16022"</definedName>
    <definedName name="IQ_TOTAL_RESOURCES_CALORIFIC_VALUE_COAL" hidden="1">"c9810"</definedName>
    <definedName name="IQ_TOTAL_RESOURCES_CALORIFIC_VALUE_MET_COAL" hidden="1">"c9750"</definedName>
    <definedName name="IQ_TOTAL_RESOURCES_CALORIFIC_VALUE_STEAM" hidden="1">"c9780"</definedName>
    <definedName name="IQ_TOTAL_RESOURCES_GRADE_ALUM" hidden="1">"c9231"</definedName>
    <definedName name="IQ_TOTAL_RESOURCES_GRADE_COP" hidden="1">"c9175"</definedName>
    <definedName name="IQ_TOTAL_RESOURCES_GRADE_DIAM" hidden="1">"c9655"</definedName>
    <definedName name="IQ_TOTAL_RESOURCES_GRADE_GOLD" hidden="1">"c9016"</definedName>
    <definedName name="IQ_TOTAL_RESOURCES_GRADE_IRON" hidden="1">"c9390"</definedName>
    <definedName name="IQ_TOTAL_RESOURCES_GRADE_LEAD" hidden="1">"c9443"</definedName>
    <definedName name="IQ_TOTAL_RESOURCES_GRADE_MANG" hidden="1">"c9496"</definedName>
    <definedName name="IQ_TOTAL_RESOURCES_GRADE_MOLYB" hidden="1">"c9708"</definedName>
    <definedName name="IQ_TOTAL_RESOURCES_GRADE_NICK" hidden="1">"c9284"</definedName>
    <definedName name="IQ_TOTAL_RESOURCES_GRADE_PLAT" hidden="1">"c9122"</definedName>
    <definedName name="IQ_TOTAL_RESOURCES_GRADE_SILVER" hidden="1">"c9069"</definedName>
    <definedName name="IQ_TOTAL_RESOURCES_GRADE_TITAN" hidden="1">"c9549"</definedName>
    <definedName name="IQ_TOTAL_RESOURCES_GRADE_URAN" hidden="1">"c9602"</definedName>
    <definedName name="IQ_TOTAL_RESOURCES_GRADE_ZINC" hidden="1">"c9337"</definedName>
    <definedName name="IQ_TOTAL_RETURN_SWAPS_DERIVATIVES_BENEFICIARY_FFIEC" hidden="1">"c13120"</definedName>
    <definedName name="IQ_TOTAL_RETURN_SWAPS_DERIVATIVES_GUARANTOR_FFIEC" hidden="1">"c13113"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NK_FDIC" hidden="1">"c6786"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SUBTOTAL_AP" hidden="1">"c8975"</definedName>
    <definedName name="IQ_TOTAL_REV_UTI" hidden="1">"c1308"</definedName>
    <definedName name="IQ_TOTAL_REVENUE" hidden="1">"c1436"</definedName>
    <definedName name="IQ_TOTAL_REVENUE_FFIEC" hidden="1">"c13020"</definedName>
    <definedName name="IQ_TOTAL_REVENUE_FOREIGN_FFIEC" hidden="1">"c15383"</definedName>
    <definedName name="IQ_TOTAL_RISK_BASED_CAPITAL_FFIEC" hidden="1">"c13153"</definedName>
    <definedName name="IQ_TOTAL_RISK_BASED_CAPITAL_RATIO_FDIC" hidden="1">"c6747"</definedName>
    <definedName name="IQ_TOTAL_RISK_BASED_CAPITAL_RATIO_FFIEC" hidden="1">"c13162"</definedName>
    <definedName name="IQ_TOTAL_RISK_WEIGHTED_ASSETS_FFIEC" hidden="1">"c13858"</definedName>
    <definedName name="IQ_TOTAL_ROOMS" hidden="1">"c8789"</definedName>
    <definedName name="IQ_TOTAL_SECURITIES_FDIC" hidden="1">"c6306"</definedName>
    <definedName name="IQ_TOTAL_SPECIAL" hidden="1">"c1618"</definedName>
    <definedName name="IQ_TOTAL_SQ_FT" hidden="1">"c8781"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TIME_DEPOSITS_FDIC" hidden="1">"c6497"</definedName>
    <definedName name="IQ_TOTAL_TIME_LESS_100000_1_TO_3_YEARS_FFIEC" hidden="1">"c15335"</definedName>
    <definedName name="IQ_TOTAL_TIME_LESS_100000_3_MONTHS_LESS_FFIEC" hidden="1">"c15333"</definedName>
    <definedName name="IQ_TOTAL_TIME_LESS_100000_3_TO_12_MONTHS_FFIEC" hidden="1">"c15334"</definedName>
    <definedName name="IQ_TOTAL_TIME_LESS_100000_FFIEC" hidden="1">"c15332"</definedName>
    <definedName name="IQ_TOTAL_TIME_LESS_100000_OVER_3_YEARS_FFIEC" hidden="1">"c15336"</definedName>
    <definedName name="IQ_TOTAL_TIME_MORE_100000_1_TO_3_YEARS_FFIEC" hidden="1">"c15340"</definedName>
    <definedName name="IQ_TOTAL_TIME_MORE_100000_3_MONTHS_LESS_FFIEC" hidden="1">"c15338"</definedName>
    <definedName name="IQ_TOTAL_TIME_MORE_100000_3_TO_12_MONTHS_FFIEC" hidden="1">"c15339"</definedName>
    <definedName name="IQ_TOTAL_TIME_MORE_100000_FFIEC" hidden="1">"c15337"</definedName>
    <definedName name="IQ_TOTAL_TIME_MORE_100000_OVER_3_YEARS_FFIEC" hidden="1">"c15341"</definedName>
    <definedName name="IQ_TOTAL_TIME_SAVINGS_DEPOSITS_FDIC" hidden="1">"c6498"</definedName>
    <definedName name="IQ_TOTAL_TRADING_ASSETS_FFIEC" hidden="1">"c12939"</definedName>
    <definedName name="IQ_TOTAL_TRADING_LIAB_DOM_FFIEC" hidden="1">"c12944"</definedName>
    <definedName name="IQ_TOTAL_TRADING_LIAB_FOREIGN_FFIEC" hidden="1">"c15296"</definedName>
    <definedName name="IQ_TOTAL_TRANS_ACCTS_FFIEC" hidden="1">"c15321"</definedName>
    <definedName name="IQ_TOTAL_UNITS" hidden="1">"c8773"</definedName>
    <definedName name="IQ_TOTAL_UNUSED_COMMITMENTS_FDIC" hidden="1">"c6536"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SUPPLE" hidden="1">"c13817"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_TERM_FEE" hidden="1">"c13638"</definedName>
    <definedName name="IQ_TR_BUY_TERM_FEE_PCT" hidden="1">"c13639"</definedName>
    <definedName name="IQ_TR_BUYBACK_TO_CLOSE" hidden="1">"c13919"</definedName>
    <definedName name="IQ_TR_BUYBACK_TO_HIGH" hidden="1">"c13917"</definedName>
    <definedName name="IQ_TR_BUYBACK_TO_LOW" hidden="1">"c13918"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PPROACH" hidden="1">"c12706"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OFFER_PER_SHARE" hidden="1">"c18872"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GISTRATION_FEES" hidden="1">"c2274"</definedName>
    <definedName name="IQ_TR_RENEWAL_BUYBACK" hidden="1">"c2413"</definedName>
    <definedName name="IQ_TR_ROUND_NUMBER" hidden="1">"c2295"</definedName>
    <definedName name="IQ_TR_SEC_FEES" localSheetId="20" hidden="1">"c2274"</definedName>
    <definedName name="IQ_TR_SEC_FEES" localSheetId="21" hidden="1">"c2274"</definedName>
    <definedName name="IQ_TR_SEC_FEES" localSheetId="22" hidden="1">"c2274"</definedName>
    <definedName name="IQ_TR_SEC_FEES" localSheetId="23" hidden="1">"c2274"</definedName>
    <definedName name="IQ_TR_SEC_FEES" localSheetId="24" hidden="1">"c2274"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_TERM_FEE" hidden="1">"c2298"</definedName>
    <definedName name="IQ_TR_SELL_TERM_FEE_PCT" hidden="1">"c2297"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localSheetId="20" hidden="1">"c2298"</definedName>
    <definedName name="IQ_TR_TERM_FEE" localSheetId="21" hidden="1">"c2298"</definedName>
    <definedName name="IQ_TR_TERM_FEE" localSheetId="22" hidden="1">"c2298"</definedName>
    <definedName name="IQ_TR_TERM_FEE" localSheetId="23" hidden="1">"c2298"</definedName>
    <definedName name="IQ_TR_TERM_FEE" localSheetId="24" hidden="1">"c2298"</definedName>
    <definedName name="IQ_TR_TERM_FEE" hidden="1">"c2298"</definedName>
    <definedName name="IQ_TR_TERM_FEE_PCT" localSheetId="20" hidden="1">"c2297"</definedName>
    <definedName name="IQ_TR_TERM_FEE_PCT" localSheetId="21" hidden="1">"c2297"</definedName>
    <definedName name="IQ_TR_TERM_FEE_PCT" localSheetId="22" hidden="1">"c2297"</definedName>
    <definedName name="IQ_TR_TERM_FEE_PCT" localSheetId="23" hidden="1">"c2297"</definedName>
    <definedName name="IQ_TR_TERM_FEE_PCT" localSheetId="24" hidden="1">"c2297"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CCOUNT_GAINS_FEES_FDIC" hidden="1">"c6573"</definedName>
    <definedName name="IQ_TRADING_ASSETS" hidden="1">"c1310"</definedName>
    <definedName name="IQ_TRADING_ASSETS_FAIR_VALUE_TOT_FFIEC" hidden="1">"c13210"</definedName>
    <definedName name="IQ_TRADING_ASSETS_FDIC" hidden="1">"c6328"</definedName>
    <definedName name="IQ_TRADING_ASSETS_FFIEC" hidden="1">"c12812"</definedName>
    <definedName name="IQ_TRADING_ASSETS_FOREIGN_FFIEC" hidden="1">"c12940"</definedName>
    <definedName name="IQ_TRADING_ASSETS_LEVEL_1_FFIEC" hidden="1">"c13218"</definedName>
    <definedName name="IQ_TRADING_ASSETS_LEVEL_2_FFIEC" hidden="1">"c13226"</definedName>
    <definedName name="IQ_TRADING_ASSETS_LEVEL_3_FFIEC" hidden="1">"c13234"</definedName>
    <definedName name="IQ_TRADING_ASSETS_QUARTERLY_AVG_FFIEC" hidden="1">"c13085"</definedName>
    <definedName name="IQ_TRADING_CURRENCY" hidden="1">"c2212"</definedName>
    <definedName name="IQ_TRADING_ITEM_CIQID" hidden="1">"c8949"</definedName>
    <definedName name="IQ_TRADING_LIABILITIES_FAIR_VALUE_TOT_FFIEC" hidden="1">"c13214"</definedName>
    <definedName name="IQ_TRADING_LIABILITIES_FDIC" hidden="1">"c6344"</definedName>
    <definedName name="IQ_TRADING_LIABILITIES_FFIEC" hidden="1">"c12858"</definedName>
    <definedName name="IQ_TRADING_LIABILITIES_LEVEL_1_FFIEC" hidden="1">"c13222"</definedName>
    <definedName name="IQ_TRADING_LIABILITIES_LEVEL_2_FFIEC" hidden="1">"c13230"</definedName>
    <definedName name="IQ_TRADING_LIABILITIES_LEVEL_3_FFIEC" hidden="1">"c13238"</definedName>
    <definedName name="IQ_TRADING_REV_FOREIGN_FFIEC" hidden="1">"c15377"</definedName>
    <definedName name="IQ_TRADING_REV_OPERATING_INC_FFIEC" hidden="1">"c13385"</definedName>
    <definedName name="IQ_TRADING_REVENUE_FFIEC" hidden="1">"c13004"</definedName>
    <definedName name="IQ_TRANS_ACCTS_TOT_DEPOSITS_FFIEC" hidden="1">"c13904"</definedName>
    <definedName name="IQ_TRANS_IMPACT_FIN_48_CURRENT_ASSETS" hidden="1">"c15727"</definedName>
    <definedName name="IQ_TRANS_IMPACT_FIN_48_CURRENT_LIABILITIES" hidden="1">"c15729"</definedName>
    <definedName name="IQ_TRANS_IMPACT_FIN_48_LT_ASSETS" hidden="1">"c15728"</definedName>
    <definedName name="IQ_TRANS_IMPACT_FIN_48_NON_CURRENT_LIABILITIES" hidden="1">"c15730"</definedName>
    <definedName name="IQ_TRANS_IMPACT_FIN_48_RETAINED_EARNINGS" hidden="1">"c15731"</definedName>
    <definedName name="IQ_TRANSACTION_ACCOUNTS_FDIC" hidden="1">"c6544"</definedName>
    <definedName name="IQ_TRANSACTION_LIST" hidden="1">"c15126"</definedName>
    <definedName name="IQ_TRANSACTION_LIST_BANKRUPTCY" hidden="1">"c15131"</definedName>
    <definedName name="IQ_TRANSACTION_LIST_BUYBACK" hidden="1">"c15129"</definedName>
    <definedName name="IQ_TRANSACTION_LIST_INCL_SUBS" hidden="1">"c15132"</definedName>
    <definedName name="IQ_TRANSACTION_LIST_INCL_SUBS_BANKRUPTCY" hidden="1">"c15137"</definedName>
    <definedName name="IQ_TRANSACTION_LIST_INCL_SUBS_BUYBACK" hidden="1">"c15135"</definedName>
    <definedName name="IQ_TRANSACTION_LIST_INCL_SUBS_MA" hidden="1">"c15133"</definedName>
    <definedName name="IQ_TRANSACTION_LIST_INCL_SUBS_PO" hidden="1">"c15136"</definedName>
    <definedName name="IQ_TRANSACTION_LIST_INCL_SUBS_PP" hidden="1">"c15134"</definedName>
    <definedName name="IQ_TRANSACTION_LIST_MA" hidden="1">"c15127"</definedName>
    <definedName name="IQ_TRANSACTION_LIST_PO" hidden="1">"c15130"</definedName>
    <definedName name="IQ_TRANSACTION_LIST_PP" hidden="1">"c15128"</definedName>
    <definedName name="IQ_TREASURER_ID" hidden="1">"c15214"</definedName>
    <definedName name="IQ_TREASURER_NAME" hidden="1">"c15213"</definedName>
    <definedName name="IQ_TREASURY" hidden="1">"c1311"</definedName>
    <definedName name="IQ_TREASURY_INVEST_SECURITIES_FFIEC" hidden="1">"c13457"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EASURY_STOCK_TRANSACTIONS_FDIC" hidden="1">"c6501"</definedName>
    <definedName name="IQ_TREASURY_STOCK_TRANSACTIONS_FFIEC" hidden="1">"c15352"</definedName>
    <definedName name="IQ_TRUCK_ASSEMBLIES" hidden="1">"c7021"</definedName>
    <definedName name="IQ_TRUCK_ASSEMBLIES_APR" hidden="1">"c7681"</definedName>
    <definedName name="IQ_TRUCK_ASSEMBLIES_APR_FC" hidden="1">"c8561"</definedName>
    <definedName name="IQ_TRUCK_ASSEMBLIES_FC" hidden="1">"c7901"</definedName>
    <definedName name="IQ_TRUCK_ASSEMBLIES_POP" hidden="1">"c7241"</definedName>
    <definedName name="IQ_TRUCK_ASSEMBLIES_POP_FC" hidden="1">"c8121"</definedName>
    <definedName name="IQ_TRUCK_ASSEMBLIES_YOY" hidden="1">"c7461"</definedName>
    <definedName name="IQ_TRUCK_ASSEMBLIES_YOY_FC" hidden="1">"c8341"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TRUSTEE" hidden="1">"c8959"</definedName>
    <definedName name="IQ_TWELVE_MONTHS_FIXED_AND_FLOATING_FDIC" hidden="1">"c6420"</definedName>
    <definedName name="IQ_TWELVE_MONTHS_MORTGAGE_PASS_THROUGHS_FDIC" hidden="1">"c6412"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ASSIGNED_RESERVES_COAL" hidden="1">"c15914"</definedName>
    <definedName name="IQ_UNASSIGNED_RESERVES_TO_TOTAL_RESERVES_COAL" hidden="1">"c15956"</definedName>
    <definedName name="IQ_UNCLASSIFIED_PROPERTY_OPERATING_EXPENSE" hidden="1">"c16034"</definedName>
    <definedName name="IQ_UNCLASSIFIED_RENTAL_INCOME" hidden="1">"c16021"</definedName>
    <definedName name="IQ_UNCONSOL_BEDS" hidden="1">"c8783"</definedName>
    <definedName name="IQ_UNCONSOL_NOI" hidden="1">"c16067"</definedName>
    <definedName name="IQ_UNCONSOL_PROP" hidden="1">"c8762"</definedName>
    <definedName name="IQ_UNCONSOL_ROOMS" hidden="1">"c8787"</definedName>
    <definedName name="IQ_UNCONSOL_SQ_FT" hidden="1">"c8778"</definedName>
    <definedName name="IQ_UNCONSOL_UNITS" hidden="1">"c8770"</definedName>
    <definedName name="IQ_UNDERGROUND_RESERVES_COAL" hidden="1">"c15922"</definedName>
    <definedName name="IQ_UNDERGROUND_RESERVES_TO_TOTAL_RESERVES_COAL" hidden="1">"c15960"</definedName>
    <definedName name="IQ_UNDERWRITER" hidden="1">"c8958"</definedName>
    <definedName name="IQ_UNDERWRITING_PROFIT" hidden="1">"c9975"</definedName>
    <definedName name="IQ_UNDIVIDED_PROFITS_FDIC" hidden="1">"c6352"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EARNED_INCOME_FDIC" hidden="1">"c6324"</definedName>
    <definedName name="IQ_UNEARNED_INCOME_FOREIGN_FDIC" hidden="1">"c6385"</definedName>
    <definedName name="IQ_UNEARNED_INCOME_LL_REC_DOM_FFIEC" hidden="1">"c12916"</definedName>
    <definedName name="IQ_UNEARNED_INCOME_LL_REC_FFIEC" hidden="1">"c12897"</definedName>
    <definedName name="IQ_UNEARNED_PREMIUMS_PC_FFIEC" hidden="1">"c13101"</definedName>
    <definedName name="IQ_UNEMPLOYMENT_RATE" hidden="1">"c7023"</definedName>
    <definedName name="IQ_UNEMPLOYMENT_RATE_FC" hidden="1">"c7903"</definedName>
    <definedName name="IQ_UNEMPLOYMENT_RATE_POP" hidden="1">"c7243"</definedName>
    <definedName name="IQ_UNEMPLOYMENT_RATE_POP_FC" hidden="1">"c8123"</definedName>
    <definedName name="IQ_UNEMPLOYMENT_RATE_YOY" hidden="1">"c7463"</definedName>
    <definedName name="IQ_UNEMPLOYMENT_RATE_YOY_FC" hidden="1">"c8343"</definedName>
    <definedName name="IQ_UNIT_LABOR_COST_INDEX" hidden="1">"c7025"</definedName>
    <definedName name="IQ_UNIT_LABOR_COST_INDEX_APR" hidden="1">"c7685"</definedName>
    <definedName name="IQ_UNIT_LABOR_COST_INDEX_APR_FC" hidden="1">"c8565"</definedName>
    <definedName name="IQ_UNIT_LABOR_COST_INDEX_FC" hidden="1">"c7905"</definedName>
    <definedName name="IQ_UNIT_LABOR_COST_INDEX_PCT_CHANGE" hidden="1">"c7024"</definedName>
    <definedName name="IQ_UNIT_LABOR_COST_INDEX_PCT_CHANGE_FC" hidden="1">"c7904"</definedName>
    <definedName name="IQ_UNIT_LABOR_COST_INDEX_PCT_CHANGE_POP" hidden="1">"c7244"</definedName>
    <definedName name="IQ_UNIT_LABOR_COST_INDEX_PCT_CHANGE_POP_FC" hidden="1">"c8124"</definedName>
    <definedName name="IQ_UNIT_LABOR_COST_INDEX_PCT_CHANGE_YOY" hidden="1">"c7464"</definedName>
    <definedName name="IQ_UNIT_LABOR_COST_INDEX_PCT_CHANGE_YOY_FC" hidden="1">"c8344"</definedName>
    <definedName name="IQ_UNIT_LABOR_COST_INDEX_POP" hidden="1">"c7245"</definedName>
    <definedName name="IQ_UNIT_LABOR_COST_INDEX_POP_FC" hidden="1">"c8125"</definedName>
    <definedName name="IQ_UNIT_LABOR_COST_INDEX_YOY" hidden="1">"c7465"</definedName>
    <definedName name="IQ_UNIT_LABOR_COST_INDEX_YOY_FC" hidden="1">"c8345"</definedName>
    <definedName name="IQ_UNLEVERED_FCF" hidden="1">"c1908"</definedName>
    <definedName name="IQ_UNPAID_CLAIMS" hidden="1">"c1330"</definedName>
    <definedName name="IQ_UNPROFITABLE_INSTITUTIONS_FDIC" hidden="1">"c6722"</definedName>
    <definedName name="IQ_UNREALIZED_GAIN" hidden="1">"c1619"</definedName>
    <definedName name="IQ_UNRECOG_TAX_BENEFIT_BEG_PERIOD" hidden="1">"c15732"</definedName>
    <definedName name="IQ_UNRECOG_TAX_BENEFIT_END_PERIOD" hidden="1">"c15740"</definedName>
    <definedName name="IQ_UNRECOG_TAX_BENEFIT_OTHER_ADJ" hidden="1">"c15739"</definedName>
    <definedName name="IQ_UNSECURED_COMMITMENTS_COMMERCIAL_RE_UNUSED_FFIEC" hidden="1">"c13246"</definedName>
    <definedName name="IQ_UNSECURED_DEBT" hidden="1">"c2548"</definedName>
    <definedName name="IQ_UNSECURED_DEBT_PCT" hidden="1">"c2549"</definedName>
    <definedName name="IQ_UNUSED_LOAN_COMMITMENTS_FDIC" hidden="1">"c6368"</definedName>
    <definedName name="IQ_UNUSUAL_EXP" hidden="1">"c1456"</definedName>
    <definedName name="IQ_UPGRADE_REBUILD_CABLE_INVEST" hidden="1">"c15804"</definedName>
    <definedName name="IQ_US_ADDRESS_LEASE_FIN_REC_FFIEC" hidden="1">"c13624"</definedName>
    <definedName name="IQ_US_AGENCY_OBLIG_FFIEC" hidden="1">"c12779"</definedName>
    <definedName name="IQ_US_AGENCY_OBLIG_TRADING_DOM_FFIEC" hidden="1">"c12919"</definedName>
    <definedName name="IQ_US_AGENCY_OBLIG_TRADING_FFIEC" hidden="1">"c12814"</definedName>
    <definedName name="IQ_US_AGENCY_OBLIGATIONS_AVAIL_SALE_FFIEC" hidden="1">"c12793"</definedName>
    <definedName name="IQ_US_BANKS_OTHER_INST_FOREIGN_DEP_FFIEC" hidden="1">"c15343"</definedName>
    <definedName name="IQ_US_BRANCHES_FOREIGN_BANK_LOANS_FDIC" hidden="1">"c6435"</definedName>
    <definedName name="IQ_US_BRANCHES_FOREIGN_BANKS_FDIC" hidden="1">"c6390"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S_GOV_AGENCIES_FDIC" hidden="1">"c6395"</definedName>
    <definedName name="IQ_US_GOV_DEPOSITS_FDIC" hidden="1">"c6483"</definedName>
    <definedName name="IQ_US_GOV_ENTERPRISES_FDIC" hidden="1">"c6396"</definedName>
    <definedName name="IQ_US_GOV_NONCURRENT_LOANS_TOTAL_NONCURRENT_FDIC" hidden="1">"c6779"</definedName>
    <definedName name="IQ_US_GOV_NONTRANSACTION_ACCOUNTS_FDIC" hidden="1">"c6546"</definedName>
    <definedName name="IQ_US_GOV_OBLIGATIONS_FDIC" hidden="1">"c6299"</definedName>
    <definedName name="IQ_US_GOV_SECURITIES_FDIC" hidden="1">"c6297"</definedName>
    <definedName name="IQ_US_GOV_TOTAL_DEPOSITS_FDIC" hidden="1">"c6472"</definedName>
    <definedName name="IQ_US_GOV_TRANSACTION_ACCOUNTS_FDIC" hidden="1">"c6538"</definedName>
    <definedName name="IQ_US_GOVT_NON_TRANS_ACCTS_FFIEC" hidden="1">"c15323"</definedName>
    <definedName name="IQ_US_GOVT_STATE_POLI_SUBD_IN_US_FOREIGN_DEP_FFIEC" hidden="1">"c15346"</definedName>
    <definedName name="IQ_US_GOVT_TRANS_ACCTS_FFIEC" hidden="1">"c15315"</definedName>
    <definedName name="IQ_US_INST_DUE_30_89_FFIEC" hidden="1">"c13268"</definedName>
    <definedName name="IQ_US_INST_DUE_90_FFIEC" hidden="1">"c13294"</definedName>
    <definedName name="IQ_US_INST_NON_ACCRUAL_FFIEC" hidden="1">"c13320"</definedName>
    <definedName name="IQ_US_SPONSORED_AGENCY_OBLIG_AVAIL_SALE_FFIEC" hidden="1">"c12794"</definedName>
    <definedName name="IQ_US_SPONSORED_AGENCY_OBLIG_FFIEC" hidden="1">"c12780"</definedName>
    <definedName name="IQ_US_TREASURY_SEC_AVAIL_SALE_FFIEC" hidden="1">"c12792"</definedName>
    <definedName name="IQ_US_TREASURY_SEC_TRADING_DOM_FFIEC" hidden="1">"c12918"</definedName>
    <definedName name="IQ_US_TREASURY_SEC_TRADING_FFIEC" hidden="1">"c12813"</definedName>
    <definedName name="IQ_US_TREASURY_SECURITIES_FDIC" hidden="1">"c6298"</definedName>
    <definedName name="IQ_US_TREASURY_SECURITIES_FFIEC" hidden="1">"c12778"</definedName>
    <definedName name="IQ_UST_SEC_GOVT_AGENCY_CORP_QUARTERLY_AVG_FFIEC" hidden="1">"c15469"</definedName>
    <definedName name="IQ_UST_SECURITIES_GOVT_AGENCY_QUARTERLY_AVG_FFIEC" hidden="1">"c15468"</definedName>
    <definedName name="IQ_UTIL_PPE_NET" hidden="1">"c1620"</definedName>
    <definedName name="IQ_UTIL_REV" hidden="1">"c2091"</definedName>
    <definedName name="IQ_UTILITY_EXPENSE" hidden="1">"c16031"</definedName>
    <definedName name="IQ_UV_PENSION_LIAB" hidden="1">"c1332"</definedName>
    <definedName name="IQ_VALUATION_ALLOWANCES_FDIC" hidden="1">"c6400"</definedName>
    <definedName name="IQ_VALUE_TRADED" hidden="1">"c1519"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ARIABLE_RATE_PREFERREDS_INT_SENSITIVITY_FFIEC" hidden="1">"c13096"</definedName>
    <definedName name="IQ_VC_REV_OPERATING_INC_FFIEC" hidden="1">"c13388"</definedName>
    <definedName name="IQ_VC_REVENUE_FDIC" hidden="1">"c6667"</definedName>
    <definedName name="IQ_VEHICLE_ASSEMBLIES_LIGHT" hidden="1">"c6905"</definedName>
    <definedName name="IQ_VEHICLE_ASSEMBLIES_LIGHT_APR" hidden="1">"c7565"</definedName>
    <definedName name="IQ_VEHICLE_ASSEMBLIES_LIGHT_APR_FC" hidden="1">"c8445"</definedName>
    <definedName name="IQ_VEHICLE_ASSEMBLIES_LIGHT_FC" hidden="1">"c7785"</definedName>
    <definedName name="IQ_VEHICLE_ASSEMBLIES_LIGHT_NEW" hidden="1">"c6925"</definedName>
    <definedName name="IQ_VEHICLE_ASSEMBLIES_LIGHT_NEW_APR" hidden="1">"c7585"</definedName>
    <definedName name="IQ_VEHICLE_ASSEMBLIES_LIGHT_NEW_APR_FC" hidden="1">"c8465"</definedName>
    <definedName name="IQ_VEHICLE_ASSEMBLIES_LIGHT_NEW_FC" hidden="1">"c7805"</definedName>
    <definedName name="IQ_VEHICLE_ASSEMBLIES_LIGHT_NEW_POP" hidden="1">"c7145"</definedName>
    <definedName name="IQ_VEHICLE_ASSEMBLIES_LIGHT_NEW_POP_FC" hidden="1">"c8025"</definedName>
    <definedName name="IQ_VEHICLE_ASSEMBLIES_LIGHT_NEW_YOY" hidden="1">"c7365"</definedName>
    <definedName name="IQ_VEHICLE_ASSEMBLIES_LIGHT_NEW_YOY_FC" hidden="1">"c8245"</definedName>
    <definedName name="IQ_VEHICLE_ASSEMBLIES_LIGHT_POP" hidden="1">"c7125"</definedName>
    <definedName name="IQ_VEHICLE_ASSEMBLIES_LIGHT_POP_FC" hidden="1">"c8005"</definedName>
    <definedName name="IQ_VEHICLE_ASSEMBLIES_LIGHT_YOY" hidden="1">"c7345"</definedName>
    <definedName name="IQ_VEHICLE_ASSEMBLIES_LIGHT_YOY_FC" hidden="1">"c8225"</definedName>
    <definedName name="IQ_VEHICLE_ASSEMBLIES_TOTAL" hidden="1">"c7020"</definedName>
    <definedName name="IQ_VEHICLE_ASSEMBLIES_TOTAL_APR" hidden="1">"c7680"</definedName>
    <definedName name="IQ_VEHICLE_ASSEMBLIES_TOTAL_APR_FC" hidden="1">"c8560"</definedName>
    <definedName name="IQ_VEHICLE_ASSEMBLIES_TOTAL_FC" hidden="1">"c7900"</definedName>
    <definedName name="IQ_VEHICLE_ASSEMBLIES_TOTAL_POP" hidden="1">"c7240"</definedName>
    <definedName name="IQ_VEHICLE_ASSEMBLIES_TOTAL_POP_FC" hidden="1">"c8120"</definedName>
    <definedName name="IQ_VEHICLE_ASSEMBLIES_TOTAL_YOY" hidden="1">"c7460"</definedName>
    <definedName name="IQ_VEHICLE_ASSEMBLIES_TOTAL_YOY_FC" hidden="1">"c8340"</definedName>
    <definedName name="IQ_VEHICLE_LOANS" hidden="1">"c15249"</definedName>
    <definedName name="IQ_VENTURE_CAPITAL_REVENUE_FFIEC" hidden="1">"c13010"</definedName>
    <definedName name="IQ_VIF_AFTER_COST_CAPITAL_COVERED" hidden="1">"c9966"</definedName>
    <definedName name="IQ_VIF_AFTER_COST_CAPITAL_GROUP" hidden="1">"c9952"</definedName>
    <definedName name="IQ_VIF_BEFORE_COST_CAPITAL_COVERED" hidden="1">"c9964"</definedName>
    <definedName name="IQ_VIF_BEFORE_COST_CAPITAL_GROUP" hidden="1">"c9950"</definedName>
    <definedName name="IQ_VOICE_SUB_BASIC_SUB" hidden="1">"c15789"</definedName>
    <definedName name="IQ_VOICE_SUB_TOTAL_HOMES_PASSED" hidden="1">"c15770"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ATILE_LIABILITIES_FDIC" hidden="1">"c6364"</definedName>
    <definedName name="IQ_VOLUME" hidden="1">"c1333"</definedName>
    <definedName name="IQ_VWAP" hidden="1">"c13514"</definedName>
    <definedName name="IQ_WAC_CURRENT" hidden="1">"c8961"</definedName>
    <definedName name="IQ_WAC_ORIGINAL" hidden="1">"c8953"</definedName>
    <definedName name="IQ_WAM_CURRENT" hidden="1">"c8962"</definedName>
    <definedName name="IQ_WAM_ORIGINAL" hidden="1">"c8952"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 hidden="1">50000</definedName>
    <definedName name="IQ_WEIGHTED_AVG_PRICE" hidden="1">"c1334"</definedName>
    <definedName name="IQ_WHOLESALE_INVENTORIES" hidden="1">"c7027"</definedName>
    <definedName name="IQ_WHOLESALE_INVENTORIES_APR" hidden="1">"c7687"</definedName>
    <definedName name="IQ_WHOLESALE_INVENTORIES_APR_FC" hidden="1">"c8567"</definedName>
    <definedName name="IQ_WHOLESALE_INVENTORIES_FC" hidden="1">"c7907"</definedName>
    <definedName name="IQ_WHOLESALE_INVENTORIES_POP" hidden="1">"c7247"</definedName>
    <definedName name="IQ_WHOLESALE_INVENTORIES_POP_FC" hidden="1">"c8127"</definedName>
    <definedName name="IQ_WHOLESALE_INVENTORIES_YOY" hidden="1">"c7467"</definedName>
    <definedName name="IQ_WHOLESALE_INVENTORIES_YOY_FC" hidden="1">"c8347"</definedName>
    <definedName name="IQ_WHOLESALE_IS_RATIO" hidden="1">"c7026"</definedName>
    <definedName name="IQ_WHOLESALE_IS_RATIO_FC" hidden="1">"c7906"</definedName>
    <definedName name="IQ_WHOLESALE_IS_RATIO_POP" hidden="1">"c7246"</definedName>
    <definedName name="IQ_WHOLESALE_IS_RATIO_POP_FC" hidden="1">"c8126"</definedName>
    <definedName name="IQ_WHOLESALE_IS_RATIO_YOY" hidden="1">"c7466"</definedName>
    <definedName name="IQ_WHOLESALE_IS_RATIO_YOY_FC" hidden="1">"c8346"</definedName>
    <definedName name="IQ_WHOLESALE_SALES" hidden="1">"c7028"</definedName>
    <definedName name="IQ_WHOLESALE_SALES_APR" hidden="1">"c7688"</definedName>
    <definedName name="IQ_WHOLESALE_SALES_APR_FC" hidden="1">"c8568"</definedName>
    <definedName name="IQ_WHOLESALE_SALES_FC" hidden="1">"c7908"</definedName>
    <definedName name="IQ_WHOLESALE_SALES_INDEX" hidden="1">"c7029"</definedName>
    <definedName name="IQ_WHOLESALE_SALES_INDEX_APR" hidden="1">"c7689"</definedName>
    <definedName name="IQ_WHOLESALE_SALES_INDEX_APR_FC" hidden="1">"c8569"</definedName>
    <definedName name="IQ_WHOLESALE_SALES_INDEX_FC" hidden="1">"c7909"</definedName>
    <definedName name="IQ_WHOLESALE_SALES_INDEX_POP" hidden="1">"c7249"</definedName>
    <definedName name="IQ_WHOLESALE_SALES_INDEX_POP_FC" hidden="1">"c8129"</definedName>
    <definedName name="IQ_WHOLESALE_SALES_INDEX_YOY" hidden="1">"c7469"</definedName>
    <definedName name="IQ_WHOLESALE_SALES_INDEX_YOY_FC" hidden="1">"c8349"</definedName>
    <definedName name="IQ_WHOLESALE_SALES_POP" hidden="1">"c7248"</definedName>
    <definedName name="IQ_WHOLESALE_SALES_POP_FC" hidden="1">"c8128"</definedName>
    <definedName name="IQ_WHOLESALE_SALES_YOY" hidden="1">"c7468"</definedName>
    <definedName name="IQ_WHOLESALE_SALES_YOY_FC" hidden="1">"c8348"</definedName>
    <definedName name="IQ_WIP_INV" hidden="1">"c1335"</definedName>
    <definedName name="IQ_WIRELESS_PENETRATION" hidden="1">"c15767"</definedName>
    <definedName name="IQ_WORKING_CAP" hidden="1">"c3494"</definedName>
    <definedName name="IQ_WORKMEN_WRITTEN" hidden="1">"c1336"</definedName>
    <definedName name="IQ_WRITTEN_OPTION_CONTRACTS_FDIC" hidden="1">"c6509"</definedName>
    <definedName name="IQ_WRITTEN_OPTION_CONTRACTS_FX_RISK_FDIC" hidden="1">"c6514"</definedName>
    <definedName name="IQ_WRITTEN_OPTION_CONTRACTS_NON_FX_IR_FDIC" hidden="1">"c6519"</definedName>
    <definedName name="IQ_WTD_AVG_IR_AFTER_FIVE" hidden="1">"c15700"</definedName>
    <definedName name="IQ_WTD_AVG_IR_CY" hidden="1">"c15695"</definedName>
    <definedName name="IQ_WTD_AVG_IR_CY1" hidden="1">"c15696"</definedName>
    <definedName name="IQ_WTD_AVG_IR_CY2" hidden="1">"c15697"</definedName>
    <definedName name="IQ_WTD_AVG_IR_CY3" hidden="1">"c15698"</definedName>
    <definedName name="IQ_WTD_AVG_IR_CY4" hidden="1">"c15699"</definedName>
    <definedName name="IQ_WTD_AVG_IR_LT_DEBT" hidden="1">"c15693"</definedName>
    <definedName name="IQ_WTD_AVG_IR_TOTAL_DEBT" hidden="1">"c15694"</definedName>
    <definedName name="IQ_XDIV_DATE" hidden="1">"c2104"</definedName>
    <definedName name="IQ_YEAR_FOUNDED" hidden="1">"c6793"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IELD_FED_FUNDS_SOLD_FFIEC" hidden="1">"c13487"</definedName>
    <definedName name="IQ_YIELD_TRADING_ASSETS_FFIEC" hidden="1">"c13488"</definedName>
    <definedName name="IQ_YTD" hidden="1">3000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QRL3" hidden="1">"$L$4:$L$8"</definedName>
    <definedName name="IQRS3" hidden="1">"$S$4:$S$8"</definedName>
    <definedName name="leased_unit_count" localSheetId="20">#REF!</definedName>
    <definedName name="leased_unit_count" localSheetId="21">#REF!</definedName>
    <definedName name="leased_unit_count" localSheetId="22">#REF!</definedName>
    <definedName name="leased_unit_count" localSheetId="23">#REF!</definedName>
    <definedName name="leased_unit_count" localSheetId="24">#REF!</definedName>
    <definedName name="leased_unit_count">#REF!</definedName>
    <definedName name="leased_unit_rent" localSheetId="20">#REF!</definedName>
    <definedName name="leased_unit_rent" localSheetId="21">#REF!</definedName>
    <definedName name="leased_unit_rent" localSheetId="22">#REF!</definedName>
    <definedName name="leased_unit_rent" localSheetId="23">#REF!</definedName>
    <definedName name="leased_unit_rent" localSheetId="24">#REF!</definedName>
    <definedName name="leased_unit_rent">#REF!</definedName>
    <definedName name="leased_unit_size" localSheetId="20">#REF!</definedName>
    <definedName name="leased_unit_size" localSheetId="21">#REF!</definedName>
    <definedName name="leased_unit_size" localSheetId="22">#REF!</definedName>
    <definedName name="leased_unit_size" localSheetId="23">#REF!</definedName>
    <definedName name="leased_unit_size" localSheetId="24">#REF!</definedName>
    <definedName name="leased_unit_size">#REF!</definedName>
    <definedName name="leased_unit_type" localSheetId="20">#REF!</definedName>
    <definedName name="leased_unit_type" localSheetId="21">#REF!</definedName>
    <definedName name="leased_unit_type" localSheetId="22">#REF!</definedName>
    <definedName name="leased_unit_type" localSheetId="23">#REF!</definedName>
    <definedName name="leased_unit_type" localSheetId="24">#REF!</definedName>
    <definedName name="leased_unit_type">#REF!</definedName>
    <definedName name="LevDelArea" localSheetId="11">#REF!,#REF!,#REF!,#REF!,#REF!</definedName>
    <definedName name="LevDelArea" localSheetId="12">#REF!,#REF!,#REF!,#REF!,#REF!</definedName>
    <definedName name="LevDelArea" localSheetId="13">#REF!,#REF!,#REF!,#REF!,#REF!</definedName>
    <definedName name="LevDelArea" localSheetId="14">#REF!,#REF!,#REF!,#REF!,#REF!</definedName>
    <definedName name="ListOffset" hidden="1">1</definedName>
    <definedName name="Periodic" localSheetId="11">#REF!/#REF!</definedName>
    <definedName name="Periodic" localSheetId="12">#REF!/#REF!</definedName>
    <definedName name="Periodic" localSheetId="13">#REF!/#REF!</definedName>
    <definedName name="PRINT">#REF!,#REF!,#REF!</definedName>
    <definedName name="_xlnm.Print_Area" localSheetId="27">'AM Table - Perm Loan'!$A$1:$H$85</definedName>
    <definedName name="_xlnm.Print_Area" localSheetId="10">'Annual CF''s (Calendar Year)'!$A$1:$G$69</definedName>
    <definedName name="_xlnm.Print_Area" localSheetId="9">'Annual CF''s (Fiscal Year)'!$A$1:$H$69</definedName>
    <definedName name="_xlnm.Print_Area" localSheetId="1">'Construction Budget'!$A$1:$G$67</definedName>
    <definedName name="_xlnm.Print_Area" localSheetId="0">Dashboard!$A$2:$S$67</definedName>
    <definedName name="_xlnm.Print_Area" localSheetId="8">'Monthly CF''s'!$A$1:$CQ$66</definedName>
    <definedName name="_xlnm.Print_Area" localSheetId="6">'Returns Summary'!$C$5:$M$19</definedName>
    <definedName name="_xlnm.Print_Area" localSheetId="19">Summary!$A$1:$Q$10</definedName>
    <definedName name="_xlnm.Print_Area" localSheetId="3">'Tax Abatement'!$A$1:$O$14</definedName>
    <definedName name="_xlnm.Print_Area" localSheetId="4">'Unit Mix'!$A$1:$N$32</definedName>
    <definedName name="_xlnm.Print_Area" localSheetId="2">'Year-1 Proforma'!$A$1:$T$40</definedName>
    <definedName name="PrintAll" localSheetId="11">#REF!</definedName>
    <definedName name="PrintAll" localSheetId="12">#REF!</definedName>
    <definedName name="PrintAll" localSheetId="13">#REF!</definedName>
    <definedName name="PrintProjection" localSheetId="16">#N/A</definedName>
    <definedName name="PrintProjection" localSheetId="20">'Waterfall 2.0 Years'!PrintProjection</definedName>
    <definedName name="PrintProjection" localSheetId="21">'Waterfall 3.0 Years'!PrintProjection</definedName>
    <definedName name="PrintProjection" localSheetId="22">'Waterfall 4.0 Years'!PrintProjection</definedName>
    <definedName name="PrintProjection" localSheetId="23">'Waterfall 5.0 Years'!PrintProjection</definedName>
    <definedName name="PrintProjection" localSheetId="24">'Waterfall 6.0 Years'!PrintProjection</definedName>
    <definedName name="PrintProjection" localSheetId="13">'Waterfall III Annual'!PrintProjection</definedName>
    <definedName name="PrintProjection" localSheetId="14">'Waterfall IV Annual'!PrintProjection</definedName>
    <definedName name="PrintProjection">'Waterfall III Annual'!PrintProjection</definedName>
    <definedName name="Property2010">#REF!</definedName>
    <definedName name="Property2011">#REF!</definedName>
    <definedName name="RATE">#REF!</definedName>
    <definedName name="rrLast" localSheetId="16">ROW()-ROW(rrFirstRow)-1</definedName>
    <definedName name="rrLast" localSheetId="20">ROW()-ROW([0]!rrFirstRow)-1</definedName>
    <definedName name="rrLast" localSheetId="21">ROW()-ROW([0]!rrFirstRow)-1</definedName>
    <definedName name="rrLast" localSheetId="22">ROW()-ROW([0]!rrFirstRow)-1</definedName>
    <definedName name="rrLast" localSheetId="23">ROW()-ROW(rrFirstRow)-1</definedName>
    <definedName name="rrLast" localSheetId="24">ROW()-ROW([0]!rrFirstRow)-1</definedName>
    <definedName name="rrLast" localSheetId="13">ROW()-ROW([0]!rrFirstRow)-1</definedName>
    <definedName name="rrLast" localSheetId="14">ROW()-ROW(rrFirstRow)-1</definedName>
    <definedName name="rrLast">ROW()-ROW(rrFirstRow)-1</definedName>
    <definedName name="saa" localSheetId="16" hidden="1">{"rtn",#N/A,FALSE,"RTN";"tables",#N/A,FALSE,"RTN";"cf",#N/A,FALSE,"CF";"stats",#N/A,FALSE,"Stats";"prop",#N/A,FALSE,"Prop"}</definedName>
    <definedName name="saa" localSheetId="20" hidden="1">{"rtn",#N/A,FALSE,"RTN";"tables",#N/A,FALSE,"RTN";"cf",#N/A,FALSE,"CF";"stats",#N/A,FALSE,"Stats";"prop",#N/A,FALSE,"Prop"}</definedName>
    <definedName name="saa" localSheetId="21" hidden="1">{"rtn",#N/A,FALSE,"RTN";"tables",#N/A,FALSE,"RTN";"cf",#N/A,FALSE,"CF";"stats",#N/A,FALSE,"Stats";"prop",#N/A,FALSE,"Prop"}</definedName>
    <definedName name="saa" localSheetId="22" hidden="1">{"rtn",#N/A,FALSE,"RTN";"tables",#N/A,FALSE,"RTN";"cf",#N/A,FALSE,"CF";"stats",#N/A,FALSE,"Stats";"prop",#N/A,FALSE,"Prop"}</definedName>
    <definedName name="saa" localSheetId="23" hidden="1">{"rtn",#N/A,FALSE,"RTN";"tables",#N/A,FALSE,"RTN";"cf",#N/A,FALSE,"CF";"stats",#N/A,FALSE,"Stats";"prop",#N/A,FALSE,"Prop"}</definedName>
    <definedName name="saa" localSheetId="24" hidden="1">{"rtn",#N/A,FALSE,"RTN";"tables",#N/A,FALSE,"RTN";"cf",#N/A,FALSE,"CF";"stats",#N/A,FALSE,"Stats";"prop",#N/A,FALSE,"Prop"}</definedName>
    <definedName name="saa" localSheetId="13" hidden="1">{"rtn",#N/A,FALSE,"RTN";"tables",#N/A,FALSE,"RTN";"cf",#N/A,FALSE,"CF";"stats",#N/A,FALSE,"Stats";"prop",#N/A,FALSE,"Prop"}</definedName>
    <definedName name="saa" localSheetId="14" hidden="1">{"rtn",#N/A,FALSE,"RTN";"tables",#N/A,FALSE,"RTN";"cf",#N/A,FALSE,"CF";"stats",#N/A,FALSE,"Stats";"prop",#N/A,FALSE,"Prop"}</definedName>
    <definedName name="saa" hidden="1">{"rtn",#N/A,FALSE,"RTN";"tables",#N/A,FALSE,"RTN";"cf",#N/A,FALSE,"CF";"stats",#N/A,FALSE,"Stats";"prop",#N/A,FALSE,"Prop"}</definedName>
    <definedName name="saa_1" localSheetId="16" hidden="1">{"rtn",#N/A,FALSE,"RTN";"tables",#N/A,FALSE,"RTN";"cf",#N/A,FALSE,"CF";"stats",#N/A,FALSE,"Stats";"prop",#N/A,FALSE,"Prop"}</definedName>
    <definedName name="saa_1" localSheetId="20" hidden="1">{"rtn",#N/A,FALSE,"RTN";"tables",#N/A,FALSE,"RTN";"cf",#N/A,FALSE,"CF";"stats",#N/A,FALSE,"Stats";"prop",#N/A,FALSE,"Prop"}</definedName>
    <definedName name="saa_1" localSheetId="21" hidden="1">{"rtn",#N/A,FALSE,"RTN";"tables",#N/A,FALSE,"RTN";"cf",#N/A,FALSE,"CF";"stats",#N/A,FALSE,"Stats";"prop",#N/A,FALSE,"Prop"}</definedName>
    <definedName name="saa_1" localSheetId="22" hidden="1">{"rtn",#N/A,FALSE,"RTN";"tables",#N/A,FALSE,"RTN";"cf",#N/A,FALSE,"CF";"stats",#N/A,FALSE,"Stats";"prop",#N/A,FALSE,"Prop"}</definedName>
    <definedName name="saa_1" localSheetId="23" hidden="1">{"rtn",#N/A,FALSE,"RTN";"tables",#N/A,FALSE,"RTN";"cf",#N/A,FALSE,"CF";"stats",#N/A,FALSE,"Stats";"prop",#N/A,FALSE,"Prop"}</definedName>
    <definedName name="saa_1" localSheetId="24" hidden="1">{"rtn",#N/A,FALSE,"RTN";"tables",#N/A,FALSE,"RTN";"cf",#N/A,FALSE,"CF";"stats",#N/A,FALSE,"Stats";"prop",#N/A,FALSE,"Prop"}</definedName>
    <definedName name="saa_1" localSheetId="13" hidden="1">{"rtn",#N/A,FALSE,"RTN";"tables",#N/A,FALSE,"RTN";"cf",#N/A,FALSE,"CF";"stats",#N/A,FALSE,"Stats";"prop",#N/A,FALSE,"Prop"}</definedName>
    <definedName name="saa_1" localSheetId="14" hidden="1">{"rtn",#N/A,FALSE,"RTN";"tables",#N/A,FALSE,"RTN";"cf",#N/A,FALSE,"CF";"stats",#N/A,FALSE,"Stats";"prop",#N/A,FALSE,"Prop"}</definedName>
    <definedName name="saa_1" hidden="1">{"rtn",#N/A,FALSE,"RTN";"tables",#N/A,FALSE,"RTN";"cf",#N/A,FALSE,"CF";"stats",#N/A,FALSE,"Stats";"prop",#N/A,FALSE,"Prop"}</definedName>
    <definedName name="sas" localSheetId="16" hidden="1">{"Outflow 1",#N/A,FALSE,"Outflows-Inflows";"Outflow 2",#N/A,FALSE,"Outflows-Inflows";"Inflow 1",#N/A,FALSE,"Outflows-Inflows";"Inflow 2",#N/A,FALSE,"Outflows-Inflows"}</definedName>
    <definedName name="sas" localSheetId="20" hidden="1">{"Outflow 1",#N/A,FALSE,"Outflows-Inflows";"Outflow 2",#N/A,FALSE,"Outflows-Inflows";"Inflow 1",#N/A,FALSE,"Outflows-Inflows";"Inflow 2",#N/A,FALSE,"Outflows-Inflows"}</definedName>
    <definedName name="sas" localSheetId="21" hidden="1">{"Outflow 1",#N/A,FALSE,"Outflows-Inflows";"Outflow 2",#N/A,FALSE,"Outflows-Inflows";"Inflow 1",#N/A,FALSE,"Outflows-Inflows";"Inflow 2",#N/A,FALSE,"Outflows-Inflows"}</definedName>
    <definedName name="sas" localSheetId="22" hidden="1">{"Outflow 1",#N/A,FALSE,"Outflows-Inflows";"Outflow 2",#N/A,FALSE,"Outflows-Inflows";"Inflow 1",#N/A,FALSE,"Outflows-Inflows";"Inflow 2",#N/A,FALSE,"Outflows-Inflows"}</definedName>
    <definedName name="sas" localSheetId="23" hidden="1">{"Outflow 1",#N/A,FALSE,"Outflows-Inflows";"Outflow 2",#N/A,FALSE,"Outflows-Inflows";"Inflow 1",#N/A,FALSE,"Outflows-Inflows";"Inflow 2",#N/A,FALSE,"Outflows-Inflows"}</definedName>
    <definedName name="sas" localSheetId="24" hidden="1">{"Outflow 1",#N/A,FALSE,"Outflows-Inflows";"Outflow 2",#N/A,FALSE,"Outflows-Inflows";"Inflow 1",#N/A,FALSE,"Outflows-Inflows";"Inflow 2",#N/A,FALSE,"Outflows-Inflows"}</definedName>
    <definedName name="sas" localSheetId="13" hidden="1">{"Outflow 1",#N/A,FALSE,"Outflows-Inflows";"Outflow 2",#N/A,FALSE,"Outflows-Inflows";"Inflow 1",#N/A,FALSE,"Outflows-Inflows";"Inflow 2",#N/A,FALSE,"Outflows-Inflows"}</definedName>
    <definedName name="sas" localSheetId="14" hidden="1">{"Outflow 1",#N/A,FALSE,"Outflows-Inflows";"Outflow 2",#N/A,FALSE,"Outflows-Inflows";"Inflow 1",#N/A,FALSE,"Outflows-Inflows";"Inflow 2",#N/A,FALSE,"Outflows-Inflows"}</definedName>
    <definedName name="sas" hidden="1">{"Outflow 1",#N/A,FALSE,"Outflows-Inflows";"Outflow 2",#N/A,FALSE,"Outflows-Inflows";"Inflow 1",#N/A,FALSE,"Outflows-Inflows";"Inflow 2",#N/A,FALSE,"Outflows-Inflows"}</definedName>
    <definedName name="sas_1" localSheetId="16" hidden="1">{"Outflow 1",#N/A,FALSE,"Outflows-Inflows";"Outflow 2",#N/A,FALSE,"Outflows-Inflows";"Inflow 1",#N/A,FALSE,"Outflows-Inflows";"Inflow 2",#N/A,FALSE,"Outflows-Inflows"}</definedName>
    <definedName name="sas_1" localSheetId="20" hidden="1">{"Outflow 1",#N/A,FALSE,"Outflows-Inflows";"Outflow 2",#N/A,FALSE,"Outflows-Inflows";"Inflow 1",#N/A,FALSE,"Outflows-Inflows";"Inflow 2",#N/A,FALSE,"Outflows-Inflows"}</definedName>
    <definedName name="sas_1" localSheetId="21" hidden="1">{"Outflow 1",#N/A,FALSE,"Outflows-Inflows";"Outflow 2",#N/A,FALSE,"Outflows-Inflows";"Inflow 1",#N/A,FALSE,"Outflows-Inflows";"Inflow 2",#N/A,FALSE,"Outflows-Inflows"}</definedName>
    <definedName name="sas_1" localSheetId="22" hidden="1">{"Outflow 1",#N/A,FALSE,"Outflows-Inflows";"Outflow 2",#N/A,FALSE,"Outflows-Inflows";"Inflow 1",#N/A,FALSE,"Outflows-Inflows";"Inflow 2",#N/A,FALSE,"Outflows-Inflows"}</definedName>
    <definedName name="sas_1" localSheetId="23" hidden="1">{"Outflow 1",#N/A,FALSE,"Outflows-Inflows";"Outflow 2",#N/A,FALSE,"Outflows-Inflows";"Inflow 1",#N/A,FALSE,"Outflows-Inflows";"Inflow 2",#N/A,FALSE,"Outflows-Inflows"}</definedName>
    <definedName name="sas_1" localSheetId="24" hidden="1">{"Outflow 1",#N/A,FALSE,"Outflows-Inflows";"Outflow 2",#N/A,FALSE,"Outflows-Inflows";"Inflow 1",#N/A,FALSE,"Outflows-Inflows";"Inflow 2",#N/A,FALSE,"Outflows-Inflows"}</definedName>
    <definedName name="sas_1" localSheetId="13" hidden="1">{"Outflow 1",#N/A,FALSE,"Outflows-Inflows";"Outflow 2",#N/A,FALSE,"Outflows-Inflows";"Inflow 1",#N/A,FALSE,"Outflows-Inflows";"Inflow 2",#N/A,FALSE,"Outflows-Inflows"}</definedName>
    <definedName name="sas_1" localSheetId="14" hidden="1">{"Outflow 1",#N/A,FALSE,"Outflows-Inflows";"Outflow 2",#N/A,FALSE,"Outflows-Inflows";"Inflow 1",#N/A,FALSE,"Outflows-Inflows";"Inflow 2",#N/A,FALSE,"Outflows-Inflows"}</definedName>
    <definedName name="sas_1" hidden="1">{"Outflow 1",#N/A,FALSE,"Outflows-Inflows";"Outflow 2",#N/A,FALSE,"Outflows-Inflows";"Inflow 1",#N/A,FALSE,"Outflows-Inflows";"Inflow 2",#N/A,FALSE,"Outflows-Inflows"}</definedName>
    <definedName name="sdfass" localSheetId="16" hidden="1">{"Outflow 1",#N/A,FALSE,"Outflows-Inflows";"Outflow 2",#N/A,FALSE,"Outflows-Inflows";"Inflow 1",#N/A,FALSE,"Outflows-Inflows";"Inflow 2",#N/A,FALSE,"Outflows-Inflows"}</definedName>
    <definedName name="sdfass" localSheetId="20" hidden="1">{"Outflow 1",#N/A,FALSE,"Outflows-Inflows";"Outflow 2",#N/A,FALSE,"Outflows-Inflows";"Inflow 1",#N/A,FALSE,"Outflows-Inflows";"Inflow 2",#N/A,FALSE,"Outflows-Inflows"}</definedName>
    <definedName name="sdfass" localSheetId="21" hidden="1">{"Outflow 1",#N/A,FALSE,"Outflows-Inflows";"Outflow 2",#N/A,FALSE,"Outflows-Inflows";"Inflow 1",#N/A,FALSE,"Outflows-Inflows";"Inflow 2",#N/A,FALSE,"Outflows-Inflows"}</definedName>
    <definedName name="sdfass" localSheetId="22" hidden="1">{"Outflow 1",#N/A,FALSE,"Outflows-Inflows";"Outflow 2",#N/A,FALSE,"Outflows-Inflows";"Inflow 1",#N/A,FALSE,"Outflows-Inflows";"Inflow 2",#N/A,FALSE,"Outflows-Inflows"}</definedName>
    <definedName name="sdfass" localSheetId="23" hidden="1">{"Outflow 1",#N/A,FALSE,"Outflows-Inflows";"Outflow 2",#N/A,FALSE,"Outflows-Inflows";"Inflow 1",#N/A,FALSE,"Outflows-Inflows";"Inflow 2",#N/A,FALSE,"Outflows-Inflows"}</definedName>
    <definedName name="sdfass" localSheetId="24" hidden="1">{"Outflow 1",#N/A,FALSE,"Outflows-Inflows";"Outflow 2",#N/A,FALSE,"Outflows-Inflows";"Inflow 1",#N/A,FALSE,"Outflows-Inflows";"Inflow 2",#N/A,FALSE,"Outflows-Inflows"}</definedName>
    <definedName name="sdfass" localSheetId="13" hidden="1">{"Outflow 1",#N/A,FALSE,"Outflows-Inflows";"Outflow 2",#N/A,FALSE,"Outflows-Inflows";"Inflow 1",#N/A,FALSE,"Outflows-Inflows";"Inflow 2",#N/A,FALSE,"Outflows-Inflows"}</definedName>
    <definedName name="sdfass" localSheetId="14" hidden="1">{"Outflow 1",#N/A,FALSE,"Outflows-Inflows";"Outflow 2",#N/A,FALSE,"Outflows-Inflows";"Inflow 1",#N/A,FALSE,"Outflows-Inflows";"Inflow 2",#N/A,FALSE,"Outflows-Inflows"}</definedName>
    <definedName name="sdfass" hidden="1">{"Outflow 1",#N/A,FALSE,"Outflows-Inflows";"Outflow 2",#N/A,FALSE,"Outflows-Inflows";"Inflow 1",#N/A,FALSE,"Outflows-Inflows";"Inflow 2",#N/A,FALSE,"Outflows-Inflows"}</definedName>
    <definedName name="sdfass_1" localSheetId="16" hidden="1">{"Outflow 1",#N/A,FALSE,"Outflows-Inflows";"Outflow 2",#N/A,FALSE,"Outflows-Inflows";"Inflow 1",#N/A,FALSE,"Outflows-Inflows";"Inflow 2",#N/A,FALSE,"Outflows-Inflows"}</definedName>
    <definedName name="sdfass_1" localSheetId="20" hidden="1">{"Outflow 1",#N/A,FALSE,"Outflows-Inflows";"Outflow 2",#N/A,FALSE,"Outflows-Inflows";"Inflow 1",#N/A,FALSE,"Outflows-Inflows";"Inflow 2",#N/A,FALSE,"Outflows-Inflows"}</definedName>
    <definedName name="sdfass_1" localSheetId="21" hidden="1">{"Outflow 1",#N/A,FALSE,"Outflows-Inflows";"Outflow 2",#N/A,FALSE,"Outflows-Inflows";"Inflow 1",#N/A,FALSE,"Outflows-Inflows";"Inflow 2",#N/A,FALSE,"Outflows-Inflows"}</definedName>
    <definedName name="sdfass_1" localSheetId="22" hidden="1">{"Outflow 1",#N/A,FALSE,"Outflows-Inflows";"Outflow 2",#N/A,FALSE,"Outflows-Inflows";"Inflow 1",#N/A,FALSE,"Outflows-Inflows";"Inflow 2",#N/A,FALSE,"Outflows-Inflows"}</definedName>
    <definedName name="sdfass_1" localSheetId="23" hidden="1">{"Outflow 1",#N/A,FALSE,"Outflows-Inflows";"Outflow 2",#N/A,FALSE,"Outflows-Inflows";"Inflow 1",#N/A,FALSE,"Outflows-Inflows";"Inflow 2",#N/A,FALSE,"Outflows-Inflows"}</definedName>
    <definedName name="sdfass_1" localSheetId="24" hidden="1">{"Outflow 1",#N/A,FALSE,"Outflows-Inflows";"Outflow 2",#N/A,FALSE,"Outflows-Inflows";"Inflow 1",#N/A,FALSE,"Outflows-Inflows";"Inflow 2",#N/A,FALSE,"Outflows-Inflows"}</definedName>
    <definedName name="sdfass_1" localSheetId="13" hidden="1">{"Outflow 1",#N/A,FALSE,"Outflows-Inflows";"Outflow 2",#N/A,FALSE,"Outflows-Inflows";"Inflow 1",#N/A,FALSE,"Outflows-Inflows";"Inflow 2",#N/A,FALSE,"Outflows-Inflows"}</definedName>
    <definedName name="sdfass_1" localSheetId="14" hidden="1">{"Outflow 1",#N/A,FALSE,"Outflows-Inflows";"Outflow 2",#N/A,FALSE,"Outflows-Inflows";"Inflow 1",#N/A,FALSE,"Outflows-Inflows";"Inflow 2",#N/A,FALSE,"Outflows-Inflows"}</definedName>
    <definedName name="sdfass_1" hidden="1">{"Outflow 1",#N/A,FALSE,"Outflows-Inflows";"Outflow 2",#N/A,FALSE,"Outflows-Inflows";"Inflow 1",#N/A,FALSE,"Outflows-Inflows";"Inflow 2",#N/A,FALSE,"Outflows-Inflows"}</definedName>
    <definedName name="SFR" localSheetId="11">#REF!/[0]!SFT</definedName>
    <definedName name="SFR" localSheetId="12">#REF!/[0]!SFT</definedName>
    <definedName name="SFR" localSheetId="13">#REF!/[0]!SFT</definedName>
    <definedName name="SFR" localSheetId="14">#REF!/[0]!SFT</definedName>
    <definedName name="SUMMARY_BOOK" localSheetId="16" hidden="1">{"page1",#N/A,FALSE,"GIRLBO";"page2",#N/A,FALSE,"GIRLBO";"page3",#N/A,FALSE,"GIRLBO";"page4",#N/A,FALSE,"GIRLBO";"page5",#N/A,FALSE,"GIRLBO"}</definedName>
    <definedName name="SUMMARY_BOOK" localSheetId="20" hidden="1">{"page1",#N/A,FALSE,"GIRLBO";"page2",#N/A,FALSE,"GIRLBO";"page3",#N/A,FALSE,"GIRLBO";"page4",#N/A,FALSE,"GIRLBO";"page5",#N/A,FALSE,"GIRLBO"}</definedName>
    <definedName name="SUMMARY_BOOK" localSheetId="21" hidden="1">{"page1",#N/A,FALSE,"GIRLBO";"page2",#N/A,FALSE,"GIRLBO";"page3",#N/A,FALSE,"GIRLBO";"page4",#N/A,FALSE,"GIRLBO";"page5",#N/A,FALSE,"GIRLBO"}</definedName>
    <definedName name="SUMMARY_BOOK" localSheetId="22" hidden="1">{"page1",#N/A,FALSE,"GIRLBO";"page2",#N/A,FALSE,"GIRLBO";"page3",#N/A,FALSE,"GIRLBO";"page4",#N/A,FALSE,"GIRLBO";"page5",#N/A,FALSE,"GIRLBO"}</definedName>
    <definedName name="SUMMARY_BOOK" localSheetId="23" hidden="1">{"page1",#N/A,FALSE,"GIRLBO";"page2",#N/A,FALSE,"GIRLBO";"page3",#N/A,FALSE,"GIRLBO";"page4",#N/A,FALSE,"GIRLBO";"page5",#N/A,FALSE,"GIRLBO"}</definedName>
    <definedName name="SUMMARY_BOOK" localSheetId="24" hidden="1">{"page1",#N/A,FALSE,"GIRLBO";"page2",#N/A,FALSE,"GIRLBO";"page3",#N/A,FALSE,"GIRLBO";"page4",#N/A,FALSE,"GIRLBO";"page5",#N/A,FALSE,"GIRLBO"}</definedName>
    <definedName name="SUMMARY_BOOK" hidden="1">{"page1",#N/A,FALSE,"GIRLBO";"page2",#N/A,FALSE,"GIRLBO";"page3",#N/A,FALSE,"GIRLBO";"page4",#N/A,FALSE,"GIRLBO";"page5",#N/A,FALSE,"GIRLBO"}</definedName>
    <definedName name="tblProperty_Address" localSheetId="13">OFFSET(#REF!, 0, 0, COUNTA(#REF!)-1,1)</definedName>
    <definedName name="tblProperty_Amortization" localSheetId="13">OFFSET(#REF!, 0, 0, COUNTA(#REF!)-1,1)</definedName>
    <definedName name="tblProperty_Buildings" localSheetId="13">OFFSET(#REF!, 0, 0, COUNTA(#REF!)-1,1)</definedName>
    <definedName name="tblProperty_CCUnits" localSheetId="13">OFFSET(#REF!, 0, 0, COUNTA(#REF!)-1,1)</definedName>
    <definedName name="tblProperty_City" localSheetId="13">OFFSET(#REF!, 0, 0, COUNTA(#REF!)-1,1)</definedName>
    <definedName name="tblProperty_County" localSheetId="13">OFFSET(#REF!, 0, 0, COUNTA(#REF!)-1,1)</definedName>
    <definedName name="tblProperty_CurrentDebt" localSheetId="13">OFFSET(#REF!, 0, 0, COUNTA(#REF!)-1,1)</definedName>
    <definedName name="tblProperty_EffYearBuild" localSheetId="13">OFFSET(#REF!, 0, 0, COUNTA(#REF!)-1,1)</definedName>
    <definedName name="tblProperty_FloatingorFixed" localSheetId="13">OFFSET(#REF!, 0, 0, COUNTA(#REF!)-1,1)</definedName>
    <definedName name="tblProperty_FundName" localSheetId="13">OFFSET(#REF!, 0, 0, COUNTA(#REF!)-1,1)</definedName>
    <definedName name="tblProperty_FundNumber" localSheetId="13">OFFSET(#REF!, 0, 0, COUNTA(#REF!)-1,1)</definedName>
    <definedName name="tblProperty_LandArea" localSheetId="13">OFFSET(#REF!, 0, 0, COUNTA(#REF!)-1,1)</definedName>
    <definedName name="tblProperty_Lender" localSheetId="13">OFFSET(#REF!, 0, 0, COUNTA(#REF!)-1,1)</definedName>
    <definedName name="tblProperty_LenderAppraisalValue" localSheetId="13">OFFSET(#REF!, 0, 0, COUNTA(#REF!)-1,1)</definedName>
    <definedName name="tblProperty_LenderEscrowInsurance" localSheetId="13">OFFSET(#REF!, 0, 0, COUNTA(#REF!)-1,1)</definedName>
    <definedName name="tblProperty_LenderEscrowRM" localSheetId="13">OFFSET(#REF!, 0, 0, COUNTA(#REF!)-1,1)</definedName>
    <definedName name="tblProperty_LenderEscrowTaxes" localSheetId="13">OFFSET(#REF!, 0, 0, COUNTA(#REF!)-1,1)</definedName>
    <definedName name="tblProperty_LoanClosingDate" localSheetId="13">OFFSET(#REF!, 0, 0, COUNTA(#REF!)-1,1)</definedName>
    <definedName name="tblProperty_LoanMaturityDate" localSheetId="13">OFFSET(#REF!, 0, 0, COUNTA(#REF!)-1,1)</definedName>
    <definedName name="tblProperty_LoanType" localSheetId="13">OFFSET(#REF!, 0, 0, COUNTA(#REF!)-1,1)</definedName>
    <definedName name="tblProperty_LTMNOI" localSheetId="13">OFFSET(#REF!, 0, 0, COUNTA(#REF!)-1,1)</definedName>
    <definedName name="tblProperty_LTMRev" localSheetId="13">OFFSET(#REF!, 0, 0, COUNTA(#REF!)-1,1)</definedName>
    <definedName name="tblProperty_Manager" localSheetId="13">OFFSET(#REF!, 0, 0, COUNTA(#REF!)-1,1)</definedName>
    <definedName name="tblProperty_Name" localSheetId="13">OFFSET(#REF!, 0, 0, COUNTA(#REF!)-1,1)</definedName>
    <definedName name="tblProperty_NONCCUnits" localSheetId="13">OFFSET(#REF!, 0, 0, COUNTA(#REF!)-1,1)</definedName>
    <definedName name="tblProperty_OccAtAcq" localSheetId="13">OFFSET(#REF!, 0, 0, COUNTA(#REF!)-1,1)</definedName>
    <definedName name="tblProperty_OpenPrepay" localSheetId="13">OFFSET(#REF!, 0, 0, COUNTA(#REF!)-1,1)</definedName>
    <definedName name="tblProperty_OriginalDebt" localSheetId="13">OFFSET(#REF!, 0, 0, COUNTA(#REF!)-1,1)</definedName>
    <definedName name="tblProperty_OriginalManager" localSheetId="13">OFFSET(#REF!, 0, 0, COUNTA(#REF!)-1,1)</definedName>
    <definedName name="tblProperty_OriginalSF" localSheetId="13">OFFSET(#REF!, 0, 0, COUNTA(#REF!)-1,1)</definedName>
    <definedName name="tblProperty_OriginalUnits" localSheetId="13">OFFSET(#REF!, 0, 0, COUNTA(#REF!)-1,1)</definedName>
    <definedName name="tblProperty_OtherUnits" localSheetId="13">OFFSET(#REF!, 0, 0, COUNTA(#REF!)-1,1)</definedName>
    <definedName name="tblProperty_OutsideEquity" localSheetId="13">OFFSET(#REF!, 0, 0, COUNTA(#REF!)-1,1)</definedName>
    <definedName name="tblProperty_OutsideEquityInitial" localSheetId="13">OFFSET(#REF!, 0, 0, COUNTA(#REF!)-1,1)</definedName>
    <definedName name="tblProperty_Payment" localSheetId="13">OFFSET(#REF!, 0, 0, COUNTA(#REF!)-1,1)</definedName>
    <definedName name="tblProperty_PurchaseCapRate" localSheetId="13">OFFSET(#REF!, 0, 0, COUNTA(#REF!)-1,1)</definedName>
    <definedName name="tblProperty_PurchaseDate" localSheetId="13">OFFSET(#REF!, 0, 0, COUNTA(#REF!)-1,1)</definedName>
    <definedName name="tblProperty_PurchasePrice" localSheetId="13">OFFSET(#REF!, 0, 0, COUNTA(#REF!)-1,1)</definedName>
    <definedName name="tblProperty_Rate" localSheetId="13">OFFSET(#REF!, 0, 0, COUNTA(#REF!)-1,1)</definedName>
    <definedName name="tblProperty_RateReset" localSheetId="13">OFFSET(#REF!, 0, 0, COUNTA(#REF!)-1,1)</definedName>
    <definedName name="tblProperty_RefiDate" localSheetId="13">OFFSET(#REF!, 0, 0, COUNTA(#REF!)-1,1)</definedName>
    <definedName name="tblProperty_SF" localSheetId="13">OFFSET(#REF!, 0, 0, COUNTA(#REF!)-1,1)</definedName>
    <definedName name="tblProperty_Short" localSheetId="13">OFFSET(#REF!, 0, 0, COUNTA(#REF!)-1,1)</definedName>
    <definedName name="tblProperty_State" localSheetId="13">OFFSET(#REF!, 0, 0, COUNTA(#REF!)-1,1)</definedName>
    <definedName name="tblProperty_Stories" localSheetId="13">OFFSET(#REF!, 0, 0, COUNTA(#REF!)-1,1)</definedName>
    <definedName name="tblProperty_TotalAcquisitionPriceCurrent" localSheetId="13">OFFSET(#REF!, 0, 0, COUNTA(#REF!)-1,1)</definedName>
    <definedName name="tblProperty_TotalEquity" localSheetId="13">OFFSET(#REF!, 0, 0, COUNTA(#REF!)-1,1)</definedName>
    <definedName name="tblProperty_TotalEquityInital" localSheetId="13">OFFSET(#REF!, 0, 0, COUNTA(#REF!)-1,1)</definedName>
    <definedName name="tblProperty_Units" localSheetId="13">OFFSET(#REF!, 0, 0, COUNTA(#REF!)-1,1)</definedName>
    <definedName name="tblProperty_VirtusEquity" localSheetId="13">OFFSET(#REF!, 0, 0, COUNTA(#REF!)-1,1)</definedName>
    <definedName name="tblProperty_VirtusEquityInitial" localSheetId="13">OFFSET(#REF!, 0, 0, COUNTA(#REF!)-1,1)</definedName>
    <definedName name="tblProperty_YearBuilt" localSheetId="13">OFFSET(#REF!, 0, 0, COUNTA(#REF!)-1,1)</definedName>
    <definedName name="tblProperty_Zip" localSheetId="13">OFFSET(#REF!, 0, 0, COUNTA(#REF!)-1,1)</definedName>
    <definedName name="TitleFormat" localSheetId="11">#REF!,#REF!,#REF!,#REF!,#REF!,#REF!,#REF!,#REF!,#REF!,#REF!,#REF!</definedName>
    <definedName name="TitleFormat" localSheetId="12">#REF!,#REF!,#REF!,#REF!,#REF!,#REF!,#REF!,#REF!,#REF!,#REF!,#REF!</definedName>
    <definedName name="TitleFormat" localSheetId="13">#REF!,#REF!,#REF!,#REF!,#REF!,#REF!,#REF!,#REF!,#REF!,#REF!,#REF!</definedName>
    <definedName name="TitleFormat" localSheetId="14">#REF!,#REF!,#REF!,#REF!,#REF!,#REF!,#REF!,#REF!,#REF!,#REF!,#REF!</definedName>
    <definedName name="type_1" localSheetId="20">#REF!</definedName>
    <definedName name="type_1" localSheetId="21">#REF!</definedName>
    <definedName name="type_1" localSheetId="22">#REF!</definedName>
    <definedName name="type_1" localSheetId="23">#REF!</definedName>
    <definedName name="type_1" localSheetId="24">#REF!</definedName>
    <definedName name="type_1">#REF!</definedName>
    <definedName name="type_1_breakpoint" localSheetId="20">#REF!</definedName>
    <definedName name="type_1_breakpoint" localSheetId="21">#REF!</definedName>
    <definedName name="type_1_breakpoint" localSheetId="22">#REF!</definedName>
    <definedName name="type_1_breakpoint" localSheetId="23">#REF!</definedName>
    <definedName name="type_1_breakpoint" localSheetId="24">#REF!</definedName>
    <definedName name="type_1_breakpoint">#REF!</definedName>
    <definedName name="type_1_SF" localSheetId="20">#REF!</definedName>
    <definedName name="type_1_SF" localSheetId="21">#REF!</definedName>
    <definedName name="type_1_SF" localSheetId="22">#REF!</definedName>
    <definedName name="type_1_SF" localSheetId="23">#REF!</definedName>
    <definedName name="type_1_SF" localSheetId="24">#REF!</definedName>
    <definedName name="type_1_SF">#REF!</definedName>
    <definedName name="type_2" localSheetId="20">#REF!</definedName>
    <definedName name="type_2" localSheetId="21">#REF!</definedName>
    <definedName name="type_2" localSheetId="22">#REF!</definedName>
    <definedName name="type_2" localSheetId="23">#REF!</definedName>
    <definedName name="type_2" localSheetId="24">#REF!</definedName>
    <definedName name="type_2">#REF!</definedName>
    <definedName name="type_2_breakpoint" localSheetId="20">#REF!</definedName>
    <definedName name="type_2_breakpoint" localSheetId="21">#REF!</definedName>
    <definedName name="type_2_breakpoint" localSheetId="22">#REF!</definedName>
    <definedName name="type_2_breakpoint" localSheetId="23">#REF!</definedName>
    <definedName name="type_2_breakpoint" localSheetId="24">#REF!</definedName>
    <definedName name="type_2_breakpoint">#REF!</definedName>
    <definedName name="type_2_SF" localSheetId="20">#REF!</definedName>
    <definedName name="type_2_SF" localSheetId="21">#REF!</definedName>
    <definedName name="type_2_SF" localSheetId="22">#REF!</definedName>
    <definedName name="type_2_SF" localSheetId="23">#REF!</definedName>
    <definedName name="type_2_SF" localSheetId="24">#REF!</definedName>
    <definedName name="type_2_SF">#REF!</definedName>
    <definedName name="type_3" localSheetId="20">#REF!</definedName>
    <definedName name="type_3" localSheetId="21">#REF!</definedName>
    <definedName name="type_3" localSheetId="22">#REF!</definedName>
    <definedName name="type_3" localSheetId="23">#REF!</definedName>
    <definedName name="type_3" localSheetId="24">#REF!</definedName>
    <definedName name="type_3">#REF!</definedName>
    <definedName name="type_3_breakpoint" localSheetId="20">#REF!</definedName>
    <definedName name="type_3_breakpoint" localSheetId="21">#REF!</definedName>
    <definedName name="type_3_breakpoint" localSheetId="22">#REF!</definedName>
    <definedName name="type_3_breakpoint" localSheetId="23">#REF!</definedName>
    <definedName name="type_3_breakpoint" localSheetId="24">#REF!</definedName>
    <definedName name="type_3_breakpoint">#REF!</definedName>
    <definedName name="type_3_SF" localSheetId="20">#REF!</definedName>
    <definedName name="type_3_SF" localSheetId="21">#REF!</definedName>
    <definedName name="type_3_SF" localSheetId="22">#REF!</definedName>
    <definedName name="type_3_SF" localSheetId="23">#REF!</definedName>
    <definedName name="type_3_SF" localSheetId="24">#REF!</definedName>
    <definedName name="type_3_SF">#REF!</definedName>
    <definedName name="type_4" localSheetId="20">#REF!</definedName>
    <definedName name="type_4" localSheetId="21">#REF!</definedName>
    <definedName name="type_4" localSheetId="22">#REF!</definedName>
    <definedName name="type_4" localSheetId="23">#REF!</definedName>
    <definedName name="type_4" localSheetId="24">#REF!</definedName>
    <definedName name="type_4">#REF!</definedName>
    <definedName name="type_4_breakpoint" localSheetId="20">#REF!</definedName>
    <definedName name="type_4_breakpoint" localSheetId="21">#REF!</definedName>
    <definedName name="type_4_breakpoint" localSheetId="22">#REF!</definedName>
    <definedName name="type_4_breakpoint" localSheetId="23">#REF!</definedName>
    <definedName name="type_4_breakpoint" localSheetId="24">#REF!</definedName>
    <definedName name="type_4_breakpoint">#REF!</definedName>
    <definedName name="type_4_SF" localSheetId="20">#REF!</definedName>
    <definedName name="type_4_SF" localSheetId="21">#REF!</definedName>
    <definedName name="type_4_SF" localSheetId="22">#REF!</definedName>
    <definedName name="type_4_SF" localSheetId="23">#REF!</definedName>
    <definedName name="type_4_SF" localSheetId="24">#REF!</definedName>
    <definedName name="type_4_SF">#REF!</definedName>
    <definedName name="type_5" localSheetId="20">#REF!</definedName>
    <definedName name="type_5" localSheetId="21">#REF!</definedName>
    <definedName name="type_5" localSheetId="22">#REF!</definedName>
    <definedName name="type_5" localSheetId="23">#REF!</definedName>
    <definedName name="type_5" localSheetId="24">#REF!</definedName>
    <definedName name="type_5">#REF!</definedName>
    <definedName name="type_5_breakpoint" localSheetId="20">#REF!</definedName>
    <definedName name="type_5_breakpoint" localSheetId="21">#REF!</definedName>
    <definedName name="type_5_breakpoint" localSheetId="22">#REF!</definedName>
    <definedName name="type_5_breakpoint" localSheetId="23">#REF!</definedName>
    <definedName name="type_5_breakpoint" localSheetId="24">#REF!</definedName>
    <definedName name="type_5_breakpoint">#REF!</definedName>
    <definedName name="type_5_SF" localSheetId="20">#REF!</definedName>
    <definedName name="type_5_SF" localSheetId="21">#REF!</definedName>
    <definedName name="type_5_SF" localSheetId="22">#REF!</definedName>
    <definedName name="type_5_SF" localSheetId="23">#REF!</definedName>
    <definedName name="type_5_SF" localSheetId="24">#REF!</definedName>
    <definedName name="type_5_SF">#REF!</definedName>
    <definedName name="units" localSheetId="20">#REF!</definedName>
    <definedName name="units" localSheetId="21">#REF!</definedName>
    <definedName name="units" localSheetId="22">#REF!</definedName>
    <definedName name="units" localSheetId="23">#REF!</definedName>
    <definedName name="units" localSheetId="24">#REF!</definedName>
    <definedName name="vacant_unit_count" localSheetId="20">#REF!</definedName>
    <definedName name="vacant_unit_count" localSheetId="21">#REF!</definedName>
    <definedName name="vacant_unit_count" localSheetId="22">#REF!</definedName>
    <definedName name="vacant_unit_count" localSheetId="23">#REF!</definedName>
    <definedName name="vacant_unit_count" localSheetId="24">#REF!</definedName>
    <definedName name="vacant_unit_count">#REF!</definedName>
    <definedName name="vacant_unit_rent" localSheetId="20">#REF!</definedName>
    <definedName name="vacant_unit_rent" localSheetId="21">#REF!</definedName>
    <definedName name="vacant_unit_rent" localSheetId="22">#REF!</definedName>
    <definedName name="vacant_unit_rent" localSheetId="23">#REF!</definedName>
    <definedName name="vacant_unit_rent" localSheetId="24">#REF!</definedName>
    <definedName name="vacant_unit_rent">#REF!</definedName>
    <definedName name="vacant_unit_size" localSheetId="20">#REF!</definedName>
    <definedName name="vacant_unit_size" localSheetId="21">#REF!</definedName>
    <definedName name="vacant_unit_size" localSheetId="22">#REF!</definedName>
    <definedName name="vacant_unit_size" localSheetId="23">#REF!</definedName>
    <definedName name="vacant_unit_size" localSheetId="24">#REF!</definedName>
    <definedName name="vacant_unit_size">#REF!</definedName>
    <definedName name="vacant_unit_type" localSheetId="20">#REF!</definedName>
    <definedName name="vacant_unit_type" localSheetId="21">#REF!</definedName>
    <definedName name="vacant_unit_type" localSheetId="22">#REF!</definedName>
    <definedName name="vacant_unit_type" localSheetId="23">#REF!</definedName>
    <definedName name="vacant_unit_type" localSheetId="24">#REF!</definedName>
    <definedName name="vacant_unit_type">#REF!</definedName>
    <definedName name="wrn.2013._.App._.Firm." localSheetId="16" hidden="1">{#N/A,#N/A,TRUE,"Page 1";#N/A,#N/A,TRUE,"Unit Mix";#N/A,#N/A,TRUE,"Page 2";#N/A,#N/A,TRUE,"Page 3";#N/A,#N/A,TRUE,"Page 4";#N/A,#N/A,TRUE,"Deficit";#N/A,#N/A,TRUE,"Other";#N/A,#N/A,TRUE,"Org-Lgl."}</definedName>
    <definedName name="wrn.2013._.App._.Firm." localSheetId="20" hidden="1">{#N/A,#N/A,TRUE,"Page 1";#N/A,#N/A,TRUE,"Unit Mix";#N/A,#N/A,TRUE,"Page 2";#N/A,#N/A,TRUE,"Page 3";#N/A,#N/A,TRUE,"Page 4";#N/A,#N/A,TRUE,"Deficit";#N/A,#N/A,TRUE,"Other";#N/A,#N/A,TRUE,"Org-Lgl."}</definedName>
    <definedName name="wrn.2013._.App._.Firm." localSheetId="21" hidden="1">{#N/A,#N/A,TRUE,"Page 1";#N/A,#N/A,TRUE,"Unit Mix";#N/A,#N/A,TRUE,"Page 2";#N/A,#N/A,TRUE,"Page 3";#N/A,#N/A,TRUE,"Page 4";#N/A,#N/A,TRUE,"Deficit";#N/A,#N/A,TRUE,"Other";#N/A,#N/A,TRUE,"Org-Lgl."}</definedName>
    <definedName name="wrn.2013._.App._.Firm." localSheetId="22" hidden="1">{#N/A,#N/A,TRUE,"Page 1";#N/A,#N/A,TRUE,"Unit Mix";#N/A,#N/A,TRUE,"Page 2";#N/A,#N/A,TRUE,"Page 3";#N/A,#N/A,TRUE,"Page 4";#N/A,#N/A,TRUE,"Deficit";#N/A,#N/A,TRUE,"Other";#N/A,#N/A,TRUE,"Org-Lgl."}</definedName>
    <definedName name="wrn.2013._.App._.Firm." localSheetId="23" hidden="1">{#N/A,#N/A,TRUE,"Page 1";#N/A,#N/A,TRUE,"Unit Mix";#N/A,#N/A,TRUE,"Page 2";#N/A,#N/A,TRUE,"Page 3";#N/A,#N/A,TRUE,"Page 4";#N/A,#N/A,TRUE,"Deficit";#N/A,#N/A,TRUE,"Other";#N/A,#N/A,TRUE,"Org-Lgl."}</definedName>
    <definedName name="wrn.2013._.App._.Firm." localSheetId="24" hidden="1">{#N/A,#N/A,TRUE,"Page 1";#N/A,#N/A,TRUE,"Unit Mix";#N/A,#N/A,TRUE,"Page 2";#N/A,#N/A,TRUE,"Page 3";#N/A,#N/A,TRUE,"Page 4";#N/A,#N/A,TRUE,"Deficit";#N/A,#N/A,TRUE,"Other";#N/A,#N/A,TRUE,"Org-Lgl."}</definedName>
    <definedName name="wrn.2013._.App._.Firm." hidden="1">{#N/A,#N/A,TRUE,"Page 1";#N/A,#N/A,TRUE,"Unit Mix";#N/A,#N/A,TRUE,"Page 2";#N/A,#N/A,TRUE,"Page 3";#N/A,#N/A,TRUE,"Page 4";#N/A,#N/A,TRUE,"Deficit";#N/A,#N/A,TRUE,"Other";#N/A,#N/A,TRUE,"Org-Lgl."}</definedName>
    <definedName name="wrn.2013._.Review." localSheetId="16" hidden="1">{#N/A,#N/A,FALSE,"Page 1";#N/A,#N/A,FALSE,"Unit Mix";#N/A,#N/A,FALSE,"Page 2";#N/A,#N/A,FALSE,"Page 3";#N/A,#N/A,FALSE,"Page 4"}</definedName>
    <definedName name="wrn.2013._.Review." localSheetId="20" hidden="1">{#N/A,#N/A,FALSE,"Page 1";#N/A,#N/A,FALSE,"Unit Mix";#N/A,#N/A,FALSE,"Page 2";#N/A,#N/A,FALSE,"Page 3";#N/A,#N/A,FALSE,"Page 4"}</definedName>
    <definedName name="wrn.2013._.Review." localSheetId="21" hidden="1">{#N/A,#N/A,FALSE,"Page 1";#N/A,#N/A,FALSE,"Unit Mix";#N/A,#N/A,FALSE,"Page 2";#N/A,#N/A,FALSE,"Page 3";#N/A,#N/A,FALSE,"Page 4"}</definedName>
    <definedName name="wrn.2013._.Review." localSheetId="22" hidden="1">{#N/A,#N/A,FALSE,"Page 1";#N/A,#N/A,FALSE,"Unit Mix";#N/A,#N/A,FALSE,"Page 2";#N/A,#N/A,FALSE,"Page 3";#N/A,#N/A,FALSE,"Page 4"}</definedName>
    <definedName name="wrn.2013._.Review." localSheetId="23" hidden="1">{#N/A,#N/A,FALSE,"Page 1";#N/A,#N/A,FALSE,"Unit Mix";#N/A,#N/A,FALSE,"Page 2";#N/A,#N/A,FALSE,"Page 3";#N/A,#N/A,FALSE,"Page 4"}</definedName>
    <definedName name="wrn.2013._.Review." localSheetId="24" hidden="1">{#N/A,#N/A,FALSE,"Page 1";#N/A,#N/A,FALSE,"Unit Mix";#N/A,#N/A,FALSE,"Page 2";#N/A,#N/A,FALSE,"Page 3";#N/A,#N/A,FALSE,"Page 4"}</definedName>
    <definedName name="wrn.2013._.Review." hidden="1">{#N/A,#N/A,FALSE,"Page 1";#N/A,#N/A,FALSE,"Unit Mix";#N/A,#N/A,FALSE,"Page 2";#N/A,#N/A,FALSE,"Page 3";#N/A,#N/A,FALSE,"Page 4"}</definedName>
    <definedName name="wrn.3._.Year._.Summary." localSheetId="16" hidden="1">{#N/A,#N/A,FALSE,"3-Year Summary"}</definedName>
    <definedName name="wrn.3._.Year._.Summary." localSheetId="20" hidden="1">{#N/A,#N/A,FALSE,"3-Year Summary"}</definedName>
    <definedName name="wrn.3._.Year._.Summary." localSheetId="21" hidden="1">{#N/A,#N/A,FALSE,"3-Year Summary"}</definedName>
    <definedName name="wrn.3._.Year._.Summary." localSheetId="22" hidden="1">{#N/A,#N/A,FALSE,"3-Year Summary"}</definedName>
    <definedName name="wrn.3._.Year._.Summary." localSheetId="23" hidden="1">{#N/A,#N/A,FALSE,"3-Year Summary"}</definedName>
    <definedName name="wrn.3._.Year._.Summary." localSheetId="24" hidden="1">{#N/A,#N/A,FALSE,"3-Year Summary"}</definedName>
    <definedName name="wrn.3._.Year._.Summary." localSheetId="13" hidden="1">{#N/A,#N/A,FALSE,"3-Year Summary"}</definedName>
    <definedName name="wrn.3._.Year._.Summary." localSheetId="14" hidden="1">{#N/A,#N/A,FALSE,"3-Year Summary"}</definedName>
    <definedName name="wrn.3._.Year._.Summary." hidden="1">{#N/A,#N/A,FALSE,"3-Year Summary"}</definedName>
    <definedName name="wrn.3._.Year._.Summary._1" localSheetId="16" hidden="1">{#N/A,#N/A,FALSE,"3-Year Summary"}</definedName>
    <definedName name="wrn.3._.Year._.Summary._1" localSheetId="20" hidden="1">{#N/A,#N/A,FALSE,"3-Year Summary"}</definedName>
    <definedName name="wrn.3._.Year._.Summary._1" localSheetId="21" hidden="1">{#N/A,#N/A,FALSE,"3-Year Summary"}</definedName>
    <definedName name="wrn.3._.Year._.Summary._1" localSheetId="22" hidden="1">{#N/A,#N/A,FALSE,"3-Year Summary"}</definedName>
    <definedName name="wrn.3._.Year._.Summary._1" localSheetId="23" hidden="1">{#N/A,#N/A,FALSE,"3-Year Summary"}</definedName>
    <definedName name="wrn.3._.Year._.Summary._1" localSheetId="24" hidden="1">{#N/A,#N/A,FALSE,"3-Year Summary"}</definedName>
    <definedName name="wrn.3._.Year._.Summary._1" localSheetId="13" hidden="1">{#N/A,#N/A,FALSE,"3-Year Summary"}</definedName>
    <definedName name="wrn.3._.Year._.Summary._1" localSheetId="14" hidden="1">{#N/A,#N/A,FALSE,"3-Year Summary"}</definedName>
    <definedName name="wrn.3._.Year._.Summary._1" hidden="1">{#N/A,#N/A,FALSE,"3-Year Summary"}</definedName>
    <definedName name="wrn.3yr.CF." localSheetId="16" hidden="1">{"assume",#N/A,FALSE,"K&amp;20th Month CF";"MoCF",#N/A,FALSE,"K&amp;20th Month CF";"AnCF",#N/A,FALSE,"K&amp;20th Month CF"}</definedName>
    <definedName name="wrn.3yr.CF." localSheetId="20" hidden="1">{"assume",#N/A,FALSE,"K&amp;20th Month CF";"MoCF",#N/A,FALSE,"K&amp;20th Month CF";"AnCF",#N/A,FALSE,"K&amp;20th Month CF"}</definedName>
    <definedName name="wrn.3yr.CF." localSheetId="21" hidden="1">{"assume",#N/A,FALSE,"K&amp;20th Month CF";"MoCF",#N/A,FALSE,"K&amp;20th Month CF";"AnCF",#N/A,FALSE,"K&amp;20th Month CF"}</definedName>
    <definedName name="wrn.3yr.CF." localSheetId="22" hidden="1">{"assume",#N/A,FALSE,"K&amp;20th Month CF";"MoCF",#N/A,FALSE,"K&amp;20th Month CF";"AnCF",#N/A,FALSE,"K&amp;20th Month CF"}</definedName>
    <definedName name="wrn.3yr.CF." localSheetId="23" hidden="1">{"assume",#N/A,FALSE,"K&amp;20th Month CF";"MoCF",#N/A,FALSE,"K&amp;20th Month CF";"AnCF",#N/A,FALSE,"K&amp;20th Month CF"}</definedName>
    <definedName name="wrn.3yr.CF." localSheetId="24" hidden="1">{"assume",#N/A,FALSE,"K&amp;20th Month CF";"MoCF",#N/A,FALSE,"K&amp;20th Month CF";"AnCF",#N/A,FALSE,"K&amp;20th Month CF"}</definedName>
    <definedName name="wrn.3yr.CF." localSheetId="13" hidden="1">{"assume",#N/A,FALSE,"K&amp;20th Month CF";"MoCF",#N/A,FALSE,"K&amp;20th Month CF";"AnCF",#N/A,FALSE,"K&amp;20th Month CF"}</definedName>
    <definedName name="wrn.3yr.CF." localSheetId="14" hidden="1">{"assume",#N/A,FALSE,"K&amp;20th Month CF";"MoCF",#N/A,FALSE,"K&amp;20th Month CF";"AnCF",#N/A,FALSE,"K&amp;20th Month CF"}</definedName>
    <definedName name="wrn.3yr.CF." hidden="1">{"assume",#N/A,FALSE,"K&amp;20th Month CF";"MoCF",#N/A,FALSE,"K&amp;20th Month CF";"AnCF",#N/A,FALSE,"K&amp;20th Month CF"}</definedName>
    <definedName name="wrn.3yr.CF._1" localSheetId="16" hidden="1">{"assume",#N/A,FALSE,"K&amp;20th Month CF";"MoCF",#N/A,FALSE,"K&amp;20th Month CF";"AnCF",#N/A,FALSE,"K&amp;20th Month CF"}</definedName>
    <definedName name="wrn.3yr.CF._1" localSheetId="20" hidden="1">{"assume",#N/A,FALSE,"K&amp;20th Month CF";"MoCF",#N/A,FALSE,"K&amp;20th Month CF";"AnCF",#N/A,FALSE,"K&amp;20th Month CF"}</definedName>
    <definedName name="wrn.3yr.CF._1" localSheetId="21" hidden="1">{"assume",#N/A,FALSE,"K&amp;20th Month CF";"MoCF",#N/A,FALSE,"K&amp;20th Month CF";"AnCF",#N/A,FALSE,"K&amp;20th Month CF"}</definedName>
    <definedName name="wrn.3yr.CF._1" localSheetId="22" hidden="1">{"assume",#N/A,FALSE,"K&amp;20th Month CF";"MoCF",#N/A,FALSE,"K&amp;20th Month CF";"AnCF",#N/A,FALSE,"K&amp;20th Month CF"}</definedName>
    <definedName name="wrn.3yr.CF._1" localSheetId="23" hidden="1">{"assume",#N/A,FALSE,"K&amp;20th Month CF";"MoCF",#N/A,FALSE,"K&amp;20th Month CF";"AnCF",#N/A,FALSE,"K&amp;20th Month CF"}</definedName>
    <definedName name="wrn.3yr.CF._1" localSheetId="24" hidden="1">{"assume",#N/A,FALSE,"K&amp;20th Month CF";"MoCF",#N/A,FALSE,"K&amp;20th Month CF";"AnCF",#N/A,FALSE,"K&amp;20th Month CF"}</definedName>
    <definedName name="wrn.3yr.CF._1" localSheetId="13" hidden="1">{"assume",#N/A,FALSE,"K&amp;20th Month CF";"MoCF",#N/A,FALSE,"K&amp;20th Month CF";"AnCF",#N/A,FALSE,"K&amp;20th Month CF"}</definedName>
    <definedName name="wrn.3yr.CF._1" localSheetId="14" hidden="1">{"assume",#N/A,FALSE,"K&amp;20th Month CF";"MoCF",#N/A,FALSE,"K&amp;20th Month CF";"AnCF",#N/A,FALSE,"K&amp;20th Month CF"}</definedName>
    <definedName name="wrn.3yr.CF._1" hidden="1">{"assume",#N/A,FALSE,"K&amp;20th Month CF";"MoCF",#N/A,FALSE,"K&amp;20th Month CF";"AnCF",#N/A,FALSE,"K&amp;20th Month CF"}</definedName>
    <definedName name="wrn.92264." localSheetId="16" hidden="1">{"Page 1",#N/A,FALSE,"92264 Page 1";"Page 2",#N/A,FALSE,"92264 Page 2";"Page 3",#N/A,FALSE,"92264 Page 3";"Page 4",#N/A,FALSE,"92264 Page 4";"Page 5",#N/A,FALSE,"92264 Page 5";"Page 6",#N/A,FALSE,"92264 Page 6";"Page 7",#N/A,FALSE,"92264 Page 7";"Page 8",#N/A,FALSE,"92264 Page 8"}</definedName>
    <definedName name="wrn.92264." localSheetId="20" hidden="1">{"Page 1",#N/A,FALSE,"92264 Page 1";"Page 2",#N/A,FALSE,"92264 Page 2";"Page 3",#N/A,FALSE,"92264 Page 3";"Page 4",#N/A,FALSE,"92264 Page 4";"Page 5",#N/A,FALSE,"92264 Page 5";"Page 6",#N/A,FALSE,"92264 Page 6";"Page 7",#N/A,FALSE,"92264 Page 7";"Page 8",#N/A,FALSE,"92264 Page 8"}</definedName>
    <definedName name="wrn.92264." localSheetId="21" hidden="1">{"Page 1",#N/A,FALSE,"92264 Page 1";"Page 2",#N/A,FALSE,"92264 Page 2";"Page 3",#N/A,FALSE,"92264 Page 3";"Page 4",#N/A,FALSE,"92264 Page 4";"Page 5",#N/A,FALSE,"92264 Page 5";"Page 6",#N/A,FALSE,"92264 Page 6";"Page 7",#N/A,FALSE,"92264 Page 7";"Page 8",#N/A,FALSE,"92264 Page 8"}</definedName>
    <definedName name="wrn.92264." localSheetId="22" hidden="1">{"Page 1",#N/A,FALSE,"92264 Page 1";"Page 2",#N/A,FALSE,"92264 Page 2";"Page 3",#N/A,FALSE,"92264 Page 3";"Page 4",#N/A,FALSE,"92264 Page 4";"Page 5",#N/A,FALSE,"92264 Page 5";"Page 6",#N/A,FALSE,"92264 Page 6";"Page 7",#N/A,FALSE,"92264 Page 7";"Page 8",#N/A,FALSE,"92264 Page 8"}</definedName>
    <definedName name="wrn.92264." localSheetId="23" hidden="1">{"Page 1",#N/A,FALSE,"92264 Page 1";"Page 2",#N/A,FALSE,"92264 Page 2";"Page 3",#N/A,FALSE,"92264 Page 3";"Page 4",#N/A,FALSE,"92264 Page 4";"Page 5",#N/A,FALSE,"92264 Page 5";"Page 6",#N/A,FALSE,"92264 Page 6";"Page 7",#N/A,FALSE,"92264 Page 7";"Page 8",#N/A,FALSE,"92264 Page 8"}</definedName>
    <definedName name="wrn.92264." localSheetId="24" hidden="1">{"Page 1",#N/A,FALSE,"92264 Page 1";"Page 2",#N/A,FALSE,"92264 Page 2";"Page 3",#N/A,FALSE,"92264 Page 3";"Page 4",#N/A,FALSE,"92264 Page 4";"Page 5",#N/A,FALSE,"92264 Page 5";"Page 6",#N/A,FALSE,"92264 Page 6";"Page 7",#N/A,FALSE,"92264 Page 7";"Page 8",#N/A,FALSE,"92264 Page 8"}</definedName>
    <definedName name="wrn.92264." hidden="1">{"Page 1",#N/A,FALSE,"92264 Page 1";"Page 2",#N/A,FALSE,"92264 Page 2";"Page 3",#N/A,FALSE,"92264 Page 3";"Page 4",#N/A,FALSE,"92264 Page 4";"Page 5",#N/A,FALSE,"92264 Page 5";"Page 6",#N/A,FALSE,"92264 Page 6";"Page 7",#N/A,FALSE,"92264 Page 7";"Page 8",#N/A,FALSE,"92264 Page 8"}</definedName>
    <definedName name="wrn.A_VALUATION." localSheetId="16" hidden="1">{#N/A,#N/A,FALSE,"A_D";#N/A,#N/A,FALSE,"WACC";#N/A,#N/A,FALSE,"DCF";#N/A,#N/A,FALSE,"A";#N/A,#N/A,FALSE,"LBO";#N/A,#N/A,FALSE,"C";#N/A,#N/A,FALSE,"impd";#N/A,#N/A,FALSE,"comps"}</definedName>
    <definedName name="wrn.A_VALUATION." localSheetId="20" hidden="1">{#N/A,#N/A,FALSE,"A_D";#N/A,#N/A,FALSE,"WACC";#N/A,#N/A,FALSE,"DCF";#N/A,#N/A,FALSE,"A";#N/A,#N/A,FALSE,"LBO";#N/A,#N/A,FALSE,"C";#N/A,#N/A,FALSE,"impd";#N/A,#N/A,FALSE,"comps"}</definedName>
    <definedName name="wrn.A_VALUATION." localSheetId="21" hidden="1">{#N/A,#N/A,FALSE,"A_D";#N/A,#N/A,FALSE,"WACC";#N/A,#N/A,FALSE,"DCF";#N/A,#N/A,FALSE,"A";#N/A,#N/A,FALSE,"LBO";#N/A,#N/A,FALSE,"C";#N/A,#N/A,FALSE,"impd";#N/A,#N/A,FALSE,"comps"}</definedName>
    <definedName name="wrn.A_VALUATION." localSheetId="22" hidden="1">{#N/A,#N/A,FALSE,"A_D";#N/A,#N/A,FALSE,"WACC";#N/A,#N/A,FALSE,"DCF";#N/A,#N/A,FALSE,"A";#N/A,#N/A,FALSE,"LBO";#N/A,#N/A,FALSE,"C";#N/A,#N/A,FALSE,"impd";#N/A,#N/A,FALSE,"comps"}</definedName>
    <definedName name="wrn.A_VALUATION." localSheetId="23" hidden="1">{#N/A,#N/A,FALSE,"A_D";#N/A,#N/A,FALSE,"WACC";#N/A,#N/A,FALSE,"DCF";#N/A,#N/A,FALSE,"A";#N/A,#N/A,FALSE,"LBO";#N/A,#N/A,FALSE,"C";#N/A,#N/A,FALSE,"impd";#N/A,#N/A,FALSE,"comps"}</definedName>
    <definedName name="wrn.A_VALUATION." localSheetId="24" hidden="1">{#N/A,#N/A,FALSE,"A_D";#N/A,#N/A,FALSE,"WACC";#N/A,#N/A,FALSE,"DCF";#N/A,#N/A,FALSE,"A";#N/A,#N/A,FALSE,"LBO";#N/A,#N/A,FALSE,"C";#N/A,#N/A,FALSE,"impd";#N/A,#N/A,FALSE,"comps"}</definedName>
    <definedName name="wrn.A_VALUATION." hidden="1">{#N/A,#N/A,FALSE,"A_D";#N/A,#N/A,FALSE,"WACC";#N/A,#N/A,FALSE,"DCF";#N/A,#N/A,FALSE,"A";#N/A,#N/A,FALSE,"LBO";#N/A,#N/A,FALSE,"C";#N/A,#N/A,FALSE,"impd";#N/A,#N/A,FALSE,"comps"}</definedName>
    <definedName name="wrn.Accr_Dil." localSheetId="16" hidden="1">{#N/A,#N/A,FALSE,"Debt Accr";#N/A,#N/A,FALSE,"Stock Accr";#N/A,#N/A,FALSE,"Debt Stock Accr"}</definedName>
    <definedName name="wrn.Accr_Dil." localSheetId="20" hidden="1">{#N/A,#N/A,FALSE,"Debt Accr";#N/A,#N/A,FALSE,"Stock Accr";#N/A,#N/A,FALSE,"Debt Stock Accr"}</definedName>
    <definedName name="wrn.Accr_Dil." localSheetId="21" hidden="1">{#N/A,#N/A,FALSE,"Debt Accr";#N/A,#N/A,FALSE,"Stock Accr";#N/A,#N/A,FALSE,"Debt Stock Accr"}</definedName>
    <definedName name="wrn.Accr_Dil." localSheetId="22" hidden="1">{#N/A,#N/A,FALSE,"Debt Accr";#N/A,#N/A,FALSE,"Stock Accr";#N/A,#N/A,FALSE,"Debt Stock Accr"}</definedName>
    <definedName name="wrn.Accr_Dil." localSheetId="23" hidden="1">{#N/A,#N/A,FALSE,"Debt Accr";#N/A,#N/A,FALSE,"Stock Accr";#N/A,#N/A,FALSE,"Debt Stock Accr"}</definedName>
    <definedName name="wrn.Accr_Dil." localSheetId="24" hidden="1">{#N/A,#N/A,FALSE,"Debt Accr";#N/A,#N/A,FALSE,"Stock Accr";#N/A,#N/A,FALSE,"Debt Stock Accr"}</definedName>
    <definedName name="wrn.Accr_Dil." hidden="1">{#N/A,#N/A,FALSE,"Debt Accr";#N/A,#N/A,FALSE,"Stock Accr";#N/A,#N/A,FALSE,"Debt Stock Accr"}</definedName>
    <definedName name="wrn.all." localSheetId="16" hidden="1">{#N/A,#N/A,FALSE,"COVER";#N/A,#N/A,FALSE,"TABLE OF CONTENTS";#N/A,#N/A,FALSE,"EXEC SUMM";#N/A,#N/A,FALSE,"SURVEY 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ANALYSIS";#N/A,#N/A,FALSE,"titles"}</definedName>
    <definedName name="wrn.all." localSheetId="20" hidden="1">{#N/A,#N/A,FALSE,"COVER";#N/A,#N/A,FALSE,"TABLE OF CONTENTS";#N/A,#N/A,FALSE,"EXEC SUMM";#N/A,#N/A,FALSE,"SURVEY 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ANALYSIS";#N/A,#N/A,FALSE,"titles"}</definedName>
    <definedName name="wrn.all." localSheetId="21" hidden="1">{#N/A,#N/A,FALSE,"COVER";#N/A,#N/A,FALSE,"TABLE OF CONTENTS";#N/A,#N/A,FALSE,"EXEC SUMM";#N/A,#N/A,FALSE,"SURVEY 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ANALYSIS";#N/A,#N/A,FALSE,"titles"}</definedName>
    <definedName name="wrn.all." localSheetId="22" hidden="1">{#N/A,#N/A,FALSE,"COVER";#N/A,#N/A,FALSE,"TABLE OF CONTENTS";#N/A,#N/A,FALSE,"EXEC SUMM";#N/A,#N/A,FALSE,"SURVEY 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ANALYSIS";#N/A,#N/A,FALSE,"titles"}</definedName>
    <definedName name="wrn.all." localSheetId="23" hidden="1">{#N/A,#N/A,FALSE,"COVER";#N/A,#N/A,FALSE,"TABLE OF CONTENTS";#N/A,#N/A,FALSE,"EXEC SUMM";#N/A,#N/A,FALSE,"SURVEY 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ANALYSIS";#N/A,#N/A,FALSE,"titles"}</definedName>
    <definedName name="wrn.all." localSheetId="24" hidden="1">{#N/A,#N/A,FALSE,"COVER";#N/A,#N/A,FALSE,"TABLE OF CONTENTS";#N/A,#N/A,FALSE,"EXEC SUMM";#N/A,#N/A,FALSE,"SURVEY 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ANALYSIS";#N/A,#N/A,FALSE,"titles"}</definedName>
    <definedName name="wrn.all." localSheetId="13" hidden="1">{#N/A,#N/A,FALSE,"COVER";#N/A,#N/A,FALSE,"TABLE OF CONTENTS";#N/A,#N/A,FALSE,"EXEC SUMM";#N/A,#N/A,FALSE,"SURVEY 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ANALYSIS";#N/A,#N/A,FALSE,"titles"}</definedName>
    <definedName name="wrn.all." localSheetId="14" hidden="1">{#N/A,#N/A,FALSE,"COVER";#N/A,#N/A,FALSE,"TABLE OF CONTENTS";#N/A,#N/A,FALSE,"EXEC SUMM";#N/A,#N/A,FALSE,"SURVEY 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ANALYSIS";#N/A,#N/A,FALSE,"titles"}</definedName>
    <definedName name="wrn.all." hidden="1">{#N/A,#N/A,FALSE,"COVER";#N/A,#N/A,FALSE,"TABLE OF CONTENTS";#N/A,#N/A,FALSE,"EXEC SUMM";#N/A,#N/A,FALSE,"SURVEY 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ANALYSIS";#N/A,#N/A,FALSE,"titles"}</definedName>
    <definedName name="wrn.All._.Budget._.Detail_Forecast." localSheetId="16" hidden="1">{"All Budget Detail-Forecast",#N/A,FALSE,"Forecast"}</definedName>
    <definedName name="wrn.All._.Budget._.Detail_Forecast." localSheetId="20" hidden="1">{"All Budget Detail-Forecast",#N/A,FALSE,"Forecast"}</definedName>
    <definedName name="wrn.All._.Budget._.Detail_Forecast." localSheetId="21" hidden="1">{"All Budget Detail-Forecast",#N/A,FALSE,"Forecast"}</definedName>
    <definedName name="wrn.All._.Budget._.Detail_Forecast." localSheetId="22" hidden="1">{"All Budget Detail-Forecast",#N/A,FALSE,"Forecast"}</definedName>
    <definedName name="wrn.All._.Budget._.Detail_Forecast." localSheetId="23" hidden="1">{"All Budget Detail-Forecast",#N/A,FALSE,"Forecast"}</definedName>
    <definedName name="wrn.All._.Budget._.Detail_Forecast." localSheetId="24" hidden="1">{"All Budget Detail-Forecast",#N/A,FALSE,"Forecast"}</definedName>
    <definedName name="wrn.All._.Budget._.Detail_Forecast." localSheetId="13" hidden="1">{"All Budget Detail-Forecast",#N/A,FALSE,"Forecast"}</definedName>
    <definedName name="wrn.All._.Budget._.Detail_Forecast." localSheetId="14" hidden="1">{"All Budget Detail-Forecast",#N/A,FALSE,"Forecast"}</definedName>
    <definedName name="wrn.All._.Budget._.Detail_Forecast." hidden="1">{"All Budget Detail-Forecast",#N/A,FALSE,"Forecast"}</definedName>
    <definedName name="wrn.All._.Budget._.Detail_Forecast._1" localSheetId="16" hidden="1">{"All Budget Detail-Forecast",#N/A,FALSE,"Forecast"}</definedName>
    <definedName name="wrn.All._.Budget._.Detail_Forecast._1" localSheetId="20" hidden="1">{"All Budget Detail-Forecast",#N/A,FALSE,"Forecast"}</definedName>
    <definedName name="wrn.All._.Budget._.Detail_Forecast._1" localSheetId="21" hidden="1">{"All Budget Detail-Forecast",#N/A,FALSE,"Forecast"}</definedName>
    <definedName name="wrn.All._.Budget._.Detail_Forecast._1" localSheetId="22" hidden="1">{"All Budget Detail-Forecast",#N/A,FALSE,"Forecast"}</definedName>
    <definedName name="wrn.All._.Budget._.Detail_Forecast._1" localSheetId="23" hidden="1">{"All Budget Detail-Forecast",#N/A,FALSE,"Forecast"}</definedName>
    <definedName name="wrn.All._.Budget._.Detail_Forecast._1" localSheetId="24" hidden="1">{"All Budget Detail-Forecast",#N/A,FALSE,"Forecast"}</definedName>
    <definedName name="wrn.All._.Budget._.Detail_Forecast._1" localSheetId="13" hidden="1">{"All Budget Detail-Forecast",#N/A,FALSE,"Forecast"}</definedName>
    <definedName name="wrn.All._.Budget._.Detail_Forecast._1" localSheetId="14" hidden="1">{"All Budget Detail-Forecast",#N/A,FALSE,"Forecast"}</definedName>
    <definedName name="wrn.All._.Budget._.Detail_Forecast._1" hidden="1">{"All Budget Detail-Forecast",#N/A,FALSE,"Forecast"}</definedName>
    <definedName name="wrn.All._.Budget._.Detail_Reit." localSheetId="16" hidden="1">{"All Budget Detail-Reit",#N/A,FALSE,"Forecast"}</definedName>
    <definedName name="wrn.All._.Budget._.Detail_Reit." localSheetId="20" hidden="1">{"All Budget Detail-Reit",#N/A,FALSE,"Forecast"}</definedName>
    <definedName name="wrn.All._.Budget._.Detail_Reit." localSheetId="21" hidden="1">{"All Budget Detail-Reit",#N/A,FALSE,"Forecast"}</definedName>
    <definedName name="wrn.All._.Budget._.Detail_Reit." localSheetId="22" hidden="1">{"All Budget Detail-Reit",#N/A,FALSE,"Forecast"}</definedName>
    <definedName name="wrn.All._.Budget._.Detail_Reit." localSheetId="23" hidden="1">{"All Budget Detail-Reit",#N/A,FALSE,"Forecast"}</definedName>
    <definedName name="wrn.All._.Budget._.Detail_Reit." localSheetId="24" hidden="1">{"All Budget Detail-Reit",#N/A,FALSE,"Forecast"}</definedName>
    <definedName name="wrn.All._.Budget._.Detail_Reit." localSheetId="13" hidden="1">{"All Budget Detail-Reit",#N/A,FALSE,"Forecast"}</definedName>
    <definedName name="wrn.All._.Budget._.Detail_Reit." localSheetId="14" hidden="1">{"All Budget Detail-Reit",#N/A,FALSE,"Forecast"}</definedName>
    <definedName name="wrn.All._.Budget._.Detail_Reit." hidden="1">{"All Budget Detail-Reit",#N/A,FALSE,"Forecast"}</definedName>
    <definedName name="wrn.All._.Budget._.Detail_Reit._1" localSheetId="16" hidden="1">{"All Budget Detail-Reit",#N/A,FALSE,"Forecast"}</definedName>
    <definedName name="wrn.All._.Budget._.Detail_Reit._1" localSheetId="20" hidden="1">{"All Budget Detail-Reit",#N/A,FALSE,"Forecast"}</definedName>
    <definedName name="wrn.All._.Budget._.Detail_Reit._1" localSheetId="21" hidden="1">{"All Budget Detail-Reit",#N/A,FALSE,"Forecast"}</definedName>
    <definedName name="wrn.All._.Budget._.Detail_Reit._1" localSheetId="22" hidden="1">{"All Budget Detail-Reit",#N/A,FALSE,"Forecast"}</definedName>
    <definedName name="wrn.All._.Budget._.Detail_Reit._1" localSheetId="23" hidden="1">{"All Budget Detail-Reit",#N/A,FALSE,"Forecast"}</definedName>
    <definedName name="wrn.All._.Budget._.Detail_Reit._1" localSheetId="24" hidden="1">{"All Budget Detail-Reit",#N/A,FALSE,"Forecast"}</definedName>
    <definedName name="wrn.All._.Budget._.Detail_Reit._1" localSheetId="13" hidden="1">{"All Budget Detail-Reit",#N/A,FALSE,"Forecast"}</definedName>
    <definedName name="wrn.All._.Budget._.Detail_Reit._1" localSheetId="14" hidden="1">{"All Budget Detail-Reit",#N/A,FALSE,"Forecast"}</definedName>
    <definedName name="wrn.All._.Budget._.Detail_Reit._1" hidden="1">{"All Budget Detail-Reit",#N/A,FALSE,"Forecast"}</definedName>
    <definedName name="wrn.all._.gulp._.sheets." localSheetId="16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" localSheetId="20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" localSheetId="21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" localSheetId="22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" localSheetId="23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" localSheetId="24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Non._.Recov._.Op._.Exp_Forecast." localSheetId="16" hidden="1">{"All Non-Recov. Op. Exp-Forecast",#N/A,FALSE,"Forecast"}</definedName>
    <definedName name="wrn.All._.Non._.Recov._.Op._.Exp_Forecast." localSheetId="20" hidden="1">{"All Non-Recov. Op. Exp-Forecast",#N/A,FALSE,"Forecast"}</definedName>
    <definedName name="wrn.All._.Non._.Recov._.Op._.Exp_Forecast." localSheetId="21" hidden="1">{"All Non-Recov. Op. Exp-Forecast",#N/A,FALSE,"Forecast"}</definedName>
    <definedName name="wrn.All._.Non._.Recov._.Op._.Exp_Forecast." localSheetId="22" hidden="1">{"All Non-Recov. Op. Exp-Forecast",#N/A,FALSE,"Forecast"}</definedName>
    <definedName name="wrn.All._.Non._.Recov._.Op._.Exp_Forecast." localSheetId="23" hidden="1">{"All Non-Recov. Op. Exp-Forecast",#N/A,FALSE,"Forecast"}</definedName>
    <definedName name="wrn.All._.Non._.Recov._.Op._.Exp_Forecast." localSheetId="24" hidden="1">{"All Non-Recov. Op. Exp-Forecast",#N/A,FALSE,"Forecast"}</definedName>
    <definedName name="wrn.All._.Non._.Recov._.Op._.Exp_Forecast." localSheetId="13" hidden="1">{"All Non-Recov. Op. Exp-Forecast",#N/A,FALSE,"Forecast"}</definedName>
    <definedName name="wrn.All._.Non._.Recov._.Op._.Exp_Forecast." localSheetId="14" hidden="1">{"All Non-Recov. Op. Exp-Forecast",#N/A,FALSE,"Forecast"}</definedName>
    <definedName name="wrn.All._.Non._.Recov._.Op._.Exp_Forecast." hidden="1">{"All Non-Recov. Op. Exp-Forecast",#N/A,FALSE,"Forecast"}</definedName>
    <definedName name="wrn.All._.Non._.Recov._.Op._.Exp_Forecast._1" localSheetId="16" hidden="1">{"All Non-Recov. Op. Exp-Forecast",#N/A,FALSE,"Forecast"}</definedName>
    <definedName name="wrn.All._.Non._.Recov._.Op._.Exp_Forecast._1" localSheetId="20" hidden="1">{"All Non-Recov. Op. Exp-Forecast",#N/A,FALSE,"Forecast"}</definedName>
    <definedName name="wrn.All._.Non._.Recov._.Op._.Exp_Forecast._1" localSheetId="21" hidden="1">{"All Non-Recov. Op. Exp-Forecast",#N/A,FALSE,"Forecast"}</definedName>
    <definedName name="wrn.All._.Non._.Recov._.Op._.Exp_Forecast._1" localSheetId="22" hidden="1">{"All Non-Recov. Op. Exp-Forecast",#N/A,FALSE,"Forecast"}</definedName>
    <definedName name="wrn.All._.Non._.Recov._.Op._.Exp_Forecast._1" localSheetId="23" hidden="1">{"All Non-Recov. Op. Exp-Forecast",#N/A,FALSE,"Forecast"}</definedName>
    <definedName name="wrn.All._.Non._.Recov._.Op._.Exp_Forecast._1" localSheetId="24" hidden="1">{"All Non-Recov. Op. Exp-Forecast",#N/A,FALSE,"Forecast"}</definedName>
    <definedName name="wrn.All._.Non._.Recov._.Op._.Exp_Forecast._1" localSheetId="13" hidden="1">{"All Non-Recov. Op. Exp-Forecast",#N/A,FALSE,"Forecast"}</definedName>
    <definedName name="wrn.All._.Non._.Recov._.Op._.Exp_Forecast._1" localSheetId="14" hidden="1">{"All Non-Recov. Op. Exp-Forecast",#N/A,FALSE,"Forecast"}</definedName>
    <definedName name="wrn.All._.Non._.Recov._.Op._.Exp_Forecast._1" hidden="1">{"All Non-Recov. Op. Exp-Forecast",#N/A,FALSE,"Forecast"}</definedName>
    <definedName name="wrn.All._.Non._.Recov._.Op._.Exp_Reit." localSheetId="16" hidden="1">{"All Non-Recov. Op. Exp-Reit",#N/A,FALSE,"Forecast"}</definedName>
    <definedName name="wrn.All._.Non._.Recov._.Op._.Exp_Reit." localSheetId="20" hidden="1">{"All Non-Recov. Op. Exp-Reit",#N/A,FALSE,"Forecast"}</definedName>
    <definedName name="wrn.All._.Non._.Recov._.Op._.Exp_Reit." localSheetId="21" hidden="1">{"All Non-Recov. Op. Exp-Reit",#N/A,FALSE,"Forecast"}</definedName>
    <definedName name="wrn.All._.Non._.Recov._.Op._.Exp_Reit." localSheetId="22" hidden="1">{"All Non-Recov. Op. Exp-Reit",#N/A,FALSE,"Forecast"}</definedName>
    <definedName name="wrn.All._.Non._.Recov._.Op._.Exp_Reit." localSheetId="23" hidden="1">{"All Non-Recov. Op. Exp-Reit",#N/A,FALSE,"Forecast"}</definedName>
    <definedName name="wrn.All._.Non._.Recov._.Op._.Exp_Reit." localSheetId="24" hidden="1">{"All Non-Recov. Op. Exp-Reit",#N/A,FALSE,"Forecast"}</definedName>
    <definedName name="wrn.All._.Non._.Recov._.Op._.Exp_Reit." localSheetId="13" hidden="1">{"All Non-Recov. Op. Exp-Reit",#N/A,FALSE,"Forecast"}</definedName>
    <definedName name="wrn.All._.Non._.Recov._.Op._.Exp_Reit." localSheetId="14" hidden="1">{"All Non-Recov. Op. Exp-Reit",#N/A,FALSE,"Forecast"}</definedName>
    <definedName name="wrn.All._.Non._.Recov._.Op._.Exp_Reit." hidden="1">{"All Non-Recov. Op. Exp-Reit",#N/A,FALSE,"Forecast"}</definedName>
    <definedName name="wrn.All._.Non._.Recov._.Op._.Exp_Reit._1" localSheetId="16" hidden="1">{"All Non-Recov. Op. Exp-Reit",#N/A,FALSE,"Forecast"}</definedName>
    <definedName name="wrn.All._.Non._.Recov._.Op._.Exp_Reit._1" localSheetId="20" hidden="1">{"All Non-Recov. Op. Exp-Reit",#N/A,FALSE,"Forecast"}</definedName>
    <definedName name="wrn.All._.Non._.Recov._.Op._.Exp_Reit._1" localSheetId="21" hidden="1">{"All Non-Recov. Op. Exp-Reit",#N/A,FALSE,"Forecast"}</definedName>
    <definedName name="wrn.All._.Non._.Recov._.Op._.Exp_Reit._1" localSheetId="22" hidden="1">{"All Non-Recov. Op. Exp-Reit",#N/A,FALSE,"Forecast"}</definedName>
    <definedName name="wrn.All._.Non._.Recov._.Op._.Exp_Reit._1" localSheetId="23" hidden="1">{"All Non-Recov. Op. Exp-Reit",#N/A,FALSE,"Forecast"}</definedName>
    <definedName name="wrn.All._.Non._.Recov._.Op._.Exp_Reit._1" localSheetId="24" hidden="1">{"All Non-Recov. Op. Exp-Reit",#N/A,FALSE,"Forecast"}</definedName>
    <definedName name="wrn.All._.Non._.Recov._.Op._.Exp_Reit._1" localSheetId="13" hidden="1">{"All Non-Recov. Op. Exp-Reit",#N/A,FALSE,"Forecast"}</definedName>
    <definedName name="wrn.All._.Non._.Recov._.Op._.Exp_Reit._1" localSheetId="14" hidden="1">{"All Non-Recov. Op. Exp-Reit",#N/A,FALSE,"Forecast"}</definedName>
    <definedName name="wrn.All._.Non._.Recov._.Op._.Exp_Reit._1" hidden="1">{"All Non-Recov. Op. Exp-Reit",#N/A,FALSE,"Forecast"}</definedName>
    <definedName name="wrn.ALL._.PAGES." localSheetId="16" hidden="1">{#N/A,#N/A,FALSE,"puboff";#N/A,#N/A,FALSE,"financials";#N/A,#N/A,FALSE,"valuation";#N/A,#N/A,FALSE,"split"}</definedName>
    <definedName name="wrn.ALL._.PAGES." localSheetId="20" hidden="1">{#N/A,#N/A,FALSE,"puboff";#N/A,#N/A,FALSE,"financials";#N/A,#N/A,FALSE,"valuation";#N/A,#N/A,FALSE,"split"}</definedName>
    <definedName name="wrn.ALL._.PAGES." localSheetId="21" hidden="1">{#N/A,#N/A,FALSE,"puboff";#N/A,#N/A,FALSE,"financials";#N/A,#N/A,FALSE,"valuation";#N/A,#N/A,FALSE,"split"}</definedName>
    <definedName name="wrn.ALL._.PAGES." localSheetId="22" hidden="1">{#N/A,#N/A,FALSE,"puboff";#N/A,#N/A,FALSE,"financials";#N/A,#N/A,FALSE,"valuation";#N/A,#N/A,FALSE,"split"}</definedName>
    <definedName name="wrn.ALL._.PAGES." localSheetId="23" hidden="1">{#N/A,#N/A,FALSE,"puboff";#N/A,#N/A,FALSE,"financials";#N/A,#N/A,FALSE,"valuation";#N/A,#N/A,FALSE,"split"}</definedName>
    <definedName name="wrn.ALL._.PAGES." localSheetId="24" hidden="1">{#N/A,#N/A,FALSE,"puboff";#N/A,#N/A,FALSE,"financials";#N/A,#N/A,FALSE,"valuation";#N/A,#N/A,FALSE,"split"}</definedName>
    <definedName name="wrn.ALL._.PAGES." hidden="1">{#N/A,#N/A,FALSE,"puboff";#N/A,#N/A,FALSE,"financials";#N/A,#N/A,FALSE,"valuation";#N/A,#N/A,FALSE,"split"}</definedName>
    <definedName name="wrn.All._.Rental._.Income_Forecast." localSheetId="16" hidden="1">{"All Rental Income-Reforecast",#N/A,FALSE,"Forecast"}</definedName>
    <definedName name="wrn.All._.Rental._.Income_Forecast." localSheetId="20" hidden="1">{"All Rental Income-Reforecast",#N/A,FALSE,"Forecast"}</definedName>
    <definedName name="wrn.All._.Rental._.Income_Forecast." localSheetId="21" hidden="1">{"All Rental Income-Reforecast",#N/A,FALSE,"Forecast"}</definedName>
    <definedName name="wrn.All._.Rental._.Income_Forecast." localSheetId="22" hidden="1">{"All Rental Income-Reforecast",#N/A,FALSE,"Forecast"}</definedName>
    <definedName name="wrn.All._.Rental._.Income_Forecast." localSheetId="23" hidden="1">{"All Rental Income-Reforecast",#N/A,FALSE,"Forecast"}</definedName>
    <definedName name="wrn.All._.Rental._.Income_Forecast." localSheetId="24" hidden="1">{"All Rental Income-Reforecast",#N/A,FALSE,"Forecast"}</definedName>
    <definedName name="wrn.All._.Rental._.Income_Forecast." localSheetId="13" hidden="1">{"All Rental Income-Reforecast",#N/A,FALSE,"Forecast"}</definedName>
    <definedName name="wrn.All._.Rental._.Income_Forecast." localSheetId="14" hidden="1">{"All Rental Income-Reforecast",#N/A,FALSE,"Forecast"}</definedName>
    <definedName name="wrn.All._.Rental._.Income_Forecast." hidden="1">{"All Rental Income-Reforecast",#N/A,FALSE,"Forecast"}</definedName>
    <definedName name="wrn.All._.Rental._.Income_Forecast._1" localSheetId="16" hidden="1">{"All Rental Income-Reforecast",#N/A,FALSE,"Forecast"}</definedName>
    <definedName name="wrn.All._.Rental._.Income_Forecast._1" localSheetId="20" hidden="1">{"All Rental Income-Reforecast",#N/A,FALSE,"Forecast"}</definedName>
    <definedName name="wrn.All._.Rental._.Income_Forecast._1" localSheetId="21" hidden="1">{"All Rental Income-Reforecast",#N/A,FALSE,"Forecast"}</definedName>
    <definedName name="wrn.All._.Rental._.Income_Forecast._1" localSheetId="22" hidden="1">{"All Rental Income-Reforecast",#N/A,FALSE,"Forecast"}</definedName>
    <definedName name="wrn.All._.Rental._.Income_Forecast._1" localSheetId="23" hidden="1">{"All Rental Income-Reforecast",#N/A,FALSE,"Forecast"}</definedName>
    <definedName name="wrn.All._.Rental._.Income_Forecast._1" localSheetId="24" hidden="1">{"All Rental Income-Reforecast",#N/A,FALSE,"Forecast"}</definedName>
    <definedName name="wrn.All._.Rental._.Income_Forecast._1" localSheetId="13" hidden="1">{"All Rental Income-Reforecast",#N/A,FALSE,"Forecast"}</definedName>
    <definedName name="wrn.All._.Rental._.Income_Forecast._1" localSheetId="14" hidden="1">{"All Rental Income-Reforecast",#N/A,FALSE,"Forecast"}</definedName>
    <definedName name="wrn.All._.Rental._.Income_Forecast._1" hidden="1">{"All Rental Income-Reforecast",#N/A,FALSE,"Forecast"}</definedName>
    <definedName name="wrn.All._.Rental._.Income_Reit." localSheetId="16" hidden="1">{"All Rental Income-Reit",#N/A,FALSE,"Forecast"}</definedName>
    <definedName name="wrn.All._.Rental._.Income_Reit." localSheetId="20" hidden="1">{"All Rental Income-Reit",#N/A,FALSE,"Forecast"}</definedName>
    <definedName name="wrn.All._.Rental._.Income_Reit." localSheetId="21" hidden="1">{"All Rental Income-Reit",#N/A,FALSE,"Forecast"}</definedName>
    <definedName name="wrn.All._.Rental._.Income_Reit." localSheetId="22" hidden="1">{"All Rental Income-Reit",#N/A,FALSE,"Forecast"}</definedName>
    <definedName name="wrn.All._.Rental._.Income_Reit." localSheetId="23" hidden="1">{"All Rental Income-Reit",#N/A,FALSE,"Forecast"}</definedName>
    <definedName name="wrn.All._.Rental._.Income_Reit." localSheetId="24" hidden="1">{"All Rental Income-Reit",#N/A,FALSE,"Forecast"}</definedName>
    <definedName name="wrn.All._.Rental._.Income_Reit." localSheetId="13" hidden="1">{"All Rental Income-Reit",#N/A,FALSE,"Forecast"}</definedName>
    <definedName name="wrn.All._.Rental._.Income_Reit." localSheetId="14" hidden="1">{"All Rental Income-Reit",#N/A,FALSE,"Forecast"}</definedName>
    <definedName name="wrn.All._.Rental._.Income_Reit." hidden="1">{"All Rental Income-Reit",#N/A,FALSE,"Forecast"}</definedName>
    <definedName name="wrn.All._.Rental._.Income_Reit._1" localSheetId="16" hidden="1">{"All Rental Income-Reit",#N/A,FALSE,"Forecast"}</definedName>
    <definedName name="wrn.All._.Rental._.Income_Reit._1" localSheetId="20" hidden="1">{"All Rental Income-Reit",#N/A,FALSE,"Forecast"}</definedName>
    <definedName name="wrn.All._.Rental._.Income_Reit._1" localSheetId="21" hidden="1">{"All Rental Income-Reit",#N/A,FALSE,"Forecast"}</definedName>
    <definedName name="wrn.All._.Rental._.Income_Reit._1" localSheetId="22" hidden="1">{"All Rental Income-Reit",#N/A,FALSE,"Forecast"}</definedName>
    <definedName name="wrn.All._.Rental._.Income_Reit._1" localSheetId="23" hidden="1">{"All Rental Income-Reit",#N/A,FALSE,"Forecast"}</definedName>
    <definedName name="wrn.All._.Rental._.Income_Reit._1" localSheetId="24" hidden="1">{"All Rental Income-Reit",#N/A,FALSE,"Forecast"}</definedName>
    <definedName name="wrn.All._.Rental._.Income_Reit._1" localSheetId="13" hidden="1">{"All Rental Income-Reit",#N/A,FALSE,"Forecast"}</definedName>
    <definedName name="wrn.All._.Rental._.Income_Reit._1" localSheetId="14" hidden="1">{"All Rental Income-Reit",#N/A,FALSE,"Forecast"}</definedName>
    <definedName name="wrn.All._.Rental._.Income_Reit._1" hidden="1">{"All Rental Income-Reit",#N/A,FALSE,"Forecast"}</definedName>
    <definedName name="wrn.ALL._.SHEETS." localSheetId="16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" localSheetId="20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" localSheetId="21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" localSheetId="22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" localSheetId="23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" localSheetId="24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1" localSheetId="16" hidden="1">{#N/A,#N/A,FALSE,"COVER";#N/A,#N/A,FALSE,"TABLE OF CONTENTS";#N/A,#N/A,FALSE,"EXEC SUMM";#N/A,#N/A,FALSE,"SURVEY 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ANALYSIS";#N/A,#N/A,FALSE,"titles"}</definedName>
    <definedName name="wrn.all._1" localSheetId="20" hidden="1">{#N/A,#N/A,FALSE,"COVER";#N/A,#N/A,FALSE,"TABLE OF CONTENTS";#N/A,#N/A,FALSE,"EXEC SUMM";#N/A,#N/A,FALSE,"SURVEY 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ANALYSIS";#N/A,#N/A,FALSE,"titles"}</definedName>
    <definedName name="wrn.all._1" localSheetId="21" hidden="1">{#N/A,#N/A,FALSE,"COVER";#N/A,#N/A,FALSE,"TABLE OF CONTENTS";#N/A,#N/A,FALSE,"EXEC SUMM";#N/A,#N/A,FALSE,"SURVEY 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ANALYSIS";#N/A,#N/A,FALSE,"titles"}</definedName>
    <definedName name="wrn.all._1" localSheetId="22" hidden="1">{#N/A,#N/A,FALSE,"COVER";#N/A,#N/A,FALSE,"TABLE OF CONTENTS";#N/A,#N/A,FALSE,"EXEC SUMM";#N/A,#N/A,FALSE,"SURVEY 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ANALYSIS";#N/A,#N/A,FALSE,"titles"}</definedName>
    <definedName name="wrn.all._1" localSheetId="23" hidden="1">{#N/A,#N/A,FALSE,"COVER";#N/A,#N/A,FALSE,"TABLE OF CONTENTS";#N/A,#N/A,FALSE,"EXEC SUMM";#N/A,#N/A,FALSE,"SURVEY 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ANALYSIS";#N/A,#N/A,FALSE,"titles"}</definedName>
    <definedName name="wrn.all._1" localSheetId="24" hidden="1">{#N/A,#N/A,FALSE,"COVER";#N/A,#N/A,FALSE,"TABLE OF CONTENTS";#N/A,#N/A,FALSE,"EXEC SUMM";#N/A,#N/A,FALSE,"SURVEY 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ANALYSIS";#N/A,#N/A,FALSE,"titles"}</definedName>
    <definedName name="wrn.all._1" localSheetId="13" hidden="1">{#N/A,#N/A,FALSE,"COVER";#N/A,#N/A,FALSE,"TABLE OF CONTENTS";#N/A,#N/A,FALSE,"EXEC SUMM";#N/A,#N/A,FALSE,"SURVEY 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ANALYSIS";#N/A,#N/A,FALSE,"titles"}</definedName>
    <definedName name="wrn.all._1" localSheetId="14" hidden="1">{#N/A,#N/A,FALSE,"COVER";#N/A,#N/A,FALSE,"TABLE OF CONTENTS";#N/A,#N/A,FALSE,"EXEC SUMM";#N/A,#N/A,FALSE,"SURVEY 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ANALYSIS";#N/A,#N/A,FALSE,"titles"}</definedName>
    <definedName name="wrn.all._1" hidden="1">{#N/A,#N/A,FALSE,"COVER";#N/A,#N/A,FALSE,"TABLE OF CONTENTS";#N/A,#N/A,FALSE,"EXEC SUMM";#N/A,#N/A,FALSE,"SURVEY 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ANALYSIS";#N/A,#N/A,FALSE,"titles"}</definedName>
    <definedName name="wrn.All_Models." localSheetId="16" hidden="1">{#N/A,#N/A,FALSE,"Summary";#N/A,#N/A,FALSE,"Projections";#N/A,#N/A,FALSE,"Mkt Mults";#N/A,#N/A,FALSE,"DCF";#N/A,#N/A,FALSE,"Accr Dil";#N/A,#N/A,FALSE,"PIC LBO";#N/A,#N/A,FALSE,"MULT10_4";#N/A,#N/A,FALSE,"CBI LBO"}</definedName>
    <definedName name="wrn.All_Models." localSheetId="20" hidden="1">{#N/A,#N/A,FALSE,"Summary";#N/A,#N/A,FALSE,"Projections";#N/A,#N/A,FALSE,"Mkt Mults";#N/A,#N/A,FALSE,"DCF";#N/A,#N/A,FALSE,"Accr Dil";#N/A,#N/A,FALSE,"PIC LBO";#N/A,#N/A,FALSE,"MULT10_4";#N/A,#N/A,FALSE,"CBI LBO"}</definedName>
    <definedName name="wrn.All_Models." localSheetId="21" hidden="1">{#N/A,#N/A,FALSE,"Summary";#N/A,#N/A,FALSE,"Projections";#N/A,#N/A,FALSE,"Mkt Mults";#N/A,#N/A,FALSE,"DCF";#N/A,#N/A,FALSE,"Accr Dil";#N/A,#N/A,FALSE,"PIC LBO";#N/A,#N/A,FALSE,"MULT10_4";#N/A,#N/A,FALSE,"CBI LBO"}</definedName>
    <definedName name="wrn.All_Models." localSheetId="22" hidden="1">{#N/A,#N/A,FALSE,"Summary";#N/A,#N/A,FALSE,"Projections";#N/A,#N/A,FALSE,"Mkt Mults";#N/A,#N/A,FALSE,"DCF";#N/A,#N/A,FALSE,"Accr Dil";#N/A,#N/A,FALSE,"PIC LBO";#N/A,#N/A,FALSE,"MULT10_4";#N/A,#N/A,FALSE,"CBI LBO"}</definedName>
    <definedName name="wrn.All_Models." localSheetId="23" hidden="1">{#N/A,#N/A,FALSE,"Summary";#N/A,#N/A,FALSE,"Projections";#N/A,#N/A,FALSE,"Mkt Mults";#N/A,#N/A,FALSE,"DCF";#N/A,#N/A,FALSE,"Accr Dil";#N/A,#N/A,FALSE,"PIC LBO";#N/A,#N/A,FALSE,"MULT10_4";#N/A,#N/A,FALSE,"CBI LBO"}</definedName>
    <definedName name="wrn.All_Models." localSheetId="24" hidden="1">{#N/A,#N/A,FALSE,"Summary";#N/A,#N/A,FALSE,"Projections";#N/A,#N/A,FALSE,"Mkt Mults";#N/A,#N/A,FALSE,"DCF";#N/A,#N/A,FALSE,"Accr Dil";#N/A,#N/A,FALSE,"PIC LBO";#N/A,#N/A,FALSE,"MULT10_4";#N/A,#N/A,FALSE,"CBI LBO"}</definedName>
    <definedName name="wrn.All_Models." hidden="1">{#N/A,#N/A,FALSE,"Summary";#N/A,#N/A,FALSE,"Projections";#N/A,#N/A,FALSE,"Mkt Mults";#N/A,#N/A,FALSE,"DCF";#N/A,#N/A,FALSE,"Accr Dil";#N/A,#N/A,FALSE,"PIC LBO";#N/A,#N/A,FALSE,"MULT10_4";#N/A,#N/A,FALSE,"CBI LBO"}</definedName>
    <definedName name="wrn.All_Sheets." localSheetId="16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" localSheetId="20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" localSheetId="21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" localSheetId="22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" localSheetId="23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" localSheetId="24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butPREMIUM." localSheetId="16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" localSheetId="20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" localSheetId="21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" localSheetId="22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" localSheetId="23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" localSheetId="24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Models." localSheetId="16" hidden="1">{#N/A,#N/A,FALSE,"AD_Purchase";#N/A,#N/A,FALSE,"Credit";#N/A,#N/A,FALSE,"PF Acquisition";#N/A,#N/A,FALSE,"PF Offering"}</definedName>
    <definedName name="wrn.AllModels." localSheetId="20" hidden="1">{#N/A,#N/A,FALSE,"AD_Purchase";#N/A,#N/A,FALSE,"Credit";#N/A,#N/A,FALSE,"PF Acquisition";#N/A,#N/A,FALSE,"PF Offering"}</definedName>
    <definedName name="wrn.AllModels." localSheetId="21" hidden="1">{#N/A,#N/A,FALSE,"AD_Purchase";#N/A,#N/A,FALSE,"Credit";#N/A,#N/A,FALSE,"PF Acquisition";#N/A,#N/A,FALSE,"PF Offering"}</definedName>
    <definedName name="wrn.AllModels." localSheetId="22" hidden="1">{#N/A,#N/A,FALSE,"AD_Purchase";#N/A,#N/A,FALSE,"Credit";#N/A,#N/A,FALSE,"PF Acquisition";#N/A,#N/A,FALSE,"PF Offering"}</definedName>
    <definedName name="wrn.AllModels." localSheetId="23" hidden="1">{#N/A,#N/A,FALSE,"AD_Purchase";#N/A,#N/A,FALSE,"Credit";#N/A,#N/A,FALSE,"PF Acquisition";#N/A,#N/A,FALSE,"PF Offering"}</definedName>
    <definedName name="wrn.AllModels." localSheetId="24" hidden="1">{#N/A,#N/A,FALSE,"AD_Purchase";#N/A,#N/A,FALSE,"Credit";#N/A,#N/A,FALSE,"PF Acquisition";#N/A,#N/A,FALSE,"PF Offering"}</definedName>
    <definedName name="wrn.AllModels." hidden="1">{#N/A,#N/A,FALSE,"AD_Purchase";#N/A,#N/A,FALSE,"Credit";#N/A,#N/A,FALSE,"PF Acquisition";#N/A,#N/A,FALSE,"PF Offering"}</definedName>
    <definedName name="wrn.basics." localSheetId="16" hidden="1">{#N/A,#N/A,FALSE,"TSUM";#N/A,#N/A,FALSE,"shares";#N/A,#N/A,FALSE,"earnout";#N/A,#N/A,FALSE,"Heaty";#N/A,#N/A,FALSE,"self-tend";#N/A,#N/A,FALSE,"self-sum"}</definedName>
    <definedName name="wrn.basics." localSheetId="20" hidden="1">{#N/A,#N/A,FALSE,"TSUM";#N/A,#N/A,FALSE,"shares";#N/A,#N/A,FALSE,"earnout";#N/A,#N/A,FALSE,"Heaty";#N/A,#N/A,FALSE,"self-tend";#N/A,#N/A,FALSE,"self-sum"}</definedName>
    <definedName name="wrn.basics." localSheetId="21" hidden="1">{#N/A,#N/A,FALSE,"TSUM";#N/A,#N/A,FALSE,"shares";#N/A,#N/A,FALSE,"earnout";#N/A,#N/A,FALSE,"Heaty";#N/A,#N/A,FALSE,"self-tend";#N/A,#N/A,FALSE,"self-sum"}</definedName>
    <definedName name="wrn.basics." localSheetId="22" hidden="1">{#N/A,#N/A,FALSE,"TSUM";#N/A,#N/A,FALSE,"shares";#N/A,#N/A,FALSE,"earnout";#N/A,#N/A,FALSE,"Heaty";#N/A,#N/A,FALSE,"self-tend";#N/A,#N/A,FALSE,"self-sum"}</definedName>
    <definedName name="wrn.basics." localSheetId="23" hidden="1">{#N/A,#N/A,FALSE,"TSUM";#N/A,#N/A,FALSE,"shares";#N/A,#N/A,FALSE,"earnout";#N/A,#N/A,FALSE,"Heaty";#N/A,#N/A,FALSE,"self-tend";#N/A,#N/A,FALSE,"self-sum"}</definedName>
    <definedName name="wrn.basics." localSheetId="24" hidden="1">{#N/A,#N/A,FALSE,"TSUM";#N/A,#N/A,FALSE,"shares";#N/A,#N/A,FALSE,"earnout";#N/A,#N/A,FALSE,"Heaty";#N/A,#N/A,FALSE,"self-tend";#N/A,#N/A,FALSE,"self-sum"}</definedName>
    <definedName name="wrn.basics." hidden="1">{#N/A,#N/A,FALSE,"TSUM";#N/A,#N/A,FALSE,"shares";#N/A,#N/A,FALSE,"earnout";#N/A,#N/A,FALSE,"Heaty";#N/A,#N/A,FALSE,"self-tend";#N/A,#N/A,FALSE,"self-sum"}</definedName>
    <definedName name="wrn.BOOK." localSheetId="16" hidden="1">{#N/A,#N/A,FALSE,"COVER";#N/A,#N/A,FALSE,"TABLE OF CONTENTS";#N/A,#N/A,FALSE,"EXEC SUMM";#N/A,#N/A,FALSE,"SURVEY";#N/A,#N/A,FALSE,"PROSPECT";#N/A,#N/A,FALSE,"NEW,EXPANSION,RENEWAL,RELET";#N/A,#N/A,FALSE,"EXPIRED,DEFAULTED";#N/A,#N/A,FALSE,"SIGNED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ANALYSIS";#N/A,#N/A,FALSE,"NER_IN_PLACE";#N/A,#N/A,FALSE,"NER_ACQ_DATE";#N/A,#N/A,FALSE,"titles"}</definedName>
    <definedName name="wrn.BOOK." localSheetId="20" hidden="1">{#N/A,#N/A,FALSE,"COVER";#N/A,#N/A,FALSE,"TABLE OF CONTENTS";#N/A,#N/A,FALSE,"EXEC SUMM";#N/A,#N/A,FALSE,"SURVEY";#N/A,#N/A,FALSE,"PROSPECT";#N/A,#N/A,FALSE,"NEW,EXPANSION,RENEWAL,RELET";#N/A,#N/A,FALSE,"EXPIRED,DEFAULTED";#N/A,#N/A,FALSE,"SIGNED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ANALYSIS";#N/A,#N/A,FALSE,"NER_IN_PLACE";#N/A,#N/A,FALSE,"NER_ACQ_DATE";#N/A,#N/A,FALSE,"titles"}</definedName>
    <definedName name="wrn.BOOK." localSheetId="21" hidden="1">{#N/A,#N/A,FALSE,"COVER";#N/A,#N/A,FALSE,"TABLE OF CONTENTS";#N/A,#N/A,FALSE,"EXEC SUMM";#N/A,#N/A,FALSE,"SURVEY";#N/A,#N/A,FALSE,"PROSPECT";#N/A,#N/A,FALSE,"NEW,EXPANSION,RENEWAL,RELET";#N/A,#N/A,FALSE,"EXPIRED,DEFAULTED";#N/A,#N/A,FALSE,"SIGNED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ANALYSIS";#N/A,#N/A,FALSE,"NER_IN_PLACE";#N/A,#N/A,FALSE,"NER_ACQ_DATE";#N/A,#N/A,FALSE,"titles"}</definedName>
    <definedName name="wrn.BOOK." localSheetId="22" hidden="1">{#N/A,#N/A,FALSE,"COVER";#N/A,#N/A,FALSE,"TABLE OF CONTENTS";#N/A,#N/A,FALSE,"EXEC SUMM";#N/A,#N/A,FALSE,"SURVEY";#N/A,#N/A,FALSE,"PROSPECT";#N/A,#N/A,FALSE,"NEW,EXPANSION,RENEWAL,RELET";#N/A,#N/A,FALSE,"EXPIRED,DEFAULTED";#N/A,#N/A,FALSE,"SIGNED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ANALYSIS";#N/A,#N/A,FALSE,"NER_IN_PLACE";#N/A,#N/A,FALSE,"NER_ACQ_DATE";#N/A,#N/A,FALSE,"titles"}</definedName>
    <definedName name="wrn.BOOK." localSheetId="23" hidden="1">{#N/A,#N/A,FALSE,"COVER";#N/A,#N/A,FALSE,"TABLE OF CONTENTS";#N/A,#N/A,FALSE,"EXEC SUMM";#N/A,#N/A,FALSE,"SURVEY";#N/A,#N/A,FALSE,"PROSPECT";#N/A,#N/A,FALSE,"NEW,EXPANSION,RENEWAL,RELET";#N/A,#N/A,FALSE,"EXPIRED,DEFAULTED";#N/A,#N/A,FALSE,"SIGNED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ANALYSIS";#N/A,#N/A,FALSE,"NER_IN_PLACE";#N/A,#N/A,FALSE,"NER_ACQ_DATE";#N/A,#N/A,FALSE,"titles"}</definedName>
    <definedName name="wrn.BOOK." localSheetId="24" hidden="1">{#N/A,#N/A,FALSE,"COVER";#N/A,#N/A,FALSE,"TABLE OF CONTENTS";#N/A,#N/A,FALSE,"EXEC SUMM";#N/A,#N/A,FALSE,"SURVEY";#N/A,#N/A,FALSE,"PROSPECT";#N/A,#N/A,FALSE,"NEW,EXPANSION,RENEWAL,RELET";#N/A,#N/A,FALSE,"EXPIRED,DEFAULTED";#N/A,#N/A,FALSE,"SIGNED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ANALYSIS";#N/A,#N/A,FALSE,"NER_IN_PLACE";#N/A,#N/A,FALSE,"NER_ACQ_DATE";#N/A,#N/A,FALSE,"titles"}</definedName>
    <definedName name="wrn.BOOK." localSheetId="13" hidden="1">{#N/A,#N/A,FALSE,"COVER";#N/A,#N/A,FALSE,"TABLE OF CONTENTS";#N/A,#N/A,FALSE,"EXEC SUMM";#N/A,#N/A,FALSE,"SURVEY";#N/A,#N/A,FALSE,"PROSPECT";#N/A,#N/A,FALSE,"NEW,EXPANSION,RENEWAL,RELET";#N/A,#N/A,FALSE,"EXPIRED,DEFAULTED";#N/A,#N/A,FALSE,"SIGNED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ANALYSIS";#N/A,#N/A,FALSE,"NER_IN_PLACE";#N/A,#N/A,FALSE,"NER_ACQ_DATE";#N/A,#N/A,FALSE,"titles"}</definedName>
    <definedName name="wrn.BOOK." localSheetId="14" hidden="1">{#N/A,#N/A,FALSE,"COVER";#N/A,#N/A,FALSE,"TABLE OF CONTENTS";#N/A,#N/A,FALSE,"EXEC SUMM";#N/A,#N/A,FALSE,"SURVEY";#N/A,#N/A,FALSE,"PROSPECT";#N/A,#N/A,FALSE,"NEW,EXPANSION,RENEWAL,RELET";#N/A,#N/A,FALSE,"EXPIRED,DEFAULTED";#N/A,#N/A,FALSE,"SIGNED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ANALYSIS";#N/A,#N/A,FALSE,"NER_IN_PLACE";#N/A,#N/A,FALSE,"NER_ACQ_DATE";#N/A,#N/A,FALSE,"titles"}</definedName>
    <definedName name="wrn.BOOK." hidden="1">{#N/A,#N/A,FALSE,"COVER";#N/A,#N/A,FALSE,"TABLE OF CONTENTS";#N/A,#N/A,FALSE,"EXEC SUMM";#N/A,#N/A,FALSE,"SURVEY";#N/A,#N/A,FALSE,"PROSPECT";#N/A,#N/A,FALSE,"NEW,EXPANSION,RENEWAL,RELET";#N/A,#N/A,FALSE,"EXPIRED,DEFAULTED";#N/A,#N/A,FALSE,"SIGNED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ANALYSIS";#N/A,#N/A,FALSE,"NER_IN_PLACE";#N/A,#N/A,FALSE,"NER_ACQ_DATE";#N/A,#N/A,FALSE,"titles"}</definedName>
    <definedName name="wrn.BOOK._1" localSheetId="16" hidden="1">{#N/A,#N/A,FALSE,"COVER";#N/A,#N/A,FALSE,"TABLE OF CONTENTS";#N/A,#N/A,FALSE,"EXEC SUMM";#N/A,#N/A,FALSE,"SURVEY";#N/A,#N/A,FALSE,"PROSPECT";#N/A,#N/A,FALSE,"NEW,EXPANSION,RENEWAL,RELET";#N/A,#N/A,FALSE,"EXPIRED,DEFAULTED";#N/A,#N/A,FALSE,"SIGNED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ANALYSIS";#N/A,#N/A,FALSE,"NER_IN_PLACE";#N/A,#N/A,FALSE,"NER_ACQ_DATE";#N/A,#N/A,FALSE,"titles"}</definedName>
    <definedName name="wrn.BOOK._1" localSheetId="20" hidden="1">{#N/A,#N/A,FALSE,"COVER";#N/A,#N/A,FALSE,"TABLE OF CONTENTS";#N/A,#N/A,FALSE,"EXEC SUMM";#N/A,#N/A,FALSE,"SURVEY";#N/A,#N/A,FALSE,"PROSPECT";#N/A,#N/A,FALSE,"NEW,EXPANSION,RENEWAL,RELET";#N/A,#N/A,FALSE,"EXPIRED,DEFAULTED";#N/A,#N/A,FALSE,"SIGNED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ANALYSIS";#N/A,#N/A,FALSE,"NER_IN_PLACE";#N/A,#N/A,FALSE,"NER_ACQ_DATE";#N/A,#N/A,FALSE,"titles"}</definedName>
    <definedName name="wrn.BOOK._1" localSheetId="21" hidden="1">{#N/A,#N/A,FALSE,"COVER";#N/A,#N/A,FALSE,"TABLE OF CONTENTS";#N/A,#N/A,FALSE,"EXEC SUMM";#N/A,#N/A,FALSE,"SURVEY";#N/A,#N/A,FALSE,"PROSPECT";#N/A,#N/A,FALSE,"NEW,EXPANSION,RENEWAL,RELET";#N/A,#N/A,FALSE,"EXPIRED,DEFAULTED";#N/A,#N/A,FALSE,"SIGNED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ANALYSIS";#N/A,#N/A,FALSE,"NER_IN_PLACE";#N/A,#N/A,FALSE,"NER_ACQ_DATE";#N/A,#N/A,FALSE,"titles"}</definedName>
    <definedName name="wrn.BOOK._1" localSheetId="22" hidden="1">{#N/A,#N/A,FALSE,"COVER";#N/A,#N/A,FALSE,"TABLE OF CONTENTS";#N/A,#N/A,FALSE,"EXEC SUMM";#N/A,#N/A,FALSE,"SURVEY";#N/A,#N/A,FALSE,"PROSPECT";#N/A,#N/A,FALSE,"NEW,EXPANSION,RENEWAL,RELET";#N/A,#N/A,FALSE,"EXPIRED,DEFAULTED";#N/A,#N/A,FALSE,"SIGNED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ANALYSIS";#N/A,#N/A,FALSE,"NER_IN_PLACE";#N/A,#N/A,FALSE,"NER_ACQ_DATE";#N/A,#N/A,FALSE,"titles"}</definedName>
    <definedName name="wrn.BOOK._1" localSheetId="23" hidden="1">{#N/A,#N/A,FALSE,"COVER";#N/A,#N/A,FALSE,"TABLE OF CONTENTS";#N/A,#N/A,FALSE,"EXEC SUMM";#N/A,#N/A,FALSE,"SURVEY";#N/A,#N/A,FALSE,"PROSPECT";#N/A,#N/A,FALSE,"NEW,EXPANSION,RENEWAL,RELET";#N/A,#N/A,FALSE,"EXPIRED,DEFAULTED";#N/A,#N/A,FALSE,"SIGNED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ANALYSIS";#N/A,#N/A,FALSE,"NER_IN_PLACE";#N/A,#N/A,FALSE,"NER_ACQ_DATE";#N/A,#N/A,FALSE,"titles"}</definedName>
    <definedName name="wrn.BOOK._1" localSheetId="24" hidden="1">{#N/A,#N/A,FALSE,"COVER";#N/A,#N/A,FALSE,"TABLE OF CONTENTS";#N/A,#N/A,FALSE,"EXEC SUMM";#N/A,#N/A,FALSE,"SURVEY";#N/A,#N/A,FALSE,"PROSPECT";#N/A,#N/A,FALSE,"NEW,EXPANSION,RENEWAL,RELET";#N/A,#N/A,FALSE,"EXPIRED,DEFAULTED";#N/A,#N/A,FALSE,"SIGNED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ANALYSIS";#N/A,#N/A,FALSE,"NER_IN_PLACE";#N/A,#N/A,FALSE,"NER_ACQ_DATE";#N/A,#N/A,FALSE,"titles"}</definedName>
    <definedName name="wrn.BOOK._1" localSheetId="13" hidden="1">{#N/A,#N/A,FALSE,"COVER";#N/A,#N/A,FALSE,"TABLE OF CONTENTS";#N/A,#N/A,FALSE,"EXEC SUMM";#N/A,#N/A,FALSE,"SURVEY";#N/A,#N/A,FALSE,"PROSPECT";#N/A,#N/A,FALSE,"NEW,EXPANSION,RENEWAL,RELET";#N/A,#N/A,FALSE,"EXPIRED,DEFAULTED";#N/A,#N/A,FALSE,"SIGNED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ANALYSIS";#N/A,#N/A,FALSE,"NER_IN_PLACE";#N/A,#N/A,FALSE,"NER_ACQ_DATE";#N/A,#N/A,FALSE,"titles"}</definedName>
    <definedName name="wrn.BOOK._1" localSheetId="14" hidden="1">{#N/A,#N/A,FALSE,"COVER";#N/A,#N/A,FALSE,"TABLE OF CONTENTS";#N/A,#N/A,FALSE,"EXEC SUMM";#N/A,#N/A,FALSE,"SURVEY";#N/A,#N/A,FALSE,"PROSPECT";#N/A,#N/A,FALSE,"NEW,EXPANSION,RENEWAL,RELET";#N/A,#N/A,FALSE,"EXPIRED,DEFAULTED";#N/A,#N/A,FALSE,"SIGNED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ANALYSIS";#N/A,#N/A,FALSE,"NER_IN_PLACE";#N/A,#N/A,FALSE,"NER_ACQ_DATE";#N/A,#N/A,FALSE,"titles"}</definedName>
    <definedName name="wrn.BOOK._1" hidden="1">{#N/A,#N/A,FALSE,"COVER";#N/A,#N/A,FALSE,"TABLE OF CONTENTS";#N/A,#N/A,FALSE,"EXEC SUMM";#N/A,#N/A,FALSE,"SURVEY";#N/A,#N/A,FALSE,"PROSPECT";#N/A,#N/A,FALSE,"NEW,EXPANSION,RENEWAL,RELET";#N/A,#N/A,FALSE,"EXPIRED,DEFAULTED";#N/A,#N/A,FALSE,"SIGNED LEASES";#N/A,#N/A,FALSE,"LOST TRANSACTIONS ";#N/A,#N/A,FALSE,"STACKING PLAN";#N/A,#N/A,FALSE,"EXPIRATIONS";#N/A,#N/A,FALSE,"OPTIONS";#N/A,#N/A,FALSE,"SUBLEASE";#N/A,#N/A,FALSE,"AR ANALYSIS";#N/A,#N/A,FALSE,"NER_IN_PLACE";#N/A,#N/A,FALSE,"NER_ACQ_DATE";#N/A,#N/A,FALSE,"titles"}</definedName>
    <definedName name="wrn.Budget." localSheetId="16" hidden="1">{"Spread Dollars",#N/A,FALSE,"Budget";"Spread Ratios",#N/A,FALSE,"Budget";"Target Comparison",#N/A,FALSE,"Summary"}</definedName>
    <definedName name="wrn.Budget." localSheetId="20" hidden="1">{"Spread Dollars",#N/A,FALSE,"Budget";"Spread Ratios",#N/A,FALSE,"Budget";"Target Comparison",#N/A,FALSE,"Summary"}</definedName>
    <definedName name="wrn.Budget." localSheetId="21" hidden="1">{"Spread Dollars",#N/A,FALSE,"Budget";"Spread Ratios",#N/A,FALSE,"Budget";"Target Comparison",#N/A,FALSE,"Summary"}</definedName>
    <definedName name="wrn.Budget." localSheetId="22" hidden="1">{"Spread Dollars",#N/A,FALSE,"Budget";"Spread Ratios",#N/A,FALSE,"Budget";"Target Comparison",#N/A,FALSE,"Summary"}</definedName>
    <definedName name="wrn.Budget." localSheetId="23" hidden="1">{"Spread Dollars",#N/A,FALSE,"Budget";"Spread Ratios",#N/A,FALSE,"Budget";"Target Comparison",#N/A,FALSE,"Summary"}</definedName>
    <definedName name="wrn.Budget." localSheetId="24" hidden="1">{"Spread Dollars",#N/A,FALSE,"Budget";"Spread Ratios",#N/A,FALSE,"Budget";"Target Comparison",#N/A,FALSE,"Summary"}</definedName>
    <definedName name="wrn.Budget." hidden="1">{"Spread Dollars",#N/A,FALSE,"Budget";"Spread Ratios",#N/A,FALSE,"Budget";"Target Comparison",#N/A,FALSE,"Summary"}</definedName>
    <definedName name="wrn.bullshit1." localSheetId="16" hidden="1">{#N/A,#N/A,FALSE,"Sheet1";#N/A,#N/A,FALSE,"Summary";#N/A,#N/A,FALSE,"proj1";#N/A,#N/A,FALSE,"proj2"}</definedName>
    <definedName name="wrn.bullshit1." localSheetId="20" hidden="1">{#N/A,#N/A,FALSE,"Sheet1";#N/A,#N/A,FALSE,"Summary";#N/A,#N/A,FALSE,"proj1";#N/A,#N/A,FALSE,"proj2"}</definedName>
    <definedName name="wrn.bullshit1." localSheetId="21" hidden="1">{#N/A,#N/A,FALSE,"Sheet1";#N/A,#N/A,FALSE,"Summary";#N/A,#N/A,FALSE,"proj1";#N/A,#N/A,FALSE,"proj2"}</definedName>
    <definedName name="wrn.bullshit1." localSheetId="22" hidden="1">{#N/A,#N/A,FALSE,"Sheet1";#N/A,#N/A,FALSE,"Summary";#N/A,#N/A,FALSE,"proj1";#N/A,#N/A,FALSE,"proj2"}</definedName>
    <definedName name="wrn.bullshit1." localSheetId="23" hidden="1">{#N/A,#N/A,FALSE,"Sheet1";#N/A,#N/A,FALSE,"Summary";#N/A,#N/A,FALSE,"proj1";#N/A,#N/A,FALSE,"proj2"}</definedName>
    <definedName name="wrn.bullshit1." localSheetId="24" hidden="1">{#N/A,#N/A,FALSE,"Sheet1";#N/A,#N/A,FALSE,"Summary";#N/A,#N/A,FALSE,"proj1";#N/A,#N/A,FALSE,"proj2"}</definedName>
    <definedName name="wrn.bullshit1." hidden="1">{#N/A,#N/A,FALSE,"Sheet1";#N/A,#N/A,FALSE,"Summary";#N/A,#N/A,FALSE,"proj1";#N/A,#N/A,FALSE,"proj2"}</definedName>
    <definedName name="wrn.Capital_Increm.." localSheetId="16" hidden="1">{#N/A,#N/A,FALSE,"Capital-Incremental"}</definedName>
    <definedName name="wrn.Capital_Increm.." localSheetId="20" hidden="1">{#N/A,#N/A,FALSE,"Capital-Incremental"}</definedName>
    <definedName name="wrn.Capital_Increm.." localSheetId="21" hidden="1">{#N/A,#N/A,FALSE,"Capital-Incremental"}</definedName>
    <definedName name="wrn.Capital_Increm.." localSheetId="22" hidden="1">{#N/A,#N/A,FALSE,"Capital-Incremental"}</definedName>
    <definedName name="wrn.Capital_Increm.." localSheetId="23" hidden="1">{#N/A,#N/A,FALSE,"Capital-Incremental"}</definedName>
    <definedName name="wrn.Capital_Increm.." localSheetId="24" hidden="1">{#N/A,#N/A,FALSE,"Capital-Incremental"}</definedName>
    <definedName name="wrn.Capital_Increm.." localSheetId="13" hidden="1">{#N/A,#N/A,FALSE,"Capital-Incremental"}</definedName>
    <definedName name="wrn.Capital_Increm.." localSheetId="14" hidden="1">{#N/A,#N/A,FALSE,"Capital-Incremental"}</definedName>
    <definedName name="wrn.Capital_Increm.." hidden="1">{#N/A,#N/A,FALSE,"Capital-Incremental"}</definedName>
    <definedName name="wrn.Capital_Increm.._1" localSheetId="16" hidden="1">{#N/A,#N/A,FALSE,"Capital-Incremental"}</definedName>
    <definedName name="wrn.Capital_Increm.._1" localSheetId="20" hidden="1">{#N/A,#N/A,FALSE,"Capital-Incremental"}</definedName>
    <definedName name="wrn.Capital_Increm.._1" localSheetId="21" hidden="1">{#N/A,#N/A,FALSE,"Capital-Incremental"}</definedName>
    <definedName name="wrn.Capital_Increm.._1" localSheetId="22" hidden="1">{#N/A,#N/A,FALSE,"Capital-Incremental"}</definedName>
    <definedName name="wrn.Capital_Increm.._1" localSheetId="23" hidden="1">{#N/A,#N/A,FALSE,"Capital-Incremental"}</definedName>
    <definedName name="wrn.Capital_Increm.._1" localSheetId="24" hidden="1">{#N/A,#N/A,FALSE,"Capital-Incremental"}</definedName>
    <definedName name="wrn.Capital_Increm.._1" localSheetId="13" hidden="1">{#N/A,#N/A,FALSE,"Capital-Incremental"}</definedName>
    <definedName name="wrn.Capital_Increm.._1" localSheetId="14" hidden="1">{#N/A,#N/A,FALSE,"Capital-Incremental"}</definedName>
    <definedName name="wrn.Capital_Increm.._1" hidden="1">{#N/A,#N/A,FALSE,"Capital-Incremental"}</definedName>
    <definedName name="wrn.Capital_Nonincre.." localSheetId="16" hidden="1">{#N/A,#N/A,FALSE,"Capital-Nonincremental"}</definedName>
    <definedName name="wrn.Capital_Nonincre.." localSheetId="20" hidden="1">{#N/A,#N/A,FALSE,"Capital-Nonincremental"}</definedName>
    <definedName name="wrn.Capital_Nonincre.." localSheetId="21" hidden="1">{#N/A,#N/A,FALSE,"Capital-Nonincremental"}</definedName>
    <definedName name="wrn.Capital_Nonincre.." localSheetId="22" hidden="1">{#N/A,#N/A,FALSE,"Capital-Nonincremental"}</definedName>
    <definedName name="wrn.Capital_Nonincre.." localSheetId="23" hidden="1">{#N/A,#N/A,FALSE,"Capital-Nonincremental"}</definedName>
    <definedName name="wrn.Capital_Nonincre.." localSheetId="24" hidden="1">{#N/A,#N/A,FALSE,"Capital-Nonincremental"}</definedName>
    <definedName name="wrn.Capital_Nonincre.." localSheetId="13" hidden="1">{#N/A,#N/A,FALSE,"Capital-Nonincremental"}</definedName>
    <definedName name="wrn.Capital_Nonincre.." localSheetId="14" hidden="1">{#N/A,#N/A,FALSE,"Capital-Nonincremental"}</definedName>
    <definedName name="wrn.Capital_Nonincre.." hidden="1">{#N/A,#N/A,FALSE,"Capital-Nonincremental"}</definedName>
    <definedName name="wrn.Capital_Nonincre.._1" localSheetId="16" hidden="1">{#N/A,#N/A,FALSE,"Capital-Nonincremental"}</definedName>
    <definedName name="wrn.Capital_Nonincre.._1" localSheetId="20" hidden="1">{#N/A,#N/A,FALSE,"Capital-Nonincremental"}</definedName>
    <definedName name="wrn.Capital_Nonincre.._1" localSheetId="21" hidden="1">{#N/A,#N/A,FALSE,"Capital-Nonincremental"}</definedName>
    <definedName name="wrn.Capital_Nonincre.._1" localSheetId="22" hidden="1">{#N/A,#N/A,FALSE,"Capital-Nonincremental"}</definedName>
    <definedName name="wrn.Capital_Nonincre.._1" localSheetId="23" hidden="1">{#N/A,#N/A,FALSE,"Capital-Nonincremental"}</definedName>
    <definedName name="wrn.Capital_Nonincre.._1" localSheetId="24" hidden="1">{#N/A,#N/A,FALSE,"Capital-Nonincremental"}</definedName>
    <definedName name="wrn.Capital_Nonincre.._1" localSheetId="13" hidden="1">{#N/A,#N/A,FALSE,"Capital-Nonincremental"}</definedName>
    <definedName name="wrn.Capital_Nonincre.._1" localSheetId="14" hidden="1">{#N/A,#N/A,FALSE,"Capital-Nonincremental"}</definedName>
    <definedName name="wrn.Capital_Nonincre.._1" hidden="1">{#N/A,#N/A,FALSE,"Capital-Nonincremental"}</definedName>
    <definedName name="wrn.CAPREIT." localSheetId="16" hidden="1">{#N/A,#N/A,FALSE,"CAPREIT"}</definedName>
    <definedName name="wrn.CAPREIT." localSheetId="20" hidden="1">{#N/A,#N/A,FALSE,"CAPREIT"}</definedName>
    <definedName name="wrn.CAPREIT." localSheetId="21" hidden="1">{#N/A,#N/A,FALSE,"CAPREIT"}</definedName>
    <definedName name="wrn.CAPREIT." localSheetId="22" hidden="1">{#N/A,#N/A,FALSE,"CAPREIT"}</definedName>
    <definedName name="wrn.CAPREIT." localSheetId="23" hidden="1">{#N/A,#N/A,FALSE,"CAPREIT"}</definedName>
    <definedName name="wrn.CAPREIT." localSheetId="24" hidden="1">{#N/A,#N/A,FALSE,"CAPREIT"}</definedName>
    <definedName name="wrn.CAPREIT." localSheetId="13" hidden="1">{#N/A,#N/A,FALSE,"CAPREIT"}</definedName>
    <definedName name="wrn.CAPREIT." localSheetId="14" hidden="1">{#N/A,#N/A,FALSE,"CAPREIT"}</definedName>
    <definedName name="wrn.CAPREIT." hidden="1">{#N/A,#N/A,FALSE,"CAPREIT"}</definedName>
    <definedName name="wrn.CAPREIT._1" localSheetId="16" hidden="1">{#N/A,#N/A,FALSE,"CAPREIT"}</definedName>
    <definedName name="wrn.CAPREIT._1" localSheetId="20" hidden="1">{#N/A,#N/A,FALSE,"CAPREIT"}</definedName>
    <definedName name="wrn.CAPREIT._1" localSheetId="21" hidden="1">{#N/A,#N/A,FALSE,"CAPREIT"}</definedName>
    <definedName name="wrn.CAPREIT._1" localSheetId="22" hidden="1">{#N/A,#N/A,FALSE,"CAPREIT"}</definedName>
    <definedName name="wrn.CAPREIT._1" localSheetId="23" hidden="1">{#N/A,#N/A,FALSE,"CAPREIT"}</definedName>
    <definedName name="wrn.CAPREIT._1" localSheetId="24" hidden="1">{#N/A,#N/A,FALSE,"CAPREIT"}</definedName>
    <definedName name="wrn.CAPREIT._1" localSheetId="13" hidden="1">{#N/A,#N/A,FALSE,"CAPREIT"}</definedName>
    <definedName name="wrn.CAPREIT._1" localSheetId="14" hidden="1">{#N/A,#N/A,FALSE,"CAPREIT"}</definedName>
    <definedName name="wrn.CAPREIT._1" hidden="1">{#N/A,#N/A,FALSE,"CAPREIT"}</definedName>
    <definedName name="wrn.CAPREIT2" localSheetId="16" hidden="1">{#N/A,#N/A,FALSE,"CAPREIT"}</definedName>
    <definedName name="wrn.CAPREIT2" localSheetId="20" hidden="1">{#N/A,#N/A,FALSE,"CAPREIT"}</definedName>
    <definedName name="wrn.CAPREIT2" localSheetId="21" hidden="1">{#N/A,#N/A,FALSE,"CAPREIT"}</definedName>
    <definedName name="wrn.CAPREIT2" localSheetId="22" hidden="1">{#N/A,#N/A,FALSE,"CAPREIT"}</definedName>
    <definedName name="wrn.CAPREIT2" localSheetId="23" hidden="1">{#N/A,#N/A,FALSE,"CAPREIT"}</definedName>
    <definedName name="wrn.CAPREIT2" localSheetId="24" hidden="1">{#N/A,#N/A,FALSE,"CAPREIT"}</definedName>
    <definedName name="wrn.CAPREIT2" localSheetId="13" hidden="1">{#N/A,#N/A,FALSE,"CAPREIT"}</definedName>
    <definedName name="wrn.CAPREIT2" localSheetId="14" hidden="1">{#N/A,#N/A,FALSE,"CAPREIT"}</definedName>
    <definedName name="wrn.CAPREIT2" hidden="1">{#N/A,#N/A,FALSE,"CAPREIT"}</definedName>
    <definedName name="wrn.CAPREIT2_1" localSheetId="16" hidden="1">{#N/A,#N/A,FALSE,"CAPREIT"}</definedName>
    <definedName name="wrn.CAPREIT2_1" localSheetId="20" hidden="1">{#N/A,#N/A,FALSE,"CAPREIT"}</definedName>
    <definedName name="wrn.CAPREIT2_1" localSheetId="21" hidden="1">{#N/A,#N/A,FALSE,"CAPREIT"}</definedName>
    <definedName name="wrn.CAPREIT2_1" localSheetId="22" hidden="1">{#N/A,#N/A,FALSE,"CAPREIT"}</definedName>
    <definedName name="wrn.CAPREIT2_1" localSheetId="23" hidden="1">{#N/A,#N/A,FALSE,"CAPREIT"}</definedName>
    <definedName name="wrn.CAPREIT2_1" localSheetId="24" hidden="1">{#N/A,#N/A,FALSE,"CAPREIT"}</definedName>
    <definedName name="wrn.CAPREIT2_1" localSheetId="13" hidden="1">{#N/A,#N/A,FALSE,"CAPREIT"}</definedName>
    <definedName name="wrn.CAPREIT2_1" localSheetId="14" hidden="1">{#N/A,#N/A,FALSE,"CAPREIT"}</definedName>
    <definedName name="wrn.CAPREIT2_1" hidden="1">{#N/A,#N/A,FALSE,"CAPREIT"}</definedName>
    <definedName name="wrn.crossroads." localSheetId="16" hidden="1">{#N/A,#N/A,FALSE,"RENT ROLL";#N/A,#N/A,FALSE,"CAM";#N/A,#N/A,FALSE,"TAXES";#N/A,#N/A,FALSE,"INSURANCE";#N/A,#N/A,FALSE,"HVAC";#N/A,#N/A,FALSE,"MARKETING"}</definedName>
    <definedName name="wrn.crossroads." localSheetId="20" hidden="1">{#N/A,#N/A,FALSE,"RENT ROLL";#N/A,#N/A,FALSE,"CAM";#N/A,#N/A,FALSE,"TAXES";#N/A,#N/A,FALSE,"INSURANCE";#N/A,#N/A,FALSE,"HVAC";#N/A,#N/A,FALSE,"MARKETING"}</definedName>
    <definedName name="wrn.crossroads." localSheetId="21" hidden="1">{#N/A,#N/A,FALSE,"RENT ROLL";#N/A,#N/A,FALSE,"CAM";#N/A,#N/A,FALSE,"TAXES";#N/A,#N/A,FALSE,"INSURANCE";#N/A,#N/A,FALSE,"HVAC";#N/A,#N/A,FALSE,"MARKETING"}</definedName>
    <definedName name="wrn.crossroads." localSheetId="22" hidden="1">{#N/A,#N/A,FALSE,"RENT ROLL";#N/A,#N/A,FALSE,"CAM";#N/A,#N/A,FALSE,"TAXES";#N/A,#N/A,FALSE,"INSURANCE";#N/A,#N/A,FALSE,"HVAC";#N/A,#N/A,FALSE,"MARKETING"}</definedName>
    <definedName name="wrn.crossroads." localSheetId="23" hidden="1">{#N/A,#N/A,FALSE,"RENT ROLL";#N/A,#N/A,FALSE,"CAM";#N/A,#N/A,FALSE,"TAXES";#N/A,#N/A,FALSE,"INSURANCE";#N/A,#N/A,FALSE,"HVAC";#N/A,#N/A,FALSE,"MARKETING"}</definedName>
    <definedName name="wrn.crossroads." localSheetId="24" hidden="1">{#N/A,#N/A,FALSE,"RENT ROLL";#N/A,#N/A,FALSE,"CAM";#N/A,#N/A,FALSE,"TAXES";#N/A,#N/A,FALSE,"INSURANCE";#N/A,#N/A,FALSE,"HVAC";#N/A,#N/A,FALSE,"MARKETING"}</definedName>
    <definedName name="wrn.crossroads." localSheetId="13" hidden="1">{#N/A,#N/A,FALSE,"RENT ROLL";#N/A,#N/A,FALSE,"CAM";#N/A,#N/A,FALSE,"TAXES";#N/A,#N/A,FALSE,"INSURANCE";#N/A,#N/A,FALSE,"HVAC";#N/A,#N/A,FALSE,"MARKETING"}</definedName>
    <definedName name="wrn.crossroads." localSheetId="14" hidden="1">{#N/A,#N/A,FALSE,"RENT ROLL";#N/A,#N/A,FALSE,"CAM";#N/A,#N/A,FALSE,"TAXES";#N/A,#N/A,FALSE,"INSURANCE";#N/A,#N/A,FALSE,"HVAC";#N/A,#N/A,FALSE,"MARKETING"}</definedName>
    <definedName name="wrn.crossroads." hidden="1">{#N/A,#N/A,FALSE,"RENT ROLL";#N/A,#N/A,FALSE,"CAM";#N/A,#N/A,FALSE,"TAXES";#N/A,#N/A,FALSE,"INSURANCE";#N/A,#N/A,FALSE,"HVAC";#N/A,#N/A,FALSE,"MARKETING"}</definedName>
    <definedName name="wrn.dcf." localSheetId="16" hidden="1">{"mgmt forecast",#N/A,FALSE,"Mgmt Forecast";"dcf table",#N/A,FALSE,"Mgmt Forecast";"sensitivity",#N/A,FALSE,"Mgmt Forecast";"table inputs",#N/A,FALSE,"Mgmt Forecast";"calculations",#N/A,FALSE,"Mgmt Forecast"}</definedName>
    <definedName name="wrn.dcf." localSheetId="20" hidden="1">{"mgmt forecast",#N/A,FALSE,"Mgmt Forecast";"dcf table",#N/A,FALSE,"Mgmt Forecast";"sensitivity",#N/A,FALSE,"Mgmt Forecast";"table inputs",#N/A,FALSE,"Mgmt Forecast";"calculations",#N/A,FALSE,"Mgmt Forecast"}</definedName>
    <definedName name="wrn.dcf." localSheetId="21" hidden="1">{"mgmt forecast",#N/A,FALSE,"Mgmt Forecast";"dcf table",#N/A,FALSE,"Mgmt Forecast";"sensitivity",#N/A,FALSE,"Mgmt Forecast";"table inputs",#N/A,FALSE,"Mgmt Forecast";"calculations",#N/A,FALSE,"Mgmt Forecast"}</definedName>
    <definedName name="wrn.dcf." localSheetId="22" hidden="1">{"mgmt forecast",#N/A,FALSE,"Mgmt Forecast";"dcf table",#N/A,FALSE,"Mgmt Forecast";"sensitivity",#N/A,FALSE,"Mgmt Forecast";"table inputs",#N/A,FALSE,"Mgmt Forecast";"calculations",#N/A,FALSE,"Mgmt Forecast"}</definedName>
    <definedName name="wrn.dcf." localSheetId="23" hidden="1">{"mgmt forecast",#N/A,FALSE,"Mgmt Forecast";"dcf table",#N/A,FALSE,"Mgmt Forecast";"sensitivity",#N/A,FALSE,"Mgmt Forecast";"table inputs",#N/A,FALSE,"Mgmt Forecast";"calculations",#N/A,FALSE,"Mgmt Forecast"}</definedName>
    <definedName name="wrn.dcf." localSheetId="24" hidden="1">{"mgmt forecast",#N/A,FALSE,"Mgmt Forecast";"dcf table",#N/A,FALSE,"Mgmt Forecast";"sensitivity",#N/A,FALSE,"Mgmt Forecast";"table inputs",#N/A,FALSE,"Mgmt Forecast";"calculations",#N/A,FALSE,"Mgmt Forecast"}</definedName>
    <definedName name="wrn.dcf." localSheetId="13" hidden="1">{"mgmt forecast",#N/A,FALSE,"Mgmt Forecast";"dcf table",#N/A,FALSE,"Mgmt Forecast";"sensitivity",#N/A,FALSE,"Mgmt Forecast";"table inputs",#N/A,FALSE,"Mgmt Forecast";"calculations",#N/A,FALSE,"Mgmt Forecast"}</definedName>
    <definedName name="wrn.dcf." localSheetId="14" hidden="1">{"mgmt forecast",#N/A,FALSE,"Mgmt Forecast";"dcf table",#N/A,FALSE,"Mgmt Forecast";"sensitivity",#N/A,FALSE,"Mgmt Forecast";"table inputs",#N/A,FALSE,"Mgmt Forecast";"calculations",#N/A,FALSE,"Mgmt Forecast"}</definedName>
    <definedName name="wrn.dcf." hidden="1">{"mgmt forecast",#N/A,FALSE,"Mgmt Forecast";"dcf table",#N/A,FALSE,"Mgmt Forecast";"sensitivity",#N/A,FALSE,"Mgmt Forecast";"table inputs",#N/A,FALSE,"Mgmt Forecast";"calculations",#N/A,FALSE,"Mgmt Forecast"}</definedName>
    <definedName name="wrn.detail." localSheetId="16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wrn.detail." localSheetId="20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wrn.detail." localSheetId="21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wrn.detail." localSheetId="22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wrn.detail." localSheetId="23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wrn.detail." localSheetId="24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wrn.detail." localSheetId="13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wrn.detail." localSheetId="14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wrn.detail.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wrn.detail._1" localSheetId="16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wrn.detail._1" localSheetId="20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wrn.detail._1" localSheetId="21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wrn.detail._1" localSheetId="22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wrn.detail._1" localSheetId="23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wrn.detail._1" localSheetId="24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wrn.detail._1" localSheetId="13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wrn.detail._1" localSheetId="14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wrn.detail._1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wrn.Filter." localSheetId="16" hidden="1">{#N/A,#N/A,FALSE,"Assump2";#N/A,#N/A,FALSE,"Income2";#N/A,#N/A,FALSE,"Balance2";#N/A,#N/A,FALSE,"DCF Filter";#N/A,#N/A,FALSE,"Trans Assump2";#N/A,#N/A,FALSE,"Combined Income2";#N/A,#N/A,FALSE,"Combined Balance2"}</definedName>
    <definedName name="wrn.Filter." localSheetId="20" hidden="1">{#N/A,#N/A,FALSE,"Assump2";#N/A,#N/A,FALSE,"Income2";#N/A,#N/A,FALSE,"Balance2";#N/A,#N/A,FALSE,"DCF Filter";#N/A,#N/A,FALSE,"Trans Assump2";#N/A,#N/A,FALSE,"Combined Income2";#N/A,#N/A,FALSE,"Combined Balance2"}</definedName>
    <definedName name="wrn.Filter." localSheetId="21" hidden="1">{#N/A,#N/A,FALSE,"Assump2";#N/A,#N/A,FALSE,"Income2";#N/A,#N/A,FALSE,"Balance2";#N/A,#N/A,FALSE,"DCF Filter";#N/A,#N/A,FALSE,"Trans Assump2";#N/A,#N/A,FALSE,"Combined Income2";#N/A,#N/A,FALSE,"Combined Balance2"}</definedName>
    <definedName name="wrn.Filter." localSheetId="22" hidden="1">{#N/A,#N/A,FALSE,"Assump2";#N/A,#N/A,FALSE,"Income2";#N/A,#N/A,FALSE,"Balance2";#N/A,#N/A,FALSE,"DCF Filter";#N/A,#N/A,FALSE,"Trans Assump2";#N/A,#N/A,FALSE,"Combined Income2";#N/A,#N/A,FALSE,"Combined Balance2"}</definedName>
    <definedName name="wrn.Filter." localSheetId="23" hidden="1">{#N/A,#N/A,FALSE,"Assump2";#N/A,#N/A,FALSE,"Income2";#N/A,#N/A,FALSE,"Balance2";#N/A,#N/A,FALSE,"DCF Filter";#N/A,#N/A,FALSE,"Trans Assump2";#N/A,#N/A,FALSE,"Combined Income2";#N/A,#N/A,FALSE,"Combined Balance2"}</definedName>
    <definedName name="wrn.Filter." localSheetId="24" hidden="1">{#N/A,#N/A,FALSE,"Assump2";#N/A,#N/A,FALSE,"Income2";#N/A,#N/A,FALSE,"Balance2";#N/A,#N/A,FALSE,"DCF Filter";#N/A,#N/A,FALSE,"Trans Assump2";#N/A,#N/A,FALSE,"Combined Income2";#N/A,#N/A,FALSE,"Combined Balance2"}</definedName>
    <definedName name="wrn.Filter." hidden="1">{#N/A,#N/A,FALSE,"Assump2";#N/A,#N/A,FALSE,"Income2";#N/A,#N/A,FALSE,"Balance2";#N/A,#N/A,FALSE,"DCF Filter";#N/A,#N/A,FALSE,"Trans Assump2";#N/A,#N/A,FALSE,"Combined Income2";#N/A,#N/A,FALSE,"Combined Balance2"}</definedName>
    <definedName name="wrn.first2." localSheetId="16" hidden="1">{#N/A,#N/A,FALSE,"sum-don";#N/A,#N/A,FALSE,"inc-don"}</definedName>
    <definedName name="wrn.first2." localSheetId="20" hidden="1">{#N/A,#N/A,FALSE,"sum-don";#N/A,#N/A,FALSE,"inc-don"}</definedName>
    <definedName name="wrn.first2." localSheetId="21" hidden="1">{#N/A,#N/A,FALSE,"sum-don";#N/A,#N/A,FALSE,"inc-don"}</definedName>
    <definedName name="wrn.first2." localSheetId="22" hidden="1">{#N/A,#N/A,FALSE,"sum-don";#N/A,#N/A,FALSE,"inc-don"}</definedName>
    <definedName name="wrn.first2." localSheetId="23" hidden="1">{#N/A,#N/A,FALSE,"sum-don";#N/A,#N/A,FALSE,"inc-don"}</definedName>
    <definedName name="wrn.first2." localSheetId="24" hidden="1">{#N/A,#N/A,FALSE,"sum-don";#N/A,#N/A,FALSE,"inc-don"}</definedName>
    <definedName name="wrn.first2." hidden="1">{#N/A,#N/A,FALSE,"sum-don";#N/A,#N/A,FALSE,"inc-don"}</definedName>
    <definedName name="wrn.first3." localSheetId="16" hidden="1">{#N/A,#N/A,FALSE,"Summary";#N/A,#N/A,FALSE,"proj1";#N/A,#N/A,FALSE,"proj2"}</definedName>
    <definedName name="wrn.first3." localSheetId="20" hidden="1">{#N/A,#N/A,FALSE,"Summary";#N/A,#N/A,FALSE,"proj1";#N/A,#N/A,FALSE,"proj2"}</definedName>
    <definedName name="wrn.first3." localSheetId="21" hidden="1">{#N/A,#N/A,FALSE,"Summary";#N/A,#N/A,FALSE,"proj1";#N/A,#N/A,FALSE,"proj2"}</definedName>
    <definedName name="wrn.first3." localSheetId="22" hidden="1">{#N/A,#N/A,FALSE,"Summary";#N/A,#N/A,FALSE,"proj1";#N/A,#N/A,FALSE,"proj2"}</definedName>
    <definedName name="wrn.first3." localSheetId="23" hidden="1">{#N/A,#N/A,FALSE,"Summary";#N/A,#N/A,FALSE,"proj1";#N/A,#N/A,FALSE,"proj2"}</definedName>
    <definedName name="wrn.first3." localSheetId="24" hidden="1">{#N/A,#N/A,FALSE,"Summary";#N/A,#N/A,FALSE,"proj1";#N/A,#N/A,FALSE,"proj2"}</definedName>
    <definedName name="wrn.first3." hidden="1">{#N/A,#N/A,FALSE,"Summary";#N/A,#N/A,FALSE,"proj1";#N/A,#N/A,FALSE,"proj2"}</definedName>
    <definedName name="wrn.first4." localSheetId="16" hidden="1">{#N/A,#N/A,FALSE,"Summary";#N/A,#N/A,FALSE,"proj1";#N/A,#N/A,FALSE,"proj2";#N/A,#N/A,FALSE,"DCF"}</definedName>
    <definedName name="wrn.first4." localSheetId="20" hidden="1">{#N/A,#N/A,FALSE,"Summary";#N/A,#N/A,FALSE,"proj1";#N/A,#N/A,FALSE,"proj2";#N/A,#N/A,FALSE,"DCF"}</definedName>
    <definedName name="wrn.first4." localSheetId="21" hidden="1">{#N/A,#N/A,FALSE,"Summary";#N/A,#N/A,FALSE,"proj1";#N/A,#N/A,FALSE,"proj2";#N/A,#N/A,FALSE,"DCF"}</definedName>
    <definedName name="wrn.first4." localSheetId="22" hidden="1">{#N/A,#N/A,FALSE,"Summary";#N/A,#N/A,FALSE,"proj1";#N/A,#N/A,FALSE,"proj2";#N/A,#N/A,FALSE,"DCF"}</definedName>
    <definedName name="wrn.first4." localSheetId="23" hidden="1">{#N/A,#N/A,FALSE,"Summary";#N/A,#N/A,FALSE,"proj1";#N/A,#N/A,FALSE,"proj2";#N/A,#N/A,FALSE,"DCF"}</definedName>
    <definedName name="wrn.first4." localSheetId="24" hidden="1">{#N/A,#N/A,FALSE,"Summary";#N/A,#N/A,FALSE,"proj1";#N/A,#N/A,FALSE,"proj2";#N/A,#N/A,FALSE,"DCF"}</definedName>
    <definedName name="wrn.first4." hidden="1">{#N/A,#N/A,FALSE,"Summary";#N/A,#N/A,FALSE,"proj1";#N/A,#N/A,FALSE,"proj2";#N/A,#N/A,FALSE,"DCF"}</definedName>
    <definedName name="wrn.Fmgmtfee." localSheetId="16" hidden="1">{#N/A,#N/A,FALSE,"Fmgmtfee"}</definedName>
    <definedName name="wrn.Fmgmtfee." localSheetId="20" hidden="1">{#N/A,#N/A,FALSE,"Fmgmtfee"}</definedName>
    <definedName name="wrn.Fmgmtfee." localSheetId="21" hidden="1">{#N/A,#N/A,FALSE,"Fmgmtfee"}</definedName>
    <definedName name="wrn.Fmgmtfee." localSheetId="22" hidden="1">{#N/A,#N/A,FALSE,"Fmgmtfee"}</definedName>
    <definedName name="wrn.Fmgmtfee." localSheetId="23" hidden="1">{#N/A,#N/A,FALSE,"Fmgmtfee"}</definedName>
    <definedName name="wrn.Fmgmtfee." localSheetId="24" hidden="1">{#N/A,#N/A,FALSE,"Fmgmtfee"}</definedName>
    <definedName name="wrn.Fmgmtfee." localSheetId="13" hidden="1">{#N/A,#N/A,FALSE,"Fmgmtfee"}</definedName>
    <definedName name="wrn.Fmgmtfee." localSheetId="14" hidden="1">{#N/A,#N/A,FALSE,"Fmgmtfee"}</definedName>
    <definedName name="wrn.Fmgmtfee." hidden="1">{#N/A,#N/A,FALSE,"Fmgmtfee"}</definedName>
    <definedName name="wrn.Fmgmtfee._1" localSheetId="16" hidden="1">{#N/A,#N/A,FALSE,"Fmgmtfee"}</definedName>
    <definedName name="wrn.Fmgmtfee._1" localSheetId="20" hidden="1">{#N/A,#N/A,FALSE,"Fmgmtfee"}</definedName>
    <definedName name="wrn.Fmgmtfee._1" localSheetId="21" hidden="1">{#N/A,#N/A,FALSE,"Fmgmtfee"}</definedName>
    <definedName name="wrn.Fmgmtfee._1" localSheetId="22" hidden="1">{#N/A,#N/A,FALSE,"Fmgmtfee"}</definedName>
    <definedName name="wrn.Fmgmtfee._1" localSheetId="23" hidden="1">{#N/A,#N/A,FALSE,"Fmgmtfee"}</definedName>
    <definedName name="wrn.Fmgmtfee._1" localSheetId="24" hidden="1">{#N/A,#N/A,FALSE,"Fmgmtfee"}</definedName>
    <definedName name="wrn.Fmgmtfee._1" localSheetId="13" hidden="1">{#N/A,#N/A,FALSE,"Fmgmtfee"}</definedName>
    <definedName name="wrn.Fmgmtfee._1" localSheetId="14" hidden="1">{#N/A,#N/A,FALSE,"Fmgmtfee"}</definedName>
    <definedName name="wrn.Fmgmtfee._1" hidden="1">{#N/A,#N/A,FALSE,"Fmgmtfee"}</definedName>
    <definedName name="wrn.FOschedules." localSheetId="16" hidden="1">{"FOschedule1",#N/A,FALSE,"Sheet1";"FOschedule2",#N/A,FALSE,"Sheet1";"FOschedule3",#N/A,FALSE,"Sheet1"}</definedName>
    <definedName name="wrn.FOschedules." localSheetId="20" hidden="1">{"FOschedule1",#N/A,FALSE,"Sheet1";"FOschedule2",#N/A,FALSE,"Sheet1";"FOschedule3",#N/A,FALSE,"Sheet1"}</definedName>
    <definedName name="wrn.FOschedules." localSheetId="21" hidden="1">{"FOschedule1",#N/A,FALSE,"Sheet1";"FOschedule2",#N/A,FALSE,"Sheet1";"FOschedule3",#N/A,FALSE,"Sheet1"}</definedName>
    <definedName name="wrn.FOschedules." localSheetId="22" hidden="1">{"FOschedule1",#N/A,FALSE,"Sheet1";"FOschedule2",#N/A,FALSE,"Sheet1";"FOschedule3",#N/A,FALSE,"Sheet1"}</definedName>
    <definedName name="wrn.FOschedules." localSheetId="23" hidden="1">{"FOschedule1",#N/A,FALSE,"Sheet1";"FOschedule2",#N/A,FALSE,"Sheet1";"FOschedule3",#N/A,FALSE,"Sheet1"}</definedName>
    <definedName name="wrn.FOschedules." localSheetId="24" hidden="1">{"FOschedule1",#N/A,FALSE,"Sheet1";"FOschedule2",#N/A,FALSE,"Sheet1";"FOschedule3",#N/A,FALSE,"Sheet1"}</definedName>
    <definedName name="wrn.FOschedules." localSheetId="13" hidden="1">{"FOschedule1",#N/A,FALSE,"Sheet1";"FOschedule2",#N/A,FALSE,"Sheet1";"FOschedule3",#N/A,FALSE,"Sheet1"}</definedName>
    <definedName name="wrn.FOschedules." localSheetId="14" hidden="1">{"FOschedule1",#N/A,FALSE,"Sheet1";"FOschedule2",#N/A,FALSE,"Sheet1";"FOschedule3",#N/A,FALSE,"Sheet1"}</definedName>
    <definedName name="wrn.FOschedules." hidden="1">{"FOschedule1",#N/A,FALSE,"Sheet1";"FOschedule2",#N/A,FALSE,"Sheet1";"FOschedule3",#N/A,FALSE,"Sheet1"}</definedName>
    <definedName name="wrn.FOschedules._1" localSheetId="16" hidden="1">{"FOschedule1",#N/A,FALSE,"Sheet1";"FOschedule2",#N/A,FALSE,"Sheet1";"FOschedule3",#N/A,FALSE,"Sheet1"}</definedName>
    <definedName name="wrn.FOschedules._1" localSheetId="20" hidden="1">{"FOschedule1",#N/A,FALSE,"Sheet1";"FOschedule2",#N/A,FALSE,"Sheet1";"FOschedule3",#N/A,FALSE,"Sheet1"}</definedName>
    <definedName name="wrn.FOschedules._1" localSheetId="21" hidden="1">{"FOschedule1",#N/A,FALSE,"Sheet1";"FOschedule2",#N/A,FALSE,"Sheet1";"FOschedule3",#N/A,FALSE,"Sheet1"}</definedName>
    <definedName name="wrn.FOschedules._1" localSheetId="22" hidden="1">{"FOschedule1",#N/A,FALSE,"Sheet1";"FOschedule2",#N/A,FALSE,"Sheet1";"FOschedule3",#N/A,FALSE,"Sheet1"}</definedName>
    <definedName name="wrn.FOschedules._1" localSheetId="23" hidden="1">{"FOschedule1",#N/A,FALSE,"Sheet1";"FOschedule2",#N/A,FALSE,"Sheet1";"FOschedule3",#N/A,FALSE,"Sheet1"}</definedName>
    <definedName name="wrn.FOschedules._1" localSheetId="24" hidden="1">{"FOschedule1",#N/A,FALSE,"Sheet1";"FOschedule2",#N/A,FALSE,"Sheet1";"FOschedule3",#N/A,FALSE,"Sheet1"}</definedName>
    <definedName name="wrn.FOschedules._1" localSheetId="13" hidden="1">{"FOschedule1",#N/A,FALSE,"Sheet1";"FOschedule2",#N/A,FALSE,"Sheet1";"FOschedule3",#N/A,FALSE,"Sheet1"}</definedName>
    <definedName name="wrn.FOschedules._1" localSheetId="14" hidden="1">{"FOschedule1",#N/A,FALSE,"Sheet1";"FOschedule2",#N/A,FALSE,"Sheet1";"FOschedule3",#N/A,FALSE,"Sheet1"}</definedName>
    <definedName name="wrn.FOschedules._1" hidden="1">{"FOschedule1",#N/A,FALSE,"Sheet1";"FOschedule2",#N/A,FALSE,"Sheet1";"FOschedule3",#N/A,FALSE,"Sheet1"}</definedName>
    <definedName name="wrn.FULL._.COMPARISON." localSheetId="16" hidden="1">{"Full Sheet",#N/A,FALSE,"Expense Comparison"}</definedName>
    <definedName name="wrn.FULL._.COMPARISON." localSheetId="20" hidden="1">{"Full Sheet",#N/A,FALSE,"Expense Comparison"}</definedName>
    <definedName name="wrn.FULL._.COMPARISON." localSheetId="21" hidden="1">{"Full Sheet",#N/A,FALSE,"Expense Comparison"}</definedName>
    <definedName name="wrn.FULL._.COMPARISON." localSheetId="22" hidden="1">{"Full Sheet",#N/A,FALSE,"Expense Comparison"}</definedName>
    <definedName name="wrn.FULL._.COMPARISON." localSheetId="23" hidden="1">{"Full Sheet",#N/A,FALSE,"Expense Comparison"}</definedName>
    <definedName name="wrn.FULL._.COMPARISON." localSheetId="24" hidden="1">{"Full Sheet",#N/A,FALSE,"Expense Comparison"}</definedName>
    <definedName name="wrn.FULL._.COMPARISON." localSheetId="13" hidden="1">{"Full Sheet",#N/A,FALSE,"Expense Comparison"}</definedName>
    <definedName name="wrn.FULL._.COMPARISON." localSheetId="14" hidden="1">{"Full Sheet",#N/A,FALSE,"Expense Comparison"}</definedName>
    <definedName name="wrn.FULL._.COMPARISON." hidden="1">{"Full Sheet",#N/A,FALSE,"Expense Comparison"}</definedName>
    <definedName name="wrn.FULL._.COMPARISON._1" localSheetId="16" hidden="1">{"Full Sheet",#N/A,FALSE,"Expense Comparison"}</definedName>
    <definedName name="wrn.FULL._.COMPARISON._1" localSheetId="20" hidden="1">{"Full Sheet",#N/A,FALSE,"Expense Comparison"}</definedName>
    <definedName name="wrn.FULL._.COMPARISON._1" localSheetId="21" hidden="1">{"Full Sheet",#N/A,FALSE,"Expense Comparison"}</definedName>
    <definedName name="wrn.FULL._.COMPARISON._1" localSheetId="22" hidden="1">{"Full Sheet",#N/A,FALSE,"Expense Comparison"}</definedName>
    <definedName name="wrn.FULL._.COMPARISON._1" localSheetId="23" hidden="1">{"Full Sheet",#N/A,FALSE,"Expense Comparison"}</definedName>
    <definedName name="wrn.FULL._.COMPARISON._1" localSheetId="24" hidden="1">{"Full Sheet",#N/A,FALSE,"Expense Comparison"}</definedName>
    <definedName name="wrn.FULL._.COMPARISON._1" localSheetId="13" hidden="1">{"Full Sheet",#N/A,FALSE,"Expense Comparison"}</definedName>
    <definedName name="wrn.FULL._.COMPARISON._1" localSheetId="14" hidden="1">{"Full Sheet",#N/A,FALSE,"Expense Comparison"}</definedName>
    <definedName name="wrn.FULL._.COMPARISON._1" hidden="1">{"Full Sheet",#N/A,FALSE,"Expense Comparison"}</definedName>
    <definedName name="wrn.Gross._.up." localSheetId="16" hidden="1">{#N/A,#N/A,FALSE,"Gross-Up"}</definedName>
    <definedName name="wrn.Gross._.up." localSheetId="20" hidden="1">{#N/A,#N/A,FALSE,"Gross-Up"}</definedName>
    <definedName name="wrn.Gross._.up." localSheetId="21" hidden="1">{#N/A,#N/A,FALSE,"Gross-Up"}</definedName>
    <definedName name="wrn.Gross._.up." localSheetId="22" hidden="1">{#N/A,#N/A,FALSE,"Gross-Up"}</definedName>
    <definedName name="wrn.Gross._.up." localSheetId="23" hidden="1">{#N/A,#N/A,FALSE,"Gross-Up"}</definedName>
    <definedName name="wrn.Gross._.up." localSheetId="24" hidden="1">{#N/A,#N/A,FALSE,"Gross-Up"}</definedName>
    <definedName name="wrn.Gross._.up." localSheetId="13" hidden="1">{#N/A,#N/A,FALSE,"Gross-Up"}</definedName>
    <definedName name="wrn.Gross._.up." localSheetId="14" hidden="1">{#N/A,#N/A,FALSE,"Gross-Up"}</definedName>
    <definedName name="wrn.Gross._.up." hidden="1">{#N/A,#N/A,FALSE,"Gross-Up"}</definedName>
    <definedName name="wrn.Gross._.up._1" localSheetId="16" hidden="1">{#N/A,#N/A,FALSE,"Gross-Up"}</definedName>
    <definedName name="wrn.Gross._.up._1" localSheetId="20" hidden="1">{#N/A,#N/A,FALSE,"Gross-Up"}</definedName>
    <definedName name="wrn.Gross._.up._1" localSheetId="21" hidden="1">{#N/A,#N/A,FALSE,"Gross-Up"}</definedName>
    <definedName name="wrn.Gross._.up._1" localSheetId="22" hidden="1">{#N/A,#N/A,FALSE,"Gross-Up"}</definedName>
    <definedName name="wrn.Gross._.up._1" localSheetId="23" hidden="1">{#N/A,#N/A,FALSE,"Gross-Up"}</definedName>
    <definedName name="wrn.Gross._.up._1" localSheetId="24" hidden="1">{#N/A,#N/A,FALSE,"Gross-Up"}</definedName>
    <definedName name="wrn.Gross._.up._1" localSheetId="13" hidden="1">{#N/A,#N/A,FALSE,"Gross-Up"}</definedName>
    <definedName name="wrn.Gross._.up._1" localSheetId="14" hidden="1">{#N/A,#N/A,FALSE,"Gross-Up"}</definedName>
    <definedName name="wrn.Gross._.up._1" hidden="1">{#N/A,#N/A,FALSE,"Gross-Up"}</definedName>
    <definedName name="wrn.HEAT." localSheetId="16" hidden="1">{#N/A,#N/A,FALSE,"Heat";#N/A,#N/A,FALSE,"DCF";#N/A,#N/A,FALSE,"LBO";#N/A,#N/A,FALSE,"A";#N/A,#N/A,FALSE,"C";#N/A,#N/A,FALSE,"impd";#N/A,#N/A,FALSE,"Accr-Dilu"}</definedName>
    <definedName name="wrn.HEAT." localSheetId="20" hidden="1">{#N/A,#N/A,FALSE,"Heat";#N/A,#N/A,FALSE,"DCF";#N/A,#N/A,FALSE,"LBO";#N/A,#N/A,FALSE,"A";#N/A,#N/A,FALSE,"C";#N/A,#N/A,FALSE,"impd";#N/A,#N/A,FALSE,"Accr-Dilu"}</definedName>
    <definedName name="wrn.HEAT." localSheetId="21" hidden="1">{#N/A,#N/A,FALSE,"Heat";#N/A,#N/A,FALSE,"DCF";#N/A,#N/A,FALSE,"LBO";#N/A,#N/A,FALSE,"A";#N/A,#N/A,FALSE,"C";#N/A,#N/A,FALSE,"impd";#N/A,#N/A,FALSE,"Accr-Dilu"}</definedName>
    <definedName name="wrn.HEAT." localSheetId="22" hidden="1">{#N/A,#N/A,FALSE,"Heat";#N/A,#N/A,FALSE,"DCF";#N/A,#N/A,FALSE,"LBO";#N/A,#N/A,FALSE,"A";#N/A,#N/A,FALSE,"C";#N/A,#N/A,FALSE,"impd";#N/A,#N/A,FALSE,"Accr-Dilu"}</definedName>
    <definedName name="wrn.HEAT." localSheetId="23" hidden="1">{#N/A,#N/A,FALSE,"Heat";#N/A,#N/A,FALSE,"DCF";#N/A,#N/A,FALSE,"LBO";#N/A,#N/A,FALSE,"A";#N/A,#N/A,FALSE,"C";#N/A,#N/A,FALSE,"impd";#N/A,#N/A,FALSE,"Accr-Dilu"}</definedName>
    <definedName name="wrn.HEAT." localSheetId="24" hidden="1">{#N/A,#N/A,FALSE,"Heat";#N/A,#N/A,FALSE,"DCF";#N/A,#N/A,FALSE,"LBO";#N/A,#N/A,FALSE,"A";#N/A,#N/A,FALSE,"C";#N/A,#N/A,FALSE,"impd";#N/A,#N/A,FALSE,"Accr-Dilu"}</definedName>
    <definedName name="wrn.HEAT." hidden="1">{#N/A,#N/A,FALSE,"Heat";#N/A,#N/A,FALSE,"DCF";#N/A,#N/A,FALSE,"LBO";#N/A,#N/A,FALSE,"A";#N/A,#N/A,FALSE,"C";#N/A,#N/A,FALSE,"impd";#N/A,#N/A,FALSE,"Accr-Dilu"}</definedName>
    <definedName name="wrn.Hydraulic." localSheetId="16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" localSheetId="20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" localSheetId="21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" localSheetId="22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" localSheetId="23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" localSheetId="24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2." localSheetId="16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" localSheetId="20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" localSheetId="21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" localSheetId="22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" localSheetId="23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" localSheetId="24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ipovalue." localSheetId="16" hidden="1">{#N/A,#N/A,FALSE,"puboff";#N/A,#N/A,FALSE,"valuation";#N/A,#N/A,FALSE,"finanalsis";#N/A,#N/A,FALSE,"split";#N/A,#N/A,FALSE,"ownership"}</definedName>
    <definedName name="wrn.ipovalue." localSheetId="20" hidden="1">{#N/A,#N/A,FALSE,"puboff";#N/A,#N/A,FALSE,"valuation";#N/A,#N/A,FALSE,"finanalsis";#N/A,#N/A,FALSE,"split";#N/A,#N/A,FALSE,"ownership"}</definedName>
    <definedName name="wrn.ipovalue." localSheetId="21" hidden="1">{#N/A,#N/A,FALSE,"puboff";#N/A,#N/A,FALSE,"valuation";#N/A,#N/A,FALSE,"finanalsis";#N/A,#N/A,FALSE,"split";#N/A,#N/A,FALSE,"ownership"}</definedName>
    <definedName name="wrn.ipovalue." localSheetId="22" hidden="1">{#N/A,#N/A,FALSE,"puboff";#N/A,#N/A,FALSE,"valuation";#N/A,#N/A,FALSE,"finanalsis";#N/A,#N/A,FALSE,"split";#N/A,#N/A,FALSE,"ownership"}</definedName>
    <definedName name="wrn.ipovalue." localSheetId="23" hidden="1">{#N/A,#N/A,FALSE,"puboff";#N/A,#N/A,FALSE,"valuation";#N/A,#N/A,FALSE,"finanalsis";#N/A,#N/A,FALSE,"split";#N/A,#N/A,FALSE,"ownership"}</definedName>
    <definedName name="wrn.ipovalue." localSheetId="24" hidden="1">{#N/A,#N/A,FALSE,"puboff";#N/A,#N/A,FALSE,"valuation";#N/A,#N/A,FALSE,"finanalsis";#N/A,#N/A,FALSE,"split";#N/A,#N/A,FALSE,"ownership"}</definedName>
    <definedName name="wrn.ipovalue." hidden="1">{#N/A,#N/A,FALSE,"puboff";#N/A,#N/A,FALSE,"valuation";#N/A,#N/A,FALSE,"finanalsis";#N/A,#N/A,FALSE,"split";#N/A,#N/A,FALSE,"ownership"}</definedName>
    <definedName name="wrn.ISCG._.model." localSheetId="16" hidden="1">{#N/A,#N/A,FALSE,"Second";#N/A,#N/A,FALSE,"ownership";#N/A,#N/A,FALSE,"Valuation";#N/A,#N/A,FALSE,"Eqiv";#N/A,#N/A,FALSE,"Mults";#N/A,#N/A,FALSE,"ISCG Graphics"}</definedName>
    <definedName name="wrn.ISCG._.model." localSheetId="20" hidden="1">{#N/A,#N/A,FALSE,"Second";#N/A,#N/A,FALSE,"ownership";#N/A,#N/A,FALSE,"Valuation";#N/A,#N/A,FALSE,"Eqiv";#N/A,#N/A,FALSE,"Mults";#N/A,#N/A,FALSE,"ISCG Graphics"}</definedName>
    <definedName name="wrn.ISCG._.model." localSheetId="21" hidden="1">{#N/A,#N/A,FALSE,"Second";#N/A,#N/A,FALSE,"ownership";#N/A,#N/A,FALSE,"Valuation";#N/A,#N/A,FALSE,"Eqiv";#N/A,#N/A,FALSE,"Mults";#N/A,#N/A,FALSE,"ISCG Graphics"}</definedName>
    <definedName name="wrn.ISCG._.model." localSheetId="22" hidden="1">{#N/A,#N/A,FALSE,"Second";#N/A,#N/A,FALSE,"ownership";#N/A,#N/A,FALSE,"Valuation";#N/A,#N/A,FALSE,"Eqiv";#N/A,#N/A,FALSE,"Mults";#N/A,#N/A,FALSE,"ISCG Graphics"}</definedName>
    <definedName name="wrn.ISCG._.model." localSheetId="23" hidden="1">{#N/A,#N/A,FALSE,"Second";#N/A,#N/A,FALSE,"ownership";#N/A,#N/A,FALSE,"Valuation";#N/A,#N/A,FALSE,"Eqiv";#N/A,#N/A,FALSE,"Mults";#N/A,#N/A,FALSE,"ISCG Graphics"}</definedName>
    <definedName name="wrn.ISCG._.model." localSheetId="24" hidden="1">{#N/A,#N/A,FALSE,"Second";#N/A,#N/A,FALSE,"ownership";#N/A,#N/A,FALSE,"Valuation";#N/A,#N/A,FALSE,"Eqiv";#N/A,#N/A,FALSE,"Mults";#N/A,#N/A,FALSE,"ISCG Graphics"}</definedName>
    <definedName name="wrn.ISCG._.model." hidden="1">{#N/A,#N/A,FALSE,"Second";#N/A,#N/A,FALSE,"ownership";#N/A,#N/A,FALSE,"Valuation";#N/A,#N/A,FALSE,"Eqiv";#N/A,#N/A,FALSE,"Mults";#N/A,#N/A,FALSE,"ISCG Graphics"}</definedName>
    <definedName name="wrn.Maine." localSheetId="16" hidden="1">{"Assumptions",#N/A,TRUE,"Assumptions";"Income",#N/A,TRUE,"Income";"Balance",#N/A,TRUE,"Balance"}</definedName>
    <definedName name="wrn.Maine." localSheetId="20" hidden="1">{"Assumptions",#N/A,TRUE,"Assumptions";"Income",#N/A,TRUE,"Income";"Balance",#N/A,TRUE,"Balance"}</definedName>
    <definedName name="wrn.Maine." localSheetId="21" hidden="1">{"Assumptions",#N/A,TRUE,"Assumptions";"Income",#N/A,TRUE,"Income";"Balance",#N/A,TRUE,"Balance"}</definedName>
    <definedName name="wrn.Maine." localSheetId="22" hidden="1">{"Assumptions",#N/A,TRUE,"Assumptions";"Income",#N/A,TRUE,"Income";"Balance",#N/A,TRUE,"Balance"}</definedName>
    <definedName name="wrn.Maine." localSheetId="23" hidden="1">{"Assumptions",#N/A,TRUE,"Assumptions";"Income",#N/A,TRUE,"Income";"Balance",#N/A,TRUE,"Balance"}</definedName>
    <definedName name="wrn.Maine." localSheetId="24" hidden="1">{"Assumptions",#N/A,TRUE,"Assumptions";"Income",#N/A,TRUE,"Income";"Balance",#N/A,TRUE,"Balance"}</definedName>
    <definedName name="wrn.Maine." hidden="1">{"Assumptions",#N/A,TRUE,"Assumptions";"Income",#N/A,TRUE,"Income";"Balance",#N/A,TRUE,"Balance"}</definedName>
    <definedName name="wrn.Maine2." localSheetId="16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" localSheetId="20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" localSheetId="21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" localSheetId="22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" localSheetId="23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" localSheetId="24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rket._.Values." localSheetId="16" hidden="1">{#N/A,#N/A,TRUE,"10 Yr Hold";#N/A,#N/A,TRUE,"7 Yr Hold";#N/A,#N/A,TRUE,"5 Yr Hold";#N/A,#N/A,TRUE,"3 Yr Hold"}</definedName>
    <definedName name="wrn.Market._.Values." localSheetId="20" hidden="1">{#N/A,#N/A,TRUE,"10 Yr Hold";#N/A,#N/A,TRUE,"7 Yr Hold";#N/A,#N/A,TRUE,"5 Yr Hold";#N/A,#N/A,TRUE,"3 Yr Hold"}</definedName>
    <definedName name="wrn.Market._.Values." localSheetId="21" hidden="1">{#N/A,#N/A,TRUE,"10 Yr Hold";#N/A,#N/A,TRUE,"7 Yr Hold";#N/A,#N/A,TRUE,"5 Yr Hold";#N/A,#N/A,TRUE,"3 Yr Hold"}</definedName>
    <definedName name="wrn.Market._.Values." localSheetId="22" hidden="1">{#N/A,#N/A,TRUE,"10 Yr Hold";#N/A,#N/A,TRUE,"7 Yr Hold";#N/A,#N/A,TRUE,"5 Yr Hold";#N/A,#N/A,TRUE,"3 Yr Hold"}</definedName>
    <definedName name="wrn.Market._.Values." localSheetId="23" hidden="1">{#N/A,#N/A,TRUE,"10 Yr Hold";#N/A,#N/A,TRUE,"7 Yr Hold";#N/A,#N/A,TRUE,"5 Yr Hold";#N/A,#N/A,TRUE,"3 Yr Hold"}</definedName>
    <definedName name="wrn.Market._.Values." localSheetId="24" hidden="1">{#N/A,#N/A,TRUE,"10 Yr Hold";#N/A,#N/A,TRUE,"7 Yr Hold";#N/A,#N/A,TRUE,"5 Yr Hold";#N/A,#N/A,TRUE,"3 Yr Hold"}</definedName>
    <definedName name="wrn.Market._.Values." localSheetId="13" hidden="1">{#N/A,#N/A,TRUE,"10 Yr Hold";#N/A,#N/A,TRUE,"7 Yr Hold";#N/A,#N/A,TRUE,"5 Yr Hold";#N/A,#N/A,TRUE,"3 Yr Hold"}</definedName>
    <definedName name="wrn.Market._.Values." localSheetId="14" hidden="1">{#N/A,#N/A,TRUE,"10 Yr Hold";#N/A,#N/A,TRUE,"7 Yr Hold";#N/A,#N/A,TRUE,"5 Yr Hold";#N/A,#N/A,TRUE,"3 Yr Hold"}</definedName>
    <definedName name="wrn.Market._.Values." hidden="1">{#N/A,#N/A,TRUE,"10 Yr Hold";#N/A,#N/A,TRUE,"7 Yr Hold";#N/A,#N/A,TRUE,"5 Yr Hold";#N/A,#N/A,TRUE,"3 Yr Hold"}</definedName>
    <definedName name="wrn.Market._.Values._1" localSheetId="16" hidden="1">{#N/A,#N/A,TRUE,"10 Yr Hold";#N/A,#N/A,TRUE,"7 Yr Hold";#N/A,#N/A,TRUE,"5 Yr Hold";#N/A,#N/A,TRUE,"3 Yr Hold"}</definedName>
    <definedName name="wrn.Market._.Values._1" localSheetId="20" hidden="1">{#N/A,#N/A,TRUE,"10 Yr Hold";#N/A,#N/A,TRUE,"7 Yr Hold";#N/A,#N/A,TRUE,"5 Yr Hold";#N/A,#N/A,TRUE,"3 Yr Hold"}</definedName>
    <definedName name="wrn.Market._.Values._1" localSheetId="21" hidden="1">{#N/A,#N/A,TRUE,"10 Yr Hold";#N/A,#N/A,TRUE,"7 Yr Hold";#N/A,#N/A,TRUE,"5 Yr Hold";#N/A,#N/A,TRUE,"3 Yr Hold"}</definedName>
    <definedName name="wrn.Market._.Values._1" localSheetId="22" hidden="1">{#N/A,#N/A,TRUE,"10 Yr Hold";#N/A,#N/A,TRUE,"7 Yr Hold";#N/A,#N/A,TRUE,"5 Yr Hold";#N/A,#N/A,TRUE,"3 Yr Hold"}</definedName>
    <definedName name="wrn.Market._.Values._1" localSheetId="23" hidden="1">{#N/A,#N/A,TRUE,"10 Yr Hold";#N/A,#N/A,TRUE,"7 Yr Hold";#N/A,#N/A,TRUE,"5 Yr Hold";#N/A,#N/A,TRUE,"3 Yr Hold"}</definedName>
    <definedName name="wrn.Market._.Values._1" localSheetId="24" hidden="1">{#N/A,#N/A,TRUE,"10 Yr Hold";#N/A,#N/A,TRUE,"7 Yr Hold";#N/A,#N/A,TRUE,"5 Yr Hold";#N/A,#N/A,TRUE,"3 Yr Hold"}</definedName>
    <definedName name="wrn.Market._.Values._1" localSheetId="13" hidden="1">{#N/A,#N/A,TRUE,"10 Yr Hold";#N/A,#N/A,TRUE,"7 Yr Hold";#N/A,#N/A,TRUE,"5 Yr Hold";#N/A,#N/A,TRUE,"3 Yr Hold"}</definedName>
    <definedName name="wrn.Market._.Values._1" localSheetId="14" hidden="1">{#N/A,#N/A,TRUE,"10 Yr Hold";#N/A,#N/A,TRUE,"7 Yr Hold";#N/A,#N/A,TRUE,"5 Yr Hold";#N/A,#N/A,TRUE,"3 Yr Hold"}</definedName>
    <definedName name="wrn.Market._.Values._1" hidden="1">{#N/A,#N/A,TRUE,"10 Yr Hold";#N/A,#N/A,TRUE,"7 Yr Hold";#N/A,#N/A,TRUE,"5 Yr Hold";#N/A,#N/A,TRUE,"3 Yr Hold"}</definedName>
    <definedName name="wrn.merge." localSheetId="16" hidden="1">{#N/A,#N/A,FALSE,"IPO";#N/A,#N/A,FALSE,"DCF";#N/A,#N/A,FALSE,"LBO";#N/A,#N/A,FALSE,"MULT_VAL";#N/A,#N/A,FALSE,"Status Quo";#N/A,#N/A,FALSE,"Recap"}</definedName>
    <definedName name="wrn.merge." localSheetId="20" hidden="1">{#N/A,#N/A,FALSE,"IPO";#N/A,#N/A,FALSE,"DCF";#N/A,#N/A,FALSE,"LBO";#N/A,#N/A,FALSE,"MULT_VAL";#N/A,#N/A,FALSE,"Status Quo";#N/A,#N/A,FALSE,"Recap"}</definedName>
    <definedName name="wrn.merge." localSheetId="21" hidden="1">{#N/A,#N/A,FALSE,"IPO";#N/A,#N/A,FALSE,"DCF";#N/A,#N/A,FALSE,"LBO";#N/A,#N/A,FALSE,"MULT_VAL";#N/A,#N/A,FALSE,"Status Quo";#N/A,#N/A,FALSE,"Recap"}</definedName>
    <definedName name="wrn.merge." localSheetId="22" hidden="1">{#N/A,#N/A,FALSE,"IPO";#N/A,#N/A,FALSE,"DCF";#N/A,#N/A,FALSE,"LBO";#N/A,#N/A,FALSE,"MULT_VAL";#N/A,#N/A,FALSE,"Status Quo";#N/A,#N/A,FALSE,"Recap"}</definedName>
    <definedName name="wrn.merge." localSheetId="23" hidden="1">{#N/A,#N/A,FALSE,"IPO";#N/A,#N/A,FALSE,"DCF";#N/A,#N/A,FALSE,"LBO";#N/A,#N/A,FALSE,"MULT_VAL";#N/A,#N/A,FALSE,"Status Quo";#N/A,#N/A,FALSE,"Recap"}</definedName>
    <definedName name="wrn.merge." localSheetId="24" hidden="1">{#N/A,#N/A,FALSE,"IPO";#N/A,#N/A,FALSE,"DCF";#N/A,#N/A,FALSE,"LBO";#N/A,#N/A,FALSE,"MULT_VAL";#N/A,#N/A,FALSE,"Status Quo";#N/A,#N/A,FALSE,"Recap"}</definedName>
    <definedName name="wrn.merge." hidden="1">{#N/A,#N/A,FALSE,"IPO";#N/A,#N/A,FALSE,"DCF";#N/A,#N/A,FALSE,"LBO";#N/A,#N/A,FALSE,"MULT_VAL";#N/A,#N/A,FALSE,"Status Quo";#N/A,#N/A,FALSE,"Recap"}</definedName>
    <definedName name="wrn.model." localSheetId="16" hidden="1">{"page1",#N/A,FALSE,"GIRLBO";"page2",#N/A,FALSE,"GIRLBO";"page3",#N/A,FALSE,"GIRLBO";"page4",#N/A,FALSE,"GIRLBO";"page5",#N/A,FALSE,"GIRLBO"}</definedName>
    <definedName name="wrn.model." localSheetId="20" hidden="1">{"page1",#N/A,FALSE,"GIRLBO";"page2",#N/A,FALSE,"GIRLBO";"page3",#N/A,FALSE,"GIRLBO";"page4",#N/A,FALSE,"GIRLBO";"page5",#N/A,FALSE,"GIRLBO"}</definedName>
    <definedName name="wrn.model." localSheetId="21" hidden="1">{"page1",#N/A,FALSE,"GIRLBO";"page2",#N/A,FALSE,"GIRLBO";"page3",#N/A,FALSE,"GIRLBO";"page4",#N/A,FALSE,"GIRLBO";"page5",#N/A,FALSE,"GIRLBO"}</definedName>
    <definedName name="wrn.model." localSheetId="22" hidden="1">{"page1",#N/A,FALSE,"GIRLBO";"page2",#N/A,FALSE,"GIRLBO";"page3",#N/A,FALSE,"GIRLBO";"page4",#N/A,FALSE,"GIRLBO";"page5",#N/A,FALSE,"GIRLBO"}</definedName>
    <definedName name="wrn.model." localSheetId="23" hidden="1">{"page1",#N/A,FALSE,"GIRLBO";"page2",#N/A,FALSE,"GIRLBO";"page3",#N/A,FALSE,"GIRLBO";"page4",#N/A,FALSE,"GIRLBO";"page5",#N/A,FALSE,"GIRLBO"}</definedName>
    <definedName name="wrn.model." localSheetId="24" hidden="1">{"page1",#N/A,FALSE,"GIRLBO";"page2",#N/A,FALSE,"GIRLBO";"page3",#N/A,FALSE,"GIRLBO";"page4",#N/A,FALSE,"GIRLBO";"page5",#N/A,FALSE,"GIRLBO"}</definedName>
    <definedName name="wrn.model." hidden="1">{"page1",#N/A,FALSE,"GIRLBO";"page2",#N/A,FALSE,"GIRLBO";"page3",#N/A,FALSE,"GIRLBO";"page4",#N/A,FALSE,"GIRLBO";"page5",#N/A,FALSE,"GIRLBO"}</definedName>
    <definedName name="wrn.newest." localSheetId="16" hidden="1">{#N/A,#N/A,TRUE,"TS";#N/A,#N/A,TRUE,"Combo";#N/A,#N/A,TRUE,"FAIR";#N/A,#N/A,TRUE,"RBC";#N/A,#N/A,TRUE,"xxxx"}</definedName>
    <definedName name="wrn.newest." localSheetId="20" hidden="1">{#N/A,#N/A,TRUE,"TS";#N/A,#N/A,TRUE,"Combo";#N/A,#N/A,TRUE,"FAIR";#N/A,#N/A,TRUE,"RBC";#N/A,#N/A,TRUE,"xxxx"}</definedName>
    <definedName name="wrn.newest." localSheetId="21" hidden="1">{#N/A,#N/A,TRUE,"TS";#N/A,#N/A,TRUE,"Combo";#N/A,#N/A,TRUE,"FAIR";#N/A,#N/A,TRUE,"RBC";#N/A,#N/A,TRUE,"xxxx"}</definedName>
    <definedName name="wrn.newest." localSheetId="22" hidden="1">{#N/A,#N/A,TRUE,"TS";#N/A,#N/A,TRUE,"Combo";#N/A,#N/A,TRUE,"FAIR";#N/A,#N/A,TRUE,"RBC";#N/A,#N/A,TRUE,"xxxx"}</definedName>
    <definedName name="wrn.newest." localSheetId="23" hidden="1">{#N/A,#N/A,TRUE,"TS";#N/A,#N/A,TRUE,"Combo";#N/A,#N/A,TRUE,"FAIR";#N/A,#N/A,TRUE,"RBC";#N/A,#N/A,TRUE,"xxxx"}</definedName>
    <definedName name="wrn.newest." localSheetId="24" hidden="1">{#N/A,#N/A,TRUE,"TS";#N/A,#N/A,TRUE,"Combo";#N/A,#N/A,TRUE,"FAIR";#N/A,#N/A,TRUE,"RBC";#N/A,#N/A,TRUE,"xxxx"}</definedName>
    <definedName name="wrn.newest." hidden="1">{#N/A,#N/A,TRUE,"TS";#N/A,#N/A,TRUE,"Combo";#N/A,#N/A,TRUE,"FAIR";#N/A,#N/A,TRUE,"RBC";#N/A,#N/A,TRUE,"xxxx"}</definedName>
    <definedName name="wrn.packer._.1." localSheetId="16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" localSheetId="20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" localSheetId="21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" localSheetId="22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" localSheetId="23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" localSheetId="24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lms._.at._.South._.Shore." localSheetId="16" hidden="1">{#N/A,#N/A,FALSE,"loananalysis";#N/A,#N/A,FALSE,"proforma";#N/A,#N/A,FALSE,"unitmix"}</definedName>
    <definedName name="wrn.Palms._.at._.South._.Shore." localSheetId="20" hidden="1">{#N/A,#N/A,FALSE,"loananalysis";#N/A,#N/A,FALSE,"proforma";#N/A,#N/A,FALSE,"unitmix"}</definedName>
    <definedName name="wrn.Palms._.at._.South._.Shore." localSheetId="21" hidden="1">{#N/A,#N/A,FALSE,"loananalysis";#N/A,#N/A,FALSE,"proforma";#N/A,#N/A,FALSE,"unitmix"}</definedName>
    <definedName name="wrn.Palms._.at._.South._.Shore." localSheetId="22" hidden="1">{#N/A,#N/A,FALSE,"loananalysis";#N/A,#N/A,FALSE,"proforma";#N/A,#N/A,FALSE,"unitmix"}</definedName>
    <definedName name="wrn.Palms._.at._.South._.Shore." localSheetId="23" hidden="1">{#N/A,#N/A,FALSE,"loananalysis";#N/A,#N/A,FALSE,"proforma";#N/A,#N/A,FALSE,"unitmix"}</definedName>
    <definedName name="wrn.Palms._.at._.South._.Shore." localSheetId="24" hidden="1">{#N/A,#N/A,FALSE,"loananalysis";#N/A,#N/A,FALSE,"proforma";#N/A,#N/A,FALSE,"unitmix"}</definedName>
    <definedName name="wrn.Palms._.at._.South._.Shore." localSheetId="13" hidden="1">{#N/A,#N/A,FALSE,"loananalysis";#N/A,#N/A,FALSE,"proforma";#N/A,#N/A,FALSE,"unitmix"}</definedName>
    <definedName name="wrn.Palms._.at._.South._.Shore." localSheetId="14" hidden="1">{#N/A,#N/A,FALSE,"loananalysis";#N/A,#N/A,FALSE,"proforma";#N/A,#N/A,FALSE,"unitmix"}</definedName>
    <definedName name="wrn.Palms._.at._.South._.Shore." hidden="1">{#N/A,#N/A,FALSE,"loananalysis";#N/A,#N/A,FALSE,"proforma";#N/A,#N/A,FALSE,"unitmix"}</definedName>
    <definedName name="wrn.Palms._.at._.South._.Shore._1" localSheetId="16" hidden="1">{#N/A,#N/A,FALSE,"loananalysis";#N/A,#N/A,FALSE,"proforma";#N/A,#N/A,FALSE,"unitmix"}</definedName>
    <definedName name="wrn.Palms._.at._.South._.Shore._1" localSheetId="20" hidden="1">{#N/A,#N/A,FALSE,"loananalysis";#N/A,#N/A,FALSE,"proforma";#N/A,#N/A,FALSE,"unitmix"}</definedName>
    <definedName name="wrn.Palms._.at._.South._.Shore._1" localSheetId="21" hidden="1">{#N/A,#N/A,FALSE,"loananalysis";#N/A,#N/A,FALSE,"proforma";#N/A,#N/A,FALSE,"unitmix"}</definedName>
    <definedName name="wrn.Palms._.at._.South._.Shore._1" localSheetId="22" hidden="1">{#N/A,#N/A,FALSE,"loananalysis";#N/A,#N/A,FALSE,"proforma";#N/A,#N/A,FALSE,"unitmix"}</definedName>
    <definedName name="wrn.Palms._.at._.South._.Shore._1" localSheetId="23" hidden="1">{#N/A,#N/A,FALSE,"loananalysis";#N/A,#N/A,FALSE,"proforma";#N/A,#N/A,FALSE,"unitmix"}</definedName>
    <definedName name="wrn.Palms._.at._.South._.Shore._1" localSheetId="24" hidden="1">{#N/A,#N/A,FALSE,"loananalysis";#N/A,#N/A,FALSE,"proforma";#N/A,#N/A,FALSE,"unitmix"}</definedName>
    <definedName name="wrn.Palms._.at._.South._.Shore._1" localSheetId="13" hidden="1">{#N/A,#N/A,FALSE,"loananalysis";#N/A,#N/A,FALSE,"proforma";#N/A,#N/A,FALSE,"unitmix"}</definedName>
    <definedName name="wrn.Palms._.at._.South._.Shore._1" localSheetId="14" hidden="1">{#N/A,#N/A,FALSE,"loananalysis";#N/A,#N/A,FALSE,"proforma";#N/A,#N/A,FALSE,"unitmix"}</definedName>
    <definedName name="wrn.Palms._.at._.South._.Shore._1" hidden="1">{#N/A,#N/A,FALSE,"loananalysis";#N/A,#N/A,FALSE,"proforma";#N/A,#N/A,FALSE,"unitmix"}</definedName>
    <definedName name="wrn.Partial." localSheetId="16" hidden="1">{#N/A,#N/A,FALSE,"1Summary";#N/A,#N/A,FALSE,"Assumptions";#N/A,#N/A,FALSE,"Rent Roll Summary";#N/A,#N/A,FALSE,"Effective Rental Income Detail";#N/A,#N/A,FALSE,"Cash Flow Projections";#N/A,#N/A,FALSE,"Operating Statement";#N/A,#N/A,FALSE,"Pricing Matrix"}</definedName>
    <definedName name="wrn.Partial." localSheetId="20" hidden="1">{#N/A,#N/A,FALSE,"1Summary";#N/A,#N/A,FALSE,"Assumptions";#N/A,#N/A,FALSE,"Rent Roll Summary";#N/A,#N/A,FALSE,"Effective Rental Income Detail";#N/A,#N/A,FALSE,"Cash Flow Projections";#N/A,#N/A,FALSE,"Operating Statement";#N/A,#N/A,FALSE,"Pricing Matrix"}</definedName>
    <definedName name="wrn.Partial." localSheetId="21" hidden="1">{#N/A,#N/A,FALSE,"1Summary";#N/A,#N/A,FALSE,"Assumptions";#N/A,#N/A,FALSE,"Rent Roll Summary";#N/A,#N/A,FALSE,"Effective Rental Income Detail";#N/A,#N/A,FALSE,"Cash Flow Projections";#N/A,#N/A,FALSE,"Operating Statement";#N/A,#N/A,FALSE,"Pricing Matrix"}</definedName>
    <definedName name="wrn.Partial." localSheetId="22" hidden="1">{#N/A,#N/A,FALSE,"1Summary";#N/A,#N/A,FALSE,"Assumptions";#N/A,#N/A,FALSE,"Rent Roll Summary";#N/A,#N/A,FALSE,"Effective Rental Income Detail";#N/A,#N/A,FALSE,"Cash Flow Projections";#N/A,#N/A,FALSE,"Operating Statement";#N/A,#N/A,FALSE,"Pricing Matrix"}</definedName>
    <definedName name="wrn.Partial." localSheetId="23" hidden="1">{#N/A,#N/A,FALSE,"1Summary";#N/A,#N/A,FALSE,"Assumptions";#N/A,#N/A,FALSE,"Rent Roll Summary";#N/A,#N/A,FALSE,"Effective Rental Income Detail";#N/A,#N/A,FALSE,"Cash Flow Projections";#N/A,#N/A,FALSE,"Operating Statement";#N/A,#N/A,FALSE,"Pricing Matrix"}</definedName>
    <definedName name="wrn.Partial." localSheetId="24" hidden="1">{#N/A,#N/A,FALSE,"1Summary";#N/A,#N/A,FALSE,"Assumptions";#N/A,#N/A,FALSE,"Rent Roll Summary";#N/A,#N/A,FALSE,"Effective Rental Income Detail";#N/A,#N/A,FALSE,"Cash Flow Projections";#N/A,#N/A,FALSE,"Operating Statement";#N/A,#N/A,FALSE,"Pricing Matrix"}</definedName>
    <definedName name="wrn.Partial." localSheetId="13" hidden="1">{#N/A,#N/A,FALSE,"1Summary";#N/A,#N/A,FALSE,"Assumptions";#N/A,#N/A,FALSE,"Rent Roll Summary";#N/A,#N/A,FALSE,"Effective Rental Income Detail";#N/A,#N/A,FALSE,"Cash Flow Projections";#N/A,#N/A,FALSE,"Operating Statement";#N/A,#N/A,FALSE,"Pricing Matrix"}</definedName>
    <definedName name="wrn.Partial." localSheetId="14" hidden="1">{#N/A,#N/A,FALSE,"1Summary";#N/A,#N/A,FALSE,"Assumptions";#N/A,#N/A,FALSE,"Rent Roll Summary";#N/A,#N/A,FALSE,"Effective Rental Income Detail";#N/A,#N/A,FALSE,"Cash Flow Projections";#N/A,#N/A,FALSE,"Operating Statement";#N/A,#N/A,FALSE,"Pricing Matrix"}</definedName>
    <definedName name="wrn.Partial." hidden="1">{#N/A,#N/A,FALSE,"1Summary";#N/A,#N/A,FALSE,"Assumptions";#N/A,#N/A,FALSE,"Rent Roll Summary";#N/A,#N/A,FALSE,"Effective Rental Income Detail";#N/A,#N/A,FALSE,"Cash Flow Projections";#N/A,#N/A,FALSE,"Operating Statement";#N/A,#N/A,FALSE,"Pricing Matrix"}</definedName>
    <definedName name="wrn.Partial._1" localSheetId="16" hidden="1">{#N/A,#N/A,FALSE,"1Summary";#N/A,#N/A,FALSE,"Assumptions";#N/A,#N/A,FALSE,"Rent Roll Summary";#N/A,#N/A,FALSE,"Effective Rental Income Detail";#N/A,#N/A,FALSE,"Cash Flow Projections";#N/A,#N/A,FALSE,"Operating Statement";#N/A,#N/A,FALSE,"Pricing Matrix"}</definedName>
    <definedName name="wrn.Partial._1" localSheetId="20" hidden="1">{#N/A,#N/A,FALSE,"1Summary";#N/A,#N/A,FALSE,"Assumptions";#N/A,#N/A,FALSE,"Rent Roll Summary";#N/A,#N/A,FALSE,"Effective Rental Income Detail";#N/A,#N/A,FALSE,"Cash Flow Projections";#N/A,#N/A,FALSE,"Operating Statement";#N/A,#N/A,FALSE,"Pricing Matrix"}</definedName>
    <definedName name="wrn.Partial._1" localSheetId="21" hidden="1">{#N/A,#N/A,FALSE,"1Summary";#N/A,#N/A,FALSE,"Assumptions";#N/A,#N/A,FALSE,"Rent Roll Summary";#N/A,#N/A,FALSE,"Effective Rental Income Detail";#N/A,#N/A,FALSE,"Cash Flow Projections";#N/A,#N/A,FALSE,"Operating Statement";#N/A,#N/A,FALSE,"Pricing Matrix"}</definedName>
    <definedName name="wrn.Partial._1" localSheetId="22" hidden="1">{#N/A,#N/A,FALSE,"1Summary";#N/A,#N/A,FALSE,"Assumptions";#N/A,#N/A,FALSE,"Rent Roll Summary";#N/A,#N/A,FALSE,"Effective Rental Income Detail";#N/A,#N/A,FALSE,"Cash Flow Projections";#N/A,#N/A,FALSE,"Operating Statement";#N/A,#N/A,FALSE,"Pricing Matrix"}</definedName>
    <definedName name="wrn.Partial._1" localSheetId="23" hidden="1">{#N/A,#N/A,FALSE,"1Summary";#N/A,#N/A,FALSE,"Assumptions";#N/A,#N/A,FALSE,"Rent Roll Summary";#N/A,#N/A,FALSE,"Effective Rental Income Detail";#N/A,#N/A,FALSE,"Cash Flow Projections";#N/A,#N/A,FALSE,"Operating Statement";#N/A,#N/A,FALSE,"Pricing Matrix"}</definedName>
    <definedName name="wrn.Partial._1" localSheetId="24" hidden="1">{#N/A,#N/A,FALSE,"1Summary";#N/A,#N/A,FALSE,"Assumptions";#N/A,#N/A,FALSE,"Rent Roll Summary";#N/A,#N/A,FALSE,"Effective Rental Income Detail";#N/A,#N/A,FALSE,"Cash Flow Projections";#N/A,#N/A,FALSE,"Operating Statement";#N/A,#N/A,FALSE,"Pricing Matrix"}</definedName>
    <definedName name="wrn.Partial._1" localSheetId="13" hidden="1">{#N/A,#N/A,FALSE,"1Summary";#N/A,#N/A,FALSE,"Assumptions";#N/A,#N/A,FALSE,"Rent Roll Summary";#N/A,#N/A,FALSE,"Effective Rental Income Detail";#N/A,#N/A,FALSE,"Cash Flow Projections";#N/A,#N/A,FALSE,"Operating Statement";#N/A,#N/A,FALSE,"Pricing Matrix"}</definedName>
    <definedName name="wrn.Partial._1" localSheetId="14" hidden="1">{#N/A,#N/A,FALSE,"1Summary";#N/A,#N/A,FALSE,"Assumptions";#N/A,#N/A,FALSE,"Rent Roll Summary";#N/A,#N/A,FALSE,"Effective Rental Income Detail";#N/A,#N/A,FALSE,"Cash Flow Projections";#N/A,#N/A,FALSE,"Operating Statement";#N/A,#N/A,FALSE,"Pricing Matrix"}</definedName>
    <definedName name="wrn.Partial._1" hidden="1">{#N/A,#N/A,FALSE,"1Summary";#N/A,#N/A,FALSE,"Assumptions";#N/A,#N/A,FALSE,"Rent Roll Summary";#N/A,#N/A,FALSE,"Effective Rental Income Detail";#N/A,#N/A,FALSE,"Cash Flow Projections";#N/A,#N/A,FALSE,"Operating Statement";#N/A,#N/A,FALSE,"Pricing Matrix"}</definedName>
    <definedName name="wrn.Partial_Template." localSheetId="16" hidden="1">{#N/A,#N/A,FALSE,"1Summary";#N/A,#N/A,FALSE,"2Assumptions";#N/A,#N/A,FALSE,"3Cash Flow";#N/A,#N/A,FALSE,"6Residual";#N/A,#N/A,FALSE,"AExpiration Schedule"}</definedName>
    <definedName name="wrn.Partial_Template." localSheetId="20" hidden="1">{#N/A,#N/A,FALSE,"1Summary";#N/A,#N/A,FALSE,"2Assumptions";#N/A,#N/A,FALSE,"3Cash Flow";#N/A,#N/A,FALSE,"6Residual";#N/A,#N/A,FALSE,"AExpiration Schedule"}</definedName>
    <definedName name="wrn.Partial_Template." localSheetId="21" hidden="1">{#N/A,#N/A,FALSE,"1Summary";#N/A,#N/A,FALSE,"2Assumptions";#N/A,#N/A,FALSE,"3Cash Flow";#N/A,#N/A,FALSE,"6Residual";#N/A,#N/A,FALSE,"AExpiration Schedule"}</definedName>
    <definedName name="wrn.Partial_Template." localSheetId="22" hidden="1">{#N/A,#N/A,FALSE,"1Summary";#N/A,#N/A,FALSE,"2Assumptions";#N/A,#N/A,FALSE,"3Cash Flow";#N/A,#N/A,FALSE,"6Residual";#N/A,#N/A,FALSE,"AExpiration Schedule"}</definedName>
    <definedName name="wrn.Partial_Template." localSheetId="23" hidden="1">{#N/A,#N/A,FALSE,"1Summary";#N/A,#N/A,FALSE,"2Assumptions";#N/A,#N/A,FALSE,"3Cash Flow";#N/A,#N/A,FALSE,"6Residual";#N/A,#N/A,FALSE,"AExpiration Schedule"}</definedName>
    <definedName name="wrn.Partial_Template." localSheetId="24" hidden="1">{#N/A,#N/A,FALSE,"1Summary";#N/A,#N/A,FALSE,"2Assumptions";#N/A,#N/A,FALSE,"3Cash Flow";#N/A,#N/A,FALSE,"6Residual";#N/A,#N/A,FALSE,"AExpiration Schedule"}</definedName>
    <definedName name="wrn.Partial_Template." localSheetId="13" hidden="1">{#N/A,#N/A,FALSE,"1Summary";#N/A,#N/A,FALSE,"2Assumptions";#N/A,#N/A,FALSE,"3Cash Flow";#N/A,#N/A,FALSE,"6Residual";#N/A,#N/A,FALSE,"AExpiration Schedule"}</definedName>
    <definedName name="wrn.Partial_Template." localSheetId="14" hidden="1">{#N/A,#N/A,FALSE,"1Summary";#N/A,#N/A,FALSE,"2Assumptions";#N/A,#N/A,FALSE,"3Cash Flow";#N/A,#N/A,FALSE,"6Residual";#N/A,#N/A,FALSE,"AExpiration Schedule"}</definedName>
    <definedName name="wrn.Partial_Template." hidden="1">{#N/A,#N/A,FALSE,"1Summary";#N/A,#N/A,FALSE,"2Assumptions";#N/A,#N/A,FALSE,"3Cash Flow";#N/A,#N/A,FALSE,"6Residual";#N/A,#N/A,FALSE,"AExpiration Schedule"}</definedName>
    <definedName name="wrn.Partial_Template._1" localSheetId="16" hidden="1">{#N/A,#N/A,FALSE,"1Summary";#N/A,#N/A,FALSE,"2Assumptions";#N/A,#N/A,FALSE,"3Cash Flow";#N/A,#N/A,FALSE,"6Residual";#N/A,#N/A,FALSE,"AExpiration Schedule"}</definedName>
    <definedName name="wrn.Partial_Template._1" localSheetId="20" hidden="1">{#N/A,#N/A,FALSE,"1Summary";#N/A,#N/A,FALSE,"2Assumptions";#N/A,#N/A,FALSE,"3Cash Flow";#N/A,#N/A,FALSE,"6Residual";#N/A,#N/A,FALSE,"AExpiration Schedule"}</definedName>
    <definedName name="wrn.Partial_Template._1" localSheetId="21" hidden="1">{#N/A,#N/A,FALSE,"1Summary";#N/A,#N/A,FALSE,"2Assumptions";#N/A,#N/A,FALSE,"3Cash Flow";#N/A,#N/A,FALSE,"6Residual";#N/A,#N/A,FALSE,"AExpiration Schedule"}</definedName>
    <definedName name="wrn.Partial_Template._1" localSheetId="22" hidden="1">{#N/A,#N/A,FALSE,"1Summary";#N/A,#N/A,FALSE,"2Assumptions";#N/A,#N/A,FALSE,"3Cash Flow";#N/A,#N/A,FALSE,"6Residual";#N/A,#N/A,FALSE,"AExpiration Schedule"}</definedName>
    <definedName name="wrn.Partial_Template._1" localSheetId="23" hidden="1">{#N/A,#N/A,FALSE,"1Summary";#N/A,#N/A,FALSE,"2Assumptions";#N/A,#N/A,FALSE,"3Cash Flow";#N/A,#N/A,FALSE,"6Residual";#N/A,#N/A,FALSE,"AExpiration Schedule"}</definedName>
    <definedName name="wrn.Partial_Template._1" localSheetId="24" hidden="1">{#N/A,#N/A,FALSE,"1Summary";#N/A,#N/A,FALSE,"2Assumptions";#N/A,#N/A,FALSE,"3Cash Flow";#N/A,#N/A,FALSE,"6Residual";#N/A,#N/A,FALSE,"AExpiration Schedule"}</definedName>
    <definedName name="wrn.Partial_Template._1" localSheetId="13" hidden="1">{#N/A,#N/A,FALSE,"1Summary";#N/A,#N/A,FALSE,"2Assumptions";#N/A,#N/A,FALSE,"3Cash Flow";#N/A,#N/A,FALSE,"6Residual";#N/A,#N/A,FALSE,"AExpiration Schedule"}</definedName>
    <definedName name="wrn.Partial_Template._1" localSheetId="14" hidden="1">{#N/A,#N/A,FALSE,"1Summary";#N/A,#N/A,FALSE,"2Assumptions";#N/A,#N/A,FALSE,"3Cash Flow";#N/A,#N/A,FALSE,"6Residual";#N/A,#N/A,FALSE,"AExpiration Schedule"}</definedName>
    <definedName name="wrn.Partial_Template._1" hidden="1">{#N/A,#N/A,FALSE,"1Summary";#N/A,#N/A,FALSE,"2Assumptions";#N/A,#N/A,FALSE,"3Cash Flow";#N/A,#N/A,FALSE,"6Residual";#N/A,#N/A,FALSE,"AExpiration Schedule"}</definedName>
    <definedName name="wrn.Pineway." localSheetId="16" hidden="1">{#N/A,#N/A,FALSE,"rent schedule";#N/A,#N/A,FALSE,"income expenses";#N/A,#N/A,FALSE,"proforma";#N/A,#N/A,FALSE,"proforma stab";#N/A,#N/A,FALSE,"loan analysis";#N/A,#N/A,FALSE,"loan analysis stab";#N/A,#N/A,FALSE,"income expenses"}</definedName>
    <definedName name="wrn.Pineway." localSheetId="20" hidden="1">{#N/A,#N/A,FALSE,"rent schedule";#N/A,#N/A,FALSE,"income expenses";#N/A,#N/A,FALSE,"proforma";#N/A,#N/A,FALSE,"proforma stab";#N/A,#N/A,FALSE,"loan analysis";#N/A,#N/A,FALSE,"loan analysis stab";#N/A,#N/A,FALSE,"income expenses"}</definedName>
    <definedName name="wrn.Pineway." localSheetId="21" hidden="1">{#N/A,#N/A,FALSE,"rent schedule";#N/A,#N/A,FALSE,"income expenses";#N/A,#N/A,FALSE,"proforma";#N/A,#N/A,FALSE,"proforma stab";#N/A,#N/A,FALSE,"loan analysis";#N/A,#N/A,FALSE,"loan analysis stab";#N/A,#N/A,FALSE,"income expenses"}</definedName>
    <definedName name="wrn.Pineway." localSheetId="22" hidden="1">{#N/A,#N/A,FALSE,"rent schedule";#N/A,#N/A,FALSE,"income expenses";#N/A,#N/A,FALSE,"proforma";#N/A,#N/A,FALSE,"proforma stab";#N/A,#N/A,FALSE,"loan analysis";#N/A,#N/A,FALSE,"loan analysis stab";#N/A,#N/A,FALSE,"income expenses"}</definedName>
    <definedName name="wrn.Pineway." localSheetId="23" hidden="1">{#N/A,#N/A,FALSE,"rent schedule";#N/A,#N/A,FALSE,"income expenses";#N/A,#N/A,FALSE,"proforma";#N/A,#N/A,FALSE,"proforma stab";#N/A,#N/A,FALSE,"loan analysis";#N/A,#N/A,FALSE,"loan analysis stab";#N/A,#N/A,FALSE,"income expenses"}</definedName>
    <definedName name="wrn.Pineway." localSheetId="24" hidden="1">{#N/A,#N/A,FALSE,"rent schedule";#N/A,#N/A,FALSE,"income expenses";#N/A,#N/A,FALSE,"proforma";#N/A,#N/A,FALSE,"proforma stab";#N/A,#N/A,FALSE,"loan analysis";#N/A,#N/A,FALSE,"loan analysis stab";#N/A,#N/A,FALSE,"income expenses"}</definedName>
    <definedName name="wrn.Pineway." localSheetId="13" hidden="1">{#N/A,#N/A,FALSE,"rent schedule";#N/A,#N/A,FALSE,"income expenses";#N/A,#N/A,FALSE,"proforma";#N/A,#N/A,FALSE,"proforma stab";#N/A,#N/A,FALSE,"loan analysis";#N/A,#N/A,FALSE,"loan analysis stab";#N/A,#N/A,FALSE,"income expenses"}</definedName>
    <definedName name="wrn.Pineway." localSheetId="14" hidden="1">{#N/A,#N/A,FALSE,"rent schedule";#N/A,#N/A,FALSE,"income expenses";#N/A,#N/A,FALSE,"proforma";#N/A,#N/A,FALSE,"proforma stab";#N/A,#N/A,FALSE,"loan analysis";#N/A,#N/A,FALSE,"loan analysis stab";#N/A,#N/A,FALSE,"income expenses"}</definedName>
    <definedName name="wrn.Pineway." hidden="1">{#N/A,#N/A,FALSE,"rent schedule";#N/A,#N/A,FALSE,"income expenses";#N/A,#N/A,FALSE,"proforma";#N/A,#N/A,FALSE,"proforma stab";#N/A,#N/A,FALSE,"loan analysis";#N/A,#N/A,FALSE,"loan analysis stab";#N/A,#N/A,FALSE,"income expenses"}</definedName>
    <definedName name="wrn.Pineway._1" localSheetId="16" hidden="1">{#N/A,#N/A,FALSE,"rent schedule";#N/A,#N/A,FALSE,"income expenses";#N/A,#N/A,FALSE,"proforma";#N/A,#N/A,FALSE,"proforma stab";#N/A,#N/A,FALSE,"loan analysis";#N/A,#N/A,FALSE,"loan analysis stab";#N/A,#N/A,FALSE,"income expenses"}</definedName>
    <definedName name="wrn.Pineway._1" localSheetId="20" hidden="1">{#N/A,#N/A,FALSE,"rent schedule";#N/A,#N/A,FALSE,"income expenses";#N/A,#N/A,FALSE,"proforma";#N/A,#N/A,FALSE,"proforma stab";#N/A,#N/A,FALSE,"loan analysis";#N/A,#N/A,FALSE,"loan analysis stab";#N/A,#N/A,FALSE,"income expenses"}</definedName>
    <definedName name="wrn.Pineway._1" localSheetId="21" hidden="1">{#N/A,#N/A,FALSE,"rent schedule";#N/A,#N/A,FALSE,"income expenses";#N/A,#N/A,FALSE,"proforma";#N/A,#N/A,FALSE,"proforma stab";#N/A,#N/A,FALSE,"loan analysis";#N/A,#N/A,FALSE,"loan analysis stab";#N/A,#N/A,FALSE,"income expenses"}</definedName>
    <definedName name="wrn.Pineway._1" localSheetId="22" hidden="1">{#N/A,#N/A,FALSE,"rent schedule";#N/A,#N/A,FALSE,"income expenses";#N/A,#N/A,FALSE,"proforma";#N/A,#N/A,FALSE,"proforma stab";#N/A,#N/A,FALSE,"loan analysis";#N/A,#N/A,FALSE,"loan analysis stab";#N/A,#N/A,FALSE,"income expenses"}</definedName>
    <definedName name="wrn.Pineway._1" localSheetId="23" hidden="1">{#N/A,#N/A,FALSE,"rent schedule";#N/A,#N/A,FALSE,"income expenses";#N/A,#N/A,FALSE,"proforma";#N/A,#N/A,FALSE,"proforma stab";#N/A,#N/A,FALSE,"loan analysis";#N/A,#N/A,FALSE,"loan analysis stab";#N/A,#N/A,FALSE,"income expenses"}</definedName>
    <definedName name="wrn.Pineway._1" localSheetId="24" hidden="1">{#N/A,#N/A,FALSE,"rent schedule";#N/A,#N/A,FALSE,"income expenses";#N/A,#N/A,FALSE,"proforma";#N/A,#N/A,FALSE,"proforma stab";#N/A,#N/A,FALSE,"loan analysis";#N/A,#N/A,FALSE,"loan analysis stab";#N/A,#N/A,FALSE,"income expenses"}</definedName>
    <definedName name="wrn.Pineway._1" localSheetId="13" hidden="1">{#N/A,#N/A,FALSE,"rent schedule";#N/A,#N/A,FALSE,"income expenses";#N/A,#N/A,FALSE,"proforma";#N/A,#N/A,FALSE,"proforma stab";#N/A,#N/A,FALSE,"loan analysis";#N/A,#N/A,FALSE,"loan analysis stab";#N/A,#N/A,FALSE,"income expenses"}</definedName>
    <definedName name="wrn.Pineway._1" localSheetId="14" hidden="1">{#N/A,#N/A,FALSE,"rent schedule";#N/A,#N/A,FALSE,"income expenses";#N/A,#N/A,FALSE,"proforma";#N/A,#N/A,FALSE,"proforma stab";#N/A,#N/A,FALSE,"loan analysis";#N/A,#N/A,FALSE,"loan analysis stab";#N/A,#N/A,FALSE,"income expenses"}</definedName>
    <definedName name="wrn.Pineway._1" hidden="1">{#N/A,#N/A,FALSE,"rent schedule";#N/A,#N/A,FALSE,"income expenses";#N/A,#N/A,FALSE,"proforma";#N/A,#N/A,FALSE,"proforma stab";#N/A,#N/A,FALSE,"loan analysis";#N/A,#N/A,FALSE,"loan analysis stab";#N/A,#N/A,FALSE,"income expenses"}</definedName>
    <definedName name="wrn.Portfolio." localSheetId="16" hidden="1">{#N/A,#N/A,FALSE,"Portfolio Summary";#N/A,#N/A,FALSE,"Portfolio Operating Stmt";#N/A,#N/A,FALSE,"Portfolio Cash Flow"}</definedName>
    <definedName name="wrn.Portfolio." localSheetId="20" hidden="1">{#N/A,#N/A,FALSE,"Portfolio Summary";#N/A,#N/A,FALSE,"Portfolio Operating Stmt";#N/A,#N/A,FALSE,"Portfolio Cash Flow"}</definedName>
    <definedName name="wrn.Portfolio." localSheetId="21" hidden="1">{#N/A,#N/A,FALSE,"Portfolio Summary";#N/A,#N/A,FALSE,"Portfolio Operating Stmt";#N/A,#N/A,FALSE,"Portfolio Cash Flow"}</definedName>
    <definedName name="wrn.Portfolio." localSheetId="22" hidden="1">{#N/A,#N/A,FALSE,"Portfolio Summary";#N/A,#N/A,FALSE,"Portfolio Operating Stmt";#N/A,#N/A,FALSE,"Portfolio Cash Flow"}</definedName>
    <definedName name="wrn.Portfolio." localSheetId="23" hidden="1">{#N/A,#N/A,FALSE,"Portfolio Summary";#N/A,#N/A,FALSE,"Portfolio Operating Stmt";#N/A,#N/A,FALSE,"Portfolio Cash Flow"}</definedName>
    <definedName name="wrn.Portfolio." localSheetId="24" hidden="1">{#N/A,#N/A,FALSE,"Portfolio Summary";#N/A,#N/A,FALSE,"Portfolio Operating Stmt";#N/A,#N/A,FALSE,"Portfolio Cash Flow"}</definedName>
    <definedName name="wrn.Portfolio." localSheetId="13" hidden="1">{#N/A,#N/A,FALSE,"Portfolio Summary";#N/A,#N/A,FALSE,"Portfolio Operating Stmt";#N/A,#N/A,FALSE,"Portfolio Cash Flow"}</definedName>
    <definedName name="wrn.Portfolio." localSheetId="14" hidden="1">{#N/A,#N/A,FALSE,"Portfolio Summary";#N/A,#N/A,FALSE,"Portfolio Operating Stmt";#N/A,#N/A,FALSE,"Portfolio Cash Flow"}</definedName>
    <definedName name="wrn.Portfolio." hidden="1">{#N/A,#N/A,FALSE,"Portfolio Summary";#N/A,#N/A,FALSE,"Portfolio Operating Stmt";#N/A,#N/A,FALSE,"Portfolio Cash Flow"}</definedName>
    <definedName name="wrn.Portfolio._1" localSheetId="16" hidden="1">{#N/A,#N/A,FALSE,"Portfolio Summary";#N/A,#N/A,FALSE,"Portfolio Operating Stmt";#N/A,#N/A,FALSE,"Portfolio Cash Flow"}</definedName>
    <definedName name="wrn.Portfolio._1" localSheetId="20" hidden="1">{#N/A,#N/A,FALSE,"Portfolio Summary";#N/A,#N/A,FALSE,"Portfolio Operating Stmt";#N/A,#N/A,FALSE,"Portfolio Cash Flow"}</definedName>
    <definedName name="wrn.Portfolio._1" localSheetId="21" hidden="1">{#N/A,#N/A,FALSE,"Portfolio Summary";#N/A,#N/A,FALSE,"Portfolio Operating Stmt";#N/A,#N/A,FALSE,"Portfolio Cash Flow"}</definedName>
    <definedName name="wrn.Portfolio._1" localSheetId="22" hidden="1">{#N/A,#N/A,FALSE,"Portfolio Summary";#N/A,#N/A,FALSE,"Portfolio Operating Stmt";#N/A,#N/A,FALSE,"Portfolio Cash Flow"}</definedName>
    <definedName name="wrn.Portfolio._1" localSheetId="23" hidden="1">{#N/A,#N/A,FALSE,"Portfolio Summary";#N/A,#N/A,FALSE,"Portfolio Operating Stmt";#N/A,#N/A,FALSE,"Portfolio Cash Flow"}</definedName>
    <definedName name="wrn.Portfolio._1" localSheetId="24" hidden="1">{#N/A,#N/A,FALSE,"Portfolio Summary";#N/A,#N/A,FALSE,"Portfolio Operating Stmt";#N/A,#N/A,FALSE,"Portfolio Cash Flow"}</definedName>
    <definedName name="wrn.Portfolio._1" localSheetId="13" hidden="1">{#N/A,#N/A,FALSE,"Portfolio Summary";#N/A,#N/A,FALSE,"Portfolio Operating Stmt";#N/A,#N/A,FALSE,"Portfolio Cash Flow"}</definedName>
    <definedName name="wrn.Portfolio._1" localSheetId="14" hidden="1">{#N/A,#N/A,FALSE,"Portfolio Summary";#N/A,#N/A,FALSE,"Portfolio Operating Stmt";#N/A,#N/A,FALSE,"Portfolio Cash Flow"}</definedName>
    <definedName name="wrn.Portfolio._1" hidden="1">{#N/A,#N/A,FALSE,"Portfolio Summary";#N/A,#N/A,FALSE,"Portfolio Operating Stmt";#N/A,#N/A,FALSE,"Portfolio Cash Flow"}</definedName>
    <definedName name="wrn.Prepaid_Recov.." localSheetId="16" hidden="1">{#N/A,#N/A,FALSE,"Prepaid Recoverable"}</definedName>
    <definedName name="wrn.Prepaid_Recov.." localSheetId="20" hidden="1">{#N/A,#N/A,FALSE,"Prepaid Recoverable"}</definedName>
    <definedName name="wrn.Prepaid_Recov.." localSheetId="21" hidden="1">{#N/A,#N/A,FALSE,"Prepaid Recoverable"}</definedName>
    <definedName name="wrn.Prepaid_Recov.." localSheetId="22" hidden="1">{#N/A,#N/A,FALSE,"Prepaid Recoverable"}</definedName>
    <definedName name="wrn.Prepaid_Recov.." localSheetId="23" hidden="1">{#N/A,#N/A,FALSE,"Prepaid Recoverable"}</definedName>
    <definedName name="wrn.Prepaid_Recov.." localSheetId="24" hidden="1">{#N/A,#N/A,FALSE,"Prepaid Recoverable"}</definedName>
    <definedName name="wrn.Prepaid_Recov.." localSheetId="13" hidden="1">{#N/A,#N/A,FALSE,"Prepaid Recoverable"}</definedName>
    <definedName name="wrn.Prepaid_Recov.." localSheetId="14" hidden="1">{#N/A,#N/A,FALSE,"Prepaid Recoverable"}</definedName>
    <definedName name="wrn.Prepaid_Recov.." hidden="1">{#N/A,#N/A,FALSE,"Prepaid Recoverable"}</definedName>
    <definedName name="wrn.Prepaid_Recov.._1" localSheetId="16" hidden="1">{#N/A,#N/A,FALSE,"Prepaid Recoverable"}</definedName>
    <definedName name="wrn.Prepaid_Recov.._1" localSheetId="20" hidden="1">{#N/A,#N/A,FALSE,"Prepaid Recoverable"}</definedName>
    <definedName name="wrn.Prepaid_Recov.._1" localSheetId="21" hidden="1">{#N/A,#N/A,FALSE,"Prepaid Recoverable"}</definedName>
    <definedName name="wrn.Prepaid_Recov.._1" localSheetId="22" hidden="1">{#N/A,#N/A,FALSE,"Prepaid Recoverable"}</definedName>
    <definedName name="wrn.Prepaid_Recov.._1" localSheetId="23" hidden="1">{#N/A,#N/A,FALSE,"Prepaid Recoverable"}</definedName>
    <definedName name="wrn.Prepaid_Recov.._1" localSheetId="24" hidden="1">{#N/A,#N/A,FALSE,"Prepaid Recoverable"}</definedName>
    <definedName name="wrn.Prepaid_Recov.._1" localSheetId="13" hidden="1">{#N/A,#N/A,FALSE,"Prepaid Recoverable"}</definedName>
    <definedName name="wrn.Prepaid_Recov.._1" localSheetId="14" hidden="1">{#N/A,#N/A,FALSE,"Prepaid Recoverable"}</definedName>
    <definedName name="wrn.Prepaid_Recov.._1" hidden="1">{#N/A,#N/A,FALSE,"Prepaid Recoverable"}</definedName>
    <definedName name="wrn.Print._.4." localSheetId="16" hidden="1">{"Outflow 1",#N/A,FALSE,"Outflows-Inflows";"Outflow 2",#N/A,FALSE,"Outflows-Inflows";"Inflow 1",#N/A,FALSE,"Outflows-Inflows";"Inflow 2",#N/A,FALSE,"Outflows-Inflows"}</definedName>
    <definedName name="wrn.Print._.4." localSheetId="20" hidden="1">{"Outflow 1",#N/A,FALSE,"Outflows-Inflows";"Outflow 2",#N/A,FALSE,"Outflows-Inflows";"Inflow 1",#N/A,FALSE,"Outflows-Inflows";"Inflow 2",#N/A,FALSE,"Outflows-Inflows"}</definedName>
    <definedName name="wrn.Print._.4." localSheetId="21" hidden="1">{"Outflow 1",#N/A,FALSE,"Outflows-Inflows";"Outflow 2",#N/A,FALSE,"Outflows-Inflows";"Inflow 1",#N/A,FALSE,"Outflows-Inflows";"Inflow 2",#N/A,FALSE,"Outflows-Inflows"}</definedName>
    <definedName name="wrn.Print._.4." localSheetId="22" hidden="1">{"Outflow 1",#N/A,FALSE,"Outflows-Inflows";"Outflow 2",#N/A,FALSE,"Outflows-Inflows";"Inflow 1",#N/A,FALSE,"Outflows-Inflows";"Inflow 2",#N/A,FALSE,"Outflows-Inflows"}</definedName>
    <definedName name="wrn.Print._.4." localSheetId="23" hidden="1">{"Outflow 1",#N/A,FALSE,"Outflows-Inflows";"Outflow 2",#N/A,FALSE,"Outflows-Inflows";"Inflow 1",#N/A,FALSE,"Outflows-Inflows";"Inflow 2",#N/A,FALSE,"Outflows-Inflows"}</definedName>
    <definedName name="wrn.Print._.4." localSheetId="24" hidden="1">{"Outflow 1",#N/A,FALSE,"Outflows-Inflows";"Outflow 2",#N/A,FALSE,"Outflows-Inflows";"Inflow 1",#N/A,FALSE,"Outflows-Inflows";"Inflow 2",#N/A,FALSE,"Outflows-Inflows"}</definedName>
    <definedName name="wrn.Print._.4." localSheetId="13" hidden="1">{"Outflow 1",#N/A,FALSE,"Outflows-Inflows";"Outflow 2",#N/A,FALSE,"Outflows-Inflows";"Inflow 1",#N/A,FALSE,"Outflows-Inflows";"Inflow 2",#N/A,FALSE,"Outflows-Inflows"}</definedName>
    <definedName name="wrn.Print._.4." localSheetId="14" hidden="1">{"Outflow 1",#N/A,FALSE,"Outflows-Inflows";"Outflow 2",#N/A,FALSE,"Outflows-Inflows";"Inflow 1",#N/A,FALSE,"Outflows-Inflows";"Inflow 2",#N/A,FALSE,"Outflows-Inflows"}</definedName>
    <definedName name="wrn.Print._.4." hidden="1">{"Outflow 1",#N/A,FALSE,"Outflows-Inflows";"Outflow 2",#N/A,FALSE,"Outflows-Inflows";"Inflow 1",#N/A,FALSE,"Outflows-Inflows";"Inflow 2",#N/A,FALSE,"Outflows-Inflows"}</definedName>
    <definedName name="wrn.Print._.4._1" localSheetId="16" hidden="1">{"Outflow 1",#N/A,FALSE,"Outflows-Inflows";"Outflow 2",#N/A,FALSE,"Outflows-Inflows";"Inflow 1",#N/A,FALSE,"Outflows-Inflows";"Inflow 2",#N/A,FALSE,"Outflows-Inflows"}</definedName>
    <definedName name="wrn.Print._.4._1" localSheetId="20" hidden="1">{"Outflow 1",#N/A,FALSE,"Outflows-Inflows";"Outflow 2",#N/A,FALSE,"Outflows-Inflows";"Inflow 1",#N/A,FALSE,"Outflows-Inflows";"Inflow 2",#N/A,FALSE,"Outflows-Inflows"}</definedName>
    <definedName name="wrn.Print._.4._1" localSheetId="21" hidden="1">{"Outflow 1",#N/A,FALSE,"Outflows-Inflows";"Outflow 2",#N/A,FALSE,"Outflows-Inflows";"Inflow 1",#N/A,FALSE,"Outflows-Inflows";"Inflow 2",#N/A,FALSE,"Outflows-Inflows"}</definedName>
    <definedName name="wrn.Print._.4._1" localSheetId="22" hidden="1">{"Outflow 1",#N/A,FALSE,"Outflows-Inflows";"Outflow 2",#N/A,FALSE,"Outflows-Inflows";"Inflow 1",#N/A,FALSE,"Outflows-Inflows";"Inflow 2",#N/A,FALSE,"Outflows-Inflows"}</definedName>
    <definedName name="wrn.Print._.4._1" localSheetId="23" hidden="1">{"Outflow 1",#N/A,FALSE,"Outflows-Inflows";"Outflow 2",#N/A,FALSE,"Outflows-Inflows";"Inflow 1",#N/A,FALSE,"Outflows-Inflows";"Inflow 2",#N/A,FALSE,"Outflows-Inflows"}</definedName>
    <definedName name="wrn.Print._.4._1" localSheetId="24" hidden="1">{"Outflow 1",#N/A,FALSE,"Outflows-Inflows";"Outflow 2",#N/A,FALSE,"Outflows-Inflows";"Inflow 1",#N/A,FALSE,"Outflows-Inflows";"Inflow 2",#N/A,FALSE,"Outflows-Inflows"}</definedName>
    <definedName name="wrn.Print._.4._1" localSheetId="13" hidden="1">{"Outflow 1",#N/A,FALSE,"Outflows-Inflows";"Outflow 2",#N/A,FALSE,"Outflows-Inflows";"Inflow 1",#N/A,FALSE,"Outflows-Inflows";"Inflow 2",#N/A,FALSE,"Outflows-Inflows"}</definedName>
    <definedName name="wrn.Print._.4._1" localSheetId="14" hidden="1">{"Outflow 1",#N/A,FALSE,"Outflows-Inflows";"Outflow 2",#N/A,FALSE,"Outflows-Inflows";"Inflow 1",#N/A,FALSE,"Outflows-Inflows";"Inflow 2",#N/A,FALSE,"Outflows-Inflows"}</definedName>
    <definedName name="wrn.Print._.4._1" hidden="1">{"Outflow 1",#N/A,FALSE,"Outflows-Inflows";"Outflow 2",#N/A,FALSE,"Outflows-Inflows";"Inflow 1",#N/A,FALSE,"Outflows-Inflows";"Inflow 2",#N/A,FALSE,"Outflows-Inflows"}</definedName>
    <definedName name="wrn.Print._.6." localSheetId="16" hidden="1">{"print 1.6",#N/A,FALSE,"Sheet1";"print 2.6",#N/A,FALSE,"Sheet1";"print 3.6",#N/A,FALSE,"Sheet1";"print 4.6",#N/A,FALSE,"Sheet1";"print 5.6",#N/A,FALSE,"Sheet1";"print 6.6",#N/A,FALSE,"Sheet1"}</definedName>
    <definedName name="wrn.Print._.6." localSheetId="20" hidden="1">{"print 1.6",#N/A,FALSE,"Sheet1";"print 2.6",#N/A,FALSE,"Sheet1";"print 3.6",#N/A,FALSE,"Sheet1";"print 4.6",#N/A,FALSE,"Sheet1";"print 5.6",#N/A,FALSE,"Sheet1";"print 6.6",#N/A,FALSE,"Sheet1"}</definedName>
    <definedName name="wrn.Print._.6." localSheetId="21" hidden="1">{"print 1.6",#N/A,FALSE,"Sheet1";"print 2.6",#N/A,FALSE,"Sheet1";"print 3.6",#N/A,FALSE,"Sheet1";"print 4.6",#N/A,FALSE,"Sheet1";"print 5.6",#N/A,FALSE,"Sheet1";"print 6.6",#N/A,FALSE,"Sheet1"}</definedName>
    <definedName name="wrn.Print._.6." localSheetId="22" hidden="1">{"print 1.6",#N/A,FALSE,"Sheet1";"print 2.6",#N/A,FALSE,"Sheet1";"print 3.6",#N/A,FALSE,"Sheet1";"print 4.6",#N/A,FALSE,"Sheet1";"print 5.6",#N/A,FALSE,"Sheet1";"print 6.6",#N/A,FALSE,"Sheet1"}</definedName>
    <definedName name="wrn.Print._.6." localSheetId="23" hidden="1">{"print 1.6",#N/A,FALSE,"Sheet1";"print 2.6",#N/A,FALSE,"Sheet1";"print 3.6",#N/A,FALSE,"Sheet1";"print 4.6",#N/A,FALSE,"Sheet1";"print 5.6",#N/A,FALSE,"Sheet1";"print 6.6",#N/A,FALSE,"Sheet1"}</definedName>
    <definedName name="wrn.Print._.6." localSheetId="24" hidden="1">{"print 1.6",#N/A,FALSE,"Sheet1";"print 2.6",#N/A,FALSE,"Sheet1";"print 3.6",#N/A,FALSE,"Sheet1";"print 4.6",#N/A,FALSE,"Sheet1";"print 5.6",#N/A,FALSE,"Sheet1";"print 6.6",#N/A,FALSE,"Sheet1"}</definedName>
    <definedName name="wrn.Print._.6." localSheetId="13" hidden="1">{"print 1.6",#N/A,FALSE,"Sheet1";"print 2.6",#N/A,FALSE,"Sheet1";"print 3.6",#N/A,FALSE,"Sheet1";"print 4.6",#N/A,FALSE,"Sheet1";"print 5.6",#N/A,FALSE,"Sheet1";"print 6.6",#N/A,FALSE,"Sheet1"}</definedName>
    <definedName name="wrn.Print._.6." localSheetId="14" hidden="1">{"print 1.6",#N/A,FALSE,"Sheet1";"print 2.6",#N/A,FALSE,"Sheet1";"print 3.6",#N/A,FALSE,"Sheet1";"print 4.6",#N/A,FALSE,"Sheet1";"print 5.6",#N/A,FALSE,"Sheet1";"print 6.6",#N/A,FALSE,"Sheet1"}</definedName>
    <definedName name="wrn.Print._.6." hidden="1">{"print 1.6",#N/A,FALSE,"Sheet1";"print 2.6",#N/A,FALSE,"Sheet1";"print 3.6",#N/A,FALSE,"Sheet1";"print 4.6",#N/A,FALSE,"Sheet1";"print 5.6",#N/A,FALSE,"Sheet1";"print 6.6",#N/A,FALSE,"Sheet1"}</definedName>
    <definedName name="wrn.Print._.6._1" localSheetId="16" hidden="1">{"print 1.6",#N/A,FALSE,"Sheet1";"print 2.6",#N/A,FALSE,"Sheet1";"print 3.6",#N/A,FALSE,"Sheet1";"print 4.6",#N/A,FALSE,"Sheet1";"print 5.6",#N/A,FALSE,"Sheet1";"print 6.6",#N/A,FALSE,"Sheet1"}</definedName>
    <definedName name="wrn.Print._.6._1" localSheetId="20" hidden="1">{"print 1.6",#N/A,FALSE,"Sheet1";"print 2.6",#N/A,FALSE,"Sheet1";"print 3.6",#N/A,FALSE,"Sheet1";"print 4.6",#N/A,FALSE,"Sheet1";"print 5.6",#N/A,FALSE,"Sheet1";"print 6.6",#N/A,FALSE,"Sheet1"}</definedName>
    <definedName name="wrn.Print._.6._1" localSheetId="21" hidden="1">{"print 1.6",#N/A,FALSE,"Sheet1";"print 2.6",#N/A,FALSE,"Sheet1";"print 3.6",#N/A,FALSE,"Sheet1";"print 4.6",#N/A,FALSE,"Sheet1";"print 5.6",#N/A,FALSE,"Sheet1";"print 6.6",#N/A,FALSE,"Sheet1"}</definedName>
    <definedName name="wrn.Print._.6._1" localSheetId="22" hidden="1">{"print 1.6",#N/A,FALSE,"Sheet1";"print 2.6",#N/A,FALSE,"Sheet1";"print 3.6",#N/A,FALSE,"Sheet1";"print 4.6",#N/A,FALSE,"Sheet1";"print 5.6",#N/A,FALSE,"Sheet1";"print 6.6",#N/A,FALSE,"Sheet1"}</definedName>
    <definedName name="wrn.Print._.6._1" localSheetId="23" hidden="1">{"print 1.6",#N/A,FALSE,"Sheet1";"print 2.6",#N/A,FALSE,"Sheet1";"print 3.6",#N/A,FALSE,"Sheet1";"print 4.6",#N/A,FALSE,"Sheet1";"print 5.6",#N/A,FALSE,"Sheet1";"print 6.6",#N/A,FALSE,"Sheet1"}</definedName>
    <definedName name="wrn.Print._.6._1" localSheetId="24" hidden="1">{"print 1.6",#N/A,FALSE,"Sheet1";"print 2.6",#N/A,FALSE,"Sheet1";"print 3.6",#N/A,FALSE,"Sheet1";"print 4.6",#N/A,FALSE,"Sheet1";"print 5.6",#N/A,FALSE,"Sheet1";"print 6.6",#N/A,FALSE,"Sheet1"}</definedName>
    <definedName name="wrn.Print._.6._1" localSheetId="13" hidden="1">{"print 1.6",#N/A,FALSE,"Sheet1";"print 2.6",#N/A,FALSE,"Sheet1";"print 3.6",#N/A,FALSE,"Sheet1";"print 4.6",#N/A,FALSE,"Sheet1";"print 5.6",#N/A,FALSE,"Sheet1";"print 6.6",#N/A,FALSE,"Sheet1"}</definedName>
    <definedName name="wrn.Print._.6._1" localSheetId="14" hidden="1">{"print 1.6",#N/A,FALSE,"Sheet1";"print 2.6",#N/A,FALSE,"Sheet1";"print 3.6",#N/A,FALSE,"Sheet1";"print 4.6",#N/A,FALSE,"Sheet1";"print 5.6",#N/A,FALSE,"Sheet1";"print 6.6",#N/A,FALSE,"Sheet1"}</definedName>
    <definedName name="wrn.Print._.6._1" hidden="1">{"print 1.6",#N/A,FALSE,"Sheet1";"print 2.6",#N/A,FALSE,"Sheet1";"print 3.6",#N/A,FALSE,"Sheet1";"print 4.6",#N/A,FALSE,"Sheet1";"print 5.6",#N/A,FALSE,"Sheet1";"print 6.6",#N/A,FALSE,"Sheet1"}</definedName>
    <definedName name="wrn.print._.graphs." localSheetId="16" hidden="1">{"cap_structure",#N/A,FALSE,"Graph-Mkt Cap";"price",#N/A,FALSE,"Graph-Price";"ebit",#N/A,FALSE,"Graph-EBITDA";"ebitda",#N/A,FALSE,"Graph-EBITDA"}</definedName>
    <definedName name="wrn.print._.graphs." localSheetId="20" hidden="1">{"cap_structure",#N/A,FALSE,"Graph-Mkt Cap";"price",#N/A,FALSE,"Graph-Price";"ebit",#N/A,FALSE,"Graph-EBITDA";"ebitda",#N/A,FALSE,"Graph-EBITDA"}</definedName>
    <definedName name="wrn.print._.graphs." localSheetId="21" hidden="1">{"cap_structure",#N/A,FALSE,"Graph-Mkt Cap";"price",#N/A,FALSE,"Graph-Price";"ebit",#N/A,FALSE,"Graph-EBITDA";"ebitda",#N/A,FALSE,"Graph-EBITDA"}</definedName>
    <definedName name="wrn.print._.graphs." localSheetId="22" hidden="1">{"cap_structure",#N/A,FALSE,"Graph-Mkt Cap";"price",#N/A,FALSE,"Graph-Price";"ebit",#N/A,FALSE,"Graph-EBITDA";"ebitda",#N/A,FALSE,"Graph-EBITDA"}</definedName>
    <definedName name="wrn.print._.graphs." localSheetId="23" hidden="1">{"cap_structure",#N/A,FALSE,"Graph-Mkt Cap";"price",#N/A,FALSE,"Graph-Price";"ebit",#N/A,FALSE,"Graph-EBITDA";"ebitda",#N/A,FALSE,"Graph-EBITDA"}</definedName>
    <definedName name="wrn.print._.graphs." localSheetId="24" hidden="1">{"cap_structure",#N/A,FALSE,"Graph-Mkt Cap";"price",#N/A,FALSE,"Graph-Price";"ebit",#N/A,FALSE,"Graph-EBITDA";"ebitda",#N/A,FALSE,"Graph-EBITDA"}</definedName>
    <definedName name="wrn.print._.graphs." hidden="1">{"cap_structure",#N/A,FALSE,"Graph-Mkt Cap";"price",#N/A,FALSE,"Graph-Price";"ebit",#N/A,FALSE,"Graph-EBITDA";"ebitda",#N/A,FALSE,"Graph-EBITDA"}</definedName>
    <definedName name="wrn.Print._.It." localSheetId="16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It." localSheetId="20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It." localSheetId="21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It." localSheetId="22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It." localSheetId="23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It." localSheetId="24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It." localSheetId="13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It." localSheetId="14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It.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It._1" localSheetId="16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It._1" localSheetId="20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It._1" localSheetId="21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It._1" localSheetId="22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It._1" localSheetId="23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It._1" localSheetId="24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It._1" localSheetId="13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It._1" localSheetId="14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It._1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raw._.data._.entry." localSheetId="16" hidden="1">{"inputs raw data",#N/A,TRUE,"INPUT"}</definedName>
    <definedName name="wrn.print._.raw._.data._.entry." localSheetId="20" hidden="1">{"inputs raw data",#N/A,TRUE,"INPUT"}</definedName>
    <definedName name="wrn.print._.raw._.data._.entry." localSheetId="21" hidden="1">{"inputs raw data",#N/A,TRUE,"INPUT"}</definedName>
    <definedName name="wrn.print._.raw._.data._.entry." localSheetId="22" hidden="1">{"inputs raw data",#N/A,TRUE,"INPUT"}</definedName>
    <definedName name="wrn.print._.raw._.data._.entry." localSheetId="23" hidden="1">{"inputs raw data",#N/A,TRUE,"INPUT"}</definedName>
    <definedName name="wrn.print._.raw._.data._.entry." localSheetId="24" hidden="1">{"inputs raw data",#N/A,TRUE,"INPUT"}</definedName>
    <definedName name="wrn.print._.raw._.data._.entry." hidden="1">{"inputs raw data",#N/A,TRUE,"INPUT"}</definedName>
    <definedName name="wrn.print._.summary._.sheets." localSheetId="16" hidden="1">{"summary1",#N/A,TRUE,"Comps";"summary2",#N/A,TRUE,"Comps";"summary3",#N/A,TRUE,"Comps"}</definedName>
    <definedName name="wrn.print._.summary._.sheets." localSheetId="20" hidden="1">{"summary1",#N/A,TRUE,"Comps";"summary2",#N/A,TRUE,"Comps";"summary3",#N/A,TRUE,"Comps"}</definedName>
    <definedName name="wrn.print._.summary._.sheets." localSheetId="21" hidden="1">{"summary1",#N/A,TRUE,"Comps";"summary2",#N/A,TRUE,"Comps";"summary3",#N/A,TRUE,"Comps"}</definedName>
    <definedName name="wrn.print._.summary._.sheets." localSheetId="22" hidden="1">{"summary1",#N/A,TRUE,"Comps";"summary2",#N/A,TRUE,"Comps";"summary3",#N/A,TRUE,"Comps"}</definedName>
    <definedName name="wrn.print._.summary._.sheets." localSheetId="23" hidden="1">{"summary1",#N/A,TRUE,"Comps";"summary2",#N/A,TRUE,"Comps";"summary3",#N/A,TRUE,"Comps"}</definedName>
    <definedName name="wrn.print._.summary._.sheets." localSheetId="24" hidden="1">{"summary1",#N/A,TRUE,"Comps";"summary2",#N/A,TRUE,"Comps";"summary3",#N/A,TRUE,"Comps"}</definedName>
    <definedName name="wrn.print._.summary._.sheets." hidden="1">{"summary1",#N/A,TRUE,"Comps";"summary2",#N/A,TRUE,"Comps";"summary3",#N/A,TRUE,"Comps"}</definedName>
    <definedName name="wrn.Pump." localSheetId="16" hidden="1">{#N/A,#N/A,FALSE,"Assump";#N/A,#N/A,FALSE,"Income";#N/A,#N/A,FALSE,"Balance";#N/A,#N/A,FALSE,"DCF Pump";#N/A,#N/A,FALSE,"Trans Assump";#N/A,#N/A,FALSE,"Combined Income";#N/A,#N/A,FALSE,"Combined Balance"}</definedName>
    <definedName name="wrn.Pump." localSheetId="20" hidden="1">{#N/A,#N/A,FALSE,"Assump";#N/A,#N/A,FALSE,"Income";#N/A,#N/A,FALSE,"Balance";#N/A,#N/A,FALSE,"DCF Pump";#N/A,#N/A,FALSE,"Trans Assump";#N/A,#N/A,FALSE,"Combined Income";#N/A,#N/A,FALSE,"Combined Balance"}</definedName>
    <definedName name="wrn.Pump." localSheetId="21" hidden="1">{#N/A,#N/A,FALSE,"Assump";#N/A,#N/A,FALSE,"Income";#N/A,#N/A,FALSE,"Balance";#N/A,#N/A,FALSE,"DCF Pump";#N/A,#N/A,FALSE,"Trans Assump";#N/A,#N/A,FALSE,"Combined Income";#N/A,#N/A,FALSE,"Combined Balance"}</definedName>
    <definedName name="wrn.Pump." localSheetId="22" hidden="1">{#N/A,#N/A,FALSE,"Assump";#N/A,#N/A,FALSE,"Income";#N/A,#N/A,FALSE,"Balance";#N/A,#N/A,FALSE,"DCF Pump";#N/A,#N/A,FALSE,"Trans Assump";#N/A,#N/A,FALSE,"Combined Income";#N/A,#N/A,FALSE,"Combined Balance"}</definedName>
    <definedName name="wrn.Pump." localSheetId="23" hidden="1">{#N/A,#N/A,FALSE,"Assump";#N/A,#N/A,FALSE,"Income";#N/A,#N/A,FALSE,"Balance";#N/A,#N/A,FALSE,"DCF Pump";#N/A,#N/A,FALSE,"Trans Assump";#N/A,#N/A,FALSE,"Combined Income";#N/A,#N/A,FALSE,"Combined Balance"}</definedName>
    <definedName name="wrn.Pump." localSheetId="24" hidden="1">{#N/A,#N/A,FALSE,"Assump";#N/A,#N/A,FALSE,"Income";#N/A,#N/A,FALSE,"Balance";#N/A,#N/A,FALSE,"DCF Pump";#N/A,#N/A,FALSE,"Trans Assump";#N/A,#N/A,FALSE,"Combined Income";#N/A,#N/A,FALSE,"Combined Balance"}</definedName>
    <definedName name="wrn.Pump." hidden="1">{#N/A,#N/A,FALSE,"Assump";#N/A,#N/A,FALSE,"Income";#N/A,#N/A,FALSE,"Balance";#N/A,#N/A,FALSE,"DCF Pump";#N/A,#N/A,FALSE,"Trans Assump";#N/A,#N/A,FALSE,"Combined Income";#N/A,#N/A,FALSE,"Combined Balance"}</definedName>
    <definedName name="wrn.Q3._.Prof._.Serv._.Summary." localSheetId="16" hidden="1">{"Professional Service Summary",#N/A,FALSE,"Q3 Prof Serv"}</definedName>
    <definedName name="wrn.Q3._.Prof._.Serv._.Summary." localSheetId="20" hidden="1">{"Professional Service Summary",#N/A,FALSE,"Q3 Prof Serv"}</definedName>
    <definedName name="wrn.Q3._.Prof._.Serv._.Summary." localSheetId="21" hidden="1">{"Professional Service Summary",#N/A,FALSE,"Q3 Prof Serv"}</definedName>
    <definedName name="wrn.Q3._.Prof._.Serv._.Summary." localSheetId="22" hidden="1">{"Professional Service Summary",#N/A,FALSE,"Q3 Prof Serv"}</definedName>
    <definedName name="wrn.Q3._.Prof._.Serv._.Summary." localSheetId="23" hidden="1">{"Professional Service Summary",#N/A,FALSE,"Q3 Prof Serv"}</definedName>
    <definedName name="wrn.Q3._.Prof._.Serv._.Summary." localSheetId="24" hidden="1">{"Professional Service Summary",#N/A,FALSE,"Q3 Prof Serv"}</definedName>
    <definedName name="wrn.Q3._.Prof._.Serv._.Summary." hidden="1">{"Professional Service Summary",#N/A,FALSE,"Q3 Prof Serv"}</definedName>
    <definedName name="wrn.Q3._.Professional._.service._.detail." localSheetId="16" hidden="1">{"Professional Service Detail",#N/A,FALSE,"Q3 Prof Serv"}</definedName>
    <definedName name="wrn.Q3._.Professional._.service._.detail." localSheetId="20" hidden="1">{"Professional Service Detail",#N/A,FALSE,"Q3 Prof Serv"}</definedName>
    <definedName name="wrn.Q3._.Professional._.service._.detail." localSheetId="21" hidden="1">{"Professional Service Detail",#N/A,FALSE,"Q3 Prof Serv"}</definedName>
    <definedName name="wrn.Q3._.Professional._.service._.detail." localSheetId="22" hidden="1">{"Professional Service Detail",#N/A,FALSE,"Q3 Prof Serv"}</definedName>
    <definedName name="wrn.Q3._.Professional._.service._.detail." localSheetId="23" hidden="1">{"Professional Service Detail",#N/A,FALSE,"Q3 Prof Serv"}</definedName>
    <definedName name="wrn.Q3._.Professional._.service._.detail." localSheetId="24" hidden="1">{"Professional Service Detail",#N/A,FALSE,"Q3 Prof Serv"}</definedName>
    <definedName name="wrn.Q3._.Professional._.service._.detail." hidden="1">{"Professional Service Detail",#N/A,FALSE,"Q3 Prof Serv"}</definedName>
    <definedName name="wrn.RELEVANTSHEETS." localSheetId="16" hidden="1">{#N/A,#N/A,FALSE,"AD_Purch";#N/A,#N/A,FALSE,"Projections";#N/A,#N/A,FALSE,"DCF";#N/A,#N/A,FALSE,"Mkt Val"}</definedName>
    <definedName name="wrn.RELEVANTSHEETS." localSheetId="20" hidden="1">{#N/A,#N/A,FALSE,"AD_Purch";#N/A,#N/A,FALSE,"Projections";#N/A,#N/A,FALSE,"DCF";#N/A,#N/A,FALSE,"Mkt Val"}</definedName>
    <definedName name="wrn.RELEVANTSHEETS." localSheetId="21" hidden="1">{#N/A,#N/A,FALSE,"AD_Purch";#N/A,#N/A,FALSE,"Projections";#N/A,#N/A,FALSE,"DCF";#N/A,#N/A,FALSE,"Mkt Val"}</definedName>
    <definedName name="wrn.RELEVANTSHEETS." localSheetId="22" hidden="1">{#N/A,#N/A,FALSE,"AD_Purch";#N/A,#N/A,FALSE,"Projections";#N/A,#N/A,FALSE,"DCF";#N/A,#N/A,FALSE,"Mkt Val"}</definedName>
    <definedName name="wrn.RELEVANTSHEETS." localSheetId="23" hidden="1">{#N/A,#N/A,FALSE,"AD_Purch";#N/A,#N/A,FALSE,"Projections";#N/A,#N/A,FALSE,"DCF";#N/A,#N/A,FALSE,"Mkt Val"}</definedName>
    <definedName name="wrn.RELEVANTSHEETS." localSheetId="24" hidden="1">{#N/A,#N/A,FALSE,"AD_Purch";#N/A,#N/A,FALSE,"Projections";#N/A,#N/A,FALSE,"DCF";#N/A,#N/A,FALSE,"Mkt Val"}</definedName>
    <definedName name="wrn.RELEVANTSHEETS." hidden="1">{#N/A,#N/A,FALSE,"AD_Purch";#N/A,#N/A,FALSE,"Projections";#N/A,#N/A,FALSE,"DCF";#N/A,#N/A,FALSE,"Mkt Val"}</definedName>
    <definedName name="wrn.Rmgmtfee." localSheetId="16" hidden="1">{#N/A,#N/A,FALSE,"Rmgmtfee"}</definedName>
    <definedName name="wrn.Rmgmtfee." localSheetId="20" hidden="1">{#N/A,#N/A,FALSE,"Rmgmtfee"}</definedName>
    <definedName name="wrn.Rmgmtfee." localSheetId="21" hidden="1">{#N/A,#N/A,FALSE,"Rmgmtfee"}</definedName>
    <definedName name="wrn.Rmgmtfee." localSheetId="22" hidden="1">{#N/A,#N/A,FALSE,"Rmgmtfee"}</definedName>
    <definedName name="wrn.Rmgmtfee." localSheetId="23" hidden="1">{#N/A,#N/A,FALSE,"Rmgmtfee"}</definedName>
    <definedName name="wrn.Rmgmtfee." localSheetId="24" hidden="1">{#N/A,#N/A,FALSE,"Rmgmtfee"}</definedName>
    <definedName name="wrn.Rmgmtfee." localSheetId="13" hidden="1">{#N/A,#N/A,FALSE,"Rmgmtfee"}</definedName>
    <definedName name="wrn.Rmgmtfee." localSheetId="14" hidden="1">{#N/A,#N/A,FALSE,"Rmgmtfee"}</definedName>
    <definedName name="wrn.Rmgmtfee." hidden="1">{#N/A,#N/A,FALSE,"Rmgmtfee"}</definedName>
    <definedName name="wrn.Rmgmtfee._1" localSheetId="16" hidden="1">{#N/A,#N/A,FALSE,"Rmgmtfee"}</definedName>
    <definedName name="wrn.Rmgmtfee._1" localSheetId="20" hidden="1">{#N/A,#N/A,FALSE,"Rmgmtfee"}</definedName>
    <definedName name="wrn.Rmgmtfee._1" localSheetId="21" hidden="1">{#N/A,#N/A,FALSE,"Rmgmtfee"}</definedName>
    <definedName name="wrn.Rmgmtfee._1" localSheetId="22" hidden="1">{#N/A,#N/A,FALSE,"Rmgmtfee"}</definedName>
    <definedName name="wrn.Rmgmtfee._1" localSheetId="23" hidden="1">{#N/A,#N/A,FALSE,"Rmgmtfee"}</definedName>
    <definedName name="wrn.Rmgmtfee._1" localSheetId="24" hidden="1">{#N/A,#N/A,FALSE,"Rmgmtfee"}</definedName>
    <definedName name="wrn.Rmgmtfee._1" localSheetId="13" hidden="1">{#N/A,#N/A,FALSE,"Rmgmtfee"}</definedName>
    <definedName name="wrn.Rmgmtfee._1" localSheetId="14" hidden="1">{#N/A,#N/A,FALSE,"Rmgmtfee"}</definedName>
    <definedName name="wrn.Rmgmtfee._1" hidden="1">{#N/A,#N/A,FALSE,"Rmgmtfee"}</definedName>
    <definedName name="wrn.schedules." localSheetId="16" hidden="1">{"schedule1",#N/A,FALSE,"Sheet1";"schedule2",#N/A,FALSE,"Sheet1";"schedule3",#N/A,FALSE,"Sheet1";"schedule4",#N/A,FALSE,"Sheet1";"schedule5",#N/A,FALSE,"Sheet1";"schedule6",#N/A,FALSE,"Sheet1"}</definedName>
    <definedName name="wrn.schedules." localSheetId="20" hidden="1">{"schedule1",#N/A,FALSE,"Sheet1";"schedule2",#N/A,FALSE,"Sheet1";"schedule3",#N/A,FALSE,"Sheet1";"schedule4",#N/A,FALSE,"Sheet1";"schedule5",#N/A,FALSE,"Sheet1";"schedule6",#N/A,FALSE,"Sheet1"}</definedName>
    <definedName name="wrn.schedules." localSheetId="21" hidden="1">{"schedule1",#N/A,FALSE,"Sheet1";"schedule2",#N/A,FALSE,"Sheet1";"schedule3",#N/A,FALSE,"Sheet1";"schedule4",#N/A,FALSE,"Sheet1";"schedule5",#N/A,FALSE,"Sheet1";"schedule6",#N/A,FALSE,"Sheet1"}</definedName>
    <definedName name="wrn.schedules." localSheetId="22" hidden="1">{"schedule1",#N/A,FALSE,"Sheet1";"schedule2",#N/A,FALSE,"Sheet1";"schedule3",#N/A,FALSE,"Sheet1";"schedule4",#N/A,FALSE,"Sheet1";"schedule5",#N/A,FALSE,"Sheet1";"schedule6",#N/A,FALSE,"Sheet1"}</definedName>
    <definedName name="wrn.schedules." localSheetId="23" hidden="1">{"schedule1",#N/A,FALSE,"Sheet1";"schedule2",#N/A,FALSE,"Sheet1";"schedule3",#N/A,FALSE,"Sheet1";"schedule4",#N/A,FALSE,"Sheet1";"schedule5",#N/A,FALSE,"Sheet1";"schedule6",#N/A,FALSE,"Sheet1"}</definedName>
    <definedName name="wrn.schedules." localSheetId="24" hidden="1">{"schedule1",#N/A,FALSE,"Sheet1";"schedule2",#N/A,FALSE,"Sheet1";"schedule3",#N/A,FALSE,"Sheet1";"schedule4",#N/A,FALSE,"Sheet1";"schedule5",#N/A,FALSE,"Sheet1";"schedule6",#N/A,FALSE,"Sheet1"}</definedName>
    <definedName name="wrn.schedules." localSheetId="13" hidden="1">{"schedule1",#N/A,FALSE,"Sheet1";"schedule2",#N/A,FALSE,"Sheet1";"schedule3",#N/A,FALSE,"Sheet1";"schedule4",#N/A,FALSE,"Sheet1";"schedule5",#N/A,FALSE,"Sheet1";"schedule6",#N/A,FALSE,"Sheet1"}</definedName>
    <definedName name="wrn.schedules." localSheetId="14" hidden="1">{"schedule1",#N/A,FALSE,"Sheet1";"schedule2",#N/A,FALSE,"Sheet1";"schedule3",#N/A,FALSE,"Sheet1";"schedule4",#N/A,FALSE,"Sheet1";"schedule5",#N/A,FALSE,"Sheet1";"schedule6",#N/A,FALSE,"Sheet1"}</definedName>
    <definedName name="wrn.schedules." hidden="1">{"schedule1",#N/A,FALSE,"Sheet1";"schedule2",#N/A,FALSE,"Sheet1";"schedule3",#N/A,FALSE,"Sheet1";"schedule4",#N/A,FALSE,"Sheet1";"schedule5",#N/A,FALSE,"Sheet1";"schedule6",#N/A,FALSE,"Sheet1"}</definedName>
    <definedName name="wrn.schedules._1" localSheetId="16" hidden="1">{"schedule1",#N/A,FALSE,"Sheet1";"schedule2",#N/A,FALSE,"Sheet1";"schedule3",#N/A,FALSE,"Sheet1";"schedule4",#N/A,FALSE,"Sheet1";"schedule5",#N/A,FALSE,"Sheet1";"schedule6",#N/A,FALSE,"Sheet1"}</definedName>
    <definedName name="wrn.schedules._1" localSheetId="20" hidden="1">{"schedule1",#N/A,FALSE,"Sheet1";"schedule2",#N/A,FALSE,"Sheet1";"schedule3",#N/A,FALSE,"Sheet1";"schedule4",#N/A,FALSE,"Sheet1";"schedule5",#N/A,FALSE,"Sheet1";"schedule6",#N/A,FALSE,"Sheet1"}</definedName>
    <definedName name="wrn.schedules._1" localSheetId="21" hidden="1">{"schedule1",#N/A,FALSE,"Sheet1";"schedule2",#N/A,FALSE,"Sheet1";"schedule3",#N/A,FALSE,"Sheet1";"schedule4",#N/A,FALSE,"Sheet1";"schedule5",#N/A,FALSE,"Sheet1";"schedule6",#N/A,FALSE,"Sheet1"}</definedName>
    <definedName name="wrn.schedules._1" localSheetId="22" hidden="1">{"schedule1",#N/A,FALSE,"Sheet1";"schedule2",#N/A,FALSE,"Sheet1";"schedule3",#N/A,FALSE,"Sheet1";"schedule4",#N/A,FALSE,"Sheet1";"schedule5",#N/A,FALSE,"Sheet1";"schedule6",#N/A,FALSE,"Sheet1"}</definedName>
    <definedName name="wrn.schedules._1" localSheetId="23" hidden="1">{"schedule1",#N/A,FALSE,"Sheet1";"schedule2",#N/A,FALSE,"Sheet1";"schedule3",#N/A,FALSE,"Sheet1";"schedule4",#N/A,FALSE,"Sheet1";"schedule5",#N/A,FALSE,"Sheet1";"schedule6",#N/A,FALSE,"Sheet1"}</definedName>
    <definedName name="wrn.schedules._1" localSheetId="24" hidden="1">{"schedule1",#N/A,FALSE,"Sheet1";"schedule2",#N/A,FALSE,"Sheet1";"schedule3",#N/A,FALSE,"Sheet1";"schedule4",#N/A,FALSE,"Sheet1";"schedule5",#N/A,FALSE,"Sheet1";"schedule6",#N/A,FALSE,"Sheet1"}</definedName>
    <definedName name="wrn.schedules._1" localSheetId="13" hidden="1">{"schedule1",#N/A,FALSE,"Sheet1";"schedule2",#N/A,FALSE,"Sheet1";"schedule3",#N/A,FALSE,"Sheet1";"schedule4",#N/A,FALSE,"Sheet1";"schedule5",#N/A,FALSE,"Sheet1";"schedule6",#N/A,FALSE,"Sheet1"}</definedName>
    <definedName name="wrn.schedules._1" localSheetId="14" hidden="1">{"schedule1",#N/A,FALSE,"Sheet1";"schedule2",#N/A,FALSE,"Sheet1";"schedule3",#N/A,FALSE,"Sheet1";"schedule4",#N/A,FALSE,"Sheet1";"schedule5",#N/A,FALSE,"Sheet1";"schedule6",#N/A,FALSE,"Sheet1"}</definedName>
    <definedName name="wrn.schedules._1" hidden="1">{"schedule1",#N/A,FALSE,"Sheet1";"schedule2",#N/A,FALSE,"Sheet1";"schedule3",#N/A,FALSE,"Sheet1";"schedule4",#N/A,FALSE,"Sheet1";"schedule5",#N/A,FALSE,"Sheet1";"schedule6",#N/A,FALSE,"Sheet1"}</definedName>
    <definedName name="wrn.SPG._.Estimate." localSheetId="16" hidden="1">{#N/A,#N/A,FALSE,"Detail";#N/A,#N/A,FALSE,"Totals"}</definedName>
    <definedName name="wrn.SPG._.Estimate." localSheetId="20" hidden="1">{#N/A,#N/A,FALSE,"Detail";#N/A,#N/A,FALSE,"Totals"}</definedName>
    <definedName name="wrn.SPG._.Estimate." localSheetId="21" hidden="1">{#N/A,#N/A,FALSE,"Detail";#N/A,#N/A,FALSE,"Totals"}</definedName>
    <definedName name="wrn.SPG._.Estimate." localSheetId="22" hidden="1">{#N/A,#N/A,FALSE,"Detail";#N/A,#N/A,FALSE,"Totals"}</definedName>
    <definedName name="wrn.SPG._.Estimate." localSheetId="23" hidden="1">{#N/A,#N/A,FALSE,"Detail";#N/A,#N/A,FALSE,"Totals"}</definedName>
    <definedName name="wrn.SPG._.Estimate." localSheetId="24" hidden="1">{#N/A,#N/A,FALSE,"Detail";#N/A,#N/A,FALSE,"Totals"}</definedName>
    <definedName name="wrn.SPG._.Estimate." localSheetId="13" hidden="1">{#N/A,#N/A,FALSE,"Detail";#N/A,#N/A,FALSE,"Totals"}</definedName>
    <definedName name="wrn.SPG._.Estimate." localSheetId="14" hidden="1">{#N/A,#N/A,FALSE,"Detail";#N/A,#N/A,FALSE,"Totals"}</definedName>
    <definedName name="wrn.SPG._.Estimate." hidden="1">{#N/A,#N/A,FALSE,"Detail";#N/A,#N/A,FALSE,"Totals"}</definedName>
    <definedName name="wrn.SPG._.Estimate._1" localSheetId="16" hidden="1">{#N/A,#N/A,FALSE,"Detail";#N/A,#N/A,FALSE,"Totals"}</definedName>
    <definedName name="wrn.SPG._.Estimate._1" localSheetId="20" hidden="1">{#N/A,#N/A,FALSE,"Detail";#N/A,#N/A,FALSE,"Totals"}</definedName>
    <definedName name="wrn.SPG._.Estimate._1" localSheetId="21" hidden="1">{#N/A,#N/A,FALSE,"Detail";#N/A,#N/A,FALSE,"Totals"}</definedName>
    <definedName name="wrn.SPG._.Estimate._1" localSheetId="22" hidden="1">{#N/A,#N/A,FALSE,"Detail";#N/A,#N/A,FALSE,"Totals"}</definedName>
    <definedName name="wrn.SPG._.Estimate._1" localSheetId="23" hidden="1">{#N/A,#N/A,FALSE,"Detail";#N/A,#N/A,FALSE,"Totals"}</definedName>
    <definedName name="wrn.SPG._.Estimate._1" localSheetId="24" hidden="1">{#N/A,#N/A,FALSE,"Detail";#N/A,#N/A,FALSE,"Totals"}</definedName>
    <definedName name="wrn.SPG._.Estimate._1" localSheetId="13" hidden="1">{#N/A,#N/A,FALSE,"Detail";#N/A,#N/A,FALSE,"Totals"}</definedName>
    <definedName name="wrn.SPG._.Estimate._1" localSheetId="14" hidden="1">{#N/A,#N/A,FALSE,"Detail";#N/A,#N/A,FALSE,"Totals"}</definedName>
    <definedName name="wrn.SPG._.Estimate._1" hidden="1">{#N/A,#N/A,FALSE,"Detail";#N/A,#N/A,FALSE,"Totals"}</definedName>
    <definedName name="wrn.Summary." localSheetId="16" hidden="1">{#N/A,#N/A,TRUE,"Summary";#N/A,#N/A,TRUE,"Unit Mix"}</definedName>
    <definedName name="wrn.Summary." localSheetId="20" hidden="1">{#N/A,#N/A,TRUE,"Summary";#N/A,#N/A,TRUE,"Unit Mix"}</definedName>
    <definedName name="wrn.Summary." localSheetId="21" hidden="1">{#N/A,#N/A,TRUE,"Summary";#N/A,#N/A,TRUE,"Unit Mix"}</definedName>
    <definedName name="wrn.Summary." localSheetId="22" hidden="1">{#N/A,#N/A,TRUE,"Summary";#N/A,#N/A,TRUE,"Unit Mix"}</definedName>
    <definedName name="wrn.Summary." localSheetId="23" hidden="1">{#N/A,#N/A,TRUE,"Summary";#N/A,#N/A,TRUE,"Unit Mix"}</definedName>
    <definedName name="wrn.Summary." localSheetId="24" hidden="1">{#N/A,#N/A,TRUE,"Summary";#N/A,#N/A,TRUE,"Unit Mix"}</definedName>
    <definedName name="wrn.Summary." hidden="1">{#N/A,#N/A,TRUE,"Summary";#N/A,#N/A,TRUE,"Unit Mix"}</definedName>
    <definedName name="wrn.TANASBOURNE._.ONLY." localSheetId="16" hidden="1">{#N/A,#N/A,FALSE,"Expense Comparison"}</definedName>
    <definedName name="wrn.TANASBOURNE._.ONLY." localSheetId="20" hidden="1">{#N/A,#N/A,FALSE,"Expense Comparison"}</definedName>
    <definedName name="wrn.TANASBOURNE._.ONLY." localSheetId="21" hidden="1">{#N/A,#N/A,FALSE,"Expense Comparison"}</definedName>
    <definedName name="wrn.TANASBOURNE._.ONLY." localSheetId="22" hidden="1">{#N/A,#N/A,FALSE,"Expense Comparison"}</definedName>
    <definedName name="wrn.TANASBOURNE._.ONLY." localSheetId="23" hidden="1">{#N/A,#N/A,FALSE,"Expense Comparison"}</definedName>
    <definedName name="wrn.TANASBOURNE._.ONLY." localSheetId="24" hidden="1">{#N/A,#N/A,FALSE,"Expense Comparison"}</definedName>
    <definedName name="wrn.TANASBOURNE._.ONLY." localSheetId="13" hidden="1">{#N/A,#N/A,FALSE,"Expense Comparison"}</definedName>
    <definedName name="wrn.TANASBOURNE._.ONLY." localSheetId="14" hidden="1">{#N/A,#N/A,FALSE,"Expense Comparison"}</definedName>
    <definedName name="wrn.TANASBOURNE._.ONLY." hidden="1">{#N/A,#N/A,FALSE,"Expense Comparison"}</definedName>
    <definedName name="wrn.TANASBOURNE._.ONLY._1" localSheetId="16" hidden="1">{#N/A,#N/A,FALSE,"Expense Comparison"}</definedName>
    <definedName name="wrn.TANASBOURNE._.ONLY._1" localSheetId="20" hidden="1">{#N/A,#N/A,FALSE,"Expense Comparison"}</definedName>
    <definedName name="wrn.TANASBOURNE._.ONLY._1" localSheetId="21" hidden="1">{#N/A,#N/A,FALSE,"Expense Comparison"}</definedName>
    <definedName name="wrn.TANASBOURNE._.ONLY._1" localSheetId="22" hidden="1">{#N/A,#N/A,FALSE,"Expense Comparison"}</definedName>
    <definedName name="wrn.TANASBOURNE._.ONLY._1" localSheetId="23" hidden="1">{#N/A,#N/A,FALSE,"Expense Comparison"}</definedName>
    <definedName name="wrn.TANASBOURNE._.ONLY._1" localSheetId="24" hidden="1">{#N/A,#N/A,FALSE,"Expense Comparison"}</definedName>
    <definedName name="wrn.TANASBOURNE._.ONLY._1" localSheetId="13" hidden="1">{#N/A,#N/A,FALSE,"Expense Comparison"}</definedName>
    <definedName name="wrn.TANASBOURNE._.ONLY._1" localSheetId="14" hidden="1">{#N/A,#N/A,FALSE,"Expense Comparison"}</definedName>
    <definedName name="wrn.TANASBOURNE._.ONLY._1" hidden="1">{#N/A,#N/A,FALSE,"Expense Comparison"}</definedName>
    <definedName name="wrn.Target._.Comparison." localSheetId="16" hidden="1">{"Target Comparison",#N/A,FALSE,"Summary"}</definedName>
    <definedName name="wrn.Target._.Comparison." localSheetId="20" hidden="1">{"Target Comparison",#N/A,FALSE,"Summary"}</definedName>
    <definedName name="wrn.Target._.Comparison." localSheetId="21" hidden="1">{"Target Comparison",#N/A,FALSE,"Summary"}</definedName>
    <definedName name="wrn.Target._.Comparison." localSheetId="22" hidden="1">{"Target Comparison",#N/A,FALSE,"Summary"}</definedName>
    <definedName name="wrn.Target._.Comparison." localSheetId="23" hidden="1">{"Target Comparison",#N/A,FALSE,"Summary"}</definedName>
    <definedName name="wrn.Target._.Comparison." localSheetId="24" hidden="1">{"Target Comparison",#N/A,FALSE,"Summary"}</definedName>
    <definedName name="wrn.Target._.Comparison." hidden="1">{"Target Comparison",#N/A,FALSE,"Summary"}</definedName>
    <definedName name="wrn.TOOL." localSheetId="16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" localSheetId="20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" localSheetId="21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" localSheetId="22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" localSheetId="23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" localSheetId="24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tal." localSheetId="16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" localSheetId="20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" localSheetId="21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" localSheetId="22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" localSheetId="23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" localSheetId="24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ransPrcd_123." localSheetId="16" hidden="1">{#N/A,#N/A,TRUE,"TransPrcd 1";#N/A,#N/A,TRUE,"TransPrcd 2";#N/A,#N/A,TRUE,"TransPrcd 3"}</definedName>
    <definedName name="wrn.TransPrcd_123." localSheetId="20" hidden="1">{#N/A,#N/A,TRUE,"TransPrcd 1";#N/A,#N/A,TRUE,"TransPrcd 2";#N/A,#N/A,TRUE,"TransPrcd 3"}</definedName>
    <definedName name="wrn.TransPrcd_123." localSheetId="21" hidden="1">{#N/A,#N/A,TRUE,"TransPrcd 1";#N/A,#N/A,TRUE,"TransPrcd 2";#N/A,#N/A,TRUE,"TransPrcd 3"}</definedName>
    <definedName name="wrn.TransPrcd_123." localSheetId="22" hidden="1">{#N/A,#N/A,TRUE,"TransPrcd 1";#N/A,#N/A,TRUE,"TransPrcd 2";#N/A,#N/A,TRUE,"TransPrcd 3"}</definedName>
    <definedName name="wrn.TransPrcd_123." localSheetId="23" hidden="1">{#N/A,#N/A,TRUE,"TransPrcd 1";#N/A,#N/A,TRUE,"TransPrcd 2";#N/A,#N/A,TRUE,"TransPrcd 3"}</definedName>
    <definedName name="wrn.TransPrcd_123." localSheetId="24" hidden="1">{#N/A,#N/A,TRUE,"TransPrcd 1";#N/A,#N/A,TRUE,"TransPrcd 2";#N/A,#N/A,TRUE,"TransPrcd 3"}</definedName>
    <definedName name="wrn.TransPrcd_123." hidden="1">{#N/A,#N/A,TRUE,"TransPrcd 1";#N/A,#N/A,TRUE,"TransPrcd 2";#N/A,#N/A,TRUE,"TransPrcd 3"}</definedName>
    <definedName name="wrn.Tycon._.Model." localSheetId="16" hidden="1">{"rtn",#N/A,FALSE,"RTN";"tables",#N/A,FALSE,"RTN";"cf",#N/A,FALSE,"CF";"stats",#N/A,FALSE,"Stats";"prop",#N/A,FALSE,"Prop"}</definedName>
    <definedName name="wrn.Tycon._.Model." localSheetId="20" hidden="1">{"rtn",#N/A,FALSE,"RTN";"tables",#N/A,FALSE,"RTN";"cf",#N/A,FALSE,"CF";"stats",#N/A,FALSE,"Stats";"prop",#N/A,FALSE,"Prop"}</definedName>
    <definedName name="wrn.Tycon._.Model." localSheetId="21" hidden="1">{"rtn",#N/A,FALSE,"RTN";"tables",#N/A,FALSE,"RTN";"cf",#N/A,FALSE,"CF";"stats",#N/A,FALSE,"Stats";"prop",#N/A,FALSE,"Prop"}</definedName>
    <definedName name="wrn.Tycon._.Model." localSheetId="22" hidden="1">{"rtn",#N/A,FALSE,"RTN";"tables",#N/A,FALSE,"RTN";"cf",#N/A,FALSE,"CF";"stats",#N/A,FALSE,"Stats";"prop",#N/A,FALSE,"Prop"}</definedName>
    <definedName name="wrn.Tycon._.Model." localSheetId="23" hidden="1">{"rtn",#N/A,FALSE,"RTN";"tables",#N/A,FALSE,"RTN";"cf",#N/A,FALSE,"CF";"stats",#N/A,FALSE,"Stats";"prop",#N/A,FALSE,"Prop"}</definedName>
    <definedName name="wrn.Tycon._.Model." localSheetId="24" hidden="1">{"rtn",#N/A,FALSE,"RTN";"tables",#N/A,FALSE,"RTN";"cf",#N/A,FALSE,"CF";"stats",#N/A,FALSE,"Stats";"prop",#N/A,FALSE,"Prop"}</definedName>
    <definedName name="wrn.Tycon._.Model." localSheetId="13" hidden="1">{"rtn",#N/A,FALSE,"RTN";"tables",#N/A,FALSE,"RTN";"cf",#N/A,FALSE,"CF";"stats",#N/A,FALSE,"Stats";"prop",#N/A,FALSE,"Prop"}</definedName>
    <definedName name="wrn.Tycon._.Model." localSheetId="14" hidden="1">{"rtn",#N/A,FALSE,"RTN";"tables",#N/A,FALSE,"RTN";"cf",#N/A,FALSE,"CF";"stats",#N/A,FALSE,"Stats";"prop",#N/A,FALSE,"Prop"}</definedName>
    <definedName name="wrn.Tycon._.Model." hidden="1">{"rtn",#N/A,FALSE,"RTN";"tables",#N/A,FALSE,"RTN";"cf",#N/A,FALSE,"CF";"stats",#N/A,FALSE,"Stats";"prop",#N/A,FALSE,"Prop"}</definedName>
    <definedName name="wrn.Tycon._.Model._1" localSheetId="16" hidden="1">{"rtn",#N/A,FALSE,"RTN";"tables",#N/A,FALSE,"RTN";"cf",#N/A,FALSE,"CF";"stats",#N/A,FALSE,"Stats";"prop",#N/A,FALSE,"Prop"}</definedName>
    <definedName name="wrn.Tycon._.Model._1" localSheetId="20" hidden="1">{"rtn",#N/A,FALSE,"RTN";"tables",#N/A,FALSE,"RTN";"cf",#N/A,FALSE,"CF";"stats",#N/A,FALSE,"Stats";"prop",#N/A,FALSE,"Prop"}</definedName>
    <definedName name="wrn.Tycon._.Model._1" localSheetId="21" hidden="1">{"rtn",#N/A,FALSE,"RTN";"tables",#N/A,FALSE,"RTN";"cf",#N/A,FALSE,"CF";"stats",#N/A,FALSE,"Stats";"prop",#N/A,FALSE,"Prop"}</definedName>
    <definedName name="wrn.Tycon._.Model._1" localSheetId="22" hidden="1">{"rtn",#N/A,FALSE,"RTN";"tables",#N/A,FALSE,"RTN";"cf",#N/A,FALSE,"CF";"stats",#N/A,FALSE,"Stats";"prop",#N/A,FALSE,"Prop"}</definedName>
    <definedName name="wrn.Tycon._.Model._1" localSheetId="23" hidden="1">{"rtn",#N/A,FALSE,"RTN";"tables",#N/A,FALSE,"RTN";"cf",#N/A,FALSE,"CF";"stats",#N/A,FALSE,"Stats";"prop",#N/A,FALSE,"Prop"}</definedName>
    <definedName name="wrn.Tycon._.Model._1" localSheetId="24" hidden="1">{"rtn",#N/A,FALSE,"RTN";"tables",#N/A,FALSE,"RTN";"cf",#N/A,FALSE,"CF";"stats",#N/A,FALSE,"Stats";"prop",#N/A,FALSE,"Prop"}</definedName>
    <definedName name="wrn.Tycon._.Model._1" localSheetId="13" hidden="1">{"rtn",#N/A,FALSE,"RTN";"tables",#N/A,FALSE,"RTN";"cf",#N/A,FALSE,"CF";"stats",#N/A,FALSE,"Stats";"prop",#N/A,FALSE,"Prop"}</definedName>
    <definedName name="wrn.Tycon._.Model._1" localSheetId="14" hidden="1">{"rtn",#N/A,FALSE,"RTN";"tables",#N/A,FALSE,"RTN";"cf",#N/A,FALSE,"CF";"stats",#N/A,FALSE,"Stats";"prop",#N/A,FALSE,"Prop"}</definedName>
    <definedName name="wrn.Tycon._.Model._1" hidden="1">{"rtn",#N/A,FALSE,"RTN";"tables",#N/A,FALSE,"RTN";"cf",#N/A,FALSE,"CF";"stats",#N/A,FALSE,"Stats";"prop",#N/A,FALSE,"Prop"}</definedName>
    <definedName name="wrn.VALUATION." localSheetId="16" hidden="1">{#N/A,#N/A,FALSE,"Pooling";#N/A,#N/A,FALSE,"income";#N/A,#N/A,FALSE,"valuation"}</definedName>
    <definedName name="wrn.VALUATION." localSheetId="20" hidden="1">{#N/A,#N/A,FALSE,"Pooling";#N/A,#N/A,FALSE,"income";#N/A,#N/A,FALSE,"valuation"}</definedName>
    <definedName name="wrn.VALUATION." localSheetId="21" hidden="1">{#N/A,#N/A,FALSE,"Pooling";#N/A,#N/A,FALSE,"income";#N/A,#N/A,FALSE,"valuation"}</definedName>
    <definedName name="wrn.VALUATION." localSheetId="22" hidden="1">{#N/A,#N/A,FALSE,"Pooling";#N/A,#N/A,FALSE,"income";#N/A,#N/A,FALSE,"valuation"}</definedName>
    <definedName name="wrn.VALUATION." localSheetId="23" hidden="1">{#N/A,#N/A,FALSE,"Pooling";#N/A,#N/A,FALSE,"income";#N/A,#N/A,FALSE,"valuation"}</definedName>
    <definedName name="wrn.VALUATION." localSheetId="24" hidden="1">{#N/A,#N/A,FALSE,"Pooling";#N/A,#N/A,FALSE,"income";#N/A,#N/A,FALSE,"valuation"}</definedName>
    <definedName name="wrn.VALUATION." hidden="1">{#N/A,#N/A,FALSE,"Pooling";#N/A,#N/A,FALSE,"income";#N/A,#N/A,FALSE,"valuation"}</definedName>
    <definedName name="wrn.wicor." localSheetId="16" hidden="1">{#N/A,#N/A,FALSE,"FACTSHEETS";#N/A,#N/A,FALSE,"pump";#N/A,#N/A,FALSE,"filter"}</definedName>
    <definedName name="wrn.wicor." localSheetId="20" hidden="1">{#N/A,#N/A,FALSE,"FACTSHEETS";#N/A,#N/A,FALSE,"pump";#N/A,#N/A,FALSE,"filter"}</definedName>
    <definedName name="wrn.wicor." localSheetId="21" hidden="1">{#N/A,#N/A,FALSE,"FACTSHEETS";#N/A,#N/A,FALSE,"pump";#N/A,#N/A,FALSE,"filter"}</definedName>
    <definedName name="wrn.wicor." localSheetId="22" hidden="1">{#N/A,#N/A,FALSE,"FACTSHEETS";#N/A,#N/A,FALSE,"pump";#N/A,#N/A,FALSE,"filter"}</definedName>
    <definedName name="wrn.wicor." localSheetId="23" hidden="1">{#N/A,#N/A,FALSE,"FACTSHEETS";#N/A,#N/A,FALSE,"pump";#N/A,#N/A,FALSE,"filter"}</definedName>
    <definedName name="wrn.wicor." localSheetId="24" hidden="1">{#N/A,#N/A,FALSE,"FACTSHEETS";#N/A,#N/A,FALSE,"pump";#N/A,#N/A,FALSE,"filter"}</definedName>
    <definedName name="wrn.wicor." hidden="1">{#N/A,#N/A,FALSE,"FACTSHEETS";#N/A,#N/A,FALSE,"pump";#N/A,#N/A,FALSE,"filter"}</definedName>
    <definedName name="wvu.inputs._.raw._.data." localSheetId="16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" localSheetId="2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" localSheetId="2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" localSheetId="22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" localSheetId="23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" localSheetId="24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summary1." localSheetId="16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" localSheetId="2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" localSheetId="2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" localSheetId="22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" localSheetId="23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" localSheetId="24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2." localSheetId="16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" localSheetId="2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" localSheetId="2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" localSheetId="22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" localSheetId="23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" localSheetId="24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3." localSheetId="16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" localSheetId="2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" localSheetId="2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" localSheetId="22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" localSheetId="23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" localSheetId="24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</definedNames>
  <calcPr calcId="191029" calcMode="autoNoTable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7" i="17" l="1"/>
  <c r="C46" i="17"/>
  <c r="C5" i="7"/>
  <c r="C13" i="55" l="1"/>
  <c r="F48" i="1"/>
  <c r="C48" i="1"/>
  <c r="O4" i="57"/>
  <c r="C18" i="1"/>
  <c r="N7" i="1"/>
  <c r="K15" i="1"/>
  <c r="K7" i="1"/>
  <c r="K11" i="1"/>
  <c r="AF8" i="1" s="1"/>
  <c r="G4" i="8"/>
  <c r="I52" i="1" l="1"/>
  <c r="D68" i="56" l="1"/>
  <c r="D52" i="56"/>
  <c r="D36" i="56"/>
  <c r="D4" i="56"/>
  <c r="D20" i="56"/>
  <c r="D4" i="17"/>
  <c r="C48" i="7" l="1"/>
  <c r="C27" i="9" l="1"/>
  <c r="C7" i="57"/>
  <c r="O9" i="57" l="1"/>
  <c r="D3" i="57"/>
  <c r="E3" i="57" s="1"/>
  <c r="F3" i="57" s="1"/>
  <c r="G3" i="57" s="1"/>
  <c r="H3" i="57" s="1"/>
  <c r="I3" i="57" s="1"/>
  <c r="J3" i="57" s="1"/>
  <c r="K3" i="57" s="1"/>
  <c r="L3" i="57" s="1"/>
  <c r="K4" i="9"/>
  <c r="K5" i="9" s="1"/>
  <c r="K6" i="9" s="1"/>
  <c r="K7" i="9" s="1"/>
  <c r="K8" i="9" s="1"/>
  <c r="C8" i="57" l="1"/>
  <c r="C9" i="57" s="1"/>
  <c r="L3" i="9" s="1"/>
  <c r="C33" i="9" l="1"/>
  <c r="C5" i="55" l="1"/>
  <c r="N62" i="7" l="1"/>
  <c r="X7" i="22" l="1"/>
  <c r="O69" i="7" l="1"/>
  <c r="P69" i="7"/>
  <c r="P16" i="7"/>
  <c r="P15" i="7"/>
  <c r="P14" i="7"/>
  <c r="P13" i="7"/>
  <c r="P12" i="7"/>
  <c r="P20" i="7"/>
  <c r="P19" i="7"/>
  <c r="P18" i="7"/>
  <c r="P36" i="7"/>
  <c r="P35" i="7"/>
  <c r="P34" i="7"/>
  <c r="P33" i="7"/>
  <c r="P32" i="7"/>
  <c r="P31" i="7"/>
  <c r="P30" i="7"/>
  <c r="O68" i="7"/>
  <c r="P68" i="7" s="1"/>
  <c r="N17" i="7"/>
  <c r="O65" i="7"/>
  <c r="P65" i="7" s="1"/>
  <c r="P50" i="7"/>
  <c r="P49" i="7"/>
  <c r="P53" i="7"/>
  <c r="P52" i="7"/>
  <c r="P55" i="7"/>
  <c r="O11" i="7"/>
  <c r="P11" i="7" s="1"/>
  <c r="O40" i="7"/>
  <c r="P40" i="7" s="1"/>
  <c r="P58" i="7"/>
  <c r="P61" i="7"/>
  <c r="N61" i="7"/>
  <c r="P59" i="7"/>
  <c r="N59" i="7"/>
  <c r="P24" i="7"/>
  <c r="P10" i="7"/>
  <c r="P23" i="7"/>
  <c r="N23" i="7"/>
  <c r="P17" i="7"/>
  <c r="P9" i="7"/>
  <c r="N9" i="7"/>
  <c r="N52" i="7"/>
  <c r="N53" i="7"/>
  <c r="N55" i="7"/>
  <c r="P5" i="7"/>
  <c r="N5" i="7"/>
  <c r="N65" i="7"/>
  <c r="P60" i="7"/>
  <c r="N60" i="7"/>
  <c r="N57" i="7"/>
  <c r="N56" i="7"/>
  <c r="N39" i="7"/>
  <c r="N29" i="7"/>
  <c r="P57" i="7"/>
  <c r="P56" i="7"/>
  <c r="P39" i="7"/>
  <c r="P29" i="7"/>
  <c r="B50" i="16"/>
  <c r="B50" i="15"/>
  <c r="G47" i="1" s="1"/>
  <c r="CP47" i="10"/>
  <c r="CO47" i="10"/>
  <c r="CN47" i="10"/>
  <c r="CM47" i="10"/>
  <c r="CL47" i="10"/>
  <c r="CK47" i="10"/>
  <c r="CJ47" i="10"/>
  <c r="O4" i="9"/>
  <c r="O5" i="9" s="1"/>
  <c r="O6" i="9" s="1"/>
  <c r="O7" i="9" s="1"/>
  <c r="O8" i="9" s="1"/>
  <c r="F4" i="22"/>
  <c r="H4" i="22" s="1"/>
  <c r="J4" i="22" s="1"/>
  <c r="L4" i="22" s="1"/>
  <c r="N4" i="22" s="1"/>
  <c r="P4" i="22" s="1"/>
  <c r="R4" i="22" s="1"/>
  <c r="T4" i="22" s="1"/>
  <c r="V4" i="22" s="1"/>
  <c r="X4" i="22" s="1"/>
  <c r="B31" i="16"/>
  <c r="B31" i="15"/>
  <c r="B32" i="15"/>
  <c r="AA28" i="10"/>
  <c r="Z28" i="10"/>
  <c r="Y28" i="10"/>
  <c r="X28" i="10"/>
  <c r="W28" i="10"/>
  <c r="V28" i="10"/>
  <c r="U28" i="10"/>
  <c r="T28" i="10"/>
  <c r="S28" i="10"/>
  <c r="R28" i="10"/>
  <c r="Q28" i="10"/>
  <c r="P28" i="10"/>
  <c r="B28" i="10"/>
  <c r="C51" i="7"/>
  <c r="C9" i="7"/>
  <c r="D28" i="8"/>
  <c r="E27" i="8"/>
  <c r="G27" i="8" s="1"/>
  <c r="I27" i="8" s="1"/>
  <c r="K27" i="8" s="1"/>
  <c r="M27" i="8" s="1"/>
  <c r="D27" i="8"/>
  <c r="E26" i="8"/>
  <c r="G26" i="8" s="1"/>
  <c r="I26" i="8" s="1"/>
  <c r="K26" i="8" s="1"/>
  <c r="M26" i="8" s="1"/>
  <c r="D26" i="8"/>
  <c r="E25" i="8"/>
  <c r="G25" i="8" s="1"/>
  <c r="I25" i="8" s="1"/>
  <c r="K25" i="8" s="1"/>
  <c r="M25" i="8" s="1"/>
  <c r="D25" i="8"/>
  <c r="D24" i="8"/>
  <c r="E23" i="8"/>
  <c r="G23" i="8" s="1"/>
  <c r="I23" i="8" s="1"/>
  <c r="K23" i="8" s="1"/>
  <c r="M23" i="8" s="1"/>
  <c r="D23" i="8"/>
  <c r="E22" i="8"/>
  <c r="G22" i="8" s="1"/>
  <c r="I22" i="8" s="1"/>
  <c r="K22" i="8" s="1"/>
  <c r="M22" i="8" s="1"/>
  <c r="D22" i="8"/>
  <c r="E21" i="8"/>
  <c r="G21" i="8" s="1"/>
  <c r="D21" i="8"/>
  <c r="F13" i="8"/>
  <c r="C13" i="8"/>
  <c r="B13" i="8"/>
  <c r="B28" i="8" s="1"/>
  <c r="G12" i="8"/>
  <c r="F12" i="8"/>
  <c r="C12" i="8"/>
  <c r="B12" i="8"/>
  <c r="B27" i="8" s="1"/>
  <c r="G11" i="8"/>
  <c r="F11" i="8"/>
  <c r="C11" i="8"/>
  <c r="B11" i="8"/>
  <c r="B26" i="8" s="1"/>
  <c r="G10" i="8"/>
  <c r="F10" i="8"/>
  <c r="C10" i="8"/>
  <c r="B10" i="8"/>
  <c r="B25" i="8" s="1"/>
  <c r="F9" i="8"/>
  <c r="C9" i="8"/>
  <c r="B9" i="8"/>
  <c r="B24" i="8" s="1"/>
  <c r="G8" i="8"/>
  <c r="F8" i="8"/>
  <c r="C8" i="8"/>
  <c r="B8" i="8"/>
  <c r="B23" i="8" s="1"/>
  <c r="G7" i="8"/>
  <c r="F7" i="8"/>
  <c r="C7" i="8"/>
  <c r="B7" i="8"/>
  <c r="B22" i="8" s="1"/>
  <c r="G6" i="8"/>
  <c r="F6" i="8"/>
  <c r="C6" i="8"/>
  <c r="B6" i="8"/>
  <c r="B21" i="8" s="1"/>
  <c r="L6" i="8"/>
  <c r="C21" i="8" s="1"/>
  <c r="D12" i="8"/>
  <c r="L11" i="8"/>
  <c r="C26" i="8" s="1"/>
  <c r="L10" i="8"/>
  <c r="C25" i="8" s="1"/>
  <c r="H8" i="8"/>
  <c r="B28" i="16"/>
  <c r="B28" i="15"/>
  <c r="C39" i="1"/>
  <c r="AA25" i="10"/>
  <c r="Z25" i="10"/>
  <c r="Y25" i="10"/>
  <c r="X25" i="10"/>
  <c r="W25" i="10"/>
  <c r="V25" i="10"/>
  <c r="U25" i="10"/>
  <c r="T25" i="10"/>
  <c r="S25" i="10"/>
  <c r="R25" i="10"/>
  <c r="Q25" i="10"/>
  <c r="P25" i="10"/>
  <c r="B25" i="10"/>
  <c r="C39" i="7"/>
  <c r="C29" i="7"/>
  <c r="C17" i="7"/>
  <c r="C27" i="1" s="1"/>
  <c r="Q73" i="52"/>
  <c r="Q67" i="52"/>
  <c r="Q73" i="51"/>
  <c r="Q67" i="51"/>
  <c r="Q73" i="50"/>
  <c r="Q67" i="50"/>
  <c r="Q73" i="49"/>
  <c r="Q73" i="48"/>
  <c r="CP4" i="10"/>
  <c r="CO4" i="10"/>
  <c r="CN4" i="10"/>
  <c r="CM4" i="10"/>
  <c r="CL4" i="10"/>
  <c r="CK4" i="10"/>
  <c r="CJ4" i="10"/>
  <c r="CI4" i="10"/>
  <c r="CH4" i="10"/>
  <c r="CG4" i="10"/>
  <c r="CF4" i="10"/>
  <c r="CE4" i="10"/>
  <c r="CD4" i="10"/>
  <c r="CC4" i="10"/>
  <c r="CB4" i="10"/>
  <c r="CA4" i="10"/>
  <c r="BZ4" i="10"/>
  <c r="BY4" i="10"/>
  <c r="BX4" i="10"/>
  <c r="B30" i="52"/>
  <c r="C31" i="52" s="1"/>
  <c r="B30" i="51"/>
  <c r="C31" i="51" s="1"/>
  <c r="B30" i="50"/>
  <c r="C31" i="50" s="1"/>
  <c r="B30" i="49"/>
  <c r="C31" i="49" s="1"/>
  <c r="B30" i="48"/>
  <c r="C31" i="48" s="1"/>
  <c r="B54" i="52"/>
  <c r="B53" i="52"/>
  <c r="B59" i="52"/>
  <c r="B38" i="16"/>
  <c r="B37" i="16"/>
  <c r="B36" i="16"/>
  <c r="B34" i="16"/>
  <c r="B33" i="16"/>
  <c r="B32" i="16"/>
  <c r="B30" i="16"/>
  <c r="B29" i="16"/>
  <c r="B38" i="15"/>
  <c r="B37" i="15"/>
  <c r="B36" i="15"/>
  <c r="B34" i="15"/>
  <c r="B33" i="15"/>
  <c r="B30" i="15"/>
  <c r="B29" i="15"/>
  <c r="B35" i="10"/>
  <c r="B34" i="10"/>
  <c r="B33" i="10"/>
  <c r="B31" i="10"/>
  <c r="B30" i="10"/>
  <c r="B29" i="10"/>
  <c r="B27" i="10"/>
  <c r="B26" i="10"/>
  <c r="Z15" i="10"/>
  <c r="F32" i="1"/>
  <c r="D9" i="14" s="1"/>
  <c r="C38" i="1"/>
  <c r="X15" i="10"/>
  <c r="P15" i="10"/>
  <c r="AA15" i="10"/>
  <c r="T15" i="10"/>
  <c r="S15" i="10"/>
  <c r="W15" i="10"/>
  <c r="Q15" i="10"/>
  <c r="U15" i="10"/>
  <c r="Y15" i="10"/>
  <c r="R15" i="10"/>
  <c r="V15" i="10"/>
  <c r="D20" i="8"/>
  <c r="F5" i="8"/>
  <c r="C5" i="8"/>
  <c r="F4" i="8"/>
  <c r="D4" i="8"/>
  <c r="C4" i="8"/>
  <c r="B5" i="8"/>
  <c r="B20" i="8" s="1"/>
  <c r="B4" i="8"/>
  <c r="B19" i="8" s="1"/>
  <c r="J16" i="1"/>
  <c r="C28" i="1"/>
  <c r="C7" i="7"/>
  <c r="C25" i="1" s="1"/>
  <c r="C34" i="1"/>
  <c r="N60" i="13"/>
  <c r="L61" i="13"/>
  <c r="N61" i="13" s="1"/>
  <c r="J61" i="13"/>
  <c r="D4" i="13"/>
  <c r="G7" i="13" s="1"/>
  <c r="BT8" i="49"/>
  <c r="BT8" i="50"/>
  <c r="BT8" i="51" s="1"/>
  <c r="CF8" i="52" s="1"/>
  <c r="BT7" i="49"/>
  <c r="BT6" i="49"/>
  <c r="BT6" i="50" s="1"/>
  <c r="BT6" i="51" s="1"/>
  <c r="CF6" i="52" s="1"/>
  <c r="BT4" i="49"/>
  <c r="BT4" i="50" s="1"/>
  <c r="BT4" i="51" s="1"/>
  <c r="CF4" i="52" s="1"/>
  <c r="CC8" i="52"/>
  <c r="CD8" i="52" s="1"/>
  <c r="BQ8" i="51"/>
  <c r="BR8" i="51" s="1"/>
  <c r="BQ8" i="50"/>
  <c r="C61" i="50" s="1"/>
  <c r="C62" i="50" s="1"/>
  <c r="BQ8" i="49"/>
  <c r="CC7" i="52"/>
  <c r="C53" i="52" s="1"/>
  <c r="C54" i="52" s="1"/>
  <c r="BQ7" i="51"/>
  <c r="BQ7" i="50"/>
  <c r="C53" i="50" s="1"/>
  <c r="C54" i="50" s="1"/>
  <c r="BQ7" i="49"/>
  <c r="C46" i="49" s="1"/>
  <c r="C47" i="49" s="1"/>
  <c r="CC6" i="52"/>
  <c r="BQ6" i="51"/>
  <c r="C40" i="51" s="1"/>
  <c r="C41" i="51" s="1"/>
  <c r="BQ6" i="50"/>
  <c r="C40" i="50" s="1"/>
  <c r="C41" i="50" s="1"/>
  <c r="BQ6" i="49"/>
  <c r="BR6" i="49" s="1"/>
  <c r="CC4" i="52"/>
  <c r="CD4" i="52" s="1"/>
  <c r="BQ4" i="51"/>
  <c r="BQ4" i="50"/>
  <c r="BQ4" i="49"/>
  <c r="BR4" i="49" s="1"/>
  <c r="BQ8" i="48"/>
  <c r="C61" i="48" s="1"/>
  <c r="BQ7" i="48"/>
  <c r="BQ6" i="48"/>
  <c r="C40" i="48" s="1"/>
  <c r="C41" i="48" s="1"/>
  <c r="BQ4" i="48"/>
  <c r="BR4" i="48" s="1"/>
  <c r="E21" i="1"/>
  <c r="E19" i="1"/>
  <c r="E17" i="1"/>
  <c r="BS8" i="48"/>
  <c r="BS8" i="49"/>
  <c r="BS8" i="50"/>
  <c r="BS8" i="51"/>
  <c r="CE8" i="52"/>
  <c r="CE7" i="52"/>
  <c r="CI7" i="52" s="1"/>
  <c r="BS7" i="51"/>
  <c r="BS7" i="50"/>
  <c r="BV7" i="50" s="1"/>
  <c r="BS7" i="49"/>
  <c r="BS7" i="48"/>
  <c r="BW7" i="48" s="1"/>
  <c r="BS6" i="48"/>
  <c r="BS6" i="49"/>
  <c r="BW6" i="49" s="1"/>
  <c r="BS6" i="50"/>
  <c r="BS6" i="51"/>
  <c r="BV6" i="51" s="1"/>
  <c r="CE6" i="52"/>
  <c r="CH6" i="52" s="1"/>
  <c r="CE4" i="52"/>
  <c r="BS4" i="51"/>
  <c r="BS4" i="50"/>
  <c r="BS4" i="49"/>
  <c r="BS4" i="48"/>
  <c r="C17" i="52"/>
  <c r="C18" i="52" s="1"/>
  <c r="C17" i="51"/>
  <c r="B70" i="51" s="1"/>
  <c r="B73" i="51" s="1"/>
  <c r="C17" i="50"/>
  <c r="B70" i="50" s="1"/>
  <c r="B73" i="50" s="1"/>
  <c r="C17" i="49"/>
  <c r="B70" i="49" s="1"/>
  <c r="B73" i="49" s="1"/>
  <c r="C17" i="48"/>
  <c r="B70" i="48" s="1"/>
  <c r="B73" i="48" s="1"/>
  <c r="E10" i="1"/>
  <c r="C18" i="29" s="1"/>
  <c r="H4" i="9"/>
  <c r="H5" i="9" s="1"/>
  <c r="H6" i="9" s="1"/>
  <c r="H7" i="9" s="1"/>
  <c r="H8" i="9" s="1"/>
  <c r="R2" i="1"/>
  <c r="BW4" i="10"/>
  <c r="BU4" i="10"/>
  <c r="BT4" i="10"/>
  <c r="BS4" i="10"/>
  <c r="BQ4" i="10"/>
  <c r="BP4" i="10"/>
  <c r="BO4" i="10"/>
  <c r="BM4" i="10"/>
  <c r="BL4" i="10"/>
  <c r="K29" i="1"/>
  <c r="M29" i="1" s="1"/>
  <c r="O29" i="1" s="1"/>
  <c r="Q29" i="1" s="1"/>
  <c r="M28" i="1"/>
  <c r="O28" i="1" s="1"/>
  <c r="Q28" i="1" s="1"/>
  <c r="BV4" i="10"/>
  <c r="M24" i="1"/>
  <c r="O24" i="1" s="1"/>
  <c r="Q24" i="1" s="1"/>
  <c r="M23" i="1"/>
  <c r="O23" i="1" s="1"/>
  <c r="Q23" i="1" s="1"/>
  <c r="B75" i="17"/>
  <c r="B74" i="17"/>
  <c r="B73" i="17"/>
  <c r="B70" i="17"/>
  <c r="B70" i="52"/>
  <c r="B73" i="52" s="1"/>
  <c r="B43" i="52"/>
  <c r="B37" i="52"/>
  <c r="CI6" i="52"/>
  <c r="BN4" i="10"/>
  <c r="BR4" i="10"/>
  <c r="E19" i="8"/>
  <c r="G19" i="8" s="1"/>
  <c r="I19" i="8" s="1"/>
  <c r="K19" i="8" s="1"/>
  <c r="M19" i="8" s="1"/>
  <c r="C61" i="51"/>
  <c r="C62" i="51" s="1"/>
  <c r="B59" i="51"/>
  <c r="B54" i="51"/>
  <c r="C53" i="51"/>
  <c r="C54" i="51" s="1"/>
  <c r="B53" i="51"/>
  <c r="C46" i="51"/>
  <c r="C47" i="51" s="1"/>
  <c r="C18" i="51"/>
  <c r="BW7" i="51"/>
  <c r="BV7" i="51"/>
  <c r="BR7" i="51"/>
  <c r="B43" i="51"/>
  <c r="B37" i="51"/>
  <c r="BR4" i="51"/>
  <c r="B59" i="50"/>
  <c r="B54" i="50"/>
  <c r="B53" i="50"/>
  <c r="C18" i="50"/>
  <c r="B43" i="50"/>
  <c r="BW6" i="50"/>
  <c r="BV6" i="50"/>
  <c r="B37" i="50"/>
  <c r="BR4" i="50"/>
  <c r="B59" i="49"/>
  <c r="B54" i="49"/>
  <c r="C53" i="49"/>
  <c r="C54" i="49" s="1"/>
  <c r="B53" i="49"/>
  <c r="B43" i="49"/>
  <c r="BV6" i="49"/>
  <c r="B37" i="49"/>
  <c r="B54" i="48"/>
  <c r="C53" i="48"/>
  <c r="C54" i="48" s="1"/>
  <c r="B53" i="48"/>
  <c r="C46" i="48"/>
  <c r="C47" i="48" s="1"/>
  <c r="B43" i="48"/>
  <c r="B59" i="48"/>
  <c r="BR7" i="48"/>
  <c r="BW6" i="48"/>
  <c r="BV6" i="48"/>
  <c r="BR6" i="48"/>
  <c r="B37" i="48"/>
  <c r="K30" i="1"/>
  <c r="M30" i="1" s="1"/>
  <c r="O30" i="1" s="1"/>
  <c r="Y35" i="10"/>
  <c r="S31" i="10"/>
  <c r="W31" i="10"/>
  <c r="AA31" i="10"/>
  <c r="W27" i="10"/>
  <c r="S35" i="10"/>
  <c r="R27" i="10"/>
  <c r="V27" i="10"/>
  <c r="Z27" i="10"/>
  <c r="R31" i="10"/>
  <c r="V31" i="10"/>
  <c r="Z31" i="10"/>
  <c r="R35" i="10"/>
  <c r="V35" i="10"/>
  <c r="Z35" i="10"/>
  <c r="S27" i="10"/>
  <c r="W35" i="10"/>
  <c r="P27" i="10"/>
  <c r="T27" i="10"/>
  <c r="X27" i="10"/>
  <c r="P31" i="10"/>
  <c r="T31" i="10"/>
  <c r="X31" i="10"/>
  <c r="P35" i="10"/>
  <c r="T35" i="10"/>
  <c r="X35" i="10"/>
  <c r="AA27" i="10"/>
  <c r="AA35" i="10"/>
  <c r="Q27" i="10"/>
  <c r="U27" i="10"/>
  <c r="Y27" i="10"/>
  <c r="Q31" i="10"/>
  <c r="U31" i="10"/>
  <c r="Y31" i="10"/>
  <c r="Q35" i="10"/>
  <c r="U35" i="10"/>
  <c r="E35" i="9"/>
  <c r="D35" i="9"/>
  <c r="E31" i="9"/>
  <c r="D31" i="9"/>
  <c r="J7" i="20"/>
  <c r="K7" i="29" s="1"/>
  <c r="H8" i="19"/>
  <c r="I8" i="20" s="1"/>
  <c r="H7" i="19"/>
  <c r="I7" i="20" s="1"/>
  <c r="H6" i="19"/>
  <c r="I6" i="20" s="1"/>
  <c r="D6" i="13"/>
  <c r="D7" i="13"/>
  <c r="D6" i="14"/>
  <c r="D7" i="14"/>
  <c r="K20" i="1"/>
  <c r="C17" i="29"/>
  <c r="B52" i="29" s="1"/>
  <c r="B10" i="29"/>
  <c r="B9" i="29"/>
  <c r="B8" i="29"/>
  <c r="B7" i="29"/>
  <c r="H2" i="29"/>
  <c r="J8" i="20"/>
  <c r="L8" i="27" s="1"/>
  <c r="C17" i="27"/>
  <c r="B52" i="27" s="1"/>
  <c r="B10" i="27"/>
  <c r="B9" i="27"/>
  <c r="B8" i="27"/>
  <c r="B7" i="27"/>
  <c r="I2" i="27"/>
  <c r="H8" i="20"/>
  <c r="I8" i="29" s="1"/>
  <c r="H7" i="20"/>
  <c r="J7" i="27" s="1"/>
  <c r="H6" i="20"/>
  <c r="J6" i="27" s="1"/>
  <c r="H4" i="20"/>
  <c r="C17" i="20"/>
  <c r="B52" i="20" s="1"/>
  <c r="B10" i="17"/>
  <c r="I4" i="29"/>
  <c r="J4" i="29"/>
  <c r="J4" i="27"/>
  <c r="K4" i="27" s="1"/>
  <c r="J3" i="20"/>
  <c r="K3" i="29" s="1"/>
  <c r="I3" i="20"/>
  <c r="K3" i="27" s="1"/>
  <c r="H3" i="20"/>
  <c r="J3" i="27" s="1"/>
  <c r="I6" i="19"/>
  <c r="J6" i="20" s="1"/>
  <c r="L6" i="27" s="1"/>
  <c r="I4" i="19"/>
  <c r="J4" i="20" s="1"/>
  <c r="K4" i="29" s="1"/>
  <c r="H4" i="19"/>
  <c r="I4" i="20" s="1"/>
  <c r="F8" i="19"/>
  <c r="F7" i="19"/>
  <c r="B35" i="19" s="1"/>
  <c r="F6" i="19"/>
  <c r="B29" i="19" s="1"/>
  <c r="F5" i="19"/>
  <c r="G5" i="20" s="1"/>
  <c r="F4" i="19"/>
  <c r="G4" i="20" s="1"/>
  <c r="H4" i="29" s="1"/>
  <c r="C16" i="19"/>
  <c r="B51" i="19" s="1"/>
  <c r="B4" i="20"/>
  <c r="B3" i="20"/>
  <c r="B3" i="19"/>
  <c r="B4" i="19"/>
  <c r="C42" i="19"/>
  <c r="C43" i="19" s="1"/>
  <c r="C38" i="19"/>
  <c r="C39" i="19" s="1"/>
  <c r="C32" i="19"/>
  <c r="C33" i="19" s="1"/>
  <c r="B59" i="17"/>
  <c r="B58" i="17"/>
  <c r="B57" i="17"/>
  <c r="B54" i="17"/>
  <c r="B43" i="17"/>
  <c r="B42" i="17"/>
  <c r="B41" i="17"/>
  <c r="B38" i="17"/>
  <c r="B27" i="17"/>
  <c r="B26" i="17"/>
  <c r="B25" i="17"/>
  <c r="B22" i="17"/>
  <c r="B11" i="17"/>
  <c r="B9" i="17"/>
  <c r="B6" i="17"/>
  <c r="AB4" i="10"/>
  <c r="B41" i="16"/>
  <c r="B39" i="16"/>
  <c r="B35" i="16"/>
  <c r="B27" i="16"/>
  <c r="B26" i="16"/>
  <c r="B24" i="16"/>
  <c r="B22" i="16"/>
  <c r="B21" i="16"/>
  <c r="B20" i="16"/>
  <c r="B19" i="16"/>
  <c r="B18" i="16"/>
  <c r="B17" i="16"/>
  <c r="B15" i="16"/>
  <c r="B41" i="15"/>
  <c r="B39" i="15"/>
  <c r="B35" i="15"/>
  <c r="B27" i="15"/>
  <c r="B26" i="15"/>
  <c r="B24" i="15"/>
  <c r="B22" i="15"/>
  <c r="B21" i="15"/>
  <c r="B20" i="15"/>
  <c r="B19" i="15"/>
  <c r="B18" i="15"/>
  <c r="B17" i="15"/>
  <c r="B15" i="15"/>
  <c r="D4" i="14"/>
  <c r="G4" i="14" s="1"/>
  <c r="D8" i="14"/>
  <c r="D8" i="13"/>
  <c r="B13" i="14"/>
  <c r="B14" i="14" s="1"/>
  <c r="B12" i="13"/>
  <c r="B13" i="13"/>
  <c r="B14" i="13" s="1"/>
  <c r="B15" i="13" s="1"/>
  <c r="B16" i="13" s="1"/>
  <c r="B17" i="13" s="1"/>
  <c r="D5" i="13"/>
  <c r="C11" i="13" s="1"/>
  <c r="C12" i="13" s="1"/>
  <c r="C13" i="13" s="1"/>
  <c r="C14" i="13" s="1"/>
  <c r="C15" i="13" s="1"/>
  <c r="C16" i="13" s="1"/>
  <c r="C17" i="13" s="1"/>
  <c r="C18" i="13" s="1"/>
  <c r="C19" i="13" s="1"/>
  <c r="C20" i="13" s="1"/>
  <c r="C21" i="13" s="1"/>
  <c r="C22" i="13" s="1"/>
  <c r="C23" i="13" s="1"/>
  <c r="C24" i="13" s="1"/>
  <c r="C25" i="13" s="1"/>
  <c r="C26" i="13" s="1"/>
  <c r="C27" i="13" s="1"/>
  <c r="C28" i="13" s="1"/>
  <c r="C29" i="13" s="1"/>
  <c r="C30" i="13" s="1"/>
  <c r="C31" i="13" s="1"/>
  <c r="C32" i="13" s="1"/>
  <c r="C33" i="13" s="1"/>
  <c r="C34" i="13" s="1"/>
  <c r="C35" i="13" s="1"/>
  <c r="C36" i="13" s="1"/>
  <c r="C37" i="13" s="1"/>
  <c r="C38" i="13" s="1"/>
  <c r="C39" i="13" s="1"/>
  <c r="C40" i="13" s="1"/>
  <c r="C41" i="13" s="1"/>
  <c r="C42" i="13" s="1"/>
  <c r="C43" i="13" s="1"/>
  <c r="C44" i="13" s="1"/>
  <c r="C45" i="13" s="1"/>
  <c r="C46" i="13" s="1"/>
  <c r="C47" i="13" s="1"/>
  <c r="C48" i="13" s="1"/>
  <c r="C49" i="13" s="1"/>
  <c r="C50" i="13" s="1"/>
  <c r="C51" i="13" s="1"/>
  <c r="C52" i="13" s="1"/>
  <c r="C53" i="13" s="1"/>
  <c r="C54" i="13" s="1"/>
  <c r="C55" i="13" s="1"/>
  <c r="C56" i="13" s="1"/>
  <c r="C57" i="13" s="1"/>
  <c r="C58" i="13" s="1"/>
  <c r="C59" i="13" s="1"/>
  <c r="C60" i="13" s="1"/>
  <c r="C61" i="13" s="1"/>
  <c r="C62" i="13" s="1"/>
  <c r="C63" i="13" s="1"/>
  <c r="C64" i="13" s="1"/>
  <c r="C65" i="13" s="1"/>
  <c r="C66" i="13" s="1"/>
  <c r="C67" i="13" s="1"/>
  <c r="C68" i="13" s="1"/>
  <c r="C69" i="13" s="1"/>
  <c r="C70" i="13" s="1"/>
  <c r="C71" i="13" s="1"/>
  <c r="C72" i="13" s="1"/>
  <c r="C73" i="13" s="1"/>
  <c r="C74" i="13" s="1"/>
  <c r="C75" i="13" s="1"/>
  <c r="C76" i="13" s="1"/>
  <c r="C77" i="13" s="1"/>
  <c r="C78" i="13" s="1"/>
  <c r="C79" i="13" s="1"/>
  <c r="C80" i="13" s="1"/>
  <c r="C81" i="13" s="1"/>
  <c r="C82" i="13" s="1"/>
  <c r="C83" i="13" s="1"/>
  <c r="C84" i="13" s="1"/>
  <c r="C85" i="13" s="1"/>
  <c r="AA18" i="10"/>
  <c r="Z18" i="10"/>
  <c r="Y18" i="10"/>
  <c r="X18" i="10"/>
  <c r="W18" i="10"/>
  <c r="V18" i="10"/>
  <c r="U18" i="10"/>
  <c r="T18" i="10"/>
  <c r="S18" i="10"/>
  <c r="R18" i="10"/>
  <c r="Q18" i="10"/>
  <c r="P18" i="10"/>
  <c r="BA4" i="10"/>
  <c r="BB4" i="10"/>
  <c r="BC4" i="10"/>
  <c r="BD4" i="10"/>
  <c r="BE4" i="10"/>
  <c r="BF4" i="10"/>
  <c r="BG4" i="10"/>
  <c r="BH4" i="10"/>
  <c r="BI4" i="10"/>
  <c r="BJ4" i="10"/>
  <c r="BK4" i="10"/>
  <c r="AZ4" i="10"/>
  <c r="AY4" i="10"/>
  <c r="AX4" i="10"/>
  <c r="AW4" i="10"/>
  <c r="AV4" i="10"/>
  <c r="AU4" i="10"/>
  <c r="AT4" i="10"/>
  <c r="AS4" i="10"/>
  <c r="AR4" i="10"/>
  <c r="AQ4" i="10"/>
  <c r="AP4" i="10"/>
  <c r="AO4" i="10"/>
  <c r="AN4" i="10"/>
  <c r="AM4" i="10"/>
  <c r="AL4" i="10"/>
  <c r="AK4" i="10"/>
  <c r="AJ4" i="10"/>
  <c r="AI4" i="10"/>
  <c r="AH4" i="10"/>
  <c r="AG4" i="10"/>
  <c r="AF4" i="10"/>
  <c r="AE4" i="10"/>
  <c r="AD4" i="10"/>
  <c r="AC4" i="10"/>
  <c r="AA4" i="10"/>
  <c r="Z4" i="10"/>
  <c r="Y4" i="10"/>
  <c r="X4" i="10"/>
  <c r="W4" i="10"/>
  <c r="V4" i="10"/>
  <c r="U4" i="10"/>
  <c r="T4" i="10"/>
  <c r="S4" i="10"/>
  <c r="R4" i="10"/>
  <c r="Q4" i="10"/>
  <c r="P4" i="10"/>
  <c r="B36" i="10"/>
  <c r="B38" i="10"/>
  <c r="B32" i="10"/>
  <c r="B12" i="10"/>
  <c r="B14" i="10"/>
  <c r="B15" i="10"/>
  <c r="B16" i="10"/>
  <c r="B17" i="10"/>
  <c r="B18" i="10"/>
  <c r="B19" i="10"/>
  <c r="B21" i="10"/>
  <c r="B23" i="10"/>
  <c r="B24" i="10"/>
  <c r="B9" i="9"/>
  <c r="B11" i="10" s="1"/>
  <c r="B5" i="9"/>
  <c r="B7" i="10" s="1"/>
  <c r="B4" i="9"/>
  <c r="B9" i="15" s="1"/>
  <c r="D19" i="8"/>
  <c r="B17" i="8"/>
  <c r="B14" i="8"/>
  <c r="C3" i="8"/>
  <c r="D3" i="8"/>
  <c r="E3" i="8"/>
  <c r="F3" i="8"/>
  <c r="G3" i="8"/>
  <c r="H3" i="8"/>
  <c r="I3" i="8"/>
  <c r="J3" i="8"/>
  <c r="L3" i="8"/>
  <c r="B3" i="8"/>
  <c r="G37" i="1"/>
  <c r="B8" i="9" s="1"/>
  <c r="B13" i="15" s="1"/>
  <c r="G36" i="1"/>
  <c r="B7" i="9" s="1"/>
  <c r="B12" i="15" s="1"/>
  <c r="G35" i="1"/>
  <c r="B6" i="9" s="1"/>
  <c r="B8" i="10" s="1"/>
  <c r="M20" i="1"/>
  <c r="O20" i="1" s="1"/>
  <c r="Q20" i="1" s="1"/>
  <c r="C17" i="9"/>
  <c r="Y16" i="10"/>
  <c r="U16" i="10"/>
  <c r="Q16" i="10"/>
  <c r="X16" i="10"/>
  <c r="T16" i="10"/>
  <c r="P16" i="10"/>
  <c r="AA16" i="10"/>
  <c r="W16" i="10"/>
  <c r="S16" i="10"/>
  <c r="Z16" i="10"/>
  <c r="V16" i="10"/>
  <c r="R16" i="10"/>
  <c r="AA17" i="10"/>
  <c r="W17" i="10"/>
  <c r="S17" i="10"/>
  <c r="V17" i="10"/>
  <c r="Y17" i="10"/>
  <c r="Q17" i="10"/>
  <c r="X17" i="10"/>
  <c r="T17" i="10"/>
  <c r="P17" i="10"/>
  <c r="Z17" i="10"/>
  <c r="R17" i="10"/>
  <c r="U17" i="10"/>
  <c r="X26" i="10"/>
  <c r="T26" i="10"/>
  <c r="P26" i="10"/>
  <c r="AA26" i="10"/>
  <c r="W26" i="10"/>
  <c r="S26" i="10"/>
  <c r="Y26" i="10"/>
  <c r="Z26" i="10"/>
  <c r="V26" i="10"/>
  <c r="R26" i="10"/>
  <c r="U26" i="10"/>
  <c r="Q26" i="10"/>
  <c r="Q30" i="10"/>
  <c r="Z30" i="10"/>
  <c r="S30" i="10"/>
  <c r="AA30" i="10"/>
  <c r="P30" i="10"/>
  <c r="X30" i="10"/>
  <c r="R30" i="10"/>
  <c r="V30" i="10"/>
  <c r="Y30" i="10"/>
  <c r="T30" i="10"/>
  <c r="U30" i="10"/>
  <c r="W30" i="10"/>
  <c r="F11" i="13"/>
  <c r="I12" i="14"/>
  <c r="M16" i="1" l="1"/>
  <c r="F14" i="8" s="1"/>
  <c r="I54" i="7"/>
  <c r="I34" i="7"/>
  <c r="I9" i="7"/>
  <c r="I50" i="7"/>
  <c r="I18" i="7"/>
  <c r="I59" i="7"/>
  <c r="I14" i="7"/>
  <c r="I36" i="7"/>
  <c r="I53" i="7"/>
  <c r="I33" i="7"/>
  <c r="I10" i="7"/>
  <c r="I31" i="7"/>
  <c r="I30" i="7"/>
  <c r="I45" i="7"/>
  <c r="I44" i="7"/>
  <c r="I42" i="7"/>
  <c r="I40" i="7"/>
  <c r="I39" i="7"/>
  <c r="I57" i="7"/>
  <c r="I55" i="7"/>
  <c r="I52" i="7"/>
  <c r="I32" i="7"/>
  <c r="I51" i="7"/>
  <c r="I65" i="7"/>
  <c r="I19" i="7"/>
  <c r="I61" i="7"/>
  <c r="I16" i="7"/>
  <c r="I15" i="7"/>
  <c r="I38" i="7"/>
  <c r="I37" i="7"/>
  <c r="I12" i="7"/>
  <c r="I11" i="7"/>
  <c r="I49" i="7"/>
  <c r="I29" i="7"/>
  <c r="I48" i="7"/>
  <c r="I24" i="7"/>
  <c r="I21" i="7"/>
  <c r="I20" i="7"/>
  <c r="I43" i="7"/>
  <c r="I62" i="7"/>
  <c r="I17" i="7"/>
  <c r="I56" i="7"/>
  <c r="I47" i="7"/>
  <c r="I23" i="7"/>
  <c r="I46" i="7"/>
  <c r="I22" i="7"/>
  <c r="I63" i="7"/>
  <c r="I41" i="7"/>
  <c r="I60" i="7"/>
  <c r="I58" i="7"/>
  <c r="I13" i="7"/>
  <c r="I35" i="7"/>
  <c r="D38" i="1"/>
  <c r="L3" i="27"/>
  <c r="J3" i="29"/>
  <c r="C43" i="20"/>
  <c r="C44" i="20" s="1"/>
  <c r="C33" i="20"/>
  <c r="C34" i="20" s="1"/>
  <c r="F31" i="1"/>
  <c r="C33" i="27"/>
  <c r="C34" i="27" s="1"/>
  <c r="K6" i="27"/>
  <c r="C43" i="29"/>
  <c r="C44" i="29" s="1"/>
  <c r="J8" i="29"/>
  <c r="I14" i="14"/>
  <c r="B15" i="14"/>
  <c r="B16" i="14" s="1"/>
  <c r="J8" i="8"/>
  <c r="C39" i="20"/>
  <c r="C40" i="20" s="1"/>
  <c r="I7" i="29"/>
  <c r="BR7" i="49"/>
  <c r="K8" i="29"/>
  <c r="L12" i="8"/>
  <c r="C27" i="8" s="1"/>
  <c r="C61" i="52"/>
  <c r="C62" i="52" s="1"/>
  <c r="BR6" i="50"/>
  <c r="L7" i="27"/>
  <c r="C18" i="48"/>
  <c r="BW7" i="50"/>
  <c r="I6" i="29"/>
  <c r="C33" i="29" s="1"/>
  <c r="C34" i="29" s="1"/>
  <c r="J8" i="27"/>
  <c r="G6" i="20"/>
  <c r="I6" i="27" s="1"/>
  <c r="B30" i="27" s="1"/>
  <c r="I12" i="8"/>
  <c r="D6" i="8"/>
  <c r="C14" i="8"/>
  <c r="C15" i="1" s="1"/>
  <c r="D10" i="8"/>
  <c r="K6" i="29"/>
  <c r="H11" i="8"/>
  <c r="D8" i="8"/>
  <c r="I16" i="14"/>
  <c r="B17" i="14"/>
  <c r="F17" i="13"/>
  <c r="B18" i="13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C39" i="27"/>
  <c r="C40" i="27" s="1"/>
  <c r="K7" i="27"/>
  <c r="I3" i="29"/>
  <c r="B10" i="16"/>
  <c r="C2" i="10"/>
  <c r="D2" i="10" s="1"/>
  <c r="E2" i="10" s="1"/>
  <c r="F2" i="10" s="1"/>
  <c r="G2" i="10" s="1"/>
  <c r="H2" i="10" s="1"/>
  <c r="I2" i="10" s="1"/>
  <c r="J2" i="10" s="1"/>
  <c r="K2" i="10" s="1"/>
  <c r="L2" i="10" s="1"/>
  <c r="M2" i="10" s="1"/>
  <c r="N2" i="10" s="1"/>
  <c r="O2" i="10" s="1"/>
  <c r="H10" i="8"/>
  <c r="C26" i="7"/>
  <c r="C26" i="1"/>
  <c r="C29" i="1" s="1"/>
  <c r="D29" i="1" s="1"/>
  <c r="BW6" i="51"/>
  <c r="D13" i="8"/>
  <c r="C17" i="1"/>
  <c r="D17" i="1" s="1"/>
  <c r="C18" i="20"/>
  <c r="D11" i="8"/>
  <c r="C17" i="19"/>
  <c r="B54" i="19" s="1"/>
  <c r="D5" i="14"/>
  <c r="C12" i="14" s="1"/>
  <c r="J12" i="14" s="1"/>
  <c r="H12" i="8"/>
  <c r="D9" i="8"/>
  <c r="B9" i="10"/>
  <c r="B12" i="16"/>
  <c r="C18" i="49"/>
  <c r="I4" i="8"/>
  <c r="H4" i="8"/>
  <c r="G8" i="13"/>
  <c r="G6" i="13"/>
  <c r="I4" i="27"/>
  <c r="F14" i="13"/>
  <c r="L4" i="8"/>
  <c r="C19" i="8" s="1"/>
  <c r="J4" i="8"/>
  <c r="B10" i="15"/>
  <c r="H6" i="8"/>
  <c r="AF10" i="1"/>
  <c r="AF7" i="1"/>
  <c r="G5" i="14"/>
  <c r="G6" i="14" s="1"/>
  <c r="G7" i="14" s="1"/>
  <c r="G8" i="14" s="1"/>
  <c r="K16" i="1"/>
  <c r="L15" i="1" s="1"/>
  <c r="D5" i="8"/>
  <c r="D7" i="8"/>
  <c r="L8" i="8"/>
  <c r="C23" i="8" s="1"/>
  <c r="I5" i="27"/>
  <c r="H5" i="29"/>
  <c r="C40" i="52"/>
  <c r="CD6" i="52"/>
  <c r="C41" i="52" s="1"/>
  <c r="G4" i="13"/>
  <c r="G5" i="13"/>
  <c r="T19" i="10"/>
  <c r="B6" i="10"/>
  <c r="B9" i="16"/>
  <c r="C7" i="15"/>
  <c r="B13" i="16"/>
  <c r="F12" i="13"/>
  <c r="F15" i="13"/>
  <c r="F16" i="13"/>
  <c r="F13" i="13"/>
  <c r="V19" i="10"/>
  <c r="D7" i="15"/>
  <c r="E7" i="15"/>
  <c r="F7" i="15"/>
  <c r="AL18" i="10"/>
  <c r="AF35" i="10"/>
  <c r="I8" i="8"/>
  <c r="J10" i="8"/>
  <c r="J11" i="8"/>
  <c r="W19" i="10"/>
  <c r="AA19" i="10"/>
  <c r="X19" i="10"/>
  <c r="AI18" i="10"/>
  <c r="AC18" i="10"/>
  <c r="AD35" i="10"/>
  <c r="AL15" i="10"/>
  <c r="R19" i="10"/>
  <c r="AG16" i="10"/>
  <c r="AL35" i="10"/>
  <c r="AD16" i="10"/>
  <c r="AE17" i="10"/>
  <c r="AB18" i="10"/>
  <c r="AH17" i="10"/>
  <c r="AG26" i="10"/>
  <c r="B14" i="15"/>
  <c r="AB15" i="10"/>
  <c r="B11" i="16"/>
  <c r="B14" i="16"/>
  <c r="U19" i="10"/>
  <c r="AC15" i="10"/>
  <c r="AF17" i="10"/>
  <c r="AM16" i="10"/>
  <c r="Y19" i="10"/>
  <c r="B10" i="10"/>
  <c r="B11" i="15"/>
  <c r="AG35" i="10"/>
  <c r="AC27" i="10"/>
  <c r="Q47" i="1"/>
  <c r="E50" i="15"/>
  <c r="C50" i="15"/>
  <c r="I47" i="1"/>
  <c r="AD18" i="10"/>
  <c r="AG18" i="10"/>
  <c r="AM18" i="10"/>
  <c r="AJ18" i="10"/>
  <c r="AH18" i="10"/>
  <c r="AE18" i="10"/>
  <c r="C21" i="15"/>
  <c r="AK18" i="10"/>
  <c r="AF18" i="10"/>
  <c r="AM26" i="10"/>
  <c r="AJ26" i="10"/>
  <c r="C29" i="15"/>
  <c r="Q19" i="10"/>
  <c r="AD17" i="10"/>
  <c r="AB17" i="10"/>
  <c r="AK17" i="10"/>
  <c r="AL17" i="10"/>
  <c r="AI17" i="10"/>
  <c r="AC17" i="10"/>
  <c r="C20" i="15"/>
  <c r="AM17" i="10"/>
  <c r="AG17" i="10"/>
  <c r="AJ17" i="10"/>
  <c r="AI16" i="10"/>
  <c r="AE16" i="10"/>
  <c r="AF16" i="10"/>
  <c r="AK16" i="10"/>
  <c r="AH16" i="10"/>
  <c r="C19" i="15"/>
  <c r="S19" i="10"/>
  <c r="AL16" i="10"/>
  <c r="AB16" i="10"/>
  <c r="AC16" i="10"/>
  <c r="AJ16" i="10"/>
  <c r="AM35" i="10"/>
  <c r="AI35" i="10"/>
  <c r="C38" i="15"/>
  <c r="AB35" i="10"/>
  <c r="AC35" i="10"/>
  <c r="AK35" i="10"/>
  <c r="AH35" i="10"/>
  <c r="AJ35" i="10"/>
  <c r="AE35" i="10"/>
  <c r="AL27" i="10"/>
  <c r="AB27" i="10"/>
  <c r="C18" i="15"/>
  <c r="AF15" i="10"/>
  <c r="AG15" i="10"/>
  <c r="AI15" i="10"/>
  <c r="AE15" i="10"/>
  <c r="AK15" i="10"/>
  <c r="AJ15" i="10"/>
  <c r="AH15" i="10"/>
  <c r="P19" i="10"/>
  <c r="AM15" i="10"/>
  <c r="AD15" i="10"/>
  <c r="Z19" i="10"/>
  <c r="K47" i="1"/>
  <c r="M47" i="1"/>
  <c r="F50" i="15"/>
  <c r="G50" i="15"/>
  <c r="C28" i="15"/>
  <c r="AE25" i="10"/>
  <c r="AD25" i="10"/>
  <c r="AI25" i="10"/>
  <c r="AH27" i="10"/>
  <c r="D50" i="15"/>
  <c r="O47" i="1"/>
  <c r="AM25" i="10"/>
  <c r="AE26" i="10"/>
  <c r="AJ27" i="10"/>
  <c r="Q30" i="1"/>
  <c r="I13" i="14"/>
  <c r="I15" i="14"/>
  <c r="CL34" i="10"/>
  <c r="D37" i="15"/>
  <c r="F37" i="15"/>
  <c r="C37" i="15"/>
  <c r="E37" i="15"/>
  <c r="CI34" i="10"/>
  <c r="CM34" i="10"/>
  <c r="CH34" i="10"/>
  <c r="CE34" i="10"/>
  <c r="CO34" i="10"/>
  <c r="CD34" i="10"/>
  <c r="CC34" i="10"/>
  <c r="CP34" i="10"/>
  <c r="G37" i="15"/>
  <c r="CK34" i="10"/>
  <c r="CF34" i="10"/>
  <c r="CJ34" i="10"/>
  <c r="CN34" i="10"/>
  <c r="CG34" i="10"/>
  <c r="AK25" i="10"/>
  <c r="AJ25" i="10"/>
  <c r="AG25" i="10"/>
  <c r="AF25" i="10"/>
  <c r="AL25" i="10"/>
  <c r="AH25" i="10"/>
  <c r="AC25" i="10"/>
  <c r="AB25" i="10"/>
  <c r="AK26" i="10"/>
  <c r="AI26" i="10"/>
  <c r="AH26" i="10"/>
  <c r="AF26" i="10"/>
  <c r="AB26" i="10"/>
  <c r="AC26" i="10"/>
  <c r="AL26" i="10"/>
  <c r="AD26" i="10"/>
  <c r="AE27" i="10"/>
  <c r="AG27" i="10"/>
  <c r="AM27" i="10"/>
  <c r="AK27" i="10"/>
  <c r="AD27" i="10"/>
  <c r="C30" i="15"/>
  <c r="AF27" i="10"/>
  <c r="AI27" i="10"/>
  <c r="D13" i="9"/>
  <c r="D61" i="7"/>
  <c r="D7" i="7"/>
  <c r="G7" i="15"/>
  <c r="AC28" i="10"/>
  <c r="C18" i="27"/>
  <c r="J6" i="8"/>
  <c r="I21" i="8"/>
  <c r="AF28" i="10"/>
  <c r="AB28" i="10"/>
  <c r="C31" i="15"/>
  <c r="AE28" i="10"/>
  <c r="AK28" i="10"/>
  <c r="AM28" i="10"/>
  <c r="AH28" i="10"/>
  <c r="AG28" i="10"/>
  <c r="AI28" i="10"/>
  <c r="AD28" i="10"/>
  <c r="AJ28" i="10"/>
  <c r="AL28" i="10"/>
  <c r="AG30" i="10"/>
  <c r="AI31" i="10"/>
  <c r="AD31" i="10"/>
  <c r="AJ31" i="10"/>
  <c r="AK31" i="10"/>
  <c r="AI30" i="10"/>
  <c r="C34" i="15"/>
  <c r="AH31" i="10"/>
  <c r="AE31" i="10"/>
  <c r="AF31" i="10"/>
  <c r="AB31" i="10"/>
  <c r="AL31" i="10"/>
  <c r="AC31" i="10"/>
  <c r="AG31" i="10"/>
  <c r="AM31" i="10"/>
  <c r="C33" i="15"/>
  <c r="AM30" i="10"/>
  <c r="AC30" i="10"/>
  <c r="AJ30" i="10"/>
  <c r="AD30" i="10"/>
  <c r="AL30" i="10"/>
  <c r="AH30" i="10"/>
  <c r="AB30" i="10"/>
  <c r="AE30" i="10"/>
  <c r="AK30" i="10"/>
  <c r="AF30" i="10"/>
  <c r="G7" i="20"/>
  <c r="I7" i="27" s="1"/>
  <c r="B36" i="27" s="1"/>
  <c r="BR7" i="50"/>
  <c r="C46" i="50"/>
  <c r="C47" i="50" s="1"/>
  <c r="C40" i="49"/>
  <c r="C41" i="49" s="1"/>
  <c r="B30" i="20"/>
  <c r="L4" i="27"/>
  <c r="CH7" i="52"/>
  <c r="BV7" i="48"/>
  <c r="CD7" i="52"/>
  <c r="C46" i="52"/>
  <c r="C47" i="52" s="1"/>
  <c r="BR6" i="51"/>
  <c r="BW7" i="49"/>
  <c r="BV7" i="49"/>
  <c r="C61" i="49"/>
  <c r="C62" i="49" s="1"/>
  <c r="BR8" i="49"/>
  <c r="B41" i="19"/>
  <c r="G8" i="20"/>
  <c r="C62" i="48"/>
  <c r="BR8" i="48"/>
  <c r="BR8" i="50"/>
  <c r="BT7" i="50"/>
  <c r="D16" i="9" l="1"/>
  <c r="D34" i="1"/>
  <c r="D33" i="1"/>
  <c r="D28" i="1"/>
  <c r="D17" i="9"/>
  <c r="D25" i="1"/>
  <c r="D26" i="1"/>
  <c r="D39" i="1"/>
  <c r="D27" i="1"/>
  <c r="L11" i="1"/>
  <c r="E9" i="8" s="1"/>
  <c r="L7" i="1"/>
  <c r="E5" i="8" s="1"/>
  <c r="D59" i="7"/>
  <c r="D55" i="7"/>
  <c r="D23" i="9"/>
  <c r="D29" i="9"/>
  <c r="D26" i="9"/>
  <c r="D5" i="7"/>
  <c r="D14" i="9"/>
  <c r="D33" i="7"/>
  <c r="D34" i="9"/>
  <c r="D29" i="7"/>
  <c r="D12" i="7"/>
  <c r="D24" i="9"/>
  <c r="D39" i="7"/>
  <c r="D11" i="7"/>
  <c r="D57" i="7"/>
  <c r="D37" i="7"/>
  <c r="D32" i="7"/>
  <c r="D18" i="7"/>
  <c r="D47" i="7"/>
  <c r="D15" i="1"/>
  <c r="C32" i="9" s="1"/>
  <c r="S33" i="10" s="1"/>
  <c r="D36" i="7"/>
  <c r="D15" i="7"/>
  <c r="D60" i="7"/>
  <c r="D54" i="7"/>
  <c r="D15" i="9"/>
  <c r="D17" i="7"/>
  <c r="F37" i="7"/>
  <c r="D56" i="7"/>
  <c r="F57" i="7"/>
  <c r="D44" i="7"/>
  <c r="D42" i="7"/>
  <c r="D13" i="7"/>
  <c r="D45" i="7"/>
  <c r="F49" i="7"/>
  <c r="D16" i="7"/>
  <c r="D34" i="7"/>
  <c r="D31" i="7"/>
  <c r="D52" i="7"/>
  <c r="D9" i="7"/>
  <c r="D51" i="7"/>
  <c r="F15" i="7"/>
  <c r="D43" i="7"/>
  <c r="D53" i="7"/>
  <c r="D41" i="7"/>
  <c r="D10" i="7"/>
  <c r="D28" i="9"/>
  <c r="F36" i="7"/>
  <c r="D40" i="7"/>
  <c r="F16" i="7"/>
  <c r="D58" i="7"/>
  <c r="D46" i="7"/>
  <c r="D30" i="7"/>
  <c r="D38" i="7"/>
  <c r="D21" i="7"/>
  <c r="D22" i="7"/>
  <c r="D20" i="7"/>
  <c r="D33" i="9"/>
  <c r="F56" i="7"/>
  <c r="D35" i="7"/>
  <c r="D19" i="7"/>
  <c r="D24" i="7"/>
  <c r="D14" i="7"/>
  <c r="D49" i="7"/>
  <c r="D27" i="9"/>
  <c r="D23" i="7"/>
  <c r="J6" i="29"/>
  <c r="H6" i="29"/>
  <c r="B30" i="29" s="1"/>
  <c r="I19" i="1"/>
  <c r="D68" i="17"/>
  <c r="C6" i="52" s="1"/>
  <c r="C10" i="52" s="1"/>
  <c r="D36" i="17"/>
  <c r="C6" i="50" s="1"/>
  <c r="J12" i="8"/>
  <c r="F22" i="13"/>
  <c r="C43" i="27"/>
  <c r="C44" i="27" s="1"/>
  <c r="K8" i="27"/>
  <c r="C39" i="29"/>
  <c r="C40" i="29" s="1"/>
  <c r="J7" i="29"/>
  <c r="I11" i="8"/>
  <c r="F21" i="7"/>
  <c r="C13" i="14"/>
  <c r="C14" i="14" s="1"/>
  <c r="I10" i="8"/>
  <c r="F43" i="7"/>
  <c r="F10" i="7"/>
  <c r="F31" i="7"/>
  <c r="D52" i="17"/>
  <c r="C6" i="29" s="1"/>
  <c r="D20" i="17"/>
  <c r="C6" i="20" s="1"/>
  <c r="C6" i="48"/>
  <c r="I53" i="1"/>
  <c r="C63" i="1" s="1"/>
  <c r="F18" i="13"/>
  <c r="F21" i="13"/>
  <c r="F19" i="13"/>
  <c r="I17" i="14"/>
  <c r="B18" i="14"/>
  <c r="F20" i="13"/>
  <c r="D26" i="7"/>
  <c r="C63" i="7"/>
  <c r="D63" i="7" s="1"/>
  <c r="F9" i="7"/>
  <c r="F20" i="7"/>
  <c r="F42" i="7"/>
  <c r="F7" i="7"/>
  <c r="F30" i="7"/>
  <c r="F47" i="7"/>
  <c r="F14" i="7"/>
  <c r="F35" i="7"/>
  <c r="F55" i="7"/>
  <c r="F19" i="7"/>
  <c r="F41" i="7"/>
  <c r="F61" i="7"/>
  <c r="F29" i="7"/>
  <c r="F26" i="7"/>
  <c r="F5" i="7"/>
  <c r="F24" i="7"/>
  <c r="F46" i="7"/>
  <c r="F13" i="7"/>
  <c r="F34" i="7"/>
  <c r="F54" i="7"/>
  <c r="F18" i="7"/>
  <c r="F40" i="7"/>
  <c r="F60" i="7"/>
  <c r="F23" i="7"/>
  <c r="F45" i="7"/>
  <c r="F59" i="7"/>
  <c r="F51" i="7"/>
  <c r="F39" i="7"/>
  <c r="F12" i="7"/>
  <c r="F33" i="7"/>
  <c r="F53" i="7"/>
  <c r="F17" i="7"/>
  <c r="F38" i="7"/>
  <c r="F58" i="7"/>
  <c r="F22" i="7"/>
  <c r="F44" i="7"/>
  <c r="F11" i="7"/>
  <c r="F32" i="7"/>
  <c r="F52" i="7"/>
  <c r="I7" i="8"/>
  <c r="H7" i="8"/>
  <c r="J7" i="8"/>
  <c r="L7" i="8"/>
  <c r="C22" i="8" s="1"/>
  <c r="B36" i="20"/>
  <c r="E8" i="8"/>
  <c r="E11" i="8"/>
  <c r="E10" i="8"/>
  <c r="D14" i="8"/>
  <c r="C16" i="1" s="1"/>
  <c r="E12" i="8"/>
  <c r="E7" i="8"/>
  <c r="E13" i="8"/>
  <c r="E6" i="8"/>
  <c r="H7" i="29"/>
  <c r="B36" i="29" s="1"/>
  <c r="AI19" i="10"/>
  <c r="AT18" i="10"/>
  <c r="AH19" i="10"/>
  <c r="AE19" i="10"/>
  <c r="AL19" i="10"/>
  <c r="AS18" i="10"/>
  <c r="AW27" i="10"/>
  <c r="AF19" i="10"/>
  <c r="AC19" i="10"/>
  <c r="AV18" i="10"/>
  <c r="AN15" i="10"/>
  <c r="AQ18" i="10"/>
  <c r="AS27" i="10"/>
  <c r="I40" i="1"/>
  <c r="C22" i="15"/>
  <c r="AM19" i="10"/>
  <c r="AW18" i="10"/>
  <c r="AU35" i="10"/>
  <c r="AO35" i="10"/>
  <c r="AN35" i="10"/>
  <c r="AQ35" i="10"/>
  <c r="AT35" i="10"/>
  <c r="AX35" i="10"/>
  <c r="AY35" i="10"/>
  <c r="AS35" i="10"/>
  <c r="AR35" i="10"/>
  <c r="D38" i="15"/>
  <c r="AV35" i="10"/>
  <c r="AP35" i="10"/>
  <c r="AW35" i="10"/>
  <c r="AK19" i="10"/>
  <c r="D21" i="15"/>
  <c r="AX18" i="10"/>
  <c r="AY16" i="10"/>
  <c r="AX16" i="10"/>
  <c r="AN16" i="10"/>
  <c r="AQ16" i="10"/>
  <c r="AV16" i="10"/>
  <c r="AR16" i="10"/>
  <c r="AO16" i="10"/>
  <c r="D19" i="15"/>
  <c r="AT16" i="10"/>
  <c r="AU16" i="10"/>
  <c r="AS16" i="10"/>
  <c r="AP16" i="10"/>
  <c r="AW16" i="10"/>
  <c r="AY18" i="10"/>
  <c r="AN18" i="10"/>
  <c r="AP18" i="10"/>
  <c r="AO18" i="10"/>
  <c r="AV15" i="10"/>
  <c r="AW15" i="10"/>
  <c r="AP15" i="10"/>
  <c r="AO17" i="10"/>
  <c r="AX17" i="10"/>
  <c r="AU17" i="10"/>
  <c r="AN17" i="10"/>
  <c r="AP17" i="10"/>
  <c r="AS17" i="10"/>
  <c r="AQ17" i="10"/>
  <c r="AT17" i="10"/>
  <c r="D20" i="15"/>
  <c r="AW17" i="10"/>
  <c r="AY17" i="10"/>
  <c r="AR17" i="10"/>
  <c r="AV17" i="10"/>
  <c r="AQ15" i="10"/>
  <c r="AU15" i="10"/>
  <c r="AB19" i="10"/>
  <c r="D30" i="15"/>
  <c r="AQ27" i="10"/>
  <c r="AR18" i="10"/>
  <c r="AX15" i="10"/>
  <c r="AS15" i="10"/>
  <c r="AT27" i="10"/>
  <c r="AD19" i="10"/>
  <c r="AO15" i="10"/>
  <c r="AT15" i="10"/>
  <c r="D18" i="15"/>
  <c r="AJ19" i="10"/>
  <c r="AG19" i="10"/>
  <c r="AU18" i="10"/>
  <c r="AR15" i="10"/>
  <c r="AY15" i="10"/>
  <c r="AR25" i="10"/>
  <c r="AX25" i="10"/>
  <c r="AS25" i="10"/>
  <c r="AO25" i="10"/>
  <c r="AT25" i="10"/>
  <c r="D28" i="15"/>
  <c r="AY25" i="10"/>
  <c r="AW25" i="10"/>
  <c r="AV25" i="10"/>
  <c r="AP25" i="10"/>
  <c r="AU25" i="10"/>
  <c r="AQ25" i="10"/>
  <c r="AN25" i="10"/>
  <c r="AV26" i="10"/>
  <c r="AS26" i="10"/>
  <c r="AT26" i="10"/>
  <c r="D29" i="15"/>
  <c r="AX26" i="10"/>
  <c r="AR26" i="10"/>
  <c r="AN26" i="10"/>
  <c r="AO26" i="10"/>
  <c r="AU26" i="10"/>
  <c r="AW26" i="10"/>
  <c r="AP26" i="10"/>
  <c r="AQ26" i="10"/>
  <c r="AY26" i="10"/>
  <c r="AR27" i="10"/>
  <c r="AO27" i="10"/>
  <c r="AN27" i="10"/>
  <c r="AU27" i="10"/>
  <c r="AP27" i="10"/>
  <c r="AV27" i="10"/>
  <c r="AX27" i="10"/>
  <c r="AY27" i="10"/>
  <c r="D50" i="7"/>
  <c r="F50" i="7"/>
  <c r="I6" i="8"/>
  <c r="K21" i="8"/>
  <c r="AP28" i="10"/>
  <c r="AW28" i="10"/>
  <c r="AN28" i="10"/>
  <c r="AY28" i="10"/>
  <c r="D31" i="15"/>
  <c r="AR28" i="10"/>
  <c r="AS28" i="10"/>
  <c r="AT28" i="10"/>
  <c r="AV28" i="10"/>
  <c r="AO28" i="10"/>
  <c r="AQ28" i="10"/>
  <c r="AU28" i="10"/>
  <c r="AX28" i="10"/>
  <c r="AS31" i="10"/>
  <c r="AW31" i="10"/>
  <c r="AV31" i="10"/>
  <c r="D34" i="15"/>
  <c r="AY31" i="10"/>
  <c r="AX31" i="10"/>
  <c r="AO31" i="10"/>
  <c r="AU31" i="10"/>
  <c r="AT31" i="10"/>
  <c r="AR31" i="10"/>
  <c r="AP31" i="10"/>
  <c r="AQ31" i="10"/>
  <c r="AN31" i="10"/>
  <c r="AV30" i="10"/>
  <c r="AT30" i="10"/>
  <c r="AY30" i="10"/>
  <c r="AU30" i="10"/>
  <c r="AQ30" i="10"/>
  <c r="AO30" i="10"/>
  <c r="AX30" i="10"/>
  <c r="AN30" i="10"/>
  <c r="AS30" i="10"/>
  <c r="D33" i="15"/>
  <c r="AR30" i="10"/>
  <c r="AP30" i="10"/>
  <c r="AW30" i="10"/>
  <c r="H8" i="29"/>
  <c r="B42" i="29" s="1"/>
  <c r="B42" i="20"/>
  <c r="I8" i="27"/>
  <c r="B42" i="27" s="1"/>
  <c r="BT7" i="51"/>
  <c r="Z33" i="10" l="1"/>
  <c r="W33" i="10"/>
  <c r="AA33" i="10"/>
  <c r="P33" i="10"/>
  <c r="Y33" i="10"/>
  <c r="E32" i="9"/>
  <c r="Q33" i="10"/>
  <c r="X33" i="10"/>
  <c r="U33" i="10"/>
  <c r="R33" i="10"/>
  <c r="V33" i="10"/>
  <c r="D32" i="9"/>
  <c r="C9" i="52"/>
  <c r="C8" i="50"/>
  <c r="D6" i="50"/>
  <c r="C9" i="50"/>
  <c r="C10" i="50"/>
  <c r="C3" i="56"/>
  <c r="C17" i="8"/>
  <c r="P2" i="10"/>
  <c r="K19" i="1"/>
  <c r="I32" i="1"/>
  <c r="C2" i="15"/>
  <c r="C4" i="15" s="1"/>
  <c r="C3" i="17"/>
  <c r="C4" i="48" s="1"/>
  <c r="K52" i="1"/>
  <c r="C2" i="56"/>
  <c r="E4" i="56" s="1"/>
  <c r="D6" i="20"/>
  <c r="L6" i="20" s="1"/>
  <c r="C2" i="17"/>
  <c r="D6" i="27"/>
  <c r="B63" i="1"/>
  <c r="D6" i="29"/>
  <c r="M7" i="29" s="1"/>
  <c r="C6" i="51"/>
  <c r="J13" i="14"/>
  <c r="C6" i="27"/>
  <c r="D6" i="52"/>
  <c r="C8" i="52"/>
  <c r="D6" i="48"/>
  <c r="C8" i="48"/>
  <c r="T33" i="10"/>
  <c r="C6" i="49"/>
  <c r="C6" i="19"/>
  <c r="B19" i="14"/>
  <c r="I18" i="14"/>
  <c r="E63" i="7"/>
  <c r="F63" i="7"/>
  <c r="D48" i="7"/>
  <c r="C32" i="1"/>
  <c r="C65" i="7"/>
  <c r="F65" i="7" s="1"/>
  <c r="C40" i="1"/>
  <c r="E50" i="7"/>
  <c r="E48" i="7"/>
  <c r="F48" i="7"/>
  <c r="C9" i="48"/>
  <c r="C10" i="48"/>
  <c r="E41" i="7"/>
  <c r="E21" i="7"/>
  <c r="E36" i="7"/>
  <c r="E13" i="9"/>
  <c r="E33" i="9"/>
  <c r="E52" i="7"/>
  <c r="E16" i="7"/>
  <c r="E59" i="7"/>
  <c r="E14" i="9"/>
  <c r="E24" i="7"/>
  <c r="E57" i="7"/>
  <c r="E51" i="7"/>
  <c r="E47" i="7"/>
  <c r="E58" i="7"/>
  <c r="E60" i="7"/>
  <c r="E42" i="7"/>
  <c r="E11" i="7"/>
  <c r="E13" i="7"/>
  <c r="E35" i="7"/>
  <c r="E12" i="7"/>
  <c r="E10" i="7"/>
  <c r="E27" i="9"/>
  <c r="E38" i="7"/>
  <c r="E16" i="9"/>
  <c r="E30" i="7"/>
  <c r="E34" i="7"/>
  <c r="E17" i="9"/>
  <c r="E23" i="7"/>
  <c r="E29" i="7"/>
  <c r="E20" i="7"/>
  <c r="E15" i="7"/>
  <c r="E28" i="9"/>
  <c r="E32" i="7"/>
  <c r="E24" i="9"/>
  <c r="E37" i="7"/>
  <c r="E29" i="9"/>
  <c r="E19" i="7"/>
  <c r="E33" i="7"/>
  <c r="E43" i="7"/>
  <c r="E39" i="7"/>
  <c r="E5" i="7"/>
  <c r="E15" i="9"/>
  <c r="E46" i="7"/>
  <c r="E31" i="7"/>
  <c r="E22" i="7"/>
  <c r="E17" i="7"/>
  <c r="E34" i="9"/>
  <c r="E14" i="7"/>
  <c r="E18" i="7"/>
  <c r="E54" i="7"/>
  <c r="E9" i="7"/>
  <c r="E45" i="7"/>
  <c r="E40" i="7"/>
  <c r="E26" i="9"/>
  <c r="E7" i="7"/>
  <c r="E55" i="7"/>
  <c r="E44" i="7"/>
  <c r="E26" i="7"/>
  <c r="E23" i="9"/>
  <c r="E56" i="7"/>
  <c r="E53" i="7"/>
  <c r="E61" i="7"/>
  <c r="E49" i="7"/>
  <c r="E4" i="8"/>
  <c r="L16" i="1"/>
  <c r="E14" i="8" s="1"/>
  <c r="AQ19" i="10"/>
  <c r="D22" i="15"/>
  <c r="AT19" i="10"/>
  <c r="AV19" i="10"/>
  <c r="AR19" i="10"/>
  <c r="AO19" i="10"/>
  <c r="AX19" i="10"/>
  <c r="AU19" i="10"/>
  <c r="AW19" i="10"/>
  <c r="BK16" i="10"/>
  <c r="BB16" i="10"/>
  <c r="BI16" i="10"/>
  <c r="BA16" i="10"/>
  <c r="BD16" i="10"/>
  <c r="BG16" i="10"/>
  <c r="BJ16" i="10"/>
  <c r="AZ16" i="10"/>
  <c r="E19" i="15"/>
  <c r="BH16" i="10"/>
  <c r="BE16" i="10"/>
  <c r="BF16" i="10"/>
  <c r="BC16" i="10"/>
  <c r="E18" i="15"/>
  <c r="BD15" i="10"/>
  <c r="BJ15" i="10"/>
  <c r="BE15" i="10"/>
  <c r="BG15" i="10"/>
  <c r="BK15" i="10"/>
  <c r="BA15" i="10"/>
  <c r="BF17" i="10"/>
  <c r="BA17" i="10"/>
  <c r="BJ17" i="10"/>
  <c r="AZ17" i="10"/>
  <c r="BE17" i="10"/>
  <c r="BC17" i="10"/>
  <c r="BI17" i="10"/>
  <c r="BH17" i="10"/>
  <c r="BG17" i="10"/>
  <c r="BD17" i="10"/>
  <c r="BB17" i="10"/>
  <c r="BK17" i="10"/>
  <c r="E20" i="15"/>
  <c r="BH18" i="10"/>
  <c r="BJ18" i="10"/>
  <c r="BI18" i="10"/>
  <c r="BB18" i="10"/>
  <c r="BA18" i="10"/>
  <c r="BD18" i="10"/>
  <c r="BG18" i="10"/>
  <c r="AZ18" i="10"/>
  <c r="BF18" i="10"/>
  <c r="BC18" i="10"/>
  <c r="BK18" i="10"/>
  <c r="E21" i="15"/>
  <c r="BE18" i="10"/>
  <c r="BK35" i="10"/>
  <c r="BE35" i="10"/>
  <c r="BD35" i="10"/>
  <c r="E38" i="15"/>
  <c r="BG35" i="10"/>
  <c r="BA35" i="10"/>
  <c r="AZ35" i="10"/>
  <c r="BI35" i="10"/>
  <c r="BH35" i="10"/>
  <c r="BB35" i="10"/>
  <c r="BJ35" i="10"/>
  <c r="BF35" i="10"/>
  <c r="BC35" i="10"/>
  <c r="AZ15" i="10"/>
  <c r="BB15" i="10"/>
  <c r="BF15" i="10"/>
  <c r="BC15" i="10"/>
  <c r="AY19" i="10"/>
  <c r="AS19" i="10"/>
  <c r="K40" i="1"/>
  <c r="AP19" i="10"/>
  <c r="BI15" i="10"/>
  <c r="BH15" i="10"/>
  <c r="AN19" i="10"/>
  <c r="D8" i="55"/>
  <c r="D16" i="55" s="1"/>
  <c r="E28" i="15"/>
  <c r="BJ25" i="10"/>
  <c r="BE25" i="10"/>
  <c r="AZ25" i="10"/>
  <c r="BH25" i="10"/>
  <c r="BF25" i="10"/>
  <c r="BK25" i="10"/>
  <c r="BI25" i="10"/>
  <c r="BD25" i="10"/>
  <c r="BG25" i="10"/>
  <c r="BB25" i="10"/>
  <c r="BC25" i="10"/>
  <c r="BA25" i="10"/>
  <c r="E29" i="15"/>
  <c r="BC26" i="10"/>
  <c r="BK26" i="10"/>
  <c r="BE26" i="10"/>
  <c r="BB26" i="10"/>
  <c r="BH26" i="10"/>
  <c r="BG26" i="10"/>
  <c r="BI26" i="10"/>
  <c r="BF26" i="10"/>
  <c r="AZ26" i="10"/>
  <c r="BD26" i="10"/>
  <c r="BA26" i="10"/>
  <c r="BJ26" i="10"/>
  <c r="E30" i="15"/>
  <c r="BJ27" i="10"/>
  <c r="BA27" i="10"/>
  <c r="AZ27" i="10"/>
  <c r="BK27" i="10"/>
  <c r="BF27" i="10"/>
  <c r="BH27" i="10"/>
  <c r="BG27" i="10"/>
  <c r="BB27" i="10"/>
  <c r="BE27" i="10"/>
  <c r="BC27" i="10"/>
  <c r="BI27" i="10"/>
  <c r="BD27" i="10"/>
  <c r="C4" i="19"/>
  <c r="M21" i="8"/>
  <c r="J14" i="14"/>
  <c r="C15" i="14"/>
  <c r="BD28" i="10"/>
  <c r="BC28" i="10"/>
  <c r="BH28" i="10"/>
  <c r="BE28" i="10"/>
  <c r="BK28" i="10"/>
  <c r="BF28" i="10"/>
  <c r="BI28" i="10"/>
  <c r="E31" i="15"/>
  <c r="BJ28" i="10"/>
  <c r="AZ28" i="10"/>
  <c r="BA28" i="10"/>
  <c r="BG28" i="10"/>
  <c r="BB28" i="10"/>
  <c r="E34" i="15"/>
  <c r="BC31" i="10"/>
  <c r="BF31" i="10"/>
  <c r="AZ31" i="10"/>
  <c r="BE31" i="10"/>
  <c r="BB31" i="10"/>
  <c r="BD31" i="10"/>
  <c r="BK31" i="10"/>
  <c r="BA31" i="10"/>
  <c r="BI31" i="10"/>
  <c r="BG31" i="10"/>
  <c r="BJ31" i="10"/>
  <c r="BH31" i="10"/>
  <c r="BC30" i="10"/>
  <c r="BI30" i="10"/>
  <c r="BG30" i="10"/>
  <c r="AZ30" i="10"/>
  <c r="BE30" i="10"/>
  <c r="BA30" i="10"/>
  <c r="BJ30" i="10"/>
  <c r="BF30" i="10"/>
  <c r="BK30" i="10"/>
  <c r="BH30" i="10"/>
  <c r="BB30" i="10"/>
  <c r="E33" i="15"/>
  <c r="BD30" i="10"/>
  <c r="CF7" i="52"/>
  <c r="C41" i="1" l="1"/>
  <c r="D41" i="1" s="1"/>
  <c r="D40" i="1"/>
  <c r="C35" i="1"/>
  <c r="D35" i="1" s="1"/>
  <c r="D32" i="1"/>
  <c r="AD33" i="10"/>
  <c r="AL33" i="10"/>
  <c r="C36" i="15"/>
  <c r="AM33" i="10"/>
  <c r="AI33" i="10"/>
  <c r="AK33" i="10"/>
  <c r="AC33" i="10"/>
  <c r="AH33" i="10"/>
  <c r="AF33" i="10"/>
  <c r="AE33" i="10"/>
  <c r="AB33" i="10"/>
  <c r="AG33" i="10"/>
  <c r="AJ33" i="10"/>
  <c r="D6" i="51"/>
  <c r="C4" i="49"/>
  <c r="N7" i="27"/>
  <c r="M4" i="29"/>
  <c r="N8" i="27"/>
  <c r="M6" i="29"/>
  <c r="N4" i="27"/>
  <c r="C8" i="51"/>
  <c r="L4" i="20"/>
  <c r="C5" i="46"/>
  <c r="C3" i="19"/>
  <c r="C8" i="55"/>
  <c r="C16" i="55" s="1"/>
  <c r="L7" i="20"/>
  <c r="B5" i="46"/>
  <c r="C3" i="48"/>
  <c r="E6" i="48" s="1"/>
  <c r="F6" i="48" s="1"/>
  <c r="G6" i="48" s="1"/>
  <c r="H6" i="48" s="1"/>
  <c r="I6" i="48" s="1"/>
  <c r="J6" i="48" s="1"/>
  <c r="K6" i="48" s="1"/>
  <c r="D6" i="19"/>
  <c r="K8" i="19" s="1"/>
  <c r="E11" i="56"/>
  <c r="F4" i="56"/>
  <c r="M52" i="1"/>
  <c r="E6" i="20"/>
  <c r="E6" i="27"/>
  <c r="E6" i="29"/>
  <c r="B64" i="1"/>
  <c r="K53" i="1"/>
  <c r="C64" i="1" s="1"/>
  <c r="M8" i="29"/>
  <c r="C59" i="15"/>
  <c r="D4" i="15"/>
  <c r="C2" i="16"/>
  <c r="C59" i="16" s="1"/>
  <c r="C4" i="16"/>
  <c r="D2" i="15"/>
  <c r="F17" i="8"/>
  <c r="M19" i="1"/>
  <c r="K32" i="1"/>
  <c r="D2" i="16" s="1"/>
  <c r="D59" i="16" s="1"/>
  <c r="P45" i="10"/>
  <c r="P56" i="10"/>
  <c r="Q2" i="10"/>
  <c r="Q59" i="10"/>
  <c r="P59" i="10"/>
  <c r="L8" i="20"/>
  <c r="E4" i="17"/>
  <c r="N6" i="27"/>
  <c r="C10" i="51"/>
  <c r="C9" i="51"/>
  <c r="C10" i="49"/>
  <c r="D6" i="49"/>
  <c r="C9" i="49"/>
  <c r="C8" i="49"/>
  <c r="B20" i="14"/>
  <c r="I19" i="14"/>
  <c r="E65" i="7"/>
  <c r="D65" i="7"/>
  <c r="BI19" i="10"/>
  <c r="BN16" i="10"/>
  <c r="BU17" i="10"/>
  <c r="BS15" i="10"/>
  <c r="BT17" i="10"/>
  <c r="BT18" i="10"/>
  <c r="BL16" i="10"/>
  <c r="BV18" i="10"/>
  <c r="BU15" i="10"/>
  <c r="M40" i="1"/>
  <c r="BU18" i="10"/>
  <c r="BB19" i="10"/>
  <c r="BS16" i="10"/>
  <c r="BO18" i="10"/>
  <c r="BV17" i="10"/>
  <c r="BC19" i="10"/>
  <c r="BP17" i="10"/>
  <c r="BA19" i="10"/>
  <c r="BP18" i="10"/>
  <c r="BL18" i="10"/>
  <c r="BN18" i="10"/>
  <c r="BN17" i="10"/>
  <c r="BM17" i="10"/>
  <c r="BL17" i="10"/>
  <c r="BR15" i="10"/>
  <c r="BO15" i="10"/>
  <c r="BM15" i="10"/>
  <c r="CC15" i="10"/>
  <c r="CD15" i="10"/>
  <c r="CK15" i="10"/>
  <c r="CL15" i="10"/>
  <c r="BW15" i="10"/>
  <c r="CN15" i="10"/>
  <c r="BY15" i="10"/>
  <c r="CB15" i="10"/>
  <c r="CG15" i="10"/>
  <c r="CH15" i="10"/>
  <c r="CE15" i="10"/>
  <c r="CI15" i="10"/>
  <c r="CO15" i="10"/>
  <c r="CP15" i="10"/>
  <c r="CA15" i="10"/>
  <c r="F18" i="15"/>
  <c r="CM15" i="10"/>
  <c r="AZ19" i="10"/>
  <c r="BX15" i="10"/>
  <c r="CF15" i="10"/>
  <c r="CJ15" i="10"/>
  <c r="BZ15" i="10"/>
  <c r="BR16" i="10"/>
  <c r="BQ16" i="10"/>
  <c r="BU16" i="10"/>
  <c r="BE19" i="10"/>
  <c r="E22" i="15"/>
  <c r="BH19" i="10"/>
  <c r="BR18" i="10"/>
  <c r="BS18" i="10"/>
  <c r="BQ18" i="10"/>
  <c r="BO17" i="10"/>
  <c r="BQ17" i="10"/>
  <c r="BR17" i="10"/>
  <c r="BN15" i="10"/>
  <c r="BQ15" i="10"/>
  <c r="BV15" i="10"/>
  <c r="BF19" i="10"/>
  <c r="BP16" i="10"/>
  <c r="BM16" i="10"/>
  <c r="BV16" i="10"/>
  <c r="CG18" i="10"/>
  <c r="CJ18" i="10"/>
  <c r="CP18" i="10"/>
  <c r="CB18" i="10"/>
  <c r="CI18" i="10"/>
  <c r="F21" i="15"/>
  <c r="CF18" i="10"/>
  <c r="CE18" i="10"/>
  <c r="CL18" i="10"/>
  <c r="BX18" i="10"/>
  <c r="BW18" i="10"/>
  <c r="CK18" i="10"/>
  <c r="CN18" i="10"/>
  <c r="BY18" i="10"/>
  <c r="CD18" i="10"/>
  <c r="CM18" i="10"/>
  <c r="CC18" i="10"/>
  <c r="CO18" i="10"/>
  <c r="CH18" i="10"/>
  <c r="CA18" i="10"/>
  <c r="BZ18" i="10"/>
  <c r="BK19" i="10"/>
  <c r="BJ19" i="10"/>
  <c r="BX16" i="10"/>
  <c r="CI16" i="10"/>
  <c r="CN16" i="10"/>
  <c r="CC16" i="10"/>
  <c r="CH16" i="10"/>
  <c r="CA16" i="10"/>
  <c r="CP16" i="10"/>
  <c r="F19" i="15"/>
  <c r="CG16" i="10"/>
  <c r="BY16" i="10"/>
  <c r="CM16" i="10"/>
  <c r="BZ16" i="10"/>
  <c r="CO16" i="10"/>
  <c r="CL16" i="10"/>
  <c r="CB16" i="10"/>
  <c r="BW16" i="10"/>
  <c r="CK16" i="10"/>
  <c r="CJ16" i="10"/>
  <c r="CF16" i="10"/>
  <c r="CE16" i="10"/>
  <c r="CD16" i="10"/>
  <c r="BM18" i="10"/>
  <c r="BS17" i="10"/>
  <c r="BL15" i="10"/>
  <c r="BP15" i="10"/>
  <c r="BT15" i="10"/>
  <c r="CM35" i="10"/>
  <c r="BX35" i="10"/>
  <c r="CA35" i="10"/>
  <c r="CC35" i="10"/>
  <c r="CG35" i="10"/>
  <c r="BU35" i="10"/>
  <c r="BO35" i="10"/>
  <c r="BS35" i="10"/>
  <c r="CI35" i="10"/>
  <c r="CP35" i="10"/>
  <c r="CN35" i="10"/>
  <c r="BY35" i="10"/>
  <c r="CF35" i="10"/>
  <c r="BN35" i="10"/>
  <c r="BQ35" i="10"/>
  <c r="BM35" i="10"/>
  <c r="CB35" i="10"/>
  <c r="CH35" i="10"/>
  <c r="CE35" i="10"/>
  <c r="CK35" i="10"/>
  <c r="BV35" i="10"/>
  <c r="BP35" i="10"/>
  <c r="BT35" i="10"/>
  <c r="CO35" i="10"/>
  <c r="BL35" i="10"/>
  <c r="F38" i="15"/>
  <c r="BR35" i="10"/>
  <c r="CD35" i="10"/>
  <c r="BZ35" i="10"/>
  <c r="CL35" i="10"/>
  <c r="CJ35" i="10"/>
  <c r="BW35" i="10"/>
  <c r="BT16" i="10"/>
  <c r="BO16" i="10"/>
  <c r="CP17" i="10"/>
  <c r="CO17" i="10"/>
  <c r="BZ17" i="10"/>
  <c r="CC17" i="10"/>
  <c r="CB17" i="10"/>
  <c r="F20" i="15"/>
  <c r="CL17" i="10"/>
  <c r="CK17" i="10"/>
  <c r="CM17" i="10"/>
  <c r="CN17" i="10"/>
  <c r="BX17" i="10"/>
  <c r="CA17" i="10"/>
  <c r="CF17" i="10"/>
  <c r="CE17" i="10"/>
  <c r="CD17" i="10"/>
  <c r="BW17" i="10"/>
  <c r="CH17" i="10"/>
  <c r="BY17" i="10"/>
  <c r="CI17" i="10"/>
  <c r="CG17" i="10"/>
  <c r="CJ17" i="10"/>
  <c r="BG19" i="10"/>
  <c r="BD19" i="10"/>
  <c r="CK25" i="10"/>
  <c r="BL25" i="10"/>
  <c r="CG25" i="10"/>
  <c r="CM25" i="10"/>
  <c r="CC25" i="10"/>
  <c r="CA25" i="10"/>
  <c r="BY25" i="10"/>
  <c r="BO25" i="10"/>
  <c r="BS25" i="10"/>
  <c r="CN25" i="10"/>
  <c r="BR25" i="10"/>
  <c r="CB25" i="10"/>
  <c r="BX25" i="10"/>
  <c r="BT25" i="10"/>
  <c r="BP25" i="10"/>
  <c r="F28" i="15"/>
  <c r="BU25" i="10"/>
  <c r="CP25" i="10"/>
  <c r="BQ25" i="10"/>
  <c r="CL25" i="10"/>
  <c r="BM25" i="10"/>
  <c r="CH25" i="10"/>
  <c r="CI25" i="10"/>
  <c r="CD25" i="10"/>
  <c r="BZ25" i="10"/>
  <c r="BV25" i="10"/>
  <c r="CJ25" i="10"/>
  <c r="CF25" i="10"/>
  <c r="BN25" i="10"/>
  <c r="CE25" i="10"/>
  <c r="BW25" i="10"/>
  <c r="CO25" i="10"/>
  <c r="CN26" i="10"/>
  <c r="BY26" i="10"/>
  <c r="CB26" i="10"/>
  <c r="CO26" i="10"/>
  <c r="CH26" i="10"/>
  <c r="BL26" i="10"/>
  <c r="BR26" i="10"/>
  <c r="BM26" i="10"/>
  <c r="F29" i="15"/>
  <c r="CE26" i="10"/>
  <c r="CI26" i="10"/>
  <c r="CF26" i="10"/>
  <c r="CG26" i="10"/>
  <c r="BQ26" i="10"/>
  <c r="BW26" i="10"/>
  <c r="CJ26" i="10"/>
  <c r="CM26" i="10"/>
  <c r="BX26" i="10"/>
  <c r="CK26" i="10"/>
  <c r="CA26" i="10"/>
  <c r="BN26" i="10"/>
  <c r="BT26" i="10"/>
  <c r="BU26" i="10"/>
  <c r="CP26" i="10"/>
  <c r="BP26" i="10"/>
  <c r="CC26" i="10"/>
  <c r="CD26" i="10"/>
  <c r="BZ26" i="10"/>
  <c r="CL26" i="10"/>
  <c r="BO26" i="10"/>
  <c r="BS26" i="10"/>
  <c r="BV26" i="10"/>
  <c r="CP27" i="10"/>
  <c r="CO27" i="10"/>
  <c r="BZ27" i="10"/>
  <c r="CI27" i="10"/>
  <c r="CD27" i="10"/>
  <c r="BW27" i="10"/>
  <c r="BR27" i="10"/>
  <c r="BQ27" i="10"/>
  <c r="F30" i="15"/>
  <c r="CL27" i="10"/>
  <c r="CK27" i="10"/>
  <c r="BY27" i="10"/>
  <c r="CE27" i="10"/>
  <c r="BX27" i="10"/>
  <c r="BS27" i="10"/>
  <c r="BN27" i="10"/>
  <c r="BM27" i="10"/>
  <c r="CH27" i="10"/>
  <c r="CG27" i="10"/>
  <c r="CN27" i="10"/>
  <c r="CC27" i="10"/>
  <c r="CB27" i="10"/>
  <c r="BT27" i="10"/>
  <c r="BO27" i="10"/>
  <c r="BL27" i="10"/>
  <c r="CA27" i="10"/>
  <c r="CF27" i="10"/>
  <c r="CM27" i="10"/>
  <c r="CJ27" i="10"/>
  <c r="BP27" i="10"/>
  <c r="BV27" i="10"/>
  <c r="BU27" i="10"/>
  <c r="J15" i="14"/>
  <c r="C16" i="14"/>
  <c r="CK28" i="10"/>
  <c r="BU28" i="10"/>
  <c r="CN28" i="10"/>
  <c r="CM28" i="10"/>
  <c r="BW28" i="10"/>
  <c r="CL28" i="10"/>
  <c r="BV28" i="10"/>
  <c r="CB28" i="10"/>
  <c r="CC28" i="10"/>
  <c r="BM28" i="10"/>
  <c r="BX28" i="10"/>
  <c r="CE28" i="10"/>
  <c r="BO28" i="10"/>
  <c r="CD28" i="10"/>
  <c r="BN28" i="10"/>
  <c r="BP28" i="10"/>
  <c r="CG28" i="10"/>
  <c r="BQ28" i="10"/>
  <c r="CF28" i="10"/>
  <c r="CI28" i="10"/>
  <c r="BS28" i="10"/>
  <c r="CH28" i="10"/>
  <c r="BR28" i="10"/>
  <c r="BT28" i="10"/>
  <c r="CO28" i="10"/>
  <c r="BY28" i="10"/>
  <c r="F31" i="15"/>
  <c r="BL28" i="10"/>
  <c r="CA28" i="10"/>
  <c r="CP28" i="10"/>
  <c r="BZ28" i="10"/>
  <c r="CJ28" i="10"/>
  <c r="CL31" i="10"/>
  <c r="CK31" i="10"/>
  <c r="BX31" i="10"/>
  <c r="CJ31" i="10"/>
  <c r="CC31" i="10"/>
  <c r="BT31" i="10"/>
  <c r="BO31" i="10"/>
  <c r="BL31" i="10"/>
  <c r="F34" i="15"/>
  <c r="CH31" i="10"/>
  <c r="CG31" i="10"/>
  <c r="CM31" i="10"/>
  <c r="CD31" i="10"/>
  <c r="BY31" i="10"/>
  <c r="BS31" i="10"/>
  <c r="BU31" i="10"/>
  <c r="BR31" i="10"/>
  <c r="CA31" i="10"/>
  <c r="CF31" i="10"/>
  <c r="CI31" i="10"/>
  <c r="CB31" i="10"/>
  <c r="BM31" i="10"/>
  <c r="BN31" i="10"/>
  <c r="BW31" i="10"/>
  <c r="CP31" i="10"/>
  <c r="CO31" i="10"/>
  <c r="BZ31" i="10"/>
  <c r="CE31" i="10"/>
  <c r="BP31" i="10"/>
  <c r="CN31" i="10"/>
  <c r="BQ31" i="10"/>
  <c r="BV31" i="10"/>
  <c r="CB30" i="10"/>
  <c r="CH30" i="10"/>
  <c r="BY30" i="10"/>
  <c r="CF30" i="10"/>
  <c r="BN30" i="10"/>
  <c r="BT30" i="10"/>
  <c r="BP30" i="10"/>
  <c r="BX30" i="10"/>
  <c r="CE30" i="10"/>
  <c r="CK30" i="10"/>
  <c r="BU30" i="10"/>
  <c r="BW30" i="10"/>
  <c r="CM30" i="10"/>
  <c r="CP30" i="10"/>
  <c r="CC30" i="10"/>
  <c r="BZ30" i="10"/>
  <c r="BQ30" i="10"/>
  <c r="BV30" i="10"/>
  <c r="CL30" i="10"/>
  <c r="CJ30" i="10"/>
  <c r="BM30" i="10"/>
  <c r="BS30" i="10"/>
  <c r="F33" i="15"/>
  <c r="CI30" i="10"/>
  <c r="CN30" i="10"/>
  <c r="BR30" i="10"/>
  <c r="CA30" i="10"/>
  <c r="CG30" i="10"/>
  <c r="BO30" i="10"/>
  <c r="CD30" i="10"/>
  <c r="CO30" i="10"/>
  <c r="BL30" i="10"/>
  <c r="C43" i="1"/>
  <c r="F33" i="1" l="1"/>
  <c r="O3" i="57"/>
  <c r="O5" i="57" s="1"/>
  <c r="C6" i="57" s="1"/>
  <c r="C56" i="1"/>
  <c r="D43" i="1"/>
  <c r="AQ33" i="10"/>
  <c r="AX33" i="10"/>
  <c r="AT33" i="10"/>
  <c r="AW33" i="10"/>
  <c r="AN33" i="10"/>
  <c r="D36" i="15"/>
  <c r="AO33" i="10"/>
  <c r="AR33" i="10"/>
  <c r="AS33" i="10"/>
  <c r="AV33" i="10"/>
  <c r="AY33" i="10"/>
  <c r="AU33" i="10"/>
  <c r="AP33" i="10"/>
  <c r="K7" i="19"/>
  <c r="D4" i="16"/>
  <c r="C3" i="16"/>
  <c r="D59" i="15"/>
  <c r="E4" i="15"/>
  <c r="C19" i="17"/>
  <c r="C6" i="46" s="1"/>
  <c r="D9" i="55"/>
  <c r="D17" i="55" s="1"/>
  <c r="D4" i="20"/>
  <c r="C19" i="56"/>
  <c r="E7" i="48"/>
  <c r="D3" i="20"/>
  <c r="C18" i="56"/>
  <c r="E20" i="56" s="1"/>
  <c r="C9" i="55"/>
  <c r="C17" i="55" s="1"/>
  <c r="C18" i="17"/>
  <c r="E11" i="17"/>
  <c r="E10" i="48" s="1"/>
  <c r="F4" i="17"/>
  <c r="F6" i="29"/>
  <c r="O52" i="1"/>
  <c r="B65" i="1"/>
  <c r="F6" i="27"/>
  <c r="M53" i="1"/>
  <c r="C65" i="1" s="1"/>
  <c r="G4" i="56"/>
  <c r="F11" i="56"/>
  <c r="R2" i="10"/>
  <c r="Q45" i="10"/>
  <c r="Q56" i="10"/>
  <c r="K6" i="19"/>
  <c r="M32" i="1"/>
  <c r="E2" i="16" s="1"/>
  <c r="E59" i="16" s="1"/>
  <c r="E2" i="15"/>
  <c r="H17" i="8"/>
  <c r="O19" i="1"/>
  <c r="K4" i="19"/>
  <c r="B21" i="14"/>
  <c r="I20" i="14"/>
  <c r="D18" i="1"/>
  <c r="BS19" i="10"/>
  <c r="G38" i="15"/>
  <c r="BP19" i="10"/>
  <c r="BU19" i="10"/>
  <c r="G19" i="15"/>
  <c r="BQ19" i="10"/>
  <c r="CP19" i="10"/>
  <c r="CH19" i="10"/>
  <c r="BO19" i="10"/>
  <c r="O40" i="1"/>
  <c r="CN19" i="10"/>
  <c r="BL19" i="10"/>
  <c r="G18" i="15"/>
  <c r="BN19" i="10"/>
  <c r="BX19" i="10"/>
  <c r="CA19" i="10"/>
  <c r="CE19" i="10"/>
  <c r="BY19" i="10"/>
  <c r="CK19" i="10"/>
  <c r="BM19" i="10"/>
  <c r="BZ19" i="10"/>
  <c r="CD19" i="10"/>
  <c r="BT19" i="10"/>
  <c r="BV19" i="10"/>
  <c r="CJ19" i="10"/>
  <c r="CM19" i="10"/>
  <c r="CO19" i="10"/>
  <c r="CG19" i="10"/>
  <c r="BW19" i="10"/>
  <c r="CC19" i="10"/>
  <c r="BR19" i="10"/>
  <c r="CF19" i="10"/>
  <c r="F22" i="15"/>
  <c r="CI19" i="10"/>
  <c r="CB19" i="10"/>
  <c r="CL19" i="10"/>
  <c r="G20" i="15"/>
  <c r="G21" i="15"/>
  <c r="G28" i="15"/>
  <c r="G29" i="15"/>
  <c r="G30" i="15"/>
  <c r="D22" i="56"/>
  <c r="D70" i="56"/>
  <c r="D6" i="56"/>
  <c r="D54" i="56"/>
  <c r="D38" i="56"/>
  <c r="C17" i="14"/>
  <c r="J16" i="14"/>
  <c r="L6" i="48"/>
  <c r="G31" i="15"/>
  <c r="G34" i="15"/>
  <c r="G33" i="15"/>
  <c r="C52" i="1"/>
  <c r="F9" i="1"/>
  <c r="D6" i="57" l="1"/>
  <c r="I3" i="9"/>
  <c r="P3" i="9" s="1"/>
  <c r="C11" i="57"/>
  <c r="B15" i="57" s="1"/>
  <c r="E5" i="22" s="1"/>
  <c r="BK33" i="10"/>
  <c r="E36" i="15"/>
  <c r="BH33" i="10"/>
  <c r="AZ33" i="10"/>
  <c r="BA33" i="10"/>
  <c r="BD33" i="10"/>
  <c r="BC33" i="10"/>
  <c r="BG33" i="10"/>
  <c r="BI33" i="10"/>
  <c r="BF33" i="10"/>
  <c r="BB33" i="10"/>
  <c r="BE33" i="10"/>
  <c r="BJ33" i="10"/>
  <c r="C34" i="17"/>
  <c r="E3" i="29"/>
  <c r="J156" i="1"/>
  <c r="C34" i="56"/>
  <c r="E36" i="56" s="1"/>
  <c r="C10" i="55"/>
  <c r="C18" i="55" s="1"/>
  <c r="Q52" i="1"/>
  <c r="B66" i="1"/>
  <c r="G6" i="27"/>
  <c r="O53" i="1"/>
  <c r="C66" i="1" s="1"/>
  <c r="F11" i="17"/>
  <c r="F10" i="48" s="1"/>
  <c r="G4" i="17"/>
  <c r="G7" i="48" s="1"/>
  <c r="F9" i="48"/>
  <c r="C3" i="49"/>
  <c r="E6" i="49" s="1"/>
  <c r="B6" i="46"/>
  <c r="E20" i="17"/>
  <c r="J17" i="8"/>
  <c r="O32" i="1"/>
  <c r="F2" i="16" s="1"/>
  <c r="F59" i="16" s="1"/>
  <c r="Q19" i="1"/>
  <c r="F2" i="15"/>
  <c r="E27" i="56"/>
  <c r="F20" i="56"/>
  <c r="R56" i="10"/>
  <c r="S2" i="10"/>
  <c r="R45" i="10"/>
  <c r="S59" i="10"/>
  <c r="F4" i="15"/>
  <c r="E59" i="15"/>
  <c r="G11" i="56"/>
  <c r="H4" i="56"/>
  <c r="C35" i="56"/>
  <c r="E4" i="29"/>
  <c r="C35" i="17"/>
  <c r="Q156" i="1"/>
  <c r="D10" i="55"/>
  <c r="D18" i="55" s="1"/>
  <c r="D3" i="16"/>
  <c r="E4" i="16"/>
  <c r="F7" i="48"/>
  <c r="B22" i="14"/>
  <c r="I21" i="14"/>
  <c r="F10" i="1"/>
  <c r="Q40" i="1"/>
  <c r="G22" i="15"/>
  <c r="D61" i="56"/>
  <c r="D13" i="56"/>
  <c r="D77" i="56"/>
  <c r="D45" i="56"/>
  <c r="D29" i="56"/>
  <c r="M6" i="48"/>
  <c r="C18" i="14"/>
  <c r="J17" i="14"/>
  <c r="F6" i="1"/>
  <c r="D3" i="14"/>
  <c r="I4" i="9" l="1"/>
  <c r="E6" i="57"/>
  <c r="D7" i="57"/>
  <c r="D8" i="57" s="1"/>
  <c r="D9" i="57" s="1"/>
  <c r="L4" i="9" s="1"/>
  <c r="P4" i="9" s="1"/>
  <c r="D11" i="57"/>
  <c r="B16" i="57" s="1"/>
  <c r="E6" i="22" s="1"/>
  <c r="G6" i="22" s="1"/>
  <c r="CF33" i="10"/>
  <c r="BO33" i="10"/>
  <c r="CK33" i="10"/>
  <c r="BQ33" i="10"/>
  <c r="BT33" i="10"/>
  <c r="BM33" i="10"/>
  <c r="CH33" i="10"/>
  <c r="BL33" i="10"/>
  <c r="CB33" i="10"/>
  <c r="BN33" i="10"/>
  <c r="CL33" i="10"/>
  <c r="CD33" i="10"/>
  <c r="F36" i="15"/>
  <c r="BP33" i="10"/>
  <c r="CJ33" i="10"/>
  <c r="BR33" i="10"/>
  <c r="CP33" i="10"/>
  <c r="BZ33" i="10"/>
  <c r="BX33" i="10"/>
  <c r="CM33" i="10"/>
  <c r="CO33" i="10"/>
  <c r="CA33" i="10"/>
  <c r="BU33" i="10"/>
  <c r="CC33" i="10"/>
  <c r="BS33" i="10"/>
  <c r="CG33" i="10"/>
  <c r="BW33" i="10"/>
  <c r="CE33" i="10"/>
  <c r="CN33" i="10"/>
  <c r="BY33" i="10"/>
  <c r="CI33" i="10"/>
  <c r="BV33" i="10"/>
  <c r="G9" i="48"/>
  <c r="G2" i="15"/>
  <c r="L17" i="8"/>
  <c r="Q32" i="1"/>
  <c r="E3" i="16"/>
  <c r="F4" i="16"/>
  <c r="F3" i="16" s="1"/>
  <c r="F20" i="17"/>
  <c r="E27" i="17"/>
  <c r="E10" i="49" s="1"/>
  <c r="C7" i="46"/>
  <c r="C4" i="50"/>
  <c r="E7" i="49"/>
  <c r="F6" i="49"/>
  <c r="H11" i="56"/>
  <c r="I4" i="56"/>
  <c r="H4" i="17"/>
  <c r="H7" i="48" s="1"/>
  <c r="G11" i="17"/>
  <c r="G10" i="48" s="1"/>
  <c r="G4" i="15"/>
  <c r="G59" i="15" s="1"/>
  <c r="F59" i="15"/>
  <c r="Q168" i="1"/>
  <c r="D11" i="55"/>
  <c r="D19" i="55" s="1"/>
  <c r="C51" i="17"/>
  <c r="C51" i="56"/>
  <c r="F4" i="27"/>
  <c r="J168" i="1"/>
  <c r="C50" i="17"/>
  <c r="F3" i="27"/>
  <c r="C50" i="56"/>
  <c r="E52" i="56" s="1"/>
  <c r="C11" i="55"/>
  <c r="C19" i="55" s="1"/>
  <c r="B67" i="1"/>
  <c r="Q53" i="1"/>
  <c r="C67" i="1" s="1"/>
  <c r="S45" i="10"/>
  <c r="T2" i="10"/>
  <c r="S56" i="10"/>
  <c r="E43" i="56"/>
  <c r="F36" i="56"/>
  <c r="F27" i="56"/>
  <c r="G20" i="56"/>
  <c r="E36" i="17"/>
  <c r="C3" i="50"/>
  <c r="E6" i="50" s="1"/>
  <c r="B7" i="46"/>
  <c r="B23" i="14"/>
  <c r="I22" i="14"/>
  <c r="J18" i="14"/>
  <c r="C19" i="14"/>
  <c r="F19" i="14" s="1"/>
  <c r="N6" i="48"/>
  <c r="F12" i="14"/>
  <c r="F15" i="14"/>
  <c r="D12" i="14"/>
  <c r="F13" i="14"/>
  <c r="F18" i="14"/>
  <c r="F17" i="14"/>
  <c r="F14" i="14"/>
  <c r="F16" i="14"/>
  <c r="D6" i="17"/>
  <c r="F5" i="29"/>
  <c r="D38" i="17"/>
  <c r="D22" i="17"/>
  <c r="D70" i="17"/>
  <c r="F8" i="1"/>
  <c r="G5" i="27"/>
  <c r="E5" i="20"/>
  <c r="D54" i="17"/>
  <c r="D5" i="19"/>
  <c r="F11" i="1"/>
  <c r="E7" i="57" l="1"/>
  <c r="E8" i="57" s="1"/>
  <c r="E9" i="57" s="1"/>
  <c r="L5" i="9" s="1"/>
  <c r="I5" i="9"/>
  <c r="F6" i="57"/>
  <c r="E11" i="57"/>
  <c r="B17" i="57" s="1"/>
  <c r="E7" i="22" s="1"/>
  <c r="G36" i="15"/>
  <c r="H20" i="56"/>
  <c r="G27" i="56"/>
  <c r="F36" i="17"/>
  <c r="E43" i="17"/>
  <c r="E10" i="50" s="1"/>
  <c r="G36" i="56"/>
  <c r="F43" i="56"/>
  <c r="H9" i="48"/>
  <c r="I4" i="17"/>
  <c r="I9" i="48" s="1"/>
  <c r="H11" i="17"/>
  <c r="H10" i="48" s="1"/>
  <c r="I11" i="56"/>
  <c r="J4" i="56"/>
  <c r="T56" i="10"/>
  <c r="U2" i="10"/>
  <c r="T45" i="10"/>
  <c r="C67" i="56"/>
  <c r="C67" i="17"/>
  <c r="Q180" i="1"/>
  <c r="G6" i="49"/>
  <c r="F7" i="49"/>
  <c r="C66" i="56"/>
  <c r="E68" i="56" s="1"/>
  <c r="J180" i="1"/>
  <c r="C66" i="17"/>
  <c r="F52" i="56"/>
  <c r="E59" i="56"/>
  <c r="B8" i="46"/>
  <c r="C3" i="51"/>
  <c r="E6" i="51" s="1"/>
  <c r="E52" i="17"/>
  <c r="F27" i="17"/>
  <c r="F10" i="49" s="1"/>
  <c r="G20" i="17"/>
  <c r="C8" i="46"/>
  <c r="C4" i="51"/>
  <c r="F6" i="50"/>
  <c r="E7" i="50"/>
  <c r="B24" i="14"/>
  <c r="I23" i="14"/>
  <c r="U59" i="10"/>
  <c r="O6" i="48"/>
  <c r="C20" i="14"/>
  <c r="J19" i="14"/>
  <c r="D13" i="14"/>
  <c r="D14" i="14" s="1"/>
  <c r="D15" i="14" s="1"/>
  <c r="D16" i="14" s="1"/>
  <c r="D17" i="14" s="1"/>
  <c r="D18" i="14" s="1"/>
  <c r="D19" i="14" s="1"/>
  <c r="D20" i="14" s="1"/>
  <c r="E16" i="20"/>
  <c r="C7" i="20"/>
  <c r="C11" i="20" s="1"/>
  <c r="C7" i="51"/>
  <c r="D61" i="17"/>
  <c r="D29" i="17"/>
  <c r="C7" i="49"/>
  <c r="K12" i="14"/>
  <c r="E13" i="14" s="1"/>
  <c r="K13" i="14" s="1"/>
  <c r="E14" i="14" s="1"/>
  <c r="K14" i="14" s="1"/>
  <c r="E15" i="14" s="1"/>
  <c r="K15" i="14" s="1"/>
  <c r="E16" i="14" s="1"/>
  <c r="K16" i="14" s="1"/>
  <c r="E17" i="14" s="1"/>
  <c r="K17" i="14" s="1"/>
  <c r="E18" i="14" s="1"/>
  <c r="K18" i="14" s="1"/>
  <c r="E19" i="14" s="1"/>
  <c r="G12" i="14"/>
  <c r="H12" i="14" s="1"/>
  <c r="L12" i="14" s="1"/>
  <c r="C7" i="29"/>
  <c r="C11" i="29" s="1"/>
  <c r="F16" i="29"/>
  <c r="G16" i="27"/>
  <c r="C7" i="27"/>
  <c r="C11" i="27" s="1"/>
  <c r="C7" i="52"/>
  <c r="D77" i="17"/>
  <c r="D45" i="17"/>
  <c r="C7" i="50"/>
  <c r="D15" i="19"/>
  <c r="C7" i="19"/>
  <c r="C10" i="19" s="1"/>
  <c r="C7" i="48"/>
  <c r="D13" i="17"/>
  <c r="P5" i="9" l="1"/>
  <c r="G7" i="22"/>
  <c r="I6" i="9"/>
  <c r="G6" i="57"/>
  <c r="F7" i="57"/>
  <c r="F8" i="57" s="1"/>
  <c r="F9" i="57" s="1"/>
  <c r="L6" i="9" s="1"/>
  <c r="P6" i="9" s="1"/>
  <c r="F11" i="57"/>
  <c r="B18" i="57" s="1"/>
  <c r="E8" i="22" s="1"/>
  <c r="G8" i="22" s="1"/>
  <c r="I8" i="22" s="1"/>
  <c r="K8" i="22" s="1"/>
  <c r="H6" i="49"/>
  <c r="G7" i="49"/>
  <c r="C4" i="52"/>
  <c r="C9" i="46"/>
  <c r="V2" i="10"/>
  <c r="U56" i="10"/>
  <c r="U45" i="10"/>
  <c r="G6" i="50"/>
  <c r="F7" i="50"/>
  <c r="K4" i="56"/>
  <c r="J11" i="56"/>
  <c r="H20" i="17"/>
  <c r="G27" i="17"/>
  <c r="G10" i="49" s="1"/>
  <c r="F52" i="17"/>
  <c r="E59" i="17"/>
  <c r="E10" i="51" s="1"/>
  <c r="I7" i="48"/>
  <c r="I11" i="17"/>
  <c r="I10" i="48" s="1"/>
  <c r="J4" i="17"/>
  <c r="G43" i="56"/>
  <c r="H36" i="56"/>
  <c r="F59" i="56"/>
  <c r="G52" i="56"/>
  <c r="B9" i="46"/>
  <c r="E68" i="17"/>
  <c r="C3" i="52"/>
  <c r="E6" i="52" s="1"/>
  <c r="G36" i="17"/>
  <c r="F43" i="17"/>
  <c r="F10" i="50" s="1"/>
  <c r="E7" i="51"/>
  <c r="F6" i="51"/>
  <c r="E75" i="56"/>
  <c r="F68" i="56"/>
  <c r="H27" i="56"/>
  <c r="I20" i="56"/>
  <c r="B25" i="14"/>
  <c r="I24" i="14"/>
  <c r="K19" i="14"/>
  <c r="E20" i="14" s="1"/>
  <c r="C21" i="14"/>
  <c r="J20" i="14"/>
  <c r="F20" i="14"/>
  <c r="P6" i="48"/>
  <c r="G13" i="14"/>
  <c r="H13" i="14" s="1"/>
  <c r="L13" i="14" s="1"/>
  <c r="G18" i="27"/>
  <c r="C55" i="27" s="1"/>
  <c r="C26" i="27"/>
  <c r="G17" i="27"/>
  <c r="C52" i="27" s="1"/>
  <c r="C26" i="29"/>
  <c r="F17" i="29"/>
  <c r="C52" i="29" s="1"/>
  <c r="F18" i="29"/>
  <c r="C55" i="29" s="1"/>
  <c r="C11" i="51"/>
  <c r="C57" i="51"/>
  <c r="E17" i="20"/>
  <c r="C52" i="20" s="1"/>
  <c r="C26" i="20"/>
  <c r="E18" i="20"/>
  <c r="C55" i="20" s="1"/>
  <c r="C57" i="52"/>
  <c r="C11" i="52"/>
  <c r="C49" i="29"/>
  <c r="C48" i="19"/>
  <c r="D17" i="19"/>
  <c r="C54" i="19" s="1"/>
  <c r="C25" i="19"/>
  <c r="D16" i="19"/>
  <c r="C51" i="19" s="1"/>
  <c r="C57" i="48"/>
  <c r="C11" i="48"/>
  <c r="C57" i="50"/>
  <c r="C11" i="50"/>
  <c r="C49" i="27"/>
  <c r="C11" i="49"/>
  <c r="C57" i="49"/>
  <c r="C49" i="20"/>
  <c r="I7" i="9" l="1"/>
  <c r="H6" i="57"/>
  <c r="G7" i="57"/>
  <c r="G8" i="57" s="1"/>
  <c r="G9" i="57" s="1"/>
  <c r="L7" i="9" s="1"/>
  <c r="P7" i="9" s="1"/>
  <c r="G11" i="57"/>
  <c r="B19" i="57" s="1"/>
  <c r="E9" i="22" s="1"/>
  <c r="G9" i="22" s="1"/>
  <c r="I9" i="22" s="1"/>
  <c r="K9" i="22" s="1"/>
  <c r="M9" i="22" s="1"/>
  <c r="I7" i="22"/>
  <c r="T59" i="10"/>
  <c r="J9" i="48"/>
  <c r="K4" i="17"/>
  <c r="K9" i="48" s="1"/>
  <c r="J11" i="17"/>
  <c r="J10" i="48" s="1"/>
  <c r="I27" i="56"/>
  <c r="J20" i="56"/>
  <c r="F75" i="56"/>
  <c r="G68" i="56"/>
  <c r="G52" i="17"/>
  <c r="F59" i="17"/>
  <c r="F10" i="51" s="1"/>
  <c r="I20" i="17"/>
  <c r="H27" i="17"/>
  <c r="H10" i="49" s="1"/>
  <c r="K7" i="48"/>
  <c r="K11" i="56"/>
  <c r="L4" i="56"/>
  <c r="G6" i="51"/>
  <c r="F7" i="51"/>
  <c r="G7" i="50"/>
  <c r="H6" i="50"/>
  <c r="E7" i="52"/>
  <c r="F6" i="52"/>
  <c r="W2" i="10"/>
  <c r="V56" i="10"/>
  <c r="V45" i="10"/>
  <c r="H52" i="56"/>
  <c r="G59" i="56"/>
  <c r="H43" i="56"/>
  <c r="I36" i="56"/>
  <c r="G43" i="17"/>
  <c r="G10" i="50" s="1"/>
  <c r="H36" i="17"/>
  <c r="F68" i="17"/>
  <c r="E75" i="17"/>
  <c r="E10" i="52" s="1"/>
  <c r="X59" i="10"/>
  <c r="P65" i="10"/>
  <c r="S65" i="10"/>
  <c r="G65" i="10"/>
  <c r="E65" i="10"/>
  <c r="K65" i="10"/>
  <c r="J65" i="10"/>
  <c r="C65" i="10"/>
  <c r="N65" i="10"/>
  <c r="H65" i="10"/>
  <c r="O65" i="10"/>
  <c r="F65" i="10"/>
  <c r="R65" i="10"/>
  <c r="Q65" i="10"/>
  <c r="I65" i="10"/>
  <c r="M65" i="10"/>
  <c r="T65" i="10"/>
  <c r="L65" i="10"/>
  <c r="D65" i="10"/>
  <c r="U65" i="10"/>
  <c r="J7" i="48"/>
  <c r="I6" i="49"/>
  <c r="H7" i="49"/>
  <c r="I25" i="14"/>
  <c r="B26" i="14"/>
  <c r="W59" i="10"/>
  <c r="K20" i="14"/>
  <c r="E21" i="14" s="1"/>
  <c r="D21" i="14"/>
  <c r="J21" i="14"/>
  <c r="C22" i="14"/>
  <c r="F21" i="14"/>
  <c r="Q6" i="48"/>
  <c r="G14" i="14"/>
  <c r="G15" i="14" s="1"/>
  <c r="C67" i="49"/>
  <c r="C67" i="50"/>
  <c r="C67" i="48"/>
  <c r="C67" i="51"/>
  <c r="C67" i="52"/>
  <c r="I6" i="57" l="1"/>
  <c r="I8" i="9"/>
  <c r="H7" i="57"/>
  <c r="H8" i="57" s="1"/>
  <c r="H9" i="57" s="1"/>
  <c r="L8" i="9" s="1"/>
  <c r="P8" i="9" s="1"/>
  <c r="H11" i="57"/>
  <c r="B20" i="57" s="1"/>
  <c r="E10" i="22" s="1"/>
  <c r="J6" i="49"/>
  <c r="I7" i="49"/>
  <c r="K63" i="10"/>
  <c r="K64" i="10"/>
  <c r="E63" i="10"/>
  <c r="E64" i="10"/>
  <c r="I6" i="50"/>
  <c r="H7" i="50"/>
  <c r="G64" i="10"/>
  <c r="G63" i="10"/>
  <c r="S63" i="10"/>
  <c r="S64" i="10"/>
  <c r="P64" i="10"/>
  <c r="P63" i="10"/>
  <c r="H6" i="51"/>
  <c r="G7" i="51"/>
  <c r="U63" i="10"/>
  <c r="U64" i="10"/>
  <c r="M4" i="56"/>
  <c r="L11" i="56"/>
  <c r="D64" i="10"/>
  <c r="D63" i="10"/>
  <c r="F75" i="17"/>
  <c r="F10" i="52" s="1"/>
  <c r="G68" i="17"/>
  <c r="M63" i="10"/>
  <c r="M64" i="10"/>
  <c r="J36" i="56"/>
  <c r="I43" i="56"/>
  <c r="I27" i="17"/>
  <c r="I10" i="49" s="1"/>
  <c r="J20" i="17"/>
  <c r="I63" i="10"/>
  <c r="I64" i="10"/>
  <c r="H52" i="17"/>
  <c r="G59" i="17"/>
  <c r="G10" i="51" s="1"/>
  <c r="G75" i="56"/>
  <c r="H68" i="56"/>
  <c r="J27" i="56"/>
  <c r="K20" i="56"/>
  <c r="O63" i="10"/>
  <c r="O64" i="10"/>
  <c r="H63" i="10"/>
  <c r="H64" i="10"/>
  <c r="N64" i="10"/>
  <c r="N63" i="10"/>
  <c r="H59" i="56"/>
  <c r="I52" i="56"/>
  <c r="F63" i="10"/>
  <c r="F64" i="10"/>
  <c r="C64" i="10"/>
  <c r="C63" i="10"/>
  <c r="X2" i="10"/>
  <c r="W56" i="10"/>
  <c r="W45" i="10"/>
  <c r="L4" i="17"/>
  <c r="K11" i="17"/>
  <c r="K10" i="48" s="1"/>
  <c r="L64" i="10"/>
  <c r="L63" i="10"/>
  <c r="H43" i="17"/>
  <c r="H10" i="50" s="1"/>
  <c r="I36" i="17"/>
  <c r="T64" i="10"/>
  <c r="T63" i="10"/>
  <c r="Q63" i="10"/>
  <c r="Q64" i="10"/>
  <c r="R63" i="10"/>
  <c r="R64" i="10"/>
  <c r="J64" i="10"/>
  <c r="J63" i="10"/>
  <c r="F7" i="52"/>
  <c r="G6" i="52"/>
  <c r="I26" i="14"/>
  <c r="B27" i="14"/>
  <c r="H14" i="14"/>
  <c r="L14" i="14" s="1"/>
  <c r="K21" i="14"/>
  <c r="E22" i="14" s="1"/>
  <c r="R6" i="48"/>
  <c r="D22" i="14"/>
  <c r="C23" i="14"/>
  <c r="J22" i="14"/>
  <c r="F22" i="14"/>
  <c r="H15" i="14"/>
  <c r="G16" i="14"/>
  <c r="G10" i="22" l="1"/>
  <c r="CI47" i="10"/>
  <c r="CH47" i="10"/>
  <c r="CG47" i="10"/>
  <c r="CF47" i="10"/>
  <c r="CE47" i="10"/>
  <c r="CD47" i="10"/>
  <c r="CC47" i="10"/>
  <c r="J6" i="57"/>
  <c r="I7" i="57"/>
  <c r="I8" i="57" s="1"/>
  <c r="I9" i="57" s="1"/>
  <c r="I11" i="57" s="1"/>
  <c r="B21" i="57" s="1"/>
  <c r="E11" i="22" s="1"/>
  <c r="G11" i="22" s="1"/>
  <c r="I11" i="22" s="1"/>
  <c r="K11" i="22" s="1"/>
  <c r="M11" i="22" s="1"/>
  <c r="O11" i="22" s="1"/>
  <c r="Q11" i="22" s="1"/>
  <c r="M11" i="56"/>
  <c r="N4" i="56"/>
  <c r="L9" i="48"/>
  <c r="K27" i="56"/>
  <c r="L20" i="56"/>
  <c r="I6" i="51"/>
  <c r="H7" i="51"/>
  <c r="Y2" i="10"/>
  <c r="X45" i="10"/>
  <c r="Y59" i="10"/>
  <c r="X56" i="10"/>
  <c r="I52" i="17"/>
  <c r="H59" i="17"/>
  <c r="H10" i="51" s="1"/>
  <c r="G7" i="52"/>
  <c r="H6" i="52"/>
  <c r="L7" i="48"/>
  <c r="M4" i="17"/>
  <c r="L11" i="17"/>
  <c r="L10" i="48" s="1"/>
  <c r="K20" i="17"/>
  <c r="J27" i="17"/>
  <c r="J10" i="49" s="1"/>
  <c r="J43" i="56"/>
  <c r="K36" i="56"/>
  <c r="J6" i="50"/>
  <c r="I7" i="50"/>
  <c r="H75" i="56"/>
  <c r="I68" i="56"/>
  <c r="J52" i="56"/>
  <c r="I59" i="56"/>
  <c r="G75" i="17"/>
  <c r="G10" i="52" s="1"/>
  <c r="H68" i="17"/>
  <c r="I43" i="17"/>
  <c r="I10" i="50" s="1"/>
  <c r="J36" i="17"/>
  <c r="K6" i="49"/>
  <c r="J7" i="49"/>
  <c r="B28" i="14"/>
  <c r="I27" i="14"/>
  <c r="L15" i="14"/>
  <c r="K22" i="14"/>
  <c r="E23" i="14" s="1"/>
  <c r="D23" i="14"/>
  <c r="S6" i="48"/>
  <c r="C24" i="14"/>
  <c r="J23" i="14"/>
  <c r="F23" i="14"/>
  <c r="H16" i="14"/>
  <c r="G17" i="14"/>
  <c r="K6" i="57" l="1"/>
  <c r="J7" i="57"/>
  <c r="J8" i="57" s="1"/>
  <c r="J9" i="57" s="1"/>
  <c r="J11" i="57" s="1"/>
  <c r="B22" i="57" s="1"/>
  <c r="E12" i="22" s="1"/>
  <c r="G12" i="22" s="1"/>
  <c r="I12" i="22" s="1"/>
  <c r="K12" i="22" s="1"/>
  <c r="M12" i="22" s="1"/>
  <c r="O12" i="22" s="1"/>
  <c r="Q12" i="22" s="1"/>
  <c r="S12" i="22" s="1"/>
  <c r="I10" i="22"/>
  <c r="L6" i="49"/>
  <c r="K7" i="49"/>
  <c r="M9" i="48"/>
  <c r="N4" i="17"/>
  <c r="M11" i="17"/>
  <c r="M10" i="48" s="1"/>
  <c r="J43" i="17"/>
  <c r="J10" i="50" s="1"/>
  <c r="K36" i="17"/>
  <c r="I6" i="52"/>
  <c r="H7" i="52"/>
  <c r="I59" i="17"/>
  <c r="I10" i="51" s="1"/>
  <c r="J52" i="17"/>
  <c r="Z59" i="10"/>
  <c r="Y45" i="10"/>
  <c r="Y56" i="10"/>
  <c r="Z2" i="10"/>
  <c r="J59" i="56"/>
  <c r="K52" i="56"/>
  <c r="H75" i="17"/>
  <c r="H10" i="52" s="1"/>
  <c r="I68" i="17"/>
  <c r="J68" i="56"/>
  <c r="I75" i="56"/>
  <c r="I7" i="51"/>
  <c r="J6" i="51"/>
  <c r="N11" i="56"/>
  <c r="O4" i="56"/>
  <c r="L27" i="56"/>
  <c r="M20" i="56"/>
  <c r="L20" i="17"/>
  <c r="K27" i="17"/>
  <c r="K10" i="49" s="1"/>
  <c r="K6" i="50"/>
  <c r="J7" i="50"/>
  <c r="L36" i="56"/>
  <c r="K43" i="56"/>
  <c r="M7" i="48"/>
  <c r="N7" i="48"/>
  <c r="B29" i="14"/>
  <c r="I28" i="14"/>
  <c r="L16" i="14"/>
  <c r="K23" i="14"/>
  <c r="E24" i="14" s="1"/>
  <c r="C25" i="14"/>
  <c r="J24" i="14"/>
  <c r="F24" i="14"/>
  <c r="T6" i="48"/>
  <c r="D24" i="14"/>
  <c r="H17" i="14"/>
  <c r="G18" i="14"/>
  <c r="K10" i="22" l="1"/>
  <c r="L6" i="57"/>
  <c r="L7" i="57" s="1"/>
  <c r="L8" i="57" s="1"/>
  <c r="L9" i="57" s="1"/>
  <c r="L11" i="57" s="1"/>
  <c r="B24" i="57" s="1"/>
  <c r="E14" i="22" s="1"/>
  <c r="G14" i="22" s="1"/>
  <c r="I14" i="22" s="1"/>
  <c r="K14" i="22" s="1"/>
  <c r="M14" i="22" s="1"/>
  <c r="O14" i="22" s="1"/>
  <c r="Q14" i="22" s="1"/>
  <c r="S14" i="22" s="1"/>
  <c r="U14" i="22" s="1"/>
  <c r="W14" i="22" s="1"/>
  <c r="V7" i="22" s="1"/>
  <c r="L13" i="57" s="1"/>
  <c r="K7" i="57"/>
  <c r="K8" i="57" s="1"/>
  <c r="K9" i="57" s="1"/>
  <c r="K11" i="57" s="1"/>
  <c r="B23" i="57" s="1"/>
  <c r="E13" i="22" s="1"/>
  <c r="G13" i="22" s="1"/>
  <c r="K59" i="56"/>
  <c r="L52" i="56"/>
  <c r="AA59" i="10"/>
  <c r="Z56" i="10"/>
  <c r="AA2" i="10"/>
  <c r="Z45" i="10"/>
  <c r="L6" i="50"/>
  <c r="K7" i="50"/>
  <c r="M20" i="17"/>
  <c r="L27" i="17"/>
  <c r="L10" i="49" s="1"/>
  <c r="N20" i="56"/>
  <c r="M27" i="56"/>
  <c r="J59" i="17"/>
  <c r="J10" i="51" s="1"/>
  <c r="K52" i="17"/>
  <c r="I7" i="52"/>
  <c r="J6" i="52"/>
  <c r="L43" i="56"/>
  <c r="M36" i="56"/>
  <c r="L36" i="17"/>
  <c r="K43" i="17"/>
  <c r="K10" i="50" s="1"/>
  <c r="N9" i="48"/>
  <c r="N11" i="17"/>
  <c r="N10" i="48" s="1"/>
  <c r="O4" i="17"/>
  <c r="O7" i="48" s="1"/>
  <c r="J7" i="51"/>
  <c r="K6" i="51"/>
  <c r="J75" i="56"/>
  <c r="K68" i="56"/>
  <c r="J68" i="17"/>
  <c r="I75" i="17"/>
  <c r="I10" i="52" s="1"/>
  <c r="P4" i="56"/>
  <c r="O11" i="56"/>
  <c r="L7" i="49"/>
  <c r="M6" i="49"/>
  <c r="B30" i="14"/>
  <c r="I29" i="14"/>
  <c r="L17" i="14"/>
  <c r="K24" i="14"/>
  <c r="E25" i="14" s="1"/>
  <c r="D25" i="14"/>
  <c r="C26" i="14"/>
  <c r="J25" i="14"/>
  <c r="F25" i="14"/>
  <c r="U6" i="48"/>
  <c r="H18" i="14"/>
  <c r="G19" i="14"/>
  <c r="D7" i="22" l="1"/>
  <c r="C13" i="57" s="1"/>
  <c r="I13" i="22"/>
  <c r="F7" i="22"/>
  <c r="D13" i="57" s="1"/>
  <c r="M10" i="22"/>
  <c r="K6" i="52"/>
  <c r="J7" i="52"/>
  <c r="L52" i="17"/>
  <c r="K59" i="17"/>
  <c r="K10" i="51" s="1"/>
  <c r="J75" i="17"/>
  <c r="J10" i="52" s="1"/>
  <c r="K68" i="17"/>
  <c r="L68" i="56"/>
  <c r="K75" i="56"/>
  <c r="N27" i="56"/>
  <c r="O20" i="56"/>
  <c r="M27" i="17"/>
  <c r="M10" i="49" s="1"/>
  <c r="N20" i="17"/>
  <c r="M6" i="50"/>
  <c r="L7" i="50"/>
  <c r="P11" i="56"/>
  <c r="Q4" i="56"/>
  <c r="AB2" i="10"/>
  <c r="AA56" i="10"/>
  <c r="AA45" i="10"/>
  <c r="C48" i="15" s="1"/>
  <c r="AB59" i="10"/>
  <c r="O9" i="48"/>
  <c r="O11" i="17"/>
  <c r="O10" i="48" s="1"/>
  <c r="P4" i="17"/>
  <c r="L6" i="51"/>
  <c r="K7" i="51"/>
  <c r="M36" i="17"/>
  <c r="L43" i="17"/>
  <c r="L10" i="50" s="1"/>
  <c r="M43" i="56"/>
  <c r="N36" i="56"/>
  <c r="L59" i="56"/>
  <c r="M52" i="56"/>
  <c r="N6" i="49"/>
  <c r="M7" i="49"/>
  <c r="B31" i="14"/>
  <c r="I30" i="14"/>
  <c r="L18" i="14"/>
  <c r="K25" i="14"/>
  <c r="E26" i="14" s="1"/>
  <c r="D26" i="14"/>
  <c r="V6" i="48"/>
  <c r="C27" i="14"/>
  <c r="J26" i="14"/>
  <c r="F26" i="14"/>
  <c r="H19" i="14"/>
  <c r="G20" i="14"/>
  <c r="O10" i="22" l="1"/>
  <c r="K13" i="22"/>
  <c r="H7" i="22"/>
  <c r="E13" i="57" s="1"/>
  <c r="O36" i="56"/>
  <c r="N43" i="56"/>
  <c r="N36" i="17"/>
  <c r="M43" i="17"/>
  <c r="M10" i="50" s="1"/>
  <c r="Q11" i="56"/>
  <c r="R4" i="56"/>
  <c r="N6" i="50"/>
  <c r="M7" i="50"/>
  <c r="N27" i="17"/>
  <c r="N10" i="49" s="1"/>
  <c r="O20" i="17"/>
  <c r="M6" i="51"/>
  <c r="L7" i="51"/>
  <c r="O27" i="56"/>
  <c r="P20" i="56"/>
  <c r="P7" i="48"/>
  <c r="Q4" i="17"/>
  <c r="P11" i="17"/>
  <c r="P10" i="48" s="1"/>
  <c r="L75" i="56"/>
  <c r="M68" i="56"/>
  <c r="L68" i="17"/>
  <c r="K75" i="17"/>
  <c r="K10" i="52" s="1"/>
  <c r="P9" i="48"/>
  <c r="O6" i="49"/>
  <c r="N7" i="49"/>
  <c r="AB56" i="10"/>
  <c r="AC2" i="10"/>
  <c r="AC59" i="10"/>
  <c r="AB45" i="10"/>
  <c r="M52" i="17"/>
  <c r="L59" i="17"/>
  <c r="L10" i="51" s="1"/>
  <c r="M59" i="56"/>
  <c r="N52" i="56"/>
  <c r="I46" i="1"/>
  <c r="K7" i="52"/>
  <c r="L6" i="52"/>
  <c r="B32" i="14"/>
  <c r="I31" i="14"/>
  <c r="K26" i="14"/>
  <c r="E27" i="14" s="1"/>
  <c r="L19" i="14"/>
  <c r="C28" i="14"/>
  <c r="J27" i="14"/>
  <c r="F27" i="14"/>
  <c r="W6" i="48"/>
  <c r="D27" i="14"/>
  <c r="H20" i="14"/>
  <c r="G21" i="14"/>
  <c r="M13" i="22" l="1"/>
  <c r="J7" i="22"/>
  <c r="F13" i="57" s="1"/>
  <c r="Q7" i="48"/>
  <c r="R4" i="17"/>
  <c r="R9" i="48" s="1"/>
  <c r="Q11" i="17"/>
  <c r="Q10" i="48" s="1"/>
  <c r="Q20" i="56"/>
  <c r="P27" i="56"/>
  <c r="M59" i="17"/>
  <c r="M10" i="51" s="1"/>
  <c r="N52" i="17"/>
  <c r="M7" i="51"/>
  <c r="N6" i="51"/>
  <c r="P20" i="17"/>
  <c r="O27" i="17"/>
  <c r="O10" i="49" s="1"/>
  <c r="AD2" i="10"/>
  <c r="AC56" i="10"/>
  <c r="AD59" i="10"/>
  <c r="AC45" i="10"/>
  <c r="L75" i="17"/>
  <c r="L10" i="52" s="1"/>
  <c r="M68" i="17"/>
  <c r="O36" i="17"/>
  <c r="N43" i="17"/>
  <c r="N10" i="50" s="1"/>
  <c r="P6" i="49"/>
  <c r="O7" i="49"/>
  <c r="L7" i="52"/>
  <c r="M6" i="52"/>
  <c r="N59" i="56"/>
  <c r="O52" i="56"/>
  <c r="Q9" i="48"/>
  <c r="R7" i="48"/>
  <c r="N68" i="56"/>
  <c r="M75" i="56"/>
  <c r="P36" i="56"/>
  <c r="O43" i="56"/>
  <c r="N7" i="50"/>
  <c r="O6" i="50"/>
  <c r="R11" i="56"/>
  <c r="S4" i="56"/>
  <c r="L20" i="14"/>
  <c r="B33" i="14"/>
  <c r="I32" i="14"/>
  <c r="K27" i="14"/>
  <c r="E28" i="14" s="1"/>
  <c r="D28" i="14"/>
  <c r="X6" i="48"/>
  <c r="J28" i="14"/>
  <c r="C29" i="14"/>
  <c r="F28" i="14"/>
  <c r="H21" i="14"/>
  <c r="G22" i="14"/>
  <c r="O13" i="22" l="1"/>
  <c r="L7" i="22"/>
  <c r="G13" i="57" s="1"/>
  <c r="P6" i="50"/>
  <c r="O7" i="50"/>
  <c r="P36" i="17"/>
  <c r="O43" i="17"/>
  <c r="O10" i="50" s="1"/>
  <c r="N68" i="17"/>
  <c r="M75" i="17"/>
  <c r="M10" i="52" s="1"/>
  <c r="P43" i="56"/>
  <c r="Q36" i="56"/>
  <c r="N75" i="56"/>
  <c r="O68" i="56"/>
  <c r="AD56" i="10"/>
  <c r="AE2" i="10"/>
  <c r="AE59" i="10"/>
  <c r="AD45" i="10"/>
  <c r="P27" i="17"/>
  <c r="P10" i="49" s="1"/>
  <c r="Q20" i="17"/>
  <c r="N7" i="51"/>
  <c r="O6" i="51"/>
  <c r="N59" i="17"/>
  <c r="N10" i="51" s="1"/>
  <c r="O52" i="17"/>
  <c r="P52" i="56"/>
  <c r="O59" i="56"/>
  <c r="N6" i="52"/>
  <c r="M7" i="52"/>
  <c r="R20" i="56"/>
  <c r="Q27" i="56"/>
  <c r="P7" i="49"/>
  <c r="Q6" i="49"/>
  <c r="S11" i="56"/>
  <c r="T4" i="56"/>
  <c r="S4" i="17"/>
  <c r="R11" i="17"/>
  <c r="R10" i="48" s="1"/>
  <c r="L21" i="14"/>
  <c r="B34" i="14"/>
  <c r="I33" i="14"/>
  <c r="K28" i="14"/>
  <c r="E29" i="14" s="1"/>
  <c r="Y6" i="48"/>
  <c r="D29" i="14"/>
  <c r="J29" i="14"/>
  <c r="C30" i="14"/>
  <c r="F29" i="14"/>
  <c r="H22" i="14"/>
  <c r="G23" i="14"/>
  <c r="Q13" i="22" l="1"/>
  <c r="N7" i="22"/>
  <c r="H13" i="57" s="1"/>
  <c r="L22" i="14"/>
  <c r="S7" i="48"/>
  <c r="T4" i="17"/>
  <c r="T7" i="48" s="1"/>
  <c r="S11" i="17"/>
  <c r="S10" i="48" s="1"/>
  <c r="S9" i="48"/>
  <c r="T9" i="48"/>
  <c r="AE56" i="10"/>
  <c r="AF59" i="10"/>
  <c r="AF2" i="10"/>
  <c r="AE45" i="10"/>
  <c r="T11" i="56"/>
  <c r="U4" i="56"/>
  <c r="Q7" i="49"/>
  <c r="R6" i="49"/>
  <c r="O75" i="56"/>
  <c r="P68" i="56"/>
  <c r="R36" i="56"/>
  <c r="Q43" i="56"/>
  <c r="O6" i="52"/>
  <c r="N7" i="52"/>
  <c r="R20" i="17"/>
  <c r="Q27" i="17"/>
  <c r="Q10" i="49" s="1"/>
  <c r="O59" i="17"/>
  <c r="O10" i="51" s="1"/>
  <c r="P52" i="17"/>
  <c r="Q36" i="17"/>
  <c r="P43" i="17"/>
  <c r="P10" i="50" s="1"/>
  <c r="R27" i="56"/>
  <c r="S20" i="56"/>
  <c r="P59" i="56"/>
  <c r="Q52" i="56"/>
  <c r="O7" i="51"/>
  <c r="P6" i="51"/>
  <c r="N75" i="17"/>
  <c r="N10" i="52" s="1"/>
  <c r="O68" i="17"/>
  <c r="P7" i="50"/>
  <c r="Q6" i="50"/>
  <c r="I34" i="14"/>
  <c r="B35" i="14"/>
  <c r="K29" i="14"/>
  <c r="E30" i="14" s="1"/>
  <c r="Z6" i="48"/>
  <c r="D30" i="14"/>
  <c r="C31" i="14"/>
  <c r="J30" i="14"/>
  <c r="F30" i="14"/>
  <c r="H23" i="14"/>
  <c r="G24" i="14"/>
  <c r="S13" i="22" l="1"/>
  <c r="P7" i="22"/>
  <c r="I13" i="57" s="1"/>
  <c r="L23" i="14"/>
  <c r="P75" i="56"/>
  <c r="Q68" i="56"/>
  <c r="R7" i="49"/>
  <c r="S6" i="49"/>
  <c r="U11" i="56"/>
  <c r="V4" i="56"/>
  <c r="R52" i="56"/>
  <c r="Q59" i="56"/>
  <c r="S27" i="56"/>
  <c r="T20" i="56"/>
  <c r="Q43" i="17"/>
  <c r="Q10" i="50" s="1"/>
  <c r="R36" i="17"/>
  <c r="AG2" i="10"/>
  <c r="AG59" i="10"/>
  <c r="AF45" i="10"/>
  <c r="AF56" i="10"/>
  <c r="P7" i="51"/>
  <c r="Q6" i="51"/>
  <c r="R6" i="50"/>
  <c r="Q7" i="50"/>
  <c r="O75" i="17"/>
  <c r="O10" i="52" s="1"/>
  <c r="P68" i="17"/>
  <c r="R43" i="56"/>
  <c r="S36" i="56"/>
  <c r="P59" i="17"/>
  <c r="P10" i="51" s="1"/>
  <c r="Q52" i="17"/>
  <c r="T11" i="17"/>
  <c r="T10" i="48" s="1"/>
  <c r="U4" i="17"/>
  <c r="S20" i="17"/>
  <c r="R27" i="17"/>
  <c r="R10" i="49" s="1"/>
  <c r="O7" i="52"/>
  <c r="P6" i="52"/>
  <c r="I35" i="14"/>
  <c r="B36" i="14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B67" i="14" s="1"/>
  <c r="B68" i="14" s="1"/>
  <c r="B69" i="14" s="1"/>
  <c r="B70" i="14" s="1"/>
  <c r="B71" i="14" s="1"/>
  <c r="K30" i="14"/>
  <c r="E31" i="14" s="1"/>
  <c r="J31" i="14"/>
  <c r="C32" i="14"/>
  <c r="F31" i="14"/>
  <c r="AA6" i="48"/>
  <c r="D31" i="14"/>
  <c r="H24" i="14"/>
  <c r="L24" i="14" s="1"/>
  <c r="G25" i="14"/>
  <c r="U13" i="22" l="1"/>
  <c r="T7" i="22" s="1"/>
  <c r="K13" i="57" s="1"/>
  <c r="R7" i="22"/>
  <c r="J13" i="57" s="1"/>
  <c r="P7" i="52"/>
  <c r="Q6" i="52"/>
  <c r="T20" i="17"/>
  <c r="S27" i="17"/>
  <c r="S10" i="49" s="1"/>
  <c r="AH59" i="10"/>
  <c r="AH2" i="10"/>
  <c r="AG56" i="10"/>
  <c r="AG45" i="10"/>
  <c r="R43" i="17"/>
  <c r="R10" i="50" s="1"/>
  <c r="S36" i="17"/>
  <c r="U7" i="48"/>
  <c r="U11" i="17"/>
  <c r="U10" i="48" s="1"/>
  <c r="V4" i="17"/>
  <c r="V9" i="48" s="1"/>
  <c r="U9" i="48"/>
  <c r="S43" i="56"/>
  <c r="T36" i="56"/>
  <c r="Q59" i="17"/>
  <c r="Q10" i="51" s="1"/>
  <c r="R52" i="17"/>
  <c r="R7" i="50"/>
  <c r="S6" i="50"/>
  <c r="V11" i="56"/>
  <c r="W4" i="56"/>
  <c r="T6" i="49"/>
  <c r="S7" i="49"/>
  <c r="U20" i="56"/>
  <c r="T27" i="56"/>
  <c r="S52" i="56"/>
  <c r="R59" i="56"/>
  <c r="R6" i="51"/>
  <c r="Q7" i="51"/>
  <c r="R68" i="56"/>
  <c r="Q75" i="56"/>
  <c r="Q68" i="17"/>
  <c r="P75" i="17"/>
  <c r="P10" i="52" s="1"/>
  <c r="K31" i="14"/>
  <c r="E32" i="14" s="1"/>
  <c r="D32" i="14"/>
  <c r="J32" i="14"/>
  <c r="C33" i="14"/>
  <c r="F32" i="14"/>
  <c r="AB6" i="48"/>
  <c r="H25" i="14"/>
  <c r="L25" i="14" s="1"/>
  <c r="G26" i="14"/>
  <c r="V11" i="17" l="1"/>
  <c r="V10" i="48" s="1"/>
  <c r="W4" i="17"/>
  <c r="W7" i="48" s="1"/>
  <c r="R7" i="51"/>
  <c r="S6" i="51"/>
  <c r="S59" i="56"/>
  <c r="T52" i="56"/>
  <c r="U27" i="56"/>
  <c r="V20" i="56"/>
  <c r="S43" i="17"/>
  <c r="S10" i="50" s="1"/>
  <c r="T36" i="17"/>
  <c r="T7" i="49"/>
  <c r="U6" i="49"/>
  <c r="AI59" i="10"/>
  <c r="AI2" i="10"/>
  <c r="AH56" i="10"/>
  <c r="AH45" i="10"/>
  <c r="W11" i="56"/>
  <c r="X4" i="56"/>
  <c r="S7" i="50"/>
  <c r="T6" i="50"/>
  <c r="T43" i="56"/>
  <c r="U36" i="56"/>
  <c r="U20" i="17"/>
  <c r="T27" i="17"/>
  <c r="T10" i="49" s="1"/>
  <c r="Q75" i="17"/>
  <c r="Q10" i="52" s="1"/>
  <c r="R68" i="17"/>
  <c r="Q7" i="52"/>
  <c r="R6" i="52"/>
  <c r="S52" i="17"/>
  <c r="R59" i="17"/>
  <c r="R10" i="51" s="1"/>
  <c r="R75" i="56"/>
  <c r="S68" i="56"/>
  <c r="V7" i="48"/>
  <c r="K32" i="14"/>
  <c r="E33" i="14" s="1"/>
  <c r="AC6" i="48"/>
  <c r="J33" i="14"/>
  <c r="C34" i="14"/>
  <c r="F33" i="14"/>
  <c r="D33" i="14"/>
  <c r="H26" i="14"/>
  <c r="L26" i="14" s="1"/>
  <c r="G27" i="14"/>
  <c r="S6" i="52" l="1"/>
  <c r="R7" i="52"/>
  <c r="V6" i="49"/>
  <c r="U7" i="49"/>
  <c r="R75" i="17"/>
  <c r="R10" i="52" s="1"/>
  <c r="S68" i="17"/>
  <c r="U36" i="17"/>
  <c r="T43" i="17"/>
  <c r="T10" i="50" s="1"/>
  <c r="S59" i="17"/>
  <c r="S10" i="51" s="1"/>
  <c r="T52" i="17"/>
  <c r="U43" i="56"/>
  <c r="V36" i="56"/>
  <c r="V20" i="17"/>
  <c r="U27" i="17"/>
  <c r="U10" i="49" s="1"/>
  <c r="V27" i="56"/>
  <c r="W20" i="56"/>
  <c r="U52" i="56"/>
  <c r="T59" i="56"/>
  <c r="T6" i="51"/>
  <c r="S7" i="51"/>
  <c r="X11" i="56"/>
  <c r="Y4" i="56"/>
  <c r="U6" i="50"/>
  <c r="T7" i="50"/>
  <c r="S75" i="56"/>
  <c r="T68" i="56"/>
  <c r="W9" i="48"/>
  <c r="X4" i="17"/>
  <c r="AJ59" i="10"/>
  <c r="AJ2" i="10"/>
  <c r="AI45" i="10"/>
  <c r="AI56" i="10"/>
  <c r="K33" i="14"/>
  <c r="E34" i="14" s="1"/>
  <c r="D34" i="14"/>
  <c r="J34" i="14"/>
  <c r="C35" i="14"/>
  <c r="F34" i="14"/>
  <c r="AD6" i="48"/>
  <c r="H27" i="14"/>
  <c r="L27" i="14" s="1"/>
  <c r="G28" i="14"/>
  <c r="V52" i="56" l="1"/>
  <c r="U59" i="56"/>
  <c r="W27" i="56"/>
  <c r="X20" i="56"/>
  <c r="W20" i="17"/>
  <c r="V27" i="17"/>
  <c r="V10" i="49" s="1"/>
  <c r="X7" i="48"/>
  <c r="Y4" i="17"/>
  <c r="X11" i="17"/>
  <c r="X10" i="48" s="1"/>
  <c r="X9" i="48"/>
  <c r="W36" i="56"/>
  <c r="V43" i="56"/>
  <c r="AK2" i="10"/>
  <c r="AK59" i="10"/>
  <c r="AJ56" i="10"/>
  <c r="AJ45" i="10"/>
  <c r="T59" i="17"/>
  <c r="T10" i="51" s="1"/>
  <c r="U52" i="17"/>
  <c r="V36" i="17"/>
  <c r="U43" i="17"/>
  <c r="U10" i="50" s="1"/>
  <c r="T68" i="17"/>
  <c r="S75" i="17"/>
  <c r="S10" i="52" s="1"/>
  <c r="V6" i="50"/>
  <c r="U7" i="50"/>
  <c r="W6" i="49"/>
  <c r="V7" i="49"/>
  <c r="Y11" i="56"/>
  <c r="Z4" i="56"/>
  <c r="U68" i="56"/>
  <c r="T75" i="56"/>
  <c r="S7" i="52"/>
  <c r="T6" i="52"/>
  <c r="U6" i="51"/>
  <c r="T7" i="51"/>
  <c r="K34" i="14"/>
  <c r="E35" i="14" s="1"/>
  <c r="D35" i="14"/>
  <c r="AE6" i="48"/>
  <c r="J35" i="14"/>
  <c r="C36" i="14"/>
  <c r="F35" i="14"/>
  <c r="H28" i="14"/>
  <c r="L28" i="14" s="1"/>
  <c r="G29" i="14"/>
  <c r="U75" i="56" l="1"/>
  <c r="V68" i="56"/>
  <c r="AK56" i="10"/>
  <c r="AL2" i="10"/>
  <c r="AK45" i="10"/>
  <c r="AL59" i="10"/>
  <c r="Z11" i="56"/>
  <c r="AA4" i="56"/>
  <c r="W43" i="56"/>
  <c r="X36" i="56"/>
  <c r="X6" i="49"/>
  <c r="W7" i="49"/>
  <c r="Z4" i="17"/>
  <c r="Y11" i="17"/>
  <c r="X20" i="17"/>
  <c r="W27" i="17"/>
  <c r="W10" i="49" s="1"/>
  <c r="V52" i="17"/>
  <c r="U59" i="17"/>
  <c r="U10" i="51" s="1"/>
  <c r="U68" i="17"/>
  <c r="T75" i="17"/>
  <c r="T10" i="52" s="1"/>
  <c r="W6" i="50"/>
  <c r="V7" i="50"/>
  <c r="W52" i="56"/>
  <c r="V59" i="56"/>
  <c r="Y20" i="56"/>
  <c r="X27" i="56"/>
  <c r="V43" i="17"/>
  <c r="V10" i="50" s="1"/>
  <c r="W36" i="17"/>
  <c r="U7" i="51"/>
  <c r="V6" i="51"/>
  <c r="T7" i="52"/>
  <c r="U6" i="52"/>
  <c r="K35" i="14"/>
  <c r="E36" i="14" s="1"/>
  <c r="D36" i="14"/>
  <c r="J36" i="14"/>
  <c r="F36" i="14"/>
  <c r="C37" i="14"/>
  <c r="AF6" i="48"/>
  <c r="H29" i="14"/>
  <c r="L29" i="14" s="1"/>
  <c r="G30" i="14"/>
  <c r="W52" i="17" l="1"/>
  <c r="V59" i="17"/>
  <c r="V10" i="51" s="1"/>
  <c r="W6" i="51"/>
  <c r="V7" i="51"/>
  <c r="X27" i="17"/>
  <c r="X10" i="49" s="1"/>
  <c r="Y20" i="17"/>
  <c r="Z9" i="48"/>
  <c r="AA4" i="17"/>
  <c r="AB4" i="17" s="1"/>
  <c r="AC4" i="17" s="1"/>
  <c r="Z11" i="17"/>
  <c r="Z10" i="48" s="1"/>
  <c r="Z7" i="48"/>
  <c r="Y6" i="49"/>
  <c r="X7" i="49"/>
  <c r="X43" i="56"/>
  <c r="Y36" i="56"/>
  <c r="AA11" i="56"/>
  <c r="AB4" i="56"/>
  <c r="X52" i="56"/>
  <c r="W59" i="56"/>
  <c r="W43" i="17"/>
  <c r="W10" i="50" s="1"/>
  <c r="X36" i="17"/>
  <c r="Y27" i="56"/>
  <c r="Z20" i="56"/>
  <c r="X6" i="50"/>
  <c r="W7" i="50"/>
  <c r="AM59" i="10"/>
  <c r="D62" i="15" s="1"/>
  <c r="AL56" i="10"/>
  <c r="AM2" i="10"/>
  <c r="AL45" i="10"/>
  <c r="V6" i="52"/>
  <c r="U7" i="52"/>
  <c r="V68" i="17"/>
  <c r="U75" i="17"/>
  <c r="U10" i="52" s="1"/>
  <c r="V75" i="56"/>
  <c r="W68" i="56"/>
  <c r="D37" i="14"/>
  <c r="J37" i="14"/>
  <c r="F37" i="14"/>
  <c r="C38" i="14"/>
  <c r="AG6" i="48"/>
  <c r="H30" i="14"/>
  <c r="L30" i="14" s="1"/>
  <c r="G31" i="14"/>
  <c r="AA9" i="48" l="1"/>
  <c r="AA7" i="48"/>
  <c r="AD4" i="17"/>
  <c r="W6" i="52"/>
  <c r="V7" i="52"/>
  <c r="Y52" i="56"/>
  <c r="X59" i="56"/>
  <c r="AB11" i="56"/>
  <c r="AC4" i="56"/>
  <c r="AM45" i="10"/>
  <c r="D48" i="15" s="1"/>
  <c r="AM56" i="10"/>
  <c r="AN59" i="10"/>
  <c r="AN2" i="10"/>
  <c r="Z36" i="56"/>
  <c r="Y43" i="56"/>
  <c r="Y7" i="49"/>
  <c r="Z6" i="49"/>
  <c r="X7" i="50"/>
  <c r="Y6" i="50"/>
  <c r="Z20" i="17"/>
  <c r="Y27" i="17"/>
  <c r="Y10" i="49" s="1"/>
  <c r="W75" i="56"/>
  <c r="X68" i="56"/>
  <c r="AA20" i="56"/>
  <c r="Z27" i="56"/>
  <c r="X6" i="51"/>
  <c r="W7" i="51"/>
  <c r="Y36" i="17"/>
  <c r="X43" i="17"/>
  <c r="X10" i="50" s="1"/>
  <c r="V75" i="17"/>
  <c r="V10" i="52" s="1"/>
  <c r="W68" i="17"/>
  <c r="X52" i="17"/>
  <c r="W59" i="17"/>
  <c r="W10" i="51" s="1"/>
  <c r="D38" i="14"/>
  <c r="J38" i="14"/>
  <c r="F38" i="14"/>
  <c r="C39" i="14"/>
  <c r="AH6" i="48"/>
  <c r="H31" i="14"/>
  <c r="L31" i="14" s="1"/>
  <c r="G32" i="14"/>
  <c r="AE4" i="17" l="1"/>
  <c r="Y52" i="17"/>
  <c r="X59" i="17"/>
  <c r="X10" i="51" s="1"/>
  <c r="Z7" i="49"/>
  <c r="AA6" i="49"/>
  <c r="W75" i="17"/>
  <c r="W10" i="52" s="1"/>
  <c r="X68" i="17"/>
  <c r="AA36" i="56"/>
  <c r="Z43" i="56"/>
  <c r="Y43" i="17"/>
  <c r="Y10" i="50" s="1"/>
  <c r="Z36" i="17"/>
  <c r="AO2" i="10"/>
  <c r="AN56" i="10"/>
  <c r="AO59" i="10"/>
  <c r="AN45" i="10"/>
  <c r="AA27" i="56"/>
  <c r="AB20" i="56"/>
  <c r="AD4" i="56"/>
  <c r="X75" i="56"/>
  <c r="Y68" i="56"/>
  <c r="K46" i="1"/>
  <c r="X7" i="51"/>
  <c r="Y6" i="51"/>
  <c r="Z27" i="17"/>
  <c r="Z10" i="49" s="1"/>
  <c r="AA20" i="17"/>
  <c r="Y59" i="56"/>
  <c r="Z52" i="56"/>
  <c r="Z6" i="50"/>
  <c r="Y7" i="50"/>
  <c r="X6" i="52"/>
  <c r="W7" i="52"/>
  <c r="D39" i="14"/>
  <c r="AF4" i="17"/>
  <c r="AE11" i="17"/>
  <c r="J39" i="14"/>
  <c r="C40" i="14"/>
  <c r="F39" i="14"/>
  <c r="AI6" i="48"/>
  <c r="H32" i="14"/>
  <c r="L32" i="14" s="1"/>
  <c r="G33" i="14"/>
  <c r="AB27" i="56" l="1"/>
  <c r="AC20" i="56"/>
  <c r="X7" i="52"/>
  <c r="Y6" i="52"/>
  <c r="AB20" i="17"/>
  <c r="AA27" i="17"/>
  <c r="AA10" i="49" s="1"/>
  <c r="AO45" i="10"/>
  <c r="AP2" i="10"/>
  <c r="AP59" i="10"/>
  <c r="AO56" i="10"/>
  <c r="AA36" i="17"/>
  <c r="Z43" i="17"/>
  <c r="Z10" i="50" s="1"/>
  <c r="AB36" i="56"/>
  <c r="AA43" i="56"/>
  <c r="Y68" i="17"/>
  <c r="X75" i="17"/>
  <c r="X10" i="52" s="1"/>
  <c r="AA7" i="49"/>
  <c r="AB6" i="49"/>
  <c r="Y75" i="56"/>
  <c r="Z68" i="56"/>
  <c r="AA6" i="50"/>
  <c r="Z7" i="50"/>
  <c r="Z59" i="56"/>
  <c r="AA52" i="56"/>
  <c r="AE4" i="56"/>
  <c r="Y7" i="51"/>
  <c r="Z6" i="51"/>
  <c r="Y59" i="17"/>
  <c r="Y10" i="51" s="1"/>
  <c r="Z52" i="17"/>
  <c r="D40" i="14"/>
  <c r="AG4" i="17"/>
  <c r="AF11" i="17"/>
  <c r="AJ6" i="48"/>
  <c r="J40" i="14"/>
  <c r="F40" i="14"/>
  <c r="C41" i="14"/>
  <c r="G34" i="14"/>
  <c r="H33" i="14"/>
  <c r="L33" i="14" s="1"/>
  <c r="AE11" i="56" l="1"/>
  <c r="AF4" i="56"/>
  <c r="AB36" i="17"/>
  <c r="AA43" i="17"/>
  <c r="AA10" i="50" s="1"/>
  <c r="AP56" i="10"/>
  <c r="AQ59" i="10"/>
  <c r="AP45" i="10"/>
  <c r="AQ2" i="10"/>
  <c r="AB52" i="56"/>
  <c r="AA59" i="56"/>
  <c r="AB6" i="50"/>
  <c r="AA7" i="50"/>
  <c r="Z75" i="56"/>
  <c r="AA68" i="56"/>
  <c r="AB27" i="17"/>
  <c r="AB10" i="49" s="1"/>
  <c r="AC20" i="17"/>
  <c r="Z6" i="52"/>
  <c r="Y7" i="52"/>
  <c r="AB7" i="49"/>
  <c r="AC6" i="49"/>
  <c r="Z59" i="17"/>
  <c r="Z10" i="51" s="1"/>
  <c r="AA52" i="17"/>
  <c r="Y75" i="17"/>
  <c r="Y10" i="52" s="1"/>
  <c r="Z68" i="17"/>
  <c r="AC27" i="56"/>
  <c r="AD20" i="56"/>
  <c r="AA6" i="51"/>
  <c r="Z7" i="51"/>
  <c r="AC36" i="56"/>
  <c r="AB43" i="56"/>
  <c r="D41" i="14"/>
  <c r="AH4" i="17"/>
  <c r="AG11" i="17"/>
  <c r="J41" i="14"/>
  <c r="C42" i="14"/>
  <c r="F41" i="14"/>
  <c r="AK6" i="48"/>
  <c r="G35" i="14"/>
  <c r="H34" i="14"/>
  <c r="L34" i="14" s="1"/>
  <c r="L35" i="14" s="1"/>
  <c r="L36" i="14" s="1"/>
  <c r="L37" i="14" s="1"/>
  <c r="L38" i="14" s="1"/>
  <c r="L39" i="14" s="1"/>
  <c r="L40" i="14" s="1"/>
  <c r="L41" i="14" s="1"/>
  <c r="AC11" i="56" l="1"/>
  <c r="AB6" i="51"/>
  <c r="AA7" i="51"/>
  <c r="AD20" i="17"/>
  <c r="AC27" i="17"/>
  <c r="AC10" i="49" s="1"/>
  <c r="AE20" i="56"/>
  <c r="AD27" i="56"/>
  <c r="AB68" i="56"/>
  <c r="AA75" i="56"/>
  <c r="AB7" i="50"/>
  <c r="AC6" i="50"/>
  <c r="AQ56" i="10"/>
  <c r="AR2" i="10"/>
  <c r="AQ45" i="10"/>
  <c r="AR59" i="10"/>
  <c r="AA68" i="17"/>
  <c r="Z75" i="17"/>
  <c r="Z10" i="52" s="1"/>
  <c r="AC52" i="56"/>
  <c r="AB59" i="56"/>
  <c r="AC36" i="17"/>
  <c r="AB43" i="17"/>
  <c r="AB10" i="50" s="1"/>
  <c r="AD36" i="56"/>
  <c r="AC43" i="56"/>
  <c r="AF11" i="56"/>
  <c r="AG4" i="56"/>
  <c r="AB52" i="17"/>
  <c r="AA59" i="17"/>
  <c r="AA10" i="51" s="1"/>
  <c r="AC7" i="49"/>
  <c r="AD6" i="49"/>
  <c r="AA6" i="52"/>
  <c r="Z7" i="52"/>
  <c r="D42" i="14"/>
  <c r="L42" i="14"/>
  <c r="AH11" i="17"/>
  <c r="AI4" i="17"/>
  <c r="AL6" i="48"/>
  <c r="J42" i="14"/>
  <c r="F42" i="14"/>
  <c r="C43" i="14"/>
  <c r="H35" i="14"/>
  <c r="G36" i="14"/>
  <c r="AC52" i="17" l="1"/>
  <c r="AB59" i="17"/>
  <c r="AB10" i="51" s="1"/>
  <c r="AG11" i="56"/>
  <c r="AH4" i="56"/>
  <c r="AD43" i="56"/>
  <c r="AE36" i="56"/>
  <c r="AD36" i="17"/>
  <c r="AC43" i="17"/>
  <c r="AC10" i="50" s="1"/>
  <c r="AD6" i="50"/>
  <c r="AC7" i="50"/>
  <c r="AA75" i="17"/>
  <c r="AA10" i="52" s="1"/>
  <c r="AB68" i="17"/>
  <c r="AC68" i="56"/>
  <c r="AB75" i="56"/>
  <c r="AD52" i="56"/>
  <c r="AC59" i="56"/>
  <c r="AE27" i="56"/>
  <c r="AF20" i="56"/>
  <c r="AE20" i="17"/>
  <c r="AD27" i="17"/>
  <c r="AD10" i="49" s="1"/>
  <c r="AB6" i="52"/>
  <c r="AA7" i="52"/>
  <c r="AS2" i="10"/>
  <c r="AR45" i="10"/>
  <c r="AR56" i="10"/>
  <c r="AS59" i="10"/>
  <c r="AD7" i="49"/>
  <c r="AE6" i="49"/>
  <c r="AB7" i="51"/>
  <c r="AC6" i="51"/>
  <c r="D43" i="14"/>
  <c r="AJ4" i="17"/>
  <c r="J43" i="14"/>
  <c r="F43" i="14"/>
  <c r="C44" i="14"/>
  <c r="L43" i="14"/>
  <c r="AM6" i="48"/>
  <c r="I36" i="14"/>
  <c r="K36" i="14" s="1"/>
  <c r="E37" i="14" s="1"/>
  <c r="G37" i="14"/>
  <c r="H36" i="14"/>
  <c r="AC7" i="51" l="1"/>
  <c r="AD6" i="51"/>
  <c r="AD59" i="56"/>
  <c r="AE52" i="56"/>
  <c r="AE7" i="49"/>
  <c r="AF6" i="49"/>
  <c r="AC75" i="56"/>
  <c r="AD68" i="56"/>
  <c r="AB75" i="17"/>
  <c r="AB10" i="52" s="1"/>
  <c r="AC68" i="17"/>
  <c r="AE6" i="50"/>
  <c r="AD7" i="50"/>
  <c r="AE36" i="17"/>
  <c r="AD43" i="17"/>
  <c r="AD10" i="50" s="1"/>
  <c r="AE27" i="17"/>
  <c r="AE10" i="49" s="1"/>
  <c r="AF20" i="17"/>
  <c r="D44" i="14"/>
  <c r="AD52" i="17"/>
  <c r="AC59" i="17"/>
  <c r="AC10" i="51" s="1"/>
  <c r="AT2" i="10"/>
  <c r="AS56" i="10"/>
  <c r="AS45" i="10"/>
  <c r="AT59" i="10"/>
  <c r="AB7" i="52"/>
  <c r="AC6" i="52"/>
  <c r="AH11" i="56"/>
  <c r="AI4" i="56"/>
  <c r="AF27" i="56"/>
  <c r="AG20" i="56"/>
  <c r="AF36" i="56"/>
  <c r="AE43" i="56"/>
  <c r="AJ11" i="17"/>
  <c r="AK4" i="17"/>
  <c r="J44" i="14"/>
  <c r="F44" i="14"/>
  <c r="C45" i="14"/>
  <c r="AN6" i="48"/>
  <c r="L44" i="14"/>
  <c r="I37" i="14"/>
  <c r="K37" i="14" s="1"/>
  <c r="E38" i="14" s="1"/>
  <c r="G38" i="14"/>
  <c r="H37" i="14"/>
  <c r="D45" i="14" l="1"/>
  <c r="AF43" i="56"/>
  <c r="AG36" i="56"/>
  <c r="AF36" i="17"/>
  <c r="AE43" i="17"/>
  <c r="AE10" i="50" s="1"/>
  <c r="AE7" i="50"/>
  <c r="AF6" i="50"/>
  <c r="AD68" i="17"/>
  <c r="AC75" i="17"/>
  <c r="AC10" i="52" s="1"/>
  <c r="AJ4" i="56"/>
  <c r="AI11" i="56"/>
  <c r="AH20" i="56"/>
  <c r="AG27" i="56"/>
  <c r="AU59" i="10"/>
  <c r="AU2" i="10"/>
  <c r="AT56" i="10"/>
  <c r="AT45" i="10"/>
  <c r="AF7" i="49"/>
  <c r="AG6" i="49"/>
  <c r="AD6" i="52"/>
  <c r="AC7" i="52"/>
  <c r="AE68" i="56"/>
  <c r="AD75" i="56"/>
  <c r="AD7" i="51"/>
  <c r="AE6" i="51"/>
  <c r="AE59" i="56"/>
  <c r="AF52" i="56"/>
  <c r="AD59" i="17"/>
  <c r="AD10" i="51" s="1"/>
  <c r="AE52" i="17"/>
  <c r="AF27" i="17"/>
  <c r="AF10" i="49" s="1"/>
  <c r="AG20" i="17"/>
  <c r="L45" i="14"/>
  <c r="AL4" i="17"/>
  <c r="AO6" i="48"/>
  <c r="J45" i="14"/>
  <c r="F45" i="14"/>
  <c r="D46" i="14" s="1"/>
  <c r="C46" i="14"/>
  <c r="I38" i="14"/>
  <c r="K38" i="14" s="1"/>
  <c r="E39" i="14" s="1"/>
  <c r="H38" i="14"/>
  <c r="G39" i="14"/>
  <c r="AL9" i="48" l="1"/>
  <c r="AH20" i="17"/>
  <c r="AG27" i="17"/>
  <c r="AG10" i="49" s="1"/>
  <c r="AV59" i="10"/>
  <c r="AV2" i="10"/>
  <c r="AU56" i="10"/>
  <c r="AU45" i="10"/>
  <c r="AH27" i="56"/>
  <c r="AI20" i="56"/>
  <c r="AG52" i="56"/>
  <c r="AF59" i="56"/>
  <c r="AK4" i="56"/>
  <c r="AJ11" i="56"/>
  <c r="AF6" i="51"/>
  <c r="AE7" i="51"/>
  <c r="AG6" i="50"/>
  <c r="AF7" i="50"/>
  <c r="AF68" i="56"/>
  <c r="AE75" i="56"/>
  <c r="AG36" i="17"/>
  <c r="AF43" i="17"/>
  <c r="AF10" i="50" s="1"/>
  <c r="AH6" i="49"/>
  <c r="AG7" i="49"/>
  <c r="AG43" i="56"/>
  <c r="AH36" i="56"/>
  <c r="AF52" i="17"/>
  <c r="AE59" i="17"/>
  <c r="AE10" i="51" s="1"/>
  <c r="AE68" i="17"/>
  <c r="AD75" i="17"/>
  <c r="AD10" i="52" s="1"/>
  <c r="AD7" i="52"/>
  <c r="AE6" i="52"/>
  <c r="L46" i="14"/>
  <c r="AM4" i="17"/>
  <c r="AL11" i="17"/>
  <c r="AL10" i="48" s="1"/>
  <c r="AL7" i="48"/>
  <c r="J46" i="14"/>
  <c r="F46" i="14"/>
  <c r="D47" i="14" s="1"/>
  <c r="C47" i="14"/>
  <c r="AP6" i="48"/>
  <c r="H39" i="14"/>
  <c r="I39" i="14"/>
  <c r="K39" i="14" s="1"/>
  <c r="E40" i="14" s="1"/>
  <c r="G40" i="14"/>
  <c r="AM9" i="48" l="1"/>
  <c r="AH6" i="50"/>
  <c r="AG7" i="50"/>
  <c r="AG6" i="51"/>
  <c r="AF7" i="51"/>
  <c r="AF6" i="52"/>
  <c r="AE7" i="52"/>
  <c r="AK11" i="56"/>
  <c r="AL4" i="56"/>
  <c r="AF68" i="17"/>
  <c r="AE75" i="17"/>
  <c r="AE10" i="52" s="1"/>
  <c r="AG59" i="56"/>
  <c r="AH52" i="56"/>
  <c r="AI27" i="56"/>
  <c r="AJ20" i="56"/>
  <c r="AW2" i="10"/>
  <c r="AW59" i="10"/>
  <c r="AV56" i="10"/>
  <c r="AV45" i="10"/>
  <c r="AF59" i="17"/>
  <c r="AF10" i="51" s="1"/>
  <c r="AG52" i="17"/>
  <c r="AI6" i="49"/>
  <c r="AH7" i="49"/>
  <c r="AH36" i="17"/>
  <c r="AG43" i="17"/>
  <c r="AG10" i="50" s="1"/>
  <c r="AI36" i="56"/>
  <c r="AH43" i="56"/>
  <c r="AF75" i="56"/>
  <c r="AG68" i="56"/>
  <c r="AI20" i="17"/>
  <c r="AH27" i="17"/>
  <c r="AH10" i="49" s="1"/>
  <c r="AN4" i="17"/>
  <c r="AN9" i="48" s="1"/>
  <c r="AM11" i="17"/>
  <c r="AM10" i="48" s="1"/>
  <c r="AM7" i="48"/>
  <c r="J47" i="14"/>
  <c r="C48" i="14"/>
  <c r="F47" i="14"/>
  <c r="D48" i="14" s="1"/>
  <c r="AQ6" i="48"/>
  <c r="L47" i="14"/>
  <c r="H40" i="14"/>
  <c r="I40" i="14"/>
  <c r="K40" i="14" s="1"/>
  <c r="E41" i="14" s="1"/>
  <c r="G41" i="14"/>
  <c r="AH68" i="56" l="1"/>
  <c r="AG75" i="56"/>
  <c r="AJ27" i="56"/>
  <c r="AK20" i="56"/>
  <c r="AH59" i="56"/>
  <c r="AI52" i="56"/>
  <c r="AJ36" i="56"/>
  <c r="AI43" i="56"/>
  <c r="AG68" i="17"/>
  <c r="AF75" i="17"/>
  <c r="AF10" i="52" s="1"/>
  <c r="AL11" i="56"/>
  <c r="AM4" i="56"/>
  <c r="AI7" i="49"/>
  <c r="AJ6" i="49"/>
  <c r="AI36" i="17"/>
  <c r="AH43" i="17"/>
  <c r="AH10" i="50" s="1"/>
  <c r="AF7" i="52"/>
  <c r="AG6" i="52"/>
  <c r="AI27" i="17"/>
  <c r="AI10" i="49" s="1"/>
  <c r="AJ20" i="17"/>
  <c r="AH6" i="51"/>
  <c r="AG7" i="51"/>
  <c r="AH52" i="17"/>
  <c r="AG59" i="17"/>
  <c r="AG10" i="51" s="1"/>
  <c r="AX59" i="10"/>
  <c r="AX2" i="10"/>
  <c r="AW45" i="10"/>
  <c r="AW56" i="10"/>
  <c r="AI6" i="50"/>
  <c r="AH7" i="50"/>
  <c r="L48" i="14"/>
  <c r="AN7" i="48"/>
  <c r="AO4" i="17"/>
  <c r="AN11" i="17"/>
  <c r="AN10" i="48" s="1"/>
  <c r="AR6" i="48"/>
  <c r="J48" i="14"/>
  <c r="F48" i="14"/>
  <c r="D49" i="14" s="1"/>
  <c r="C49" i="14"/>
  <c r="G42" i="14"/>
  <c r="I41" i="14"/>
  <c r="K41" i="14" s="1"/>
  <c r="E42" i="14" s="1"/>
  <c r="H41" i="14"/>
  <c r="AO9" i="48" l="1"/>
  <c r="AI43" i="17"/>
  <c r="AI10" i="50" s="1"/>
  <c r="AJ36" i="17"/>
  <c r="AK6" i="49"/>
  <c r="AJ7" i="49"/>
  <c r="AJ6" i="50"/>
  <c r="AI7" i="50"/>
  <c r="AM11" i="56"/>
  <c r="AN4" i="56"/>
  <c r="AX45" i="10"/>
  <c r="AX56" i="10"/>
  <c r="AY59" i="10"/>
  <c r="E62" i="15" s="1"/>
  <c r="AY2" i="10"/>
  <c r="AH68" i="17"/>
  <c r="AG75" i="17"/>
  <c r="AG10" i="52" s="1"/>
  <c r="AJ43" i="56"/>
  <c r="AK36" i="56"/>
  <c r="AI59" i="56"/>
  <c r="AJ52" i="56"/>
  <c r="AK27" i="56"/>
  <c r="AL20" i="56"/>
  <c r="AJ27" i="17"/>
  <c r="AJ10" i="49" s="1"/>
  <c r="AK20" i="17"/>
  <c r="AH75" i="56"/>
  <c r="AI68" i="56"/>
  <c r="AI52" i="17"/>
  <c r="AH59" i="17"/>
  <c r="AH10" i="51" s="1"/>
  <c r="AI6" i="51"/>
  <c r="AH7" i="51"/>
  <c r="AG7" i="52"/>
  <c r="AH6" i="52"/>
  <c r="AO7" i="48"/>
  <c r="AP4" i="17"/>
  <c r="AP7" i="48" s="1"/>
  <c r="AO9" i="17"/>
  <c r="J49" i="14"/>
  <c r="F49" i="14"/>
  <c r="D50" i="14" s="1"/>
  <c r="C50" i="14"/>
  <c r="AS6" i="48"/>
  <c r="L49" i="14"/>
  <c r="I42" i="14"/>
  <c r="K42" i="14" s="1"/>
  <c r="E43" i="14" s="1"/>
  <c r="G43" i="14"/>
  <c r="H42" i="14"/>
  <c r="AZ2" i="10" l="1"/>
  <c r="AY56" i="10"/>
  <c r="AZ59" i="10"/>
  <c r="AY45" i="10"/>
  <c r="E48" i="15" s="1"/>
  <c r="AJ52" i="17"/>
  <c r="AI59" i="17"/>
  <c r="AI10" i="51" s="1"/>
  <c r="AN11" i="56"/>
  <c r="AO4" i="56"/>
  <c r="AI75" i="56"/>
  <c r="AJ68" i="56"/>
  <c r="AL20" i="17"/>
  <c r="AK27" i="17"/>
  <c r="AJ7" i="50"/>
  <c r="AK6" i="50"/>
  <c r="AM20" i="56"/>
  <c r="AL27" i="56"/>
  <c r="AL6" i="49"/>
  <c r="AK36" i="17"/>
  <c r="AJ43" i="17"/>
  <c r="AJ10" i="50" s="1"/>
  <c r="AK43" i="56"/>
  <c r="AL36" i="56"/>
  <c r="AI68" i="17"/>
  <c r="AH75" i="17"/>
  <c r="AH10" i="52" s="1"/>
  <c r="AJ6" i="51"/>
  <c r="AI7" i="51"/>
  <c r="AK52" i="56"/>
  <c r="AJ59" i="56"/>
  <c r="AI6" i="52"/>
  <c r="AH7" i="52"/>
  <c r="L50" i="14"/>
  <c r="AP9" i="17"/>
  <c r="AP8" i="48" s="1"/>
  <c r="AP11" i="17"/>
  <c r="AP10" i="48" s="1"/>
  <c r="AQ4" i="17"/>
  <c r="AP9" i="48"/>
  <c r="AO8" i="48"/>
  <c r="AT6" i="48"/>
  <c r="J50" i="14"/>
  <c r="C51" i="14"/>
  <c r="F50" i="14"/>
  <c r="D51" i="14" s="1"/>
  <c r="G44" i="14"/>
  <c r="I43" i="14"/>
  <c r="K43" i="14" s="1"/>
  <c r="E44" i="14" s="1"/>
  <c r="H43" i="14"/>
  <c r="M46" i="1" l="1"/>
  <c r="AI7" i="52"/>
  <c r="AJ6" i="52"/>
  <c r="AM20" i="17"/>
  <c r="AL27" i="17"/>
  <c r="AL10" i="49" s="1"/>
  <c r="AL52" i="56"/>
  <c r="AK59" i="56"/>
  <c r="AJ75" i="56"/>
  <c r="AK68" i="56"/>
  <c r="AK6" i="51"/>
  <c r="AJ7" i="51"/>
  <c r="AO11" i="56"/>
  <c r="AP4" i="56"/>
  <c r="AI75" i="17"/>
  <c r="AI10" i="52" s="1"/>
  <c r="AJ68" i="17"/>
  <c r="AL43" i="56"/>
  <c r="AM36" i="56"/>
  <c r="AK52" i="17"/>
  <c r="AJ59" i="17"/>
  <c r="AJ10" i="51" s="1"/>
  <c r="AK43" i="17"/>
  <c r="AK10" i="50" s="1"/>
  <c r="AL36" i="17"/>
  <c r="AM6" i="49"/>
  <c r="AL7" i="49"/>
  <c r="AM27" i="56"/>
  <c r="AN20" i="56"/>
  <c r="AL6" i="50"/>
  <c r="AK7" i="50"/>
  <c r="BA2" i="10"/>
  <c r="BA59" i="10"/>
  <c r="AZ56" i="10"/>
  <c r="AZ45" i="10"/>
  <c r="AP13" i="17"/>
  <c r="AP11" i="48"/>
  <c r="AQ11" i="17"/>
  <c r="AR4" i="17"/>
  <c r="AR9" i="48" s="1"/>
  <c r="AQ9" i="17"/>
  <c r="AQ9" i="48"/>
  <c r="AQ7" i="48"/>
  <c r="J51" i="14"/>
  <c r="F51" i="14"/>
  <c r="D52" i="14" s="1"/>
  <c r="C52" i="14"/>
  <c r="AU6" i="48"/>
  <c r="L51" i="14"/>
  <c r="H44" i="14"/>
  <c r="I44" i="14"/>
  <c r="K44" i="14" s="1"/>
  <c r="E45" i="14" s="1"/>
  <c r="G45" i="14"/>
  <c r="AL52" i="17" l="1"/>
  <c r="AK59" i="17"/>
  <c r="AK10" i="51" s="1"/>
  <c r="AN36" i="56"/>
  <c r="AM43" i="56"/>
  <c r="BA45" i="10"/>
  <c r="BB2" i="10"/>
  <c r="BB59" i="10"/>
  <c r="BA56" i="10"/>
  <c r="AK68" i="17"/>
  <c r="AJ75" i="17"/>
  <c r="AJ10" i="52" s="1"/>
  <c r="AP11" i="56"/>
  <c r="AQ4" i="56"/>
  <c r="AL6" i="51"/>
  <c r="AK7" i="51"/>
  <c r="AK75" i="56"/>
  <c r="AL68" i="56"/>
  <c r="AL59" i="56"/>
  <c r="AM52" i="56"/>
  <c r="AL7" i="50"/>
  <c r="AM6" i="50"/>
  <c r="AM27" i="17"/>
  <c r="AM10" i="49" s="1"/>
  <c r="AN20" i="17"/>
  <c r="AO20" i="56"/>
  <c r="AN27" i="56"/>
  <c r="AM7" i="49"/>
  <c r="AN6" i="49"/>
  <c r="AO6" i="49" s="1"/>
  <c r="AJ7" i="52"/>
  <c r="AK6" i="52"/>
  <c r="AL43" i="17"/>
  <c r="AL10" i="50" s="1"/>
  <c r="AM36" i="17"/>
  <c r="L52" i="14"/>
  <c r="AQ13" i="17"/>
  <c r="AR11" i="17"/>
  <c r="AR10" i="48" s="1"/>
  <c r="AR9" i="17"/>
  <c r="AS4" i="17"/>
  <c r="AS7" i="48" s="1"/>
  <c r="AR7" i="48"/>
  <c r="AQ8" i="48"/>
  <c r="J52" i="14"/>
  <c r="F52" i="14"/>
  <c r="D53" i="14" s="1"/>
  <c r="C53" i="14"/>
  <c r="AV6" i="48"/>
  <c r="I45" i="14"/>
  <c r="K45" i="14" s="1"/>
  <c r="E46" i="14" s="1"/>
  <c r="H45" i="14"/>
  <c r="G46" i="14"/>
  <c r="AO20" i="17" l="1"/>
  <c r="AN27" i="17"/>
  <c r="AK75" i="17"/>
  <c r="AK10" i="52" s="1"/>
  <c r="AL68" i="17"/>
  <c r="AN6" i="50"/>
  <c r="AM7" i="50"/>
  <c r="BC2" i="10"/>
  <c r="BC59" i="10"/>
  <c r="BB56" i="10"/>
  <c r="BB45" i="10"/>
  <c r="AM59" i="56"/>
  <c r="AN52" i="56"/>
  <c r="AN43" i="56"/>
  <c r="AO36" i="56"/>
  <c r="AP6" i="49"/>
  <c r="AQ11" i="56"/>
  <c r="AR4" i="56"/>
  <c r="AN36" i="17"/>
  <c r="AM43" i="17"/>
  <c r="AM10" i="50" s="1"/>
  <c r="AL7" i="51"/>
  <c r="AM6" i="51"/>
  <c r="AL75" i="56"/>
  <c r="AM68" i="56"/>
  <c r="AK7" i="52"/>
  <c r="AL6" i="52"/>
  <c r="AP20" i="56"/>
  <c r="AO27" i="56"/>
  <c r="AM52" i="17"/>
  <c r="AL59" i="17"/>
  <c r="AL10" i="51" s="1"/>
  <c r="AR13" i="17"/>
  <c r="L53" i="14"/>
  <c r="AR8" i="48"/>
  <c r="AR11" i="48" s="1"/>
  <c r="AS11" i="17"/>
  <c r="AS10" i="48" s="1"/>
  <c r="AS9" i="17"/>
  <c r="AT4" i="17"/>
  <c r="AT7" i="48" s="1"/>
  <c r="AS9" i="48"/>
  <c r="J53" i="14"/>
  <c r="F53" i="14"/>
  <c r="D54" i="14" s="1"/>
  <c r="C54" i="14"/>
  <c r="AW6" i="48"/>
  <c r="H46" i="14"/>
  <c r="I46" i="14"/>
  <c r="K46" i="14" s="1"/>
  <c r="E47" i="14" s="1"/>
  <c r="G47" i="14"/>
  <c r="AN59" i="56" l="1"/>
  <c r="AO52" i="56"/>
  <c r="AM6" i="52"/>
  <c r="AL7" i="52"/>
  <c r="AQ20" i="56"/>
  <c r="AN6" i="51"/>
  <c r="AM7" i="51"/>
  <c r="BD59" i="10"/>
  <c r="BC56" i="10"/>
  <c r="BD2" i="10"/>
  <c r="BC45" i="10"/>
  <c r="AM75" i="56"/>
  <c r="AN68" i="56"/>
  <c r="AO6" i="50"/>
  <c r="AN7" i="50"/>
  <c r="AR11" i="56"/>
  <c r="AS4" i="56"/>
  <c r="AM68" i="17"/>
  <c r="AL75" i="17"/>
  <c r="AL10" i="52" s="1"/>
  <c r="AO36" i="17"/>
  <c r="AN43" i="17"/>
  <c r="AN10" i="50" s="1"/>
  <c r="AO43" i="56"/>
  <c r="AP36" i="56"/>
  <c r="AM59" i="17"/>
  <c r="AM10" i="51" s="1"/>
  <c r="AN52" i="17"/>
  <c r="AQ6" i="49"/>
  <c r="AP20" i="17"/>
  <c r="AO27" i="17"/>
  <c r="AT9" i="48"/>
  <c r="AT11" i="17"/>
  <c r="AT10" i="48" s="1"/>
  <c r="AT9" i="17"/>
  <c r="AU4" i="17"/>
  <c r="AU7" i="48" s="1"/>
  <c r="AS13" i="17"/>
  <c r="AS8" i="48"/>
  <c r="AS11" i="48" s="1"/>
  <c r="AX6" i="48"/>
  <c r="J54" i="14"/>
  <c r="F54" i="14"/>
  <c r="D55" i="14" s="1"/>
  <c r="C55" i="14"/>
  <c r="L54" i="14"/>
  <c r="G48" i="14"/>
  <c r="H47" i="14"/>
  <c r="I47" i="14"/>
  <c r="K47" i="14" s="1"/>
  <c r="E48" i="14" s="1"/>
  <c r="AP43" i="56" l="1"/>
  <c r="AQ36" i="56"/>
  <c r="AO43" i="17"/>
  <c r="AO10" i="50" s="1"/>
  <c r="AP36" i="17"/>
  <c r="BE59" i="10"/>
  <c r="BE2" i="10"/>
  <c r="BD56" i="10"/>
  <c r="BD45" i="10"/>
  <c r="AS11" i="56"/>
  <c r="AT4" i="56"/>
  <c r="AO6" i="51"/>
  <c r="AN7" i="51"/>
  <c r="AN68" i="17"/>
  <c r="AM75" i="17"/>
  <c r="AM10" i="52" s="1"/>
  <c r="AQ20" i="17"/>
  <c r="AQ27" i="56"/>
  <c r="AR20" i="56"/>
  <c r="AP6" i="50"/>
  <c r="AO7" i="50"/>
  <c r="AR6" i="49"/>
  <c r="AS6" i="49" s="1"/>
  <c r="AT6" i="49" s="1"/>
  <c r="AN75" i="56"/>
  <c r="AO68" i="56"/>
  <c r="AM7" i="52"/>
  <c r="AN6" i="52"/>
  <c r="AN59" i="17"/>
  <c r="AN10" i="51" s="1"/>
  <c r="AO52" i="17"/>
  <c r="AP52" i="56"/>
  <c r="AO59" i="56"/>
  <c r="L55" i="14"/>
  <c r="AT13" i="17"/>
  <c r="AT8" i="48"/>
  <c r="AT11" i="48" s="1"/>
  <c r="AV4" i="17"/>
  <c r="AV7" i="48" s="1"/>
  <c r="AU11" i="17"/>
  <c r="AU10" i="48" s="1"/>
  <c r="AU9" i="17"/>
  <c r="AU9" i="48"/>
  <c r="J55" i="14"/>
  <c r="F55" i="14"/>
  <c r="D56" i="14" s="1"/>
  <c r="C56" i="14"/>
  <c r="AY6" i="48"/>
  <c r="I48" i="14"/>
  <c r="K48" i="14" s="1"/>
  <c r="E49" i="14" s="1"/>
  <c r="G49" i="14"/>
  <c r="H48" i="14"/>
  <c r="AN75" i="17" l="1"/>
  <c r="AN10" i="52" s="1"/>
  <c r="AO68" i="17"/>
  <c r="AP68" i="56"/>
  <c r="AO75" i="56"/>
  <c r="AP6" i="51"/>
  <c r="AO7" i="51"/>
  <c r="AT11" i="56"/>
  <c r="AU4" i="56"/>
  <c r="BE45" i="10"/>
  <c r="BF2" i="10"/>
  <c r="BE56" i="10"/>
  <c r="BF59" i="10"/>
  <c r="AP59" i="56"/>
  <c r="AQ52" i="56"/>
  <c r="AQ36" i="17"/>
  <c r="AP43" i="17"/>
  <c r="AP10" i="50" s="1"/>
  <c r="AP52" i="17"/>
  <c r="AO59" i="17"/>
  <c r="AO10" i="51" s="1"/>
  <c r="AR20" i="17"/>
  <c r="AQ27" i="17"/>
  <c r="AS20" i="56"/>
  <c r="AR27" i="56"/>
  <c r="AP7" i="50"/>
  <c r="AQ6" i="50"/>
  <c r="AQ43" i="56"/>
  <c r="AR36" i="56"/>
  <c r="AN7" i="52"/>
  <c r="AO6" i="52"/>
  <c r="AU6" i="49"/>
  <c r="AU13" i="17"/>
  <c r="AV9" i="17"/>
  <c r="AV8" i="48" s="1"/>
  <c r="AV11" i="17"/>
  <c r="AV10" i="48" s="1"/>
  <c r="AW4" i="17"/>
  <c r="AU8" i="48"/>
  <c r="AU11" i="48" s="1"/>
  <c r="AV9" i="48"/>
  <c r="AZ6" i="48"/>
  <c r="J56" i="14"/>
  <c r="C57" i="14"/>
  <c r="F56" i="14"/>
  <c r="D57" i="14" s="1"/>
  <c r="L56" i="14"/>
  <c r="G50" i="14"/>
  <c r="H49" i="14"/>
  <c r="I49" i="14"/>
  <c r="K49" i="14" s="1"/>
  <c r="E50" i="14" s="1"/>
  <c r="BG59" i="10" l="1"/>
  <c r="BF56" i="10"/>
  <c r="BG2" i="10"/>
  <c r="BF45" i="10"/>
  <c r="AS27" i="56"/>
  <c r="AT20" i="56"/>
  <c r="AR27" i="17"/>
  <c r="AS20" i="17"/>
  <c r="AU11" i="56"/>
  <c r="AV4" i="56"/>
  <c r="AP7" i="51"/>
  <c r="AQ6" i="51"/>
  <c r="AO7" i="52"/>
  <c r="AP6" i="52"/>
  <c r="AQ59" i="56"/>
  <c r="AR52" i="56"/>
  <c r="AR43" i="56"/>
  <c r="AS36" i="56"/>
  <c r="AQ52" i="17"/>
  <c r="AP59" i="17"/>
  <c r="AP10" i="51" s="1"/>
  <c r="AQ43" i="17"/>
  <c r="AQ10" i="50" s="1"/>
  <c r="AR36" i="17"/>
  <c r="AQ68" i="56"/>
  <c r="AP75" i="56"/>
  <c r="AO75" i="17"/>
  <c r="AO10" i="52" s="1"/>
  <c r="AP68" i="17"/>
  <c r="AR6" i="50"/>
  <c r="AQ7" i="50"/>
  <c r="AV11" i="48"/>
  <c r="AV6" i="49"/>
  <c r="AW11" i="17"/>
  <c r="AW10" i="48" s="1"/>
  <c r="AW9" i="17"/>
  <c r="AW8" i="48" s="1"/>
  <c r="AX4" i="17"/>
  <c r="AX7" i="48" s="1"/>
  <c r="AW7" i="48"/>
  <c r="AW9" i="48"/>
  <c r="AV13" i="17"/>
  <c r="J57" i="14"/>
  <c r="F57" i="14"/>
  <c r="D58" i="14" s="1"/>
  <c r="C58" i="14"/>
  <c r="BA6" i="48"/>
  <c r="L57" i="14"/>
  <c r="I50" i="14"/>
  <c r="K50" i="14" s="1"/>
  <c r="E51" i="14" s="1"/>
  <c r="H50" i="14"/>
  <c r="G51" i="14"/>
  <c r="AS43" i="56" l="1"/>
  <c r="AT36" i="56"/>
  <c r="AT27" i="56"/>
  <c r="AU20" i="56"/>
  <c r="AR52" i="17"/>
  <c r="AQ59" i="17"/>
  <c r="AQ10" i="51" s="1"/>
  <c r="AR59" i="56"/>
  <c r="AS52" i="56"/>
  <c r="BG56" i="10"/>
  <c r="BG45" i="10"/>
  <c r="BH59" i="10"/>
  <c r="BH2" i="10"/>
  <c r="AP75" i="17"/>
  <c r="AP10" i="52" s="1"/>
  <c r="AQ68" i="17"/>
  <c r="AR6" i="51"/>
  <c r="AQ7" i="51"/>
  <c r="AQ6" i="52"/>
  <c r="AP7" i="52"/>
  <c r="AR7" i="50"/>
  <c r="AS6" i="50"/>
  <c r="AV11" i="56"/>
  <c r="AW4" i="56"/>
  <c r="AT20" i="17"/>
  <c r="AS27" i="17"/>
  <c r="AQ75" i="56"/>
  <c r="AR68" i="56"/>
  <c r="AS36" i="17"/>
  <c r="AR43" i="17"/>
  <c r="AR10" i="50" s="1"/>
  <c r="AW6" i="49"/>
  <c r="AW11" i="48"/>
  <c r="AY4" i="17"/>
  <c r="AX9" i="17"/>
  <c r="AX11" i="17"/>
  <c r="AX10" i="48" s="1"/>
  <c r="AX9" i="48"/>
  <c r="AW13" i="17"/>
  <c r="J58" i="14"/>
  <c r="F58" i="14"/>
  <c r="D59" i="14" s="1"/>
  <c r="C59" i="14"/>
  <c r="L58" i="14"/>
  <c r="BB6" i="48"/>
  <c r="G52" i="14"/>
  <c r="I51" i="14"/>
  <c r="K51" i="14" s="1"/>
  <c r="E52" i="14" s="1"/>
  <c r="H51" i="14"/>
  <c r="AT36" i="17" l="1"/>
  <c r="AS43" i="17"/>
  <c r="AS10" i="50" s="1"/>
  <c r="AR7" i="51"/>
  <c r="AS6" i="51"/>
  <c r="AS68" i="56"/>
  <c r="AR75" i="56"/>
  <c r="AR68" i="17"/>
  <c r="AQ75" i="17"/>
  <c r="AQ10" i="52" s="1"/>
  <c r="BI59" i="10"/>
  <c r="BH45" i="10"/>
  <c r="BI2" i="10"/>
  <c r="BH56" i="10"/>
  <c r="AT52" i="56"/>
  <c r="AS59" i="56"/>
  <c r="AT27" i="17"/>
  <c r="AU20" i="17"/>
  <c r="AR59" i="17"/>
  <c r="AR10" i="51" s="1"/>
  <c r="AS52" i="17"/>
  <c r="AV20" i="56"/>
  <c r="AU27" i="56"/>
  <c r="AW11" i="56"/>
  <c r="AX4" i="56"/>
  <c r="AS7" i="50"/>
  <c r="AT6" i="50"/>
  <c r="AU36" i="56"/>
  <c r="AT43" i="56"/>
  <c r="AQ7" i="52"/>
  <c r="AR6" i="52"/>
  <c r="L59" i="14"/>
  <c r="AX6" i="49"/>
  <c r="AX13" i="17"/>
  <c r="AX8" i="48"/>
  <c r="AX11" i="48" s="1"/>
  <c r="AZ4" i="17"/>
  <c r="AZ9" i="48" s="1"/>
  <c r="AY9" i="17"/>
  <c r="AY11" i="17"/>
  <c r="AY10" i="48" s="1"/>
  <c r="AY9" i="48"/>
  <c r="AY7" i="48"/>
  <c r="BC6" i="48"/>
  <c r="J59" i="14"/>
  <c r="F59" i="14"/>
  <c r="D60" i="14" s="1"/>
  <c r="C60" i="14"/>
  <c r="G53" i="14"/>
  <c r="H52" i="14"/>
  <c r="I52" i="14"/>
  <c r="K52" i="14" s="1"/>
  <c r="E53" i="14" s="1"/>
  <c r="AX11" i="56" l="1"/>
  <c r="AY4" i="56"/>
  <c r="AV27" i="56"/>
  <c r="AW20" i="56"/>
  <c r="AT52" i="17"/>
  <c r="AS59" i="17"/>
  <c r="AS10" i="51" s="1"/>
  <c r="BJ59" i="10"/>
  <c r="BI56" i="10"/>
  <c r="BJ2" i="10"/>
  <c r="BI45" i="10"/>
  <c r="AS6" i="52"/>
  <c r="AR7" i="52"/>
  <c r="AV20" i="17"/>
  <c r="AU27" i="17"/>
  <c r="AR75" i="17"/>
  <c r="AR10" i="52" s="1"/>
  <c r="AS68" i="17"/>
  <c r="AU43" i="56"/>
  <c r="AV36" i="56"/>
  <c r="AT68" i="56"/>
  <c r="AS75" i="56"/>
  <c r="AS7" i="51"/>
  <c r="AT6" i="51"/>
  <c r="AU6" i="50"/>
  <c r="AT7" i="50"/>
  <c r="AT59" i="56"/>
  <c r="AU52" i="56"/>
  <c r="AU36" i="17"/>
  <c r="AT43" i="17"/>
  <c r="AT10" i="50" s="1"/>
  <c r="AY6" i="49"/>
  <c r="AY13" i="17"/>
  <c r="AZ9" i="17"/>
  <c r="AZ11" i="17"/>
  <c r="AZ10" i="48" s="1"/>
  <c r="BA4" i="17"/>
  <c r="BA7" i="48" s="1"/>
  <c r="AZ7" i="48"/>
  <c r="AY8" i="48"/>
  <c r="AY11" i="48" s="1"/>
  <c r="J60" i="14"/>
  <c r="F60" i="14"/>
  <c r="D61" i="14" s="1"/>
  <c r="C61" i="14"/>
  <c r="BD6" i="48"/>
  <c r="L60" i="14"/>
  <c r="I53" i="14"/>
  <c r="K53" i="14" s="1"/>
  <c r="E54" i="14" s="1"/>
  <c r="G54" i="14"/>
  <c r="H53" i="14"/>
  <c r="BJ45" i="10" l="1"/>
  <c r="BK59" i="10"/>
  <c r="BJ56" i="10"/>
  <c r="BK2" i="10"/>
  <c r="D33" i="16"/>
  <c r="D21" i="16"/>
  <c r="C28" i="16"/>
  <c r="C29" i="16"/>
  <c r="O26" i="17"/>
  <c r="O9" i="49" s="1"/>
  <c r="AC58" i="17"/>
  <c r="AC9" i="51" s="1"/>
  <c r="AO42" i="17"/>
  <c r="AO9" i="50" s="1"/>
  <c r="T73" i="56"/>
  <c r="T77" i="56" s="1"/>
  <c r="P57" i="17"/>
  <c r="P73" i="17"/>
  <c r="T41" i="56"/>
  <c r="T45" i="56" s="1"/>
  <c r="L73" i="56"/>
  <c r="L77" i="56" s="1"/>
  <c r="W26" i="17"/>
  <c r="W9" i="49" s="1"/>
  <c r="AG9" i="56"/>
  <c r="AG13" i="56" s="1"/>
  <c r="F57" i="17"/>
  <c r="I41" i="56"/>
  <c r="I45" i="56" s="1"/>
  <c r="L57" i="17"/>
  <c r="M73" i="56"/>
  <c r="M77" i="56" s="1"/>
  <c r="P41" i="17"/>
  <c r="S25" i="56"/>
  <c r="S29" i="56" s="1"/>
  <c r="R73" i="17"/>
  <c r="V73" i="56"/>
  <c r="V77" i="56" s="1"/>
  <c r="V26" i="17"/>
  <c r="V9" i="49" s="1"/>
  <c r="AA74" i="17"/>
  <c r="AA9" i="52" s="1"/>
  <c r="AO58" i="17"/>
  <c r="AO9" i="51" s="1"/>
  <c r="G9" i="56"/>
  <c r="G13" i="56" s="1"/>
  <c r="F25" i="17"/>
  <c r="AD9" i="56"/>
  <c r="J58" i="17"/>
  <c r="J9" i="51" s="1"/>
  <c r="K41" i="17"/>
  <c r="O42" i="17"/>
  <c r="O9" i="50" s="1"/>
  <c r="O9" i="17"/>
  <c r="P26" i="17"/>
  <c r="P9" i="49" s="1"/>
  <c r="H9" i="56"/>
  <c r="H13" i="56" s="1"/>
  <c r="T9" i="56"/>
  <c r="T13" i="56" s="1"/>
  <c r="E10" i="17"/>
  <c r="E9" i="48" s="1"/>
  <c r="H9" i="17"/>
  <c r="F18" i="16"/>
  <c r="H41" i="56"/>
  <c r="H45" i="56" s="1"/>
  <c r="H41" i="17"/>
  <c r="J41" i="56"/>
  <c r="J45" i="56" s="1"/>
  <c r="J26" i="17"/>
  <c r="J9" i="49" s="1"/>
  <c r="J25" i="17"/>
  <c r="O73" i="56"/>
  <c r="O77" i="56" s="1"/>
  <c r="U42" i="17"/>
  <c r="U9" i="50" s="1"/>
  <c r="Q25" i="17"/>
  <c r="AC26" i="17"/>
  <c r="AC9" i="49" s="1"/>
  <c r="AG42" i="17"/>
  <c r="AG9" i="50" s="1"/>
  <c r="AU9" i="56"/>
  <c r="AU13" i="56" s="1"/>
  <c r="R9" i="56"/>
  <c r="R13" i="56" s="1"/>
  <c r="F7" i="16"/>
  <c r="D30" i="16"/>
  <c r="E25" i="17"/>
  <c r="E8" i="49" s="1"/>
  <c r="E31" i="16"/>
  <c r="G41" i="56"/>
  <c r="G45" i="56" s="1"/>
  <c r="I42" i="17"/>
  <c r="I9" i="50" s="1"/>
  <c r="M25" i="56"/>
  <c r="M29" i="56" s="1"/>
  <c r="N74" i="17"/>
  <c r="N9" i="52" s="1"/>
  <c r="R41" i="17"/>
  <c r="V41" i="56"/>
  <c r="V45" i="56" s="1"/>
  <c r="AH74" i="17"/>
  <c r="AH9" i="52" s="1"/>
  <c r="AT42" i="17"/>
  <c r="AT9" i="50" s="1"/>
  <c r="AM26" i="17"/>
  <c r="AM9" i="49" s="1"/>
  <c r="AI42" i="17"/>
  <c r="AI9" i="50" s="1"/>
  <c r="AP25" i="56"/>
  <c r="AJ58" i="17"/>
  <c r="AJ9" i="51" s="1"/>
  <c r="AC74" i="17"/>
  <c r="AC9" i="52" s="1"/>
  <c r="Q9" i="56"/>
  <c r="Q13" i="56" s="1"/>
  <c r="E50" i="16"/>
  <c r="E7" i="16"/>
  <c r="E28" i="16"/>
  <c r="E57" i="56"/>
  <c r="E61" i="56" s="1"/>
  <c r="AF9" i="56"/>
  <c r="AF13" i="56" s="1"/>
  <c r="F41" i="56"/>
  <c r="F45" i="56" s="1"/>
  <c r="G73" i="17"/>
  <c r="J42" i="17"/>
  <c r="J9" i="50" s="1"/>
  <c r="N73" i="17"/>
  <c r="R58" i="17"/>
  <c r="R9" i="51" s="1"/>
  <c r="T25" i="17"/>
  <c r="AE74" i="17"/>
  <c r="AE9" i="52" s="1"/>
  <c r="AG74" i="17"/>
  <c r="AG9" i="52" s="1"/>
  <c r="AP58" i="17"/>
  <c r="AP9" i="51" s="1"/>
  <c r="AQ58" i="17"/>
  <c r="AQ9" i="51" s="1"/>
  <c r="AN42" i="17"/>
  <c r="AN9" i="50" s="1"/>
  <c r="AG58" i="17"/>
  <c r="AG9" i="51" s="1"/>
  <c r="AM74" i="17"/>
  <c r="AM9" i="52" s="1"/>
  <c r="AT9" i="56"/>
  <c r="AT13" i="56" s="1"/>
  <c r="E37" i="16"/>
  <c r="C37" i="16"/>
  <c r="E36" i="16"/>
  <c r="F30" i="16"/>
  <c r="E57" i="17"/>
  <c r="F19" i="16"/>
  <c r="C66" i="16"/>
  <c r="J41" i="17"/>
  <c r="L41" i="17"/>
  <c r="K26" i="17"/>
  <c r="K9" i="49" s="1"/>
  <c r="T58" i="17"/>
  <c r="T9" i="51" s="1"/>
  <c r="V58" i="17"/>
  <c r="V9" i="51" s="1"/>
  <c r="AR9" i="56"/>
  <c r="AR13" i="56" s="1"/>
  <c r="M9" i="56"/>
  <c r="M13" i="56" s="1"/>
  <c r="O9" i="56"/>
  <c r="O13" i="56" s="1"/>
  <c r="D19" i="16"/>
  <c r="E26" i="17"/>
  <c r="E9" i="49" s="1"/>
  <c r="G25" i="56"/>
  <c r="G29" i="56" s="1"/>
  <c r="F34" i="16"/>
  <c r="H42" i="17"/>
  <c r="H9" i="50" s="1"/>
  <c r="L57" i="56"/>
  <c r="L61" i="56" s="1"/>
  <c r="Q41" i="17"/>
  <c r="R25" i="17"/>
  <c r="AB26" i="17"/>
  <c r="AB9" i="49" s="1"/>
  <c r="AN74" i="17"/>
  <c r="AN9" i="52" s="1"/>
  <c r="R42" i="17"/>
  <c r="R9" i="50" s="1"/>
  <c r="AI74" i="17"/>
  <c r="AI9" i="52" s="1"/>
  <c r="AS9" i="56"/>
  <c r="AS13" i="56" s="1"/>
  <c r="AW9" i="56"/>
  <c r="AW13" i="56" s="1"/>
  <c r="F38" i="16"/>
  <c r="D34" i="16"/>
  <c r="G9" i="17"/>
  <c r="I73" i="56"/>
  <c r="I77" i="56" s="1"/>
  <c r="AH9" i="56"/>
  <c r="AH13" i="56" s="1"/>
  <c r="I73" i="17"/>
  <c r="K57" i="17"/>
  <c r="K74" i="17"/>
  <c r="K9" i="52" s="1"/>
  <c r="L73" i="17"/>
  <c r="P74" i="17"/>
  <c r="P9" i="52" s="1"/>
  <c r="Q26" i="17"/>
  <c r="Q9" i="49" s="1"/>
  <c r="O73" i="17"/>
  <c r="S58" i="17"/>
  <c r="S9" i="51" s="1"/>
  <c r="U73" i="56"/>
  <c r="U77" i="56" s="1"/>
  <c r="AF26" i="17"/>
  <c r="AF9" i="49" s="1"/>
  <c r="AI26" i="17"/>
  <c r="AI9" i="49" s="1"/>
  <c r="AK26" i="17"/>
  <c r="H73" i="17"/>
  <c r="N42" i="17"/>
  <c r="N9" i="50" s="1"/>
  <c r="R9" i="17"/>
  <c r="T42" i="17"/>
  <c r="T9" i="50" s="1"/>
  <c r="AT25" i="56"/>
  <c r="AT29" i="56" s="1"/>
  <c r="I9" i="56"/>
  <c r="I13" i="56" s="1"/>
  <c r="C31" i="16"/>
  <c r="E38" i="16"/>
  <c r="S9" i="56"/>
  <c r="S13" i="56" s="1"/>
  <c r="F62" i="16"/>
  <c r="J25" i="56"/>
  <c r="J29" i="56" s="1"/>
  <c r="I74" i="17"/>
  <c r="I9" i="52" s="1"/>
  <c r="K25" i="17"/>
  <c r="K73" i="17"/>
  <c r="N26" i="17"/>
  <c r="N9" i="49" s="1"/>
  <c r="O57" i="17"/>
  <c r="S9" i="17"/>
  <c r="S57" i="56"/>
  <c r="S61" i="56" s="1"/>
  <c r="S74" i="17"/>
  <c r="S9" i="52" s="1"/>
  <c r="AJ74" i="17"/>
  <c r="AJ9" i="52" s="1"/>
  <c r="AR74" i="17"/>
  <c r="AR9" i="52" s="1"/>
  <c r="K9" i="56"/>
  <c r="K13" i="56" s="1"/>
  <c r="C38" i="16"/>
  <c r="E25" i="56"/>
  <c r="E29" i="56" s="1"/>
  <c r="F36" i="16"/>
  <c r="K57" i="56"/>
  <c r="K61" i="56" s="1"/>
  <c r="H74" i="17"/>
  <c r="H9" i="52" s="1"/>
  <c r="M41" i="17"/>
  <c r="R57" i="56"/>
  <c r="R61" i="56" s="1"/>
  <c r="R26" i="17"/>
  <c r="R9" i="49" s="1"/>
  <c r="U57" i="56"/>
  <c r="U61" i="56" s="1"/>
  <c r="W42" i="17"/>
  <c r="W9" i="50" s="1"/>
  <c r="W74" i="17"/>
  <c r="W9" i="52" s="1"/>
  <c r="AT75" i="56"/>
  <c r="AU68" i="56"/>
  <c r="AV43" i="56"/>
  <c r="AW36" i="56"/>
  <c r="AV36" i="17"/>
  <c r="AU43" i="17"/>
  <c r="AU10" i="50" s="1"/>
  <c r="AU42" i="17"/>
  <c r="AU9" i="50" s="1"/>
  <c r="AT68" i="17"/>
  <c r="AS75" i="17"/>
  <c r="AS10" i="52" s="1"/>
  <c r="AS74" i="17"/>
  <c r="AS9" i="52" s="1"/>
  <c r="F62" i="15"/>
  <c r="AU52" i="17"/>
  <c r="AT59" i="17"/>
  <c r="AT10" i="51" s="1"/>
  <c r="AT58" i="17"/>
  <c r="AT9" i="51" s="1"/>
  <c r="AU59" i="56"/>
  <c r="AV52" i="56"/>
  <c r="AX20" i="56"/>
  <c r="AW25" i="56"/>
  <c r="AW27" i="56"/>
  <c r="AV25" i="17"/>
  <c r="AW20" i="17"/>
  <c r="AV26" i="17"/>
  <c r="AV27" i="17"/>
  <c r="AV25" i="56"/>
  <c r="AV29" i="56" s="1"/>
  <c r="AU7" i="50"/>
  <c r="AV6" i="50"/>
  <c r="AT6" i="52"/>
  <c r="AS7" i="52"/>
  <c r="AY9" i="56"/>
  <c r="AY11" i="56"/>
  <c r="AZ4" i="56"/>
  <c r="AX9" i="56"/>
  <c r="AX13" i="56" s="1"/>
  <c r="AU6" i="51"/>
  <c r="AT7" i="51"/>
  <c r="BA9" i="48"/>
  <c r="AZ6" i="49"/>
  <c r="AZ13" i="17"/>
  <c r="AZ8" i="48"/>
  <c r="AZ11" i="48" s="1"/>
  <c r="BA9" i="17"/>
  <c r="BB4" i="17"/>
  <c r="BB7" i="48" s="1"/>
  <c r="BA11" i="17"/>
  <c r="BA10" i="48" s="1"/>
  <c r="J61" i="14"/>
  <c r="F61" i="14"/>
  <c r="D62" i="14" s="1"/>
  <c r="C62" i="14"/>
  <c r="L61" i="14"/>
  <c r="BE6" i="48"/>
  <c r="H54" i="14"/>
  <c r="I54" i="14"/>
  <c r="K54" i="14" s="1"/>
  <c r="E55" i="14" s="1"/>
  <c r="G55" i="14"/>
  <c r="V25" i="56" l="1"/>
  <c r="V29" i="56" s="1"/>
  <c r="T57" i="17"/>
  <c r="Q57" i="56"/>
  <c r="Q61" i="56" s="1"/>
  <c r="J73" i="56"/>
  <c r="J77" i="56" s="1"/>
  <c r="H73" i="56"/>
  <c r="H77" i="56" s="1"/>
  <c r="E30" i="16"/>
  <c r="C33" i="16"/>
  <c r="D36" i="16"/>
  <c r="E41" i="56"/>
  <c r="E45" i="56" s="1"/>
  <c r="E9" i="17"/>
  <c r="E13" i="17" s="1"/>
  <c r="U58" i="17"/>
  <c r="U9" i="51" s="1"/>
  <c r="M57" i="56"/>
  <c r="M61" i="56" s="1"/>
  <c r="K73" i="56"/>
  <c r="K77" i="56" s="1"/>
  <c r="I57" i="56"/>
  <c r="I61" i="56" s="1"/>
  <c r="F20" i="16"/>
  <c r="G42" i="17"/>
  <c r="G9" i="50" s="1"/>
  <c r="F31" i="16"/>
  <c r="G73" i="56"/>
  <c r="G77" i="56" s="1"/>
  <c r="E9" i="56"/>
  <c r="E13" i="56" s="1"/>
  <c r="P42" i="17"/>
  <c r="P9" i="50" s="1"/>
  <c r="P9" i="56"/>
  <c r="P13" i="56" s="1"/>
  <c r="O58" i="17"/>
  <c r="O9" i="51" s="1"/>
  <c r="U9" i="56"/>
  <c r="U13" i="56" s="1"/>
  <c r="G57" i="17"/>
  <c r="G8" i="51" s="1"/>
  <c r="E62" i="16"/>
  <c r="J74" i="17"/>
  <c r="J9" i="52" s="1"/>
  <c r="P9" i="17"/>
  <c r="P13" i="17" s="1"/>
  <c r="L58" i="17"/>
  <c r="L9" i="51" s="1"/>
  <c r="F57" i="56"/>
  <c r="F61" i="56" s="1"/>
  <c r="P25" i="56"/>
  <c r="P29" i="56" s="1"/>
  <c r="AC42" i="17"/>
  <c r="AC9" i="50" s="1"/>
  <c r="AR58" i="17"/>
  <c r="AR9" i="51" s="1"/>
  <c r="AO26" i="17"/>
  <c r="AQ26" i="17"/>
  <c r="AU25" i="17"/>
  <c r="AT25" i="17"/>
  <c r="AP26" i="17"/>
  <c r="AQ25" i="17"/>
  <c r="AT26" i="17"/>
  <c r="AR26" i="17"/>
  <c r="AU26" i="17"/>
  <c r="M57" i="17"/>
  <c r="M8" i="51" s="1"/>
  <c r="S25" i="17"/>
  <c r="S8" i="49" s="1"/>
  <c r="E58" i="17"/>
  <c r="E9" i="51" s="1"/>
  <c r="T73" i="17"/>
  <c r="T8" i="52" s="1"/>
  <c r="AH42" i="17"/>
  <c r="AH9" i="50" s="1"/>
  <c r="AB42" i="17"/>
  <c r="AB9" i="50" s="1"/>
  <c r="T57" i="56"/>
  <c r="T61" i="56" s="1"/>
  <c r="X74" i="17"/>
  <c r="X9" i="52" s="1"/>
  <c r="O57" i="56"/>
  <c r="O61" i="56" s="1"/>
  <c r="M41" i="56"/>
  <c r="M45" i="56" s="1"/>
  <c r="H25" i="56"/>
  <c r="H29" i="56" s="1"/>
  <c r="AR25" i="17"/>
  <c r="E74" i="17"/>
  <c r="E9" i="52" s="1"/>
  <c r="L25" i="17"/>
  <c r="L8" i="49" s="1"/>
  <c r="AF58" i="17"/>
  <c r="AF9" i="51" s="1"/>
  <c r="G57" i="56"/>
  <c r="G61" i="56" s="1"/>
  <c r="G41" i="17"/>
  <c r="AS25" i="17"/>
  <c r="O41" i="17"/>
  <c r="O8" i="50" s="1"/>
  <c r="O11" i="50" s="1"/>
  <c r="F42" i="17"/>
  <c r="F9" i="50" s="1"/>
  <c r="L41" i="56"/>
  <c r="L45" i="56" s="1"/>
  <c r="S41" i="17"/>
  <c r="S8" i="50" s="1"/>
  <c r="F73" i="56"/>
  <c r="F77" i="56" s="1"/>
  <c r="E21" i="16"/>
  <c r="AS26" i="17"/>
  <c r="E41" i="17"/>
  <c r="E8" i="50" s="1"/>
  <c r="AE26" i="17"/>
  <c r="AE9" i="49" s="1"/>
  <c r="I25" i="17"/>
  <c r="I8" i="49" s="1"/>
  <c r="N41" i="56"/>
  <c r="N45" i="56" s="1"/>
  <c r="C18" i="16"/>
  <c r="AP25" i="17"/>
  <c r="AH26" i="17"/>
  <c r="AH9" i="49" s="1"/>
  <c r="P57" i="56"/>
  <c r="P61" i="56" s="1"/>
  <c r="AP74" i="17"/>
  <c r="AP9" i="52" s="1"/>
  <c r="N58" i="17"/>
  <c r="N9" i="51" s="1"/>
  <c r="L25" i="56"/>
  <c r="L29" i="56" s="1"/>
  <c r="M9" i="17"/>
  <c r="M13" i="17" s="1"/>
  <c r="E18" i="16"/>
  <c r="J9" i="56"/>
  <c r="J13" i="56" s="1"/>
  <c r="E73" i="56"/>
  <c r="E77" i="56" s="1"/>
  <c r="C67" i="16"/>
  <c r="C68" i="16" s="1"/>
  <c r="T9" i="17"/>
  <c r="T13" i="17" s="1"/>
  <c r="AA42" i="17"/>
  <c r="AA9" i="50" s="1"/>
  <c r="AS58" i="17"/>
  <c r="AS9" i="51" s="1"/>
  <c r="AF74" i="17"/>
  <c r="AF9" i="52" s="1"/>
  <c r="AK58" i="17"/>
  <c r="AK9" i="51" s="1"/>
  <c r="F58" i="17"/>
  <c r="F9" i="51" s="1"/>
  <c r="N25" i="56"/>
  <c r="N29" i="56" s="1"/>
  <c r="AM58" i="17"/>
  <c r="AM9" i="51" s="1"/>
  <c r="K58" i="17"/>
  <c r="K9" i="51" s="1"/>
  <c r="F73" i="17"/>
  <c r="F8" i="52" s="1"/>
  <c r="Y58" i="17"/>
  <c r="Y9" i="51" s="1"/>
  <c r="N9" i="56"/>
  <c r="N13" i="56" s="1"/>
  <c r="D37" i="16"/>
  <c r="I9" i="17"/>
  <c r="I8" i="48" s="1"/>
  <c r="I11" i="48" s="1"/>
  <c r="AI58" i="17"/>
  <c r="AI9" i="51" s="1"/>
  <c r="U57" i="17"/>
  <c r="R74" i="17"/>
  <c r="R9" i="52" s="1"/>
  <c r="E19" i="16"/>
  <c r="E20" i="16"/>
  <c r="C34" i="16"/>
  <c r="E48" i="16"/>
  <c r="Q73" i="17"/>
  <c r="Q8" i="52" s="1"/>
  <c r="T74" i="17"/>
  <c r="T9" i="52" s="1"/>
  <c r="L42" i="17"/>
  <c r="L9" i="50" s="1"/>
  <c r="AG26" i="17"/>
  <c r="AG9" i="49" s="1"/>
  <c r="AJ42" i="17"/>
  <c r="AJ9" i="50" s="1"/>
  <c r="E34" i="16"/>
  <c r="Q57" i="17"/>
  <c r="Q8" i="51" s="1"/>
  <c r="R73" i="56"/>
  <c r="R77" i="56" s="1"/>
  <c r="F9" i="17"/>
  <c r="F8" i="48" s="1"/>
  <c r="F11" i="48" s="1"/>
  <c r="G58" i="17"/>
  <c r="G9" i="51" s="1"/>
  <c r="AR25" i="56"/>
  <c r="AR29" i="56" s="1"/>
  <c r="AL74" i="17"/>
  <c r="AL9" i="52" s="1"/>
  <c r="Y42" i="17"/>
  <c r="Y9" i="50" s="1"/>
  <c r="AM42" i="17"/>
  <c r="AM9" i="50" s="1"/>
  <c r="M74" i="17"/>
  <c r="M9" i="52" s="1"/>
  <c r="AA58" i="17"/>
  <c r="AA9" i="51" s="1"/>
  <c r="F9" i="56"/>
  <c r="F13" i="56" s="1"/>
  <c r="M25" i="17"/>
  <c r="M8" i="49" s="1"/>
  <c r="J73" i="17"/>
  <c r="V74" i="17"/>
  <c r="V9" i="52" s="1"/>
  <c r="I25" i="56"/>
  <c r="I29" i="56" s="1"/>
  <c r="E33" i="16"/>
  <c r="S57" i="17"/>
  <c r="S61" i="17" s="1"/>
  <c r="F74" i="17"/>
  <c r="F9" i="52" s="1"/>
  <c r="P41" i="56"/>
  <c r="P45" i="56" s="1"/>
  <c r="AK74" i="17"/>
  <c r="AK9" i="52" s="1"/>
  <c r="AE9" i="56"/>
  <c r="AE13" i="56" s="1"/>
  <c r="H26" i="17"/>
  <c r="H9" i="49" s="1"/>
  <c r="AL58" i="17"/>
  <c r="AL9" i="51" s="1"/>
  <c r="N73" i="56"/>
  <c r="N77" i="56" s="1"/>
  <c r="Q9" i="17"/>
  <c r="Q13" i="17" s="1"/>
  <c r="M42" i="17"/>
  <c r="M9" i="50" s="1"/>
  <c r="E73" i="17"/>
  <c r="I58" i="17"/>
  <c r="I9" i="51" s="1"/>
  <c r="U25" i="56"/>
  <c r="U29" i="56" s="1"/>
  <c r="F21" i="16"/>
  <c r="F22" i="16" s="1"/>
  <c r="AJ26" i="17"/>
  <c r="AJ9" i="49" s="1"/>
  <c r="C20" i="16"/>
  <c r="F37" i="16"/>
  <c r="AB58" i="17"/>
  <c r="AB9" i="51" s="1"/>
  <c r="L9" i="17"/>
  <c r="L8" i="48" s="1"/>
  <c r="L11" i="48" s="1"/>
  <c r="S73" i="17"/>
  <c r="S8" i="52" s="1"/>
  <c r="S11" i="52" s="1"/>
  <c r="AE58" i="17"/>
  <c r="AE9" i="51" s="1"/>
  <c r="O74" i="17"/>
  <c r="O9" i="52" s="1"/>
  <c r="D38" i="16"/>
  <c r="AP42" i="17"/>
  <c r="AP9" i="50" s="1"/>
  <c r="I41" i="17"/>
  <c r="I45" i="17" s="1"/>
  <c r="U25" i="17"/>
  <c r="U8" i="49" s="1"/>
  <c r="F25" i="56"/>
  <c r="F29" i="56" s="1"/>
  <c r="W58" i="17"/>
  <c r="W9" i="51" s="1"/>
  <c r="AQ74" i="17"/>
  <c r="AQ9" i="52" s="1"/>
  <c r="M26" i="17"/>
  <c r="M9" i="49" s="1"/>
  <c r="N9" i="17"/>
  <c r="N8" i="48" s="1"/>
  <c r="N11" i="48" s="1"/>
  <c r="J57" i="17"/>
  <c r="J61" i="17" s="1"/>
  <c r="AL42" i="17"/>
  <c r="AL9" i="50" s="1"/>
  <c r="H25" i="17"/>
  <c r="H8" i="49" s="1"/>
  <c r="Q74" i="17"/>
  <c r="Q9" i="52" s="1"/>
  <c r="Q42" i="17"/>
  <c r="Q9" i="50" s="1"/>
  <c r="C7" i="16"/>
  <c r="F41" i="17"/>
  <c r="F8" i="50" s="1"/>
  <c r="X58" i="17"/>
  <c r="X9" i="51" s="1"/>
  <c r="D20" i="16"/>
  <c r="D50" i="16"/>
  <c r="AB74" i="17"/>
  <c r="AB9" i="52" s="1"/>
  <c r="G26" i="17"/>
  <c r="G9" i="49" s="1"/>
  <c r="P58" i="17"/>
  <c r="P9" i="51" s="1"/>
  <c r="G25" i="17"/>
  <c r="G8" i="49" s="1"/>
  <c r="AE42" i="17"/>
  <c r="AE9" i="50" s="1"/>
  <c r="AH58" i="17"/>
  <c r="AH9" i="51" s="1"/>
  <c r="Q73" i="56"/>
  <c r="Q77" i="56" s="1"/>
  <c r="F28" i="16"/>
  <c r="G74" i="17"/>
  <c r="G9" i="52" s="1"/>
  <c r="AS42" i="17"/>
  <c r="AS9" i="50" s="1"/>
  <c r="L9" i="56"/>
  <c r="L13" i="56" s="1"/>
  <c r="U9" i="17"/>
  <c r="U13" i="17" s="1"/>
  <c r="E29" i="16"/>
  <c r="C30" i="16"/>
  <c r="I57" i="17"/>
  <c r="I8" i="51" s="1"/>
  <c r="M73" i="17"/>
  <c r="M8" i="52" s="1"/>
  <c r="D29" i="16"/>
  <c r="K25" i="56"/>
  <c r="K29" i="56" s="1"/>
  <c r="O41" i="56"/>
  <c r="O45" i="56" s="1"/>
  <c r="H57" i="17"/>
  <c r="H8" i="51" s="1"/>
  <c r="AN58" i="17"/>
  <c r="AN9" i="51" s="1"/>
  <c r="N57" i="17"/>
  <c r="N8" i="51" s="1"/>
  <c r="AF42" i="17"/>
  <c r="AF9" i="50" s="1"/>
  <c r="F33" i="16"/>
  <c r="F26" i="17"/>
  <c r="F9" i="49" s="1"/>
  <c r="V57" i="56"/>
  <c r="V61" i="56" s="1"/>
  <c r="AQ42" i="17"/>
  <c r="AQ9" i="50" s="1"/>
  <c r="R41" i="56"/>
  <c r="R45" i="56" s="1"/>
  <c r="C36" i="16"/>
  <c r="D18" i="16"/>
  <c r="H57" i="56"/>
  <c r="H61" i="56" s="1"/>
  <c r="L74" i="17"/>
  <c r="L9" i="52" s="1"/>
  <c r="F29" i="16"/>
  <c r="C19" i="16"/>
  <c r="P73" i="56"/>
  <c r="P77" i="56" s="1"/>
  <c r="AO74" i="17"/>
  <c r="AO9" i="52" s="1"/>
  <c r="J57" i="56"/>
  <c r="J61" i="56" s="1"/>
  <c r="V9" i="56"/>
  <c r="V13" i="56" s="1"/>
  <c r="R25" i="56"/>
  <c r="R29" i="56" s="1"/>
  <c r="Q25" i="56"/>
  <c r="Q29" i="56" s="1"/>
  <c r="Y74" i="17"/>
  <c r="Y9" i="52" s="1"/>
  <c r="AU25" i="56"/>
  <c r="AU29" i="56" s="1"/>
  <c r="F50" i="16"/>
  <c r="D7" i="16"/>
  <c r="V42" i="17"/>
  <c r="V9" i="50" s="1"/>
  <c r="X26" i="17"/>
  <c r="X9" i="49" s="1"/>
  <c r="C21" i="16"/>
  <c r="O25" i="17"/>
  <c r="O29" i="17" s="1"/>
  <c r="O25" i="56"/>
  <c r="O29" i="56" s="1"/>
  <c r="U26" i="17"/>
  <c r="U9" i="49" s="1"/>
  <c r="K42" i="17"/>
  <c r="K9" i="50" s="1"/>
  <c r="X42" i="17"/>
  <c r="X9" i="50" s="1"/>
  <c r="U73" i="17"/>
  <c r="U8" i="52" s="1"/>
  <c r="AS25" i="56"/>
  <c r="AS29" i="56" s="1"/>
  <c r="D28" i="16"/>
  <c r="H58" i="17"/>
  <c r="H9" i="51" s="1"/>
  <c r="C48" i="16"/>
  <c r="T26" i="17"/>
  <c r="T9" i="49" s="1"/>
  <c r="D31" i="16"/>
  <c r="E42" i="17"/>
  <c r="E9" i="50" s="1"/>
  <c r="AK42" i="17"/>
  <c r="AK9" i="50" s="1"/>
  <c r="AR42" i="17"/>
  <c r="AR9" i="50" s="1"/>
  <c r="C50" i="16"/>
  <c r="T41" i="17"/>
  <c r="T8" i="50" s="1"/>
  <c r="T11" i="50" s="1"/>
  <c r="AW29" i="56"/>
  <c r="AQ25" i="56"/>
  <c r="AQ29" i="56" s="1"/>
  <c r="N57" i="56"/>
  <c r="N61" i="56" s="1"/>
  <c r="R8" i="49"/>
  <c r="R11" i="49" s="1"/>
  <c r="R29" i="17"/>
  <c r="F8" i="51"/>
  <c r="Q8" i="50"/>
  <c r="N8" i="52"/>
  <c r="N11" i="52" s="1"/>
  <c r="N77" i="17"/>
  <c r="AT75" i="17"/>
  <c r="AT10" i="52" s="1"/>
  <c r="AU68" i="17"/>
  <c r="AT74" i="17"/>
  <c r="AT9" i="52" s="1"/>
  <c r="AW6" i="50"/>
  <c r="AV7" i="50"/>
  <c r="AV59" i="56"/>
  <c r="AW52" i="56"/>
  <c r="O8" i="51"/>
  <c r="O61" i="17"/>
  <c r="AV68" i="56"/>
  <c r="AU75" i="56"/>
  <c r="AU6" i="52"/>
  <c r="AT7" i="52"/>
  <c r="Q8" i="49"/>
  <c r="Q11" i="49" s="1"/>
  <c r="Q29" i="17"/>
  <c r="L8" i="50"/>
  <c r="O13" i="17"/>
  <c r="O8" i="48"/>
  <c r="O11" i="48" s="1"/>
  <c r="AO9" i="56"/>
  <c r="AO13" i="56" s="1"/>
  <c r="AP9" i="56"/>
  <c r="AP13" i="56" s="1"/>
  <c r="AQ9" i="56"/>
  <c r="AQ13" i="56" s="1"/>
  <c r="BL2" i="10"/>
  <c r="BK56" i="10"/>
  <c r="BL59" i="10"/>
  <c r="G62" i="15" s="1"/>
  <c r="BK45" i="10"/>
  <c r="D48" i="16"/>
  <c r="AV9" i="56"/>
  <c r="AV13" i="56" s="1"/>
  <c r="S13" i="17"/>
  <c r="S8" i="48"/>
  <c r="S11" i="48" s="1"/>
  <c r="O8" i="52"/>
  <c r="J8" i="50"/>
  <c r="J11" i="50" s="1"/>
  <c r="J45" i="17"/>
  <c r="G8" i="52"/>
  <c r="K8" i="50"/>
  <c r="E29" i="17"/>
  <c r="E11" i="49"/>
  <c r="J8" i="49"/>
  <c r="J11" i="49" s="1"/>
  <c r="J29" i="17"/>
  <c r="R8" i="52"/>
  <c r="P8" i="51"/>
  <c r="AV43" i="17"/>
  <c r="AV10" i="50" s="1"/>
  <c r="AW36" i="17"/>
  <c r="AV42" i="17"/>
  <c r="AV9" i="50" s="1"/>
  <c r="E8" i="51"/>
  <c r="P8" i="50"/>
  <c r="P77" i="17"/>
  <c r="P8" i="52"/>
  <c r="P11" i="52" s="1"/>
  <c r="AV29" i="17"/>
  <c r="K8" i="51"/>
  <c r="H8" i="50"/>
  <c r="H11" i="50" s="1"/>
  <c r="H45" i="17"/>
  <c r="F8" i="49"/>
  <c r="Q58" i="17"/>
  <c r="Q9" i="51" s="1"/>
  <c r="L8" i="52"/>
  <c r="K29" i="17"/>
  <c r="K8" i="49"/>
  <c r="K11" i="49" s="1"/>
  <c r="AU59" i="17"/>
  <c r="AU10" i="51" s="1"/>
  <c r="AV52" i="17"/>
  <c r="AU58" i="17"/>
  <c r="AU9" i="51" s="1"/>
  <c r="R13" i="17"/>
  <c r="R8" i="48"/>
  <c r="R11" i="48" s="1"/>
  <c r="I77" i="17"/>
  <c r="I8" i="52"/>
  <c r="I11" i="52" s="1"/>
  <c r="T61" i="17"/>
  <c r="T8" i="51"/>
  <c r="T11" i="51" s="1"/>
  <c r="AN26" i="17"/>
  <c r="AW25" i="17"/>
  <c r="AX20" i="17"/>
  <c r="AW27" i="17"/>
  <c r="AW26" i="17"/>
  <c r="K8" i="52"/>
  <c r="K11" i="52" s="1"/>
  <c r="K77" i="17"/>
  <c r="AV6" i="51"/>
  <c r="AU7" i="51"/>
  <c r="AZ9" i="56"/>
  <c r="AZ11" i="56"/>
  <c r="BA4" i="56"/>
  <c r="L8" i="51"/>
  <c r="N41" i="17"/>
  <c r="H8" i="48"/>
  <c r="H11" i="48" s="1"/>
  <c r="H13" i="17"/>
  <c r="Q41" i="56"/>
  <c r="Q45" i="56" s="1"/>
  <c r="T25" i="56"/>
  <c r="T29" i="56" s="1"/>
  <c r="M58" i="17"/>
  <c r="M9" i="51" s="1"/>
  <c r="U41" i="17"/>
  <c r="Y26" i="17"/>
  <c r="Y9" i="49" s="1"/>
  <c r="R57" i="17"/>
  <c r="K41" i="56"/>
  <c r="K45" i="56" s="1"/>
  <c r="H8" i="52"/>
  <c r="H11" i="52" s="1"/>
  <c r="H77" i="17"/>
  <c r="AY13" i="56"/>
  <c r="AY20" i="56"/>
  <c r="AX27" i="56"/>
  <c r="AX25" i="56"/>
  <c r="AX36" i="56"/>
  <c r="AW43" i="56"/>
  <c r="K9" i="17"/>
  <c r="U41" i="56"/>
  <c r="U45" i="56" s="1"/>
  <c r="S26" i="17"/>
  <c r="S9" i="49" s="1"/>
  <c r="P25" i="17"/>
  <c r="U74" i="17"/>
  <c r="U9" i="52" s="1"/>
  <c r="S41" i="56"/>
  <c r="S45" i="56" s="1"/>
  <c r="AA26" i="17"/>
  <c r="AA9" i="49" s="1"/>
  <c r="N25" i="17"/>
  <c r="I26" i="17"/>
  <c r="I9" i="49" s="1"/>
  <c r="M8" i="50"/>
  <c r="G8" i="48"/>
  <c r="G11" i="48" s="1"/>
  <c r="G13" i="17"/>
  <c r="T8" i="49"/>
  <c r="R45" i="17"/>
  <c r="R8" i="50"/>
  <c r="R11" i="50" s="1"/>
  <c r="S42" i="17"/>
  <c r="S9" i="50" s="1"/>
  <c r="L26" i="17"/>
  <c r="L9" i="49" s="1"/>
  <c r="S73" i="56"/>
  <c r="S77" i="56" s="1"/>
  <c r="J9" i="17"/>
  <c r="AL26" i="17"/>
  <c r="AL9" i="49" s="1"/>
  <c r="L62" i="14"/>
  <c r="BA13" i="17"/>
  <c r="BA6" i="49"/>
  <c r="BC4" i="17"/>
  <c r="BC9" i="48" s="1"/>
  <c r="BB11" i="17"/>
  <c r="BB10" i="48" s="1"/>
  <c r="BB9" i="17"/>
  <c r="BB9" i="48"/>
  <c r="BA8" i="48"/>
  <c r="BA11" i="48" s="1"/>
  <c r="J62" i="14"/>
  <c r="F62" i="14"/>
  <c r="D63" i="14" s="1"/>
  <c r="C63" i="14"/>
  <c r="BF6" i="48"/>
  <c r="I55" i="14"/>
  <c r="K55" i="14" s="1"/>
  <c r="E56" i="14" s="1"/>
  <c r="H55" i="14"/>
  <c r="G56" i="14"/>
  <c r="L61" i="17" l="1"/>
  <c r="P11" i="50"/>
  <c r="U61" i="17"/>
  <c r="E8" i="48"/>
  <c r="E11" i="48" s="1"/>
  <c r="L11" i="51"/>
  <c r="J77" i="17"/>
  <c r="P45" i="17"/>
  <c r="O11" i="51"/>
  <c r="M45" i="17"/>
  <c r="G45" i="17"/>
  <c r="P8" i="48"/>
  <c r="P11" i="48" s="1"/>
  <c r="E61" i="17"/>
  <c r="R77" i="17"/>
  <c r="E77" i="17"/>
  <c r="F48" i="15"/>
  <c r="F48" i="16"/>
  <c r="G61" i="17"/>
  <c r="L13" i="17"/>
  <c r="G8" i="50"/>
  <c r="G11" i="50" s="1"/>
  <c r="K11" i="51"/>
  <c r="E11" i="51"/>
  <c r="M8" i="48"/>
  <c r="M11" i="48" s="1"/>
  <c r="F11" i="51"/>
  <c r="F61" i="17"/>
  <c r="M11" i="50"/>
  <c r="E8" i="52"/>
  <c r="E11" i="52" s="1"/>
  <c r="T11" i="52"/>
  <c r="Q11" i="52"/>
  <c r="N11" i="51"/>
  <c r="S77" i="17"/>
  <c r="L45" i="17"/>
  <c r="L11" i="50"/>
  <c r="K61" i="17"/>
  <c r="F11" i="50"/>
  <c r="F13" i="17"/>
  <c r="M77" i="17"/>
  <c r="O77" i="17"/>
  <c r="Q8" i="48"/>
  <c r="Q11" i="48" s="1"/>
  <c r="P61" i="17"/>
  <c r="O11" i="52"/>
  <c r="G77" i="17"/>
  <c r="I61" i="17"/>
  <c r="N61" i="17"/>
  <c r="F45" i="17"/>
  <c r="S8" i="51"/>
  <c r="S11" i="51" s="1"/>
  <c r="I8" i="50"/>
  <c r="I11" i="50" s="1"/>
  <c r="U8" i="48"/>
  <c r="U11" i="48" s="1"/>
  <c r="U8" i="51"/>
  <c r="U11" i="51" s="1"/>
  <c r="F29" i="17"/>
  <c r="O45" i="17"/>
  <c r="T77" i="17"/>
  <c r="J8" i="51"/>
  <c r="J11" i="51" s="1"/>
  <c r="E22" i="16"/>
  <c r="H61" i="17"/>
  <c r="J8" i="52"/>
  <c r="J11" i="52" s="1"/>
  <c r="Q77" i="17"/>
  <c r="F11" i="52"/>
  <c r="AR29" i="17"/>
  <c r="F77" i="17"/>
  <c r="G11" i="51"/>
  <c r="P11" i="51"/>
  <c r="AQ29" i="17"/>
  <c r="O8" i="49"/>
  <c r="O11" i="49" s="1"/>
  <c r="AT29" i="17"/>
  <c r="AU29" i="17"/>
  <c r="AS29" i="17"/>
  <c r="R11" i="52"/>
  <c r="H11" i="49"/>
  <c r="M11" i="52"/>
  <c r="T8" i="48"/>
  <c r="T11" i="48" s="1"/>
  <c r="I13" i="17"/>
  <c r="N13" i="17"/>
  <c r="U29" i="17"/>
  <c r="G11" i="52"/>
  <c r="H11" i="51"/>
  <c r="K45" i="17"/>
  <c r="F11" i="49"/>
  <c r="K11" i="50"/>
  <c r="T11" i="49"/>
  <c r="G11" i="49"/>
  <c r="G29" i="17"/>
  <c r="T29" i="17"/>
  <c r="H29" i="17"/>
  <c r="L77" i="17"/>
  <c r="C22" i="16"/>
  <c r="T45" i="17"/>
  <c r="I11" i="51"/>
  <c r="L11" i="52"/>
  <c r="U11" i="49"/>
  <c r="M11" i="51"/>
  <c r="Q11" i="50"/>
  <c r="M29" i="17"/>
  <c r="Q11" i="51"/>
  <c r="M11" i="49"/>
  <c r="D22" i="16"/>
  <c r="Q61" i="17"/>
  <c r="E45" i="17"/>
  <c r="E11" i="50"/>
  <c r="Q45" i="17"/>
  <c r="O46" i="1"/>
  <c r="M61" i="17"/>
  <c r="AZ13" i="56"/>
  <c r="L29" i="17"/>
  <c r="AY20" i="17"/>
  <c r="AY7" i="49" s="1"/>
  <c r="AX27" i="17"/>
  <c r="AX10" i="49" s="1"/>
  <c r="AX26" i="17"/>
  <c r="AX9" i="49" s="1"/>
  <c r="AX25" i="17"/>
  <c r="P8" i="49"/>
  <c r="P11" i="49" s="1"/>
  <c r="P29" i="17"/>
  <c r="AW29" i="17"/>
  <c r="U11" i="52"/>
  <c r="U77" i="17"/>
  <c r="AV6" i="52"/>
  <c r="AU7" i="52"/>
  <c r="K13" i="17"/>
  <c r="K8" i="48"/>
  <c r="K11" i="48" s="1"/>
  <c r="R8" i="51"/>
  <c r="R11" i="51" s="1"/>
  <c r="R61" i="17"/>
  <c r="S11" i="49"/>
  <c r="I11" i="49"/>
  <c r="S29" i="17"/>
  <c r="U45" i="17"/>
  <c r="U8" i="50"/>
  <c r="U11" i="50" s="1"/>
  <c r="I29" i="17"/>
  <c r="AX52" i="56"/>
  <c r="AW59" i="56"/>
  <c r="AW42" i="17"/>
  <c r="AX36" i="17"/>
  <c r="AW43" i="17"/>
  <c r="BA11" i="56"/>
  <c r="BA9" i="56"/>
  <c r="BB4" i="56"/>
  <c r="S11" i="50"/>
  <c r="S45" i="17"/>
  <c r="AX6" i="50"/>
  <c r="AV75" i="56"/>
  <c r="AW68" i="56"/>
  <c r="AW6" i="51"/>
  <c r="AV7" i="51"/>
  <c r="AV68" i="17"/>
  <c r="AU75" i="17"/>
  <c r="AU10" i="52" s="1"/>
  <c r="AU74" i="17"/>
  <c r="AU9" i="52" s="1"/>
  <c r="N29" i="17"/>
  <c r="N8" i="49"/>
  <c r="N11" i="49" s="1"/>
  <c r="AX29" i="56"/>
  <c r="AW52" i="17"/>
  <c r="AV59" i="17"/>
  <c r="AV10" i="51" s="1"/>
  <c r="AV58" i="17"/>
  <c r="AV9" i="51" s="1"/>
  <c r="J13" i="17"/>
  <c r="J8" i="48"/>
  <c r="J11" i="48" s="1"/>
  <c r="AX7" i="49"/>
  <c r="AY25" i="56"/>
  <c r="AY27" i="56"/>
  <c r="AZ20" i="56"/>
  <c r="N45" i="17"/>
  <c r="N8" i="50"/>
  <c r="N11" i="50" s="1"/>
  <c r="BL45" i="10"/>
  <c r="BM59" i="10"/>
  <c r="BL56" i="10"/>
  <c r="BM2" i="10"/>
  <c r="AY36" i="56"/>
  <c r="AX43" i="56"/>
  <c r="L11" i="49"/>
  <c r="BC7" i="48"/>
  <c r="L63" i="14"/>
  <c r="BB13" i="17"/>
  <c r="BB6" i="49"/>
  <c r="BB8" i="48"/>
  <c r="BB11" i="48" s="1"/>
  <c r="BD4" i="17"/>
  <c r="BC9" i="17"/>
  <c r="BC11" i="17"/>
  <c r="BC10" i="48" s="1"/>
  <c r="J63" i="14"/>
  <c r="F63" i="14"/>
  <c r="D64" i="14" s="1"/>
  <c r="C64" i="14"/>
  <c r="BG6" i="48"/>
  <c r="I56" i="14"/>
  <c r="K56" i="14" s="1"/>
  <c r="E57" i="14" s="1"/>
  <c r="G57" i="14"/>
  <c r="H56" i="14"/>
  <c r="AX29" i="17" l="1"/>
  <c r="BA13" i="56"/>
  <c r="AY29" i="56"/>
  <c r="AX8" i="49"/>
  <c r="AX11" i="49" s="1"/>
  <c r="BB11" i="56"/>
  <c r="BB9" i="56"/>
  <c r="BC4" i="56"/>
  <c r="AW68" i="17"/>
  <c r="AV74" i="17"/>
  <c r="AV9" i="52" s="1"/>
  <c r="AV75" i="17"/>
  <c r="AV10" i="52" s="1"/>
  <c r="AZ27" i="56"/>
  <c r="AZ25" i="56"/>
  <c r="BA20" i="56"/>
  <c r="AX6" i="51"/>
  <c r="AW7" i="51"/>
  <c r="AX42" i="17"/>
  <c r="AX9" i="50" s="1"/>
  <c r="AY36" i="17"/>
  <c r="AX43" i="17"/>
  <c r="AX10" i="50" s="1"/>
  <c r="AW6" i="52"/>
  <c r="AV7" i="52"/>
  <c r="AY43" i="56"/>
  <c r="AZ36" i="56"/>
  <c r="AX68" i="56"/>
  <c r="AW75" i="56"/>
  <c r="AY52" i="56"/>
  <c r="AX59" i="56"/>
  <c r="AX52" i="17"/>
  <c r="AW59" i="17"/>
  <c r="AW58" i="17"/>
  <c r="AW9" i="51" s="1"/>
  <c r="AY6" i="50"/>
  <c r="AX7" i="50"/>
  <c r="BN59" i="10"/>
  <c r="BM56" i="10"/>
  <c r="BN2" i="10"/>
  <c r="BM45" i="10"/>
  <c r="AY25" i="17"/>
  <c r="AY8" i="49" s="1"/>
  <c r="AY26" i="17"/>
  <c r="AY9" i="49" s="1"/>
  <c r="AY27" i="17"/>
  <c r="AY10" i="49" s="1"/>
  <c r="AZ20" i="17"/>
  <c r="D10" i="20"/>
  <c r="L64" i="14"/>
  <c r="BC6" i="49"/>
  <c r="BC13" i="17"/>
  <c r="BC8" i="48"/>
  <c r="BC11" i="48" s="1"/>
  <c r="BD11" i="17"/>
  <c r="BD10" i="48" s="1"/>
  <c r="BE4" i="17"/>
  <c r="BE9" i="48" s="1"/>
  <c r="BD9" i="17"/>
  <c r="BD8" i="48" s="1"/>
  <c r="BD9" i="48"/>
  <c r="BD7" i="48"/>
  <c r="BH6" i="48"/>
  <c r="J64" i="14"/>
  <c r="F64" i="14"/>
  <c r="D65" i="14" s="1"/>
  <c r="C65" i="14"/>
  <c r="H57" i="14"/>
  <c r="I57" i="14"/>
  <c r="K57" i="14" s="1"/>
  <c r="E58" i="14" s="1"/>
  <c r="G58" i="14"/>
  <c r="L65" i="14" l="1"/>
  <c r="AZ29" i="56"/>
  <c r="BB13" i="56"/>
  <c r="AY7" i="50"/>
  <c r="AZ6" i="50"/>
  <c r="BA6" i="50" s="1"/>
  <c r="AY11" i="49"/>
  <c r="AZ43" i="56"/>
  <c r="BA36" i="56"/>
  <c r="AZ25" i="17"/>
  <c r="AZ26" i="17"/>
  <c r="AZ27" i="17"/>
  <c r="AZ10" i="49" s="1"/>
  <c r="BA20" i="17"/>
  <c r="AZ7" i="49"/>
  <c r="AY6" i="51"/>
  <c r="AX7" i="51"/>
  <c r="AW10" i="51"/>
  <c r="BA27" i="56"/>
  <c r="BB20" i="56"/>
  <c r="BA25" i="56"/>
  <c r="AY29" i="17"/>
  <c r="AY52" i="17"/>
  <c r="AX59" i="17"/>
  <c r="AX10" i="51" s="1"/>
  <c r="AX58" i="17"/>
  <c r="AX9" i="51" s="1"/>
  <c r="AX6" i="52"/>
  <c r="AW7" i="52"/>
  <c r="AZ52" i="56"/>
  <c r="AY59" i="56"/>
  <c r="AW74" i="17"/>
  <c r="AW9" i="52" s="1"/>
  <c r="AW75" i="17"/>
  <c r="AW10" i="52" s="1"/>
  <c r="AX68" i="17"/>
  <c r="BC9" i="56"/>
  <c r="BC11" i="56"/>
  <c r="BD4" i="56"/>
  <c r="BO59" i="10"/>
  <c r="BN45" i="10"/>
  <c r="BN56" i="10"/>
  <c r="BO2" i="10"/>
  <c r="AZ36" i="17"/>
  <c r="AY43" i="17"/>
  <c r="AY10" i="50" s="1"/>
  <c r="AY42" i="17"/>
  <c r="AX75" i="56"/>
  <c r="AY68" i="56"/>
  <c r="BE7" i="48"/>
  <c r="BD13" i="17"/>
  <c r="BD6" i="49"/>
  <c r="BE11" i="17"/>
  <c r="BE10" i="48" s="1"/>
  <c r="BF4" i="17"/>
  <c r="BF9" i="48" s="1"/>
  <c r="BE9" i="17"/>
  <c r="BD11" i="48"/>
  <c r="BI6" i="48"/>
  <c r="J65" i="14"/>
  <c r="F65" i="14"/>
  <c r="D66" i="14" s="1"/>
  <c r="C66" i="14"/>
  <c r="H58" i="14"/>
  <c r="G59" i="14"/>
  <c r="I58" i="14"/>
  <c r="K58" i="14" s="1"/>
  <c r="E59" i="14" s="1"/>
  <c r="BA29" i="56" l="1"/>
  <c r="AZ9" i="49"/>
  <c r="E9" i="20"/>
  <c r="BC13" i="56"/>
  <c r="AZ29" i="17"/>
  <c r="BP59" i="10"/>
  <c r="BO56" i="10"/>
  <c r="BP2" i="10"/>
  <c r="BO45" i="10"/>
  <c r="BA27" i="17"/>
  <c r="BA10" i="49" s="1"/>
  <c r="BA25" i="17"/>
  <c r="BB20" i="17"/>
  <c r="BB7" i="49" s="1"/>
  <c r="BA26" i="17"/>
  <c r="BA9" i="49" s="1"/>
  <c r="AX7" i="52"/>
  <c r="AY6" i="52"/>
  <c r="BD9" i="56"/>
  <c r="BD11" i="56"/>
  <c r="BE4" i="56"/>
  <c r="BB36" i="56"/>
  <c r="BA43" i="56"/>
  <c r="AX75" i="17"/>
  <c r="AX10" i="52" s="1"/>
  <c r="AY68" i="17"/>
  <c r="AX74" i="17"/>
  <c r="AX9" i="52" s="1"/>
  <c r="BB25" i="56"/>
  <c r="BB27" i="56"/>
  <c r="BC20" i="56"/>
  <c r="AY9" i="50"/>
  <c r="BB6" i="50"/>
  <c r="AZ42" i="17"/>
  <c r="F9" i="29" s="1"/>
  <c r="BA36" i="17"/>
  <c r="AZ43" i="17"/>
  <c r="F10" i="29" s="1"/>
  <c r="D10" i="29"/>
  <c r="AZ6" i="51"/>
  <c r="AY7" i="51"/>
  <c r="AY59" i="17"/>
  <c r="AY10" i="51" s="1"/>
  <c r="AZ52" i="17"/>
  <c r="AY58" i="17"/>
  <c r="AY9" i="51" s="1"/>
  <c r="AY75" i="56"/>
  <c r="AZ68" i="56"/>
  <c r="BA7" i="49"/>
  <c r="AZ59" i="56"/>
  <c r="BA52" i="56"/>
  <c r="AZ8" i="49"/>
  <c r="BE13" i="17"/>
  <c r="BE8" i="48"/>
  <c r="BE11" i="48" s="1"/>
  <c r="BE6" i="49"/>
  <c r="BG4" i="17"/>
  <c r="BF9" i="17"/>
  <c r="BF11" i="17"/>
  <c r="BF10" i="48" s="1"/>
  <c r="BF7" i="48"/>
  <c r="BJ6" i="48"/>
  <c r="J66" i="14"/>
  <c r="F66" i="14"/>
  <c r="D67" i="14" s="1"/>
  <c r="C67" i="14"/>
  <c r="L66" i="14"/>
  <c r="I59" i="14"/>
  <c r="K59" i="14" s="1"/>
  <c r="E60" i="14" s="1"/>
  <c r="G60" i="14"/>
  <c r="H59" i="14"/>
  <c r="AZ11" i="49" l="1"/>
  <c r="BG7" i="48"/>
  <c r="E10" i="29"/>
  <c r="E9" i="29"/>
  <c r="BB29" i="56"/>
  <c r="BD13" i="56"/>
  <c r="AZ58" i="17"/>
  <c r="F9" i="27" s="1"/>
  <c r="BA52" i="17"/>
  <c r="AZ59" i="17"/>
  <c r="D10" i="27" s="1"/>
  <c r="BD20" i="56"/>
  <c r="BC25" i="56"/>
  <c r="BC27" i="56"/>
  <c r="AY7" i="52"/>
  <c r="AZ6" i="52"/>
  <c r="BA6" i="51"/>
  <c r="AZ7" i="51"/>
  <c r="AY74" i="17"/>
  <c r="AY9" i="52" s="1"/>
  <c r="AZ68" i="17"/>
  <c r="AY75" i="17"/>
  <c r="AY10" i="52" s="1"/>
  <c r="BA59" i="56"/>
  <c r="BB52" i="56"/>
  <c r="BC20" i="17"/>
  <c r="BB26" i="17"/>
  <c r="BB9" i="49" s="1"/>
  <c r="BB27" i="17"/>
  <c r="BB10" i="49" s="1"/>
  <c r="BB25" i="17"/>
  <c r="BA8" i="49"/>
  <c r="BA11" i="49" s="1"/>
  <c r="BA29" i="17"/>
  <c r="BC36" i="56"/>
  <c r="BB41" i="56"/>
  <c r="BC6" i="50"/>
  <c r="BQ59" i="10"/>
  <c r="BQ2" i="10"/>
  <c r="BP56" i="10"/>
  <c r="BP45" i="10"/>
  <c r="BA42" i="17"/>
  <c r="BB36" i="17"/>
  <c r="BA43" i="17"/>
  <c r="AZ75" i="56"/>
  <c r="BA68" i="56"/>
  <c r="BE11" i="56"/>
  <c r="BE9" i="56"/>
  <c r="BF4" i="56"/>
  <c r="BG9" i="48"/>
  <c r="L67" i="14"/>
  <c r="BF13" i="17"/>
  <c r="BF6" i="49"/>
  <c r="BG11" i="17"/>
  <c r="BG10" i="48" s="1"/>
  <c r="BG9" i="17"/>
  <c r="BH4" i="17"/>
  <c r="BF8" i="48"/>
  <c r="BF11" i="48" s="1"/>
  <c r="J67" i="14"/>
  <c r="F67" i="14"/>
  <c r="D68" i="14" s="1"/>
  <c r="C68" i="14"/>
  <c r="BK6" i="48"/>
  <c r="H60" i="14"/>
  <c r="I60" i="14"/>
  <c r="K60" i="14" s="1"/>
  <c r="E61" i="14" s="1"/>
  <c r="G61" i="14"/>
  <c r="G9" i="27" l="1"/>
  <c r="G10" i="27"/>
  <c r="BE13" i="56"/>
  <c r="E9" i="27"/>
  <c r="E10" i="27"/>
  <c r="BC29" i="56"/>
  <c r="AZ9" i="51"/>
  <c r="AZ10" i="51"/>
  <c r="BB42" i="17"/>
  <c r="BB41" i="17"/>
  <c r="BC36" i="17"/>
  <c r="BB6" i="51"/>
  <c r="BA7" i="51"/>
  <c r="BR59" i="10"/>
  <c r="BR2" i="10"/>
  <c r="BQ45" i="10"/>
  <c r="BQ56" i="10"/>
  <c r="BB8" i="49"/>
  <c r="BB11" i="49" s="1"/>
  <c r="BB29" i="17"/>
  <c r="BA6" i="52"/>
  <c r="AZ7" i="52"/>
  <c r="BC27" i="17"/>
  <c r="BC10" i="49" s="1"/>
  <c r="BD20" i="17"/>
  <c r="BD7" i="49" s="1"/>
  <c r="BC25" i="17"/>
  <c r="BC8" i="49" s="1"/>
  <c r="BC26" i="17"/>
  <c r="BC9" i="49" s="1"/>
  <c r="BF11" i="56"/>
  <c r="BF9" i="56"/>
  <c r="BG4" i="56"/>
  <c r="BD6" i="50"/>
  <c r="BE6" i="50" s="1"/>
  <c r="BB59" i="56"/>
  <c r="BC52" i="56"/>
  <c r="BD25" i="56"/>
  <c r="BE20" i="56"/>
  <c r="BD27" i="56"/>
  <c r="BA75" i="56"/>
  <c r="BB68" i="56"/>
  <c r="BA68" i="17"/>
  <c r="AZ75" i="17"/>
  <c r="AZ10" i="52" s="1"/>
  <c r="AZ74" i="17"/>
  <c r="AZ9" i="52" s="1"/>
  <c r="BA59" i="17"/>
  <c r="BA10" i="51" s="1"/>
  <c r="BB52" i="17"/>
  <c r="BA58" i="17"/>
  <c r="BA9" i="51" s="1"/>
  <c r="G8" i="27"/>
  <c r="F10" i="27"/>
  <c r="BC43" i="56"/>
  <c r="BD36" i="56"/>
  <c r="BC41" i="56"/>
  <c r="BC7" i="49"/>
  <c r="L68" i="14"/>
  <c r="BG6" i="49"/>
  <c r="BI4" i="17"/>
  <c r="BH11" i="17"/>
  <c r="BH10" i="48" s="1"/>
  <c r="BH9" i="17"/>
  <c r="BG13" i="17"/>
  <c r="BG8" i="48"/>
  <c r="BG11" i="48" s="1"/>
  <c r="BH7" i="48"/>
  <c r="BH9" i="48"/>
  <c r="BL6" i="48"/>
  <c r="J68" i="14"/>
  <c r="F68" i="14"/>
  <c r="D69" i="14" s="1"/>
  <c r="C69" i="14"/>
  <c r="G62" i="14"/>
  <c r="I61" i="14"/>
  <c r="K61" i="14" s="1"/>
  <c r="E62" i="14" s="1"/>
  <c r="H61" i="14"/>
  <c r="G11" i="27" l="1"/>
  <c r="BC45" i="56"/>
  <c r="BF13" i="56"/>
  <c r="BD29" i="56"/>
  <c r="L69" i="14"/>
  <c r="BE27" i="56"/>
  <c r="BF20" i="56"/>
  <c r="BE25" i="56"/>
  <c r="BC59" i="56"/>
  <c r="BD52" i="56"/>
  <c r="BF6" i="50"/>
  <c r="BS59" i="10"/>
  <c r="BR56" i="10"/>
  <c r="BS2" i="10"/>
  <c r="BR45" i="10"/>
  <c r="BG9" i="56"/>
  <c r="BG11" i="56"/>
  <c r="BH4" i="56"/>
  <c r="BB7" i="51"/>
  <c r="BC6" i="51"/>
  <c r="BC42" i="17"/>
  <c r="BC43" i="17"/>
  <c r="BC41" i="17"/>
  <c r="BD36" i="17"/>
  <c r="BE20" i="17"/>
  <c r="BD27" i="17"/>
  <c r="BD10" i="49" s="1"/>
  <c r="BD26" i="17"/>
  <c r="BD9" i="49" s="1"/>
  <c r="BD25" i="17"/>
  <c r="BB59" i="17"/>
  <c r="BB10" i="51" s="1"/>
  <c r="BC52" i="17"/>
  <c r="BB58" i="17"/>
  <c r="BB9" i="51" s="1"/>
  <c r="BC29" i="17"/>
  <c r="BB75" i="56"/>
  <c r="BC68" i="56"/>
  <c r="BC11" i="49"/>
  <c r="BB68" i="17"/>
  <c r="BA75" i="17"/>
  <c r="BA10" i="52" s="1"/>
  <c r="BA74" i="17"/>
  <c r="BA9" i="52" s="1"/>
  <c r="BD43" i="56"/>
  <c r="BD41" i="56"/>
  <c r="BE36" i="56"/>
  <c r="BA7" i="52"/>
  <c r="BB6" i="52"/>
  <c r="BH6" i="49"/>
  <c r="BI9" i="48"/>
  <c r="BH13" i="17"/>
  <c r="BH8" i="48"/>
  <c r="BH11" i="48" s="1"/>
  <c r="BI9" i="17"/>
  <c r="BI8" i="48" s="1"/>
  <c r="BJ4" i="17"/>
  <c r="BJ9" i="48" s="1"/>
  <c r="BI11" i="17"/>
  <c r="BI10" i="48" s="1"/>
  <c r="BI7" i="48"/>
  <c r="J69" i="14"/>
  <c r="F69" i="14"/>
  <c r="D70" i="14" s="1"/>
  <c r="C70" i="14"/>
  <c r="BM6" i="48"/>
  <c r="H62" i="14"/>
  <c r="G63" i="14"/>
  <c r="I62" i="14"/>
  <c r="K62" i="14" s="1"/>
  <c r="E63" i="14" s="1"/>
  <c r="L70" i="14" l="1"/>
  <c r="BE29" i="56"/>
  <c r="BD45" i="56"/>
  <c r="BG13" i="56"/>
  <c r="BB7" i="52"/>
  <c r="BC6" i="52"/>
  <c r="BD29" i="17"/>
  <c r="BD8" i="49"/>
  <c r="BD11" i="49" s="1"/>
  <c r="BE27" i="17"/>
  <c r="BE10" i="49" s="1"/>
  <c r="BE25" i="17"/>
  <c r="BE26" i="17"/>
  <c r="BE9" i="49" s="1"/>
  <c r="BF20" i="17"/>
  <c r="BF7" i="49" s="1"/>
  <c r="BE7" i="49"/>
  <c r="BT2" i="10"/>
  <c r="BS45" i="10"/>
  <c r="BS56" i="10"/>
  <c r="BT59" i="10"/>
  <c r="BE41" i="56"/>
  <c r="BE43" i="56"/>
  <c r="BF36" i="56"/>
  <c r="BD43" i="17"/>
  <c r="BD41" i="17"/>
  <c r="BD42" i="17"/>
  <c r="BE36" i="17"/>
  <c r="BC45" i="17"/>
  <c r="BC68" i="17"/>
  <c r="BB74" i="17"/>
  <c r="BB9" i="52" s="1"/>
  <c r="BB75" i="17"/>
  <c r="BB10" i="52" s="1"/>
  <c r="BG6" i="50"/>
  <c r="BC7" i="51"/>
  <c r="BD6" i="51"/>
  <c r="BD59" i="56"/>
  <c r="BE52" i="56"/>
  <c r="BC75" i="56"/>
  <c r="BD68" i="56"/>
  <c r="BC59" i="17"/>
  <c r="BC10" i="51" s="1"/>
  <c r="BD52" i="17"/>
  <c r="BC58" i="17"/>
  <c r="BC9" i="51" s="1"/>
  <c r="BH9" i="56"/>
  <c r="BH11" i="56"/>
  <c r="BI4" i="56"/>
  <c r="BF27" i="56"/>
  <c r="BF25" i="56"/>
  <c r="BG20" i="56"/>
  <c r="BJ7" i="48"/>
  <c r="BI6" i="49"/>
  <c r="BK4" i="17"/>
  <c r="BJ11" i="17"/>
  <c r="BJ10" i="48" s="1"/>
  <c r="BJ9" i="17"/>
  <c r="BI11" i="48"/>
  <c r="BI13" i="17"/>
  <c r="J70" i="14"/>
  <c r="F70" i="14"/>
  <c r="D71" i="14" s="1"/>
  <c r="C71" i="14"/>
  <c r="L71" i="14" s="1"/>
  <c r="BN6" i="48"/>
  <c r="G64" i="14"/>
  <c r="I63" i="14"/>
  <c r="K63" i="14" s="1"/>
  <c r="E64" i="14" s="1"/>
  <c r="H63" i="14"/>
  <c r="I56" i="1" l="1"/>
  <c r="AO11" i="17"/>
  <c r="AO10" i="48" s="1"/>
  <c r="AO11" i="48" s="1"/>
  <c r="BH13" i="56"/>
  <c r="BI11" i="56"/>
  <c r="BI9" i="56"/>
  <c r="BJ4" i="56"/>
  <c r="BH6" i="50"/>
  <c r="BU2" i="10"/>
  <c r="BT45" i="10"/>
  <c r="BU59" i="10"/>
  <c r="BT56" i="10"/>
  <c r="BF26" i="17"/>
  <c r="BF9" i="49" s="1"/>
  <c r="BF25" i="17"/>
  <c r="BG20" i="17"/>
  <c r="BG7" i="49" s="1"/>
  <c r="BF27" i="17"/>
  <c r="BF10" i="49" s="1"/>
  <c r="BC74" i="17"/>
  <c r="BC9" i="52" s="1"/>
  <c r="BC75" i="17"/>
  <c r="BC10" i="52" s="1"/>
  <c r="BD68" i="17"/>
  <c r="BD75" i="56"/>
  <c r="BE68" i="56"/>
  <c r="BE8" i="49"/>
  <c r="BE11" i="49" s="1"/>
  <c r="BE29" i="17"/>
  <c r="BE43" i="17"/>
  <c r="BF36" i="17"/>
  <c r="BE41" i="17"/>
  <c r="BE42" i="17"/>
  <c r="BF41" i="56"/>
  <c r="BF43" i="56"/>
  <c r="BG36" i="56"/>
  <c r="BC7" i="52"/>
  <c r="BD6" i="52"/>
  <c r="BD59" i="17"/>
  <c r="BD10" i="51" s="1"/>
  <c r="BE52" i="17"/>
  <c r="BD58" i="17"/>
  <c r="BD9" i="51" s="1"/>
  <c r="BE59" i="56"/>
  <c r="BF52" i="56"/>
  <c r="BE6" i="51"/>
  <c r="BD7" i="51"/>
  <c r="BG25" i="56"/>
  <c r="BH20" i="56"/>
  <c r="BG27" i="56"/>
  <c r="BE45" i="56"/>
  <c r="BD45" i="17"/>
  <c r="BF29" i="56"/>
  <c r="AC11" i="17"/>
  <c r="W11" i="17"/>
  <c r="BJ6" i="49"/>
  <c r="AB11" i="17"/>
  <c r="AA11" i="17"/>
  <c r="BJ13" i="17"/>
  <c r="BJ8" i="48"/>
  <c r="BJ11" i="48" s="1"/>
  <c r="BK9" i="17"/>
  <c r="BL4" i="17"/>
  <c r="BL9" i="48" s="1"/>
  <c r="BK11" i="17"/>
  <c r="BK10" i="48" s="1"/>
  <c r="BK9" i="48"/>
  <c r="BK7" i="48"/>
  <c r="F71" i="14"/>
  <c r="J71" i="14"/>
  <c r="H64" i="14"/>
  <c r="I64" i="14"/>
  <c r="K64" i="14" s="1"/>
  <c r="E65" i="14" s="1"/>
  <c r="G65" i="14"/>
  <c r="AO13" i="17" l="1"/>
  <c r="AK11" i="17"/>
  <c r="BI13" i="56"/>
  <c r="BF45" i="56"/>
  <c r="BG29" i="56"/>
  <c r="BE45" i="17"/>
  <c r="BF43" i="17"/>
  <c r="BF41" i="17"/>
  <c r="BF42" i="17"/>
  <c r="BG36" i="17"/>
  <c r="BE7" i="51"/>
  <c r="BF6" i="51"/>
  <c r="BF59" i="56"/>
  <c r="BG52" i="56"/>
  <c r="BV59" i="10"/>
  <c r="BV2" i="10"/>
  <c r="BU56" i="10"/>
  <c r="BU45" i="10"/>
  <c r="BF52" i="17"/>
  <c r="BE58" i="17"/>
  <c r="BE9" i="51" s="1"/>
  <c r="BE59" i="17"/>
  <c r="BE10" i="51" s="1"/>
  <c r="BF68" i="56"/>
  <c r="BE75" i="56"/>
  <c r="BH27" i="56"/>
  <c r="BH25" i="56"/>
  <c r="BI20" i="56"/>
  <c r="BD74" i="17"/>
  <c r="BD9" i="52" s="1"/>
  <c r="BD75" i="17"/>
  <c r="BD10" i="52" s="1"/>
  <c r="BE68" i="17"/>
  <c r="BI6" i="50"/>
  <c r="BJ11" i="56"/>
  <c r="BJ9" i="56"/>
  <c r="BK4" i="56"/>
  <c r="BE6" i="52"/>
  <c r="BD7" i="52"/>
  <c r="BH36" i="56"/>
  <c r="BG41" i="56"/>
  <c r="BG43" i="56"/>
  <c r="BG27" i="17"/>
  <c r="BG10" i="49" s="1"/>
  <c r="BH20" i="17"/>
  <c r="BG25" i="17"/>
  <c r="BG8" i="49" s="1"/>
  <c r="BG26" i="17"/>
  <c r="BG9" i="49" s="1"/>
  <c r="BF8" i="49"/>
  <c r="BF11" i="49" s="1"/>
  <c r="BF29" i="17"/>
  <c r="BL7" i="48"/>
  <c r="W10" i="48"/>
  <c r="BK13" i="17"/>
  <c r="BK6" i="49"/>
  <c r="BK8" i="48"/>
  <c r="BK11" i="48" s="1"/>
  <c r="BL9" i="17"/>
  <c r="BM4" i="17"/>
  <c r="BL11" i="17"/>
  <c r="BL10" i="48" s="1"/>
  <c r="AA10" i="48"/>
  <c r="I65" i="14"/>
  <c r="K65" i="14" s="1"/>
  <c r="E66" i="14" s="1"/>
  <c r="H65" i="14"/>
  <c r="G66" i="14"/>
  <c r="BH29" i="56" l="1"/>
  <c r="BF45" i="17"/>
  <c r="BV56" i="10"/>
  <c r="BW59" i="10"/>
  <c r="BW2" i="10"/>
  <c r="BV45" i="10"/>
  <c r="BG45" i="56"/>
  <c r="BH41" i="56"/>
  <c r="BI36" i="56"/>
  <c r="BH43" i="56"/>
  <c r="BG59" i="56"/>
  <c r="BH52" i="56"/>
  <c r="BF6" i="52"/>
  <c r="BE7" i="52"/>
  <c r="BI25" i="56"/>
  <c r="BI27" i="56"/>
  <c r="BJ20" i="56"/>
  <c r="BK9" i="56"/>
  <c r="BK11" i="56"/>
  <c r="BL4" i="56"/>
  <c r="BG6" i="51"/>
  <c r="BF7" i="51"/>
  <c r="BJ13" i="56"/>
  <c r="BG41" i="17"/>
  <c r="BG43" i="17"/>
  <c r="BH36" i="17"/>
  <c r="BG42" i="17"/>
  <c r="BF75" i="56"/>
  <c r="BG68" i="56"/>
  <c r="BG52" i="17"/>
  <c r="BF58" i="17"/>
  <c r="BF9" i="51" s="1"/>
  <c r="BF59" i="17"/>
  <c r="BF10" i="51" s="1"/>
  <c r="BJ6" i="50"/>
  <c r="BE75" i="17"/>
  <c r="BE10" i="52" s="1"/>
  <c r="BE74" i="17"/>
  <c r="BE9" i="52" s="1"/>
  <c r="BF68" i="17"/>
  <c r="BG11" i="49"/>
  <c r="BG29" i="17"/>
  <c r="BH25" i="17"/>
  <c r="BH27" i="17"/>
  <c r="BH10" i="49" s="1"/>
  <c r="BI20" i="17"/>
  <c r="BI7" i="49" s="1"/>
  <c r="BH26" i="17"/>
  <c r="BH9" i="49" s="1"/>
  <c r="BH7" i="49"/>
  <c r="BL6" i="49"/>
  <c r="BN4" i="17"/>
  <c r="BN7" i="48" s="1"/>
  <c r="BM9" i="17"/>
  <c r="BM8" i="48" s="1"/>
  <c r="BM11" i="17"/>
  <c r="BM10" i="48" s="1"/>
  <c r="BM7" i="48"/>
  <c r="BL13" i="17"/>
  <c r="BL8" i="48"/>
  <c r="BL11" i="48" s="1"/>
  <c r="BM9" i="48"/>
  <c r="H66" i="14"/>
  <c r="I66" i="14"/>
  <c r="K66" i="14" s="1"/>
  <c r="E67" i="14" s="1"/>
  <c r="G67" i="14"/>
  <c r="BI29" i="56" l="1"/>
  <c r="BK13" i="56"/>
  <c r="BH52" i="17"/>
  <c r="BG59" i="17"/>
  <c r="BG10" i="51" s="1"/>
  <c r="BG58" i="17"/>
  <c r="BG9" i="51" s="1"/>
  <c r="BH8" i="49"/>
  <c r="BH11" i="49" s="1"/>
  <c r="BH29" i="17"/>
  <c r="BG75" i="56"/>
  <c r="BH68" i="56"/>
  <c r="BF7" i="52"/>
  <c r="BG6" i="52"/>
  <c r="BI52" i="56"/>
  <c r="BH59" i="56"/>
  <c r="BI36" i="17"/>
  <c r="BH41" i="17"/>
  <c r="BH42" i="17"/>
  <c r="BH43" i="17"/>
  <c r="BJ36" i="56"/>
  <c r="BI43" i="56"/>
  <c r="BI41" i="56"/>
  <c r="BG68" i="17"/>
  <c r="BF75" i="17"/>
  <c r="BF10" i="52" s="1"/>
  <c r="BF74" i="17"/>
  <c r="BF9" i="52" s="1"/>
  <c r="BH45" i="56"/>
  <c r="BG45" i="17"/>
  <c r="BH6" i="51"/>
  <c r="BG7" i="51"/>
  <c r="BW56" i="10"/>
  <c r="BX59" i="10"/>
  <c r="BX2" i="10"/>
  <c r="BW45" i="10"/>
  <c r="G48" i="15" s="1"/>
  <c r="BK6" i="50"/>
  <c r="BL11" i="56"/>
  <c r="BM4" i="56"/>
  <c r="BL9" i="56"/>
  <c r="BI27" i="17"/>
  <c r="BI10" i="49" s="1"/>
  <c r="BI25" i="17"/>
  <c r="BI26" i="17"/>
  <c r="BI9" i="49" s="1"/>
  <c r="BJ20" i="17"/>
  <c r="BJ7" i="49" s="1"/>
  <c r="BJ25" i="56"/>
  <c r="BJ27" i="56"/>
  <c r="BK20" i="56"/>
  <c r="BN9" i="48"/>
  <c r="BM6" i="49"/>
  <c r="BM13" i="17"/>
  <c r="BM11" i="48"/>
  <c r="BN11" i="17"/>
  <c r="BN10" i="48" s="1"/>
  <c r="BO4" i="17"/>
  <c r="AB10" i="48" s="1"/>
  <c r="BN9" i="17"/>
  <c r="I67" i="14"/>
  <c r="K67" i="14" s="1"/>
  <c r="E68" i="14" s="1"/>
  <c r="H67" i="14"/>
  <c r="G68" i="14"/>
  <c r="BL13" i="56" l="1"/>
  <c r="AC10" i="48"/>
  <c r="BI45" i="56"/>
  <c r="BH45" i="17"/>
  <c r="Q46" i="1"/>
  <c r="BJ36" i="17"/>
  <c r="BI43" i="17"/>
  <c r="BI42" i="17"/>
  <c r="BI41" i="17"/>
  <c r="BM11" i="56"/>
  <c r="BM9" i="56"/>
  <c r="BN4" i="56"/>
  <c r="BI59" i="56"/>
  <c r="BJ52" i="56"/>
  <c r="BL6" i="50"/>
  <c r="BH6" i="52"/>
  <c r="BG7" i="52"/>
  <c r="BI68" i="56"/>
  <c r="BH75" i="56"/>
  <c r="BH68" i="17"/>
  <c r="BG74" i="17"/>
  <c r="BG9" i="52" s="1"/>
  <c r="BG75" i="17"/>
  <c r="BG10" i="52" s="1"/>
  <c r="BL20" i="56"/>
  <c r="BK27" i="56"/>
  <c r="BK25" i="56"/>
  <c r="BI8" i="49"/>
  <c r="BI11" i="49" s="1"/>
  <c r="BI29" i="17"/>
  <c r="BJ29" i="56"/>
  <c r="BJ43" i="56"/>
  <c r="BK36" i="56"/>
  <c r="BJ41" i="56"/>
  <c r="BX56" i="10"/>
  <c r="BY59" i="10"/>
  <c r="BX45" i="10"/>
  <c r="BY2" i="10"/>
  <c r="BJ27" i="17"/>
  <c r="BJ10" i="49" s="1"/>
  <c r="BK20" i="17"/>
  <c r="BJ25" i="17"/>
  <c r="BJ26" i="17"/>
  <c r="BJ9" i="49" s="1"/>
  <c r="BI6" i="51"/>
  <c r="BH58" i="17"/>
  <c r="BH59" i="17"/>
  <c r="BI52" i="17"/>
  <c r="BN6" i="49"/>
  <c r="BN13" i="17"/>
  <c r="BN8" i="48"/>
  <c r="BN11" i="48" s="1"/>
  <c r="BO11" i="17"/>
  <c r="BO9" i="17"/>
  <c r="D10" i="48"/>
  <c r="D8" i="48"/>
  <c r="D9" i="48"/>
  <c r="D7" i="48"/>
  <c r="H68" i="14"/>
  <c r="I68" i="14"/>
  <c r="K68" i="14" s="1"/>
  <c r="E69" i="14" s="1"/>
  <c r="G69" i="14"/>
  <c r="Y7" i="48" l="1"/>
  <c r="Y10" i="48"/>
  <c r="Y9" i="48"/>
  <c r="BJ7" i="50"/>
  <c r="AI7" i="48"/>
  <c r="AI9" i="48"/>
  <c r="AK9" i="48"/>
  <c r="AK10" i="48"/>
  <c r="AK7" i="48"/>
  <c r="AJ10" i="48"/>
  <c r="AJ9" i="48"/>
  <c r="AJ7" i="48"/>
  <c r="AG9" i="48"/>
  <c r="AG7" i="48"/>
  <c r="AG10" i="48"/>
  <c r="AD7" i="48"/>
  <c r="AD9" i="48"/>
  <c r="AE9" i="48"/>
  <c r="AE7" i="48"/>
  <c r="AE10" i="48"/>
  <c r="AH10" i="48"/>
  <c r="AH7" i="48"/>
  <c r="AH9" i="48"/>
  <c r="BK29" i="56"/>
  <c r="BM13" i="56"/>
  <c r="BI45" i="17"/>
  <c r="AC9" i="48"/>
  <c r="AC7" i="48"/>
  <c r="BH7" i="52"/>
  <c r="BI6" i="52"/>
  <c r="BJ6" i="51"/>
  <c r="BI7" i="51"/>
  <c r="BM6" i="50"/>
  <c r="BK7" i="49"/>
  <c r="BJ59" i="56"/>
  <c r="BK52" i="56"/>
  <c r="BJ8" i="49"/>
  <c r="BJ11" i="49" s="1"/>
  <c r="BJ29" i="17"/>
  <c r="BL27" i="56"/>
  <c r="BL25" i="56"/>
  <c r="BM20" i="56"/>
  <c r="BH75" i="17"/>
  <c r="BH10" i="52" s="1"/>
  <c r="BI68" i="17"/>
  <c r="BH74" i="17"/>
  <c r="BH9" i="52" s="1"/>
  <c r="BN9" i="56"/>
  <c r="BO4" i="56"/>
  <c r="BN11" i="56"/>
  <c r="BZ59" i="10"/>
  <c r="BY56" i="10"/>
  <c r="BZ2" i="10"/>
  <c r="BY45" i="10"/>
  <c r="BI75" i="56"/>
  <c r="BJ68" i="56"/>
  <c r="BL20" i="17"/>
  <c r="BL7" i="49" s="1"/>
  <c r="BK27" i="17"/>
  <c r="BK10" i="49" s="1"/>
  <c r="BK26" i="17"/>
  <c r="BK9" i="49" s="1"/>
  <c r="BK25" i="17"/>
  <c r="BK8" i="49" s="1"/>
  <c r="BI59" i="17"/>
  <c r="BI10" i="51" s="1"/>
  <c r="BJ52" i="17"/>
  <c r="BI58" i="17"/>
  <c r="BI9" i="51" s="1"/>
  <c r="BJ45" i="56"/>
  <c r="BJ43" i="17"/>
  <c r="BJ10" i="50" s="1"/>
  <c r="BK36" i="17"/>
  <c r="BJ42" i="17"/>
  <c r="BJ9" i="50" s="1"/>
  <c r="BJ41" i="17"/>
  <c r="BK41" i="56"/>
  <c r="BL36" i="56"/>
  <c r="BK43" i="56"/>
  <c r="AB7" i="48"/>
  <c r="AB9" i="48"/>
  <c r="AQ10" i="48"/>
  <c r="AQ11" i="48" s="1"/>
  <c r="AF10" i="48"/>
  <c r="AF7" i="48"/>
  <c r="AF9" i="48"/>
  <c r="BO13" i="17"/>
  <c r="D11" i="48"/>
  <c r="G70" i="14"/>
  <c r="I69" i="14"/>
  <c r="K69" i="14" s="1"/>
  <c r="E70" i="14" s="1"/>
  <c r="H69" i="14"/>
  <c r="C5" i="48" l="1"/>
  <c r="D16" i="48" s="1"/>
  <c r="D18" i="48" s="1"/>
  <c r="C73" i="48" s="1"/>
  <c r="BL29" i="56"/>
  <c r="BK45" i="56"/>
  <c r="BJ45" i="17"/>
  <c r="BJ8" i="50"/>
  <c r="BJ11" i="50" s="1"/>
  <c r="BM27" i="56"/>
  <c r="BM25" i="56"/>
  <c r="BN20" i="56"/>
  <c r="BK43" i="17"/>
  <c r="BK10" i="50" s="1"/>
  <c r="BK42" i="17"/>
  <c r="BK9" i="50" s="1"/>
  <c r="BK41" i="17"/>
  <c r="BK8" i="50" s="1"/>
  <c r="BL36" i="17"/>
  <c r="BK7" i="50"/>
  <c r="BK59" i="56"/>
  <c r="BL52" i="56"/>
  <c r="BJ58" i="17"/>
  <c r="BJ9" i="51" s="1"/>
  <c r="BJ59" i="17"/>
  <c r="BJ10" i="51" s="1"/>
  <c r="BK52" i="17"/>
  <c r="BK11" i="49"/>
  <c r="CA59" i="10"/>
  <c r="CA2" i="10"/>
  <c r="BZ56" i="10"/>
  <c r="BZ45" i="10"/>
  <c r="BN6" i="50"/>
  <c r="BK29" i="17"/>
  <c r="BK6" i="51"/>
  <c r="BL6" i="51" s="1"/>
  <c r="BJ7" i="51"/>
  <c r="BM20" i="17"/>
  <c r="BM7" i="49" s="1"/>
  <c r="BL25" i="17"/>
  <c r="BL26" i="17"/>
  <c r="BL9" i="49" s="1"/>
  <c r="BL27" i="17"/>
  <c r="BL10" i="49" s="1"/>
  <c r="BN13" i="56"/>
  <c r="BJ6" i="52"/>
  <c r="BI7" i="52"/>
  <c r="BO9" i="56"/>
  <c r="BO11" i="56"/>
  <c r="BJ75" i="56"/>
  <c r="BK68" i="56"/>
  <c r="BL41" i="56"/>
  <c r="BL43" i="56"/>
  <c r="BM36" i="56"/>
  <c r="BI74" i="17"/>
  <c r="BI9" i="52" s="1"/>
  <c r="BI75" i="17"/>
  <c r="BI10" i="52" s="1"/>
  <c r="BJ68" i="17"/>
  <c r="AZ7" i="50"/>
  <c r="AZ9" i="50"/>
  <c r="AZ10" i="50"/>
  <c r="H70" i="14"/>
  <c r="I70" i="14"/>
  <c r="K70" i="14" s="1"/>
  <c r="E71" i="14" s="1"/>
  <c r="G71" i="14"/>
  <c r="D17" i="48" l="1"/>
  <c r="C70" i="48" s="1"/>
  <c r="C34" i="48"/>
  <c r="D22" i="48" s="1"/>
  <c r="D23" i="48" s="1"/>
  <c r="D24" i="48" s="1"/>
  <c r="BL7" i="50"/>
  <c r="BM29" i="56"/>
  <c r="BL45" i="56"/>
  <c r="BO13" i="56"/>
  <c r="BK45" i="17"/>
  <c r="BM6" i="51"/>
  <c r="BK75" i="56"/>
  <c r="BL68" i="56"/>
  <c r="BL59" i="56"/>
  <c r="BM52" i="56"/>
  <c r="BK11" i="50"/>
  <c r="BM36" i="17"/>
  <c r="BL41" i="17"/>
  <c r="BL8" i="50" s="1"/>
  <c r="BL42" i="17"/>
  <c r="BL9" i="50" s="1"/>
  <c r="BL43" i="17"/>
  <c r="BL10" i="50" s="1"/>
  <c r="CB59" i="10"/>
  <c r="CB2" i="10"/>
  <c r="CA45" i="10"/>
  <c r="CA56" i="10"/>
  <c r="BJ7" i="52"/>
  <c r="BK6" i="52"/>
  <c r="BN27" i="56"/>
  <c r="BN25" i="56"/>
  <c r="BO20" i="56"/>
  <c r="BK58" i="17"/>
  <c r="BK9" i="51" s="1"/>
  <c r="BK59" i="17"/>
  <c r="BK10" i="51" s="1"/>
  <c r="BL52" i="17"/>
  <c r="BL8" i="49"/>
  <c r="BL11" i="49" s="1"/>
  <c r="BL29" i="17"/>
  <c r="BJ75" i="17"/>
  <c r="BJ10" i="52" s="1"/>
  <c r="BK68" i="17"/>
  <c r="BJ74" i="17"/>
  <c r="BJ9" i="52" s="1"/>
  <c r="BM43" i="56"/>
  <c r="BM41" i="56"/>
  <c r="BN36" i="56"/>
  <c r="BM26" i="17"/>
  <c r="BM9" i="49" s="1"/>
  <c r="BM25" i="17"/>
  <c r="BM27" i="17"/>
  <c r="BM10" i="49" s="1"/>
  <c r="BN20" i="17"/>
  <c r="BN7" i="49" s="1"/>
  <c r="AN7" i="49"/>
  <c r="AN10" i="49"/>
  <c r="AN9" i="49"/>
  <c r="H71" i="14"/>
  <c r="I71" i="14"/>
  <c r="K71" i="14" s="1"/>
  <c r="BM29" i="17" l="1"/>
  <c r="BM8" i="49"/>
  <c r="BM11" i="49" s="1"/>
  <c r="BN27" i="17"/>
  <c r="BN10" i="49" s="1"/>
  <c r="BO20" i="17"/>
  <c r="D7" i="49" s="1"/>
  <c r="BN26" i="17"/>
  <c r="BN9" i="49" s="1"/>
  <c r="BN25" i="17"/>
  <c r="BN8" i="49" s="1"/>
  <c r="BL58" i="17"/>
  <c r="BM52" i="17"/>
  <c r="BL59" i="17"/>
  <c r="BL45" i="17"/>
  <c r="BN36" i="17"/>
  <c r="BN7" i="50" s="1"/>
  <c r="BM41" i="17"/>
  <c r="BM42" i="17"/>
  <c r="BM9" i="50" s="1"/>
  <c r="BM43" i="17"/>
  <c r="BM10" i="50" s="1"/>
  <c r="BM7" i="50"/>
  <c r="BO27" i="56"/>
  <c r="BO25" i="56"/>
  <c r="BL11" i="50"/>
  <c r="BN29" i="56"/>
  <c r="BN52" i="56"/>
  <c r="BM57" i="56"/>
  <c r="BK7" i="52"/>
  <c r="BL6" i="52"/>
  <c r="BK75" i="17"/>
  <c r="BK10" i="52" s="1"/>
  <c r="BL68" i="17"/>
  <c r="BK74" i="17"/>
  <c r="BK9" i="52" s="1"/>
  <c r="BM45" i="56"/>
  <c r="BM68" i="56"/>
  <c r="BL75" i="56"/>
  <c r="BN41" i="56"/>
  <c r="BO36" i="56"/>
  <c r="BN43" i="56"/>
  <c r="BN6" i="51"/>
  <c r="CB56" i="10"/>
  <c r="CC2" i="10"/>
  <c r="CC59" i="10"/>
  <c r="CB45" i="10"/>
  <c r="P40" i="10"/>
  <c r="R40" i="10"/>
  <c r="Q40" i="10"/>
  <c r="U40" i="10"/>
  <c r="T40" i="10"/>
  <c r="S40" i="10"/>
  <c r="D26" i="48"/>
  <c r="D35" i="48"/>
  <c r="D27" i="48"/>
  <c r="AR10" i="49" l="1"/>
  <c r="AR7" i="49"/>
  <c r="AR9" i="49"/>
  <c r="AR8" i="49"/>
  <c r="D8" i="49"/>
  <c r="D10" i="49"/>
  <c r="AK9" i="56"/>
  <c r="AK13" i="56" s="1"/>
  <c r="Y57" i="56"/>
  <c r="Y61" i="56" s="1"/>
  <c r="Y73" i="56"/>
  <c r="Y77" i="56" s="1"/>
  <c r="Y9" i="56"/>
  <c r="Y13" i="56" s="1"/>
  <c r="Y25" i="56"/>
  <c r="Y29" i="56" s="1"/>
  <c r="Y41" i="56"/>
  <c r="Y45" i="56" s="1"/>
  <c r="W57" i="56"/>
  <c r="W61" i="56" s="1"/>
  <c r="W25" i="56"/>
  <c r="W29" i="56" s="1"/>
  <c r="W73" i="56"/>
  <c r="W77" i="56" s="1"/>
  <c r="W9" i="56"/>
  <c r="W13" i="56" s="1"/>
  <c r="W41" i="56"/>
  <c r="W45" i="56" s="1"/>
  <c r="AJ9" i="56"/>
  <c r="AJ13" i="56" s="1"/>
  <c r="X25" i="56"/>
  <c r="X29" i="56" s="1"/>
  <c r="X41" i="56"/>
  <c r="X45" i="56" s="1"/>
  <c r="X9" i="56"/>
  <c r="X13" i="56" s="1"/>
  <c r="X73" i="56"/>
  <c r="X77" i="56" s="1"/>
  <c r="X57" i="56"/>
  <c r="X61" i="56" s="1"/>
  <c r="BO29" i="56"/>
  <c r="AL9" i="56"/>
  <c r="AL13" i="56" s="1"/>
  <c r="Z41" i="56"/>
  <c r="Z45" i="56" s="1"/>
  <c r="Z9" i="56"/>
  <c r="Z13" i="56" s="1"/>
  <c r="Z25" i="56"/>
  <c r="Z29" i="56" s="1"/>
  <c r="Z57" i="56"/>
  <c r="Z61" i="56" s="1"/>
  <c r="Z73" i="56"/>
  <c r="Z77" i="56" s="1"/>
  <c r="AM9" i="56"/>
  <c r="AM13" i="56" s="1"/>
  <c r="AA25" i="56"/>
  <c r="AA29" i="56" s="1"/>
  <c r="AA57" i="56"/>
  <c r="AA61" i="56" s="1"/>
  <c r="AA73" i="56"/>
  <c r="AA77" i="56" s="1"/>
  <c r="AA9" i="56"/>
  <c r="AA13" i="56" s="1"/>
  <c r="AA41" i="56"/>
  <c r="AA45" i="56" s="1"/>
  <c r="AN9" i="56"/>
  <c r="AN13" i="56" s="1"/>
  <c r="AB25" i="56"/>
  <c r="AB29" i="56" s="1"/>
  <c r="AB9" i="56"/>
  <c r="AB13" i="56" s="1"/>
  <c r="AB57" i="56"/>
  <c r="AB61" i="56" s="1"/>
  <c r="AB41" i="56"/>
  <c r="AB45" i="56" s="1"/>
  <c r="AB73" i="56"/>
  <c r="AB77" i="56" s="1"/>
  <c r="D9" i="49"/>
  <c r="BN11" i="49"/>
  <c r="BN29" i="17"/>
  <c r="BM45" i="17"/>
  <c r="BO36" i="17"/>
  <c r="BN42" i="17"/>
  <c r="BN9" i="50" s="1"/>
  <c r="BN41" i="17"/>
  <c r="BN43" i="17"/>
  <c r="BN10" i="50" s="1"/>
  <c r="BM58" i="17"/>
  <c r="BM57" i="17"/>
  <c r="BN52" i="17"/>
  <c r="BM6" i="52"/>
  <c r="BL7" i="52"/>
  <c r="BN57" i="56"/>
  <c r="BO52" i="56"/>
  <c r="BN59" i="56"/>
  <c r="BL74" i="17"/>
  <c r="BL9" i="52" s="1"/>
  <c r="BM68" i="17"/>
  <c r="BL75" i="17"/>
  <c r="BL10" i="52" s="1"/>
  <c r="BN45" i="56"/>
  <c r="CC56" i="10"/>
  <c r="CD2" i="10"/>
  <c r="CD59" i="10"/>
  <c r="CC45" i="10"/>
  <c r="BO43" i="56"/>
  <c r="BO41" i="56"/>
  <c r="BM75" i="56"/>
  <c r="BN68" i="56"/>
  <c r="BO26" i="17"/>
  <c r="BO25" i="17"/>
  <c r="BO27" i="17"/>
  <c r="BM8" i="50"/>
  <c r="BM11" i="50" s="1"/>
  <c r="AC9" i="56"/>
  <c r="AC13" i="56" s="1"/>
  <c r="AC41" i="56"/>
  <c r="AC45" i="56" s="1"/>
  <c r="AC25" i="56"/>
  <c r="AC29" i="56" s="1"/>
  <c r="AC73" i="56"/>
  <c r="AC77" i="56" s="1"/>
  <c r="AC57" i="56"/>
  <c r="AC61" i="56" s="1"/>
  <c r="AI9" i="56"/>
  <c r="AI13" i="56" s="1"/>
  <c r="C43" i="16"/>
  <c r="D28" i="48"/>
  <c r="D34" i="48"/>
  <c r="D39" i="48"/>
  <c r="AK7" i="49" l="1"/>
  <c r="AK10" i="49"/>
  <c r="AK9" i="49"/>
  <c r="AU7" i="49"/>
  <c r="AU10" i="49"/>
  <c r="AU9" i="49"/>
  <c r="AU8" i="49"/>
  <c r="D8" i="50"/>
  <c r="BI8" i="50"/>
  <c r="AW7" i="49"/>
  <c r="AW10" i="49"/>
  <c r="AW9" i="49"/>
  <c r="AW8" i="49"/>
  <c r="AV9" i="49"/>
  <c r="AV10" i="49"/>
  <c r="AV8" i="49"/>
  <c r="AV7" i="49"/>
  <c r="AS7" i="49"/>
  <c r="AS10" i="49"/>
  <c r="AS9" i="49"/>
  <c r="AS8" i="49"/>
  <c r="AP7" i="49"/>
  <c r="AP9" i="49"/>
  <c r="AP8" i="49"/>
  <c r="AQ7" i="49"/>
  <c r="AQ10" i="49"/>
  <c r="AQ9" i="49"/>
  <c r="AQ8" i="49"/>
  <c r="D11" i="49"/>
  <c r="BD8" i="50"/>
  <c r="BD10" i="50"/>
  <c r="BD7" i="50"/>
  <c r="BD9" i="50"/>
  <c r="AR11" i="49"/>
  <c r="AT10" i="49"/>
  <c r="AT7" i="49"/>
  <c r="AT9" i="49"/>
  <c r="AT8" i="49"/>
  <c r="AO7" i="49"/>
  <c r="AO10" i="49"/>
  <c r="AO9" i="49"/>
  <c r="BO45" i="56"/>
  <c r="BN58" i="17"/>
  <c r="BN59" i="17"/>
  <c r="BN57" i="17"/>
  <c r="BO52" i="17"/>
  <c r="BL7" i="51" s="1"/>
  <c r="BO29" i="17"/>
  <c r="BM8" i="51"/>
  <c r="BO68" i="56"/>
  <c r="BN75" i="56"/>
  <c r="BM74" i="17"/>
  <c r="BM9" i="52" s="1"/>
  <c r="BM75" i="17"/>
  <c r="BM10" i="52" s="1"/>
  <c r="BN68" i="17"/>
  <c r="BO57" i="56"/>
  <c r="BP52" i="56"/>
  <c r="BO59" i="56"/>
  <c r="BN45" i="17"/>
  <c r="BN8" i="50"/>
  <c r="BN11" i="50" s="1"/>
  <c r="BO43" i="17"/>
  <c r="BO42" i="17"/>
  <c r="BO41" i="17"/>
  <c r="D10" i="50"/>
  <c r="D9" i="50"/>
  <c r="D7" i="50"/>
  <c r="BN7" i="51"/>
  <c r="BN61" i="56"/>
  <c r="CE59" i="10"/>
  <c r="CD56" i="10"/>
  <c r="CE2" i="10"/>
  <c r="CD45" i="10"/>
  <c r="BN6" i="52"/>
  <c r="BM7" i="52"/>
  <c r="E22" i="48"/>
  <c r="E23" i="48" s="1"/>
  <c r="E24" i="48" s="1"/>
  <c r="E35" i="48" s="1"/>
  <c r="D30" i="48"/>
  <c r="D31" i="48" s="1"/>
  <c r="AU11" i="49" l="1"/>
  <c r="AW9" i="50"/>
  <c r="AW7" i="50"/>
  <c r="AW10" i="50"/>
  <c r="BG7" i="50"/>
  <c r="BG10" i="50"/>
  <c r="BG8" i="50"/>
  <c r="BG9" i="50"/>
  <c r="AW11" i="49"/>
  <c r="BI9" i="50"/>
  <c r="BI7" i="50"/>
  <c r="BI10" i="50"/>
  <c r="BH7" i="50"/>
  <c r="BH10" i="50"/>
  <c r="BH8" i="50"/>
  <c r="BH9" i="50"/>
  <c r="AV11" i="49"/>
  <c r="AS11" i="49"/>
  <c r="BE10" i="50"/>
  <c r="BE7" i="50"/>
  <c r="BE9" i="50"/>
  <c r="BE8" i="50"/>
  <c r="BB7" i="50"/>
  <c r="BB8" i="50"/>
  <c r="BB9" i="50"/>
  <c r="BM9" i="51"/>
  <c r="AQ11" i="49"/>
  <c r="BM7" i="51"/>
  <c r="BN10" i="51"/>
  <c r="BN9" i="51"/>
  <c r="BC7" i="50"/>
  <c r="BC10" i="50"/>
  <c r="BC9" i="50"/>
  <c r="BC8" i="50"/>
  <c r="C5" i="49"/>
  <c r="D16" i="49" s="1"/>
  <c r="D18" i="49" s="1"/>
  <c r="C73" i="49" s="1"/>
  <c r="AT11" i="49"/>
  <c r="BD11" i="50"/>
  <c r="AE9" i="17"/>
  <c r="AF9" i="17"/>
  <c r="AG9" i="17"/>
  <c r="AD9" i="17"/>
  <c r="BF7" i="50"/>
  <c r="BF10" i="50"/>
  <c r="BF9" i="50"/>
  <c r="BF8" i="50"/>
  <c r="D9" i="51"/>
  <c r="AJ9" i="17"/>
  <c r="W25" i="17"/>
  <c r="AI9" i="17"/>
  <c r="AL9" i="17"/>
  <c r="AM9" i="17"/>
  <c r="AK9" i="17"/>
  <c r="AN9" i="17"/>
  <c r="BN61" i="17"/>
  <c r="BO61" i="56"/>
  <c r="BO45" i="17"/>
  <c r="BL10" i="51"/>
  <c r="BA7" i="50"/>
  <c r="BA10" i="50"/>
  <c r="BA9" i="50"/>
  <c r="BN8" i="51"/>
  <c r="BL9" i="51"/>
  <c r="BQ52" i="56"/>
  <c r="BP59" i="56"/>
  <c r="BP57" i="56"/>
  <c r="BO68" i="17"/>
  <c r="D7" i="52" s="1"/>
  <c r="BN74" i="17"/>
  <c r="BN9" i="52" s="1"/>
  <c r="BN75" i="17"/>
  <c r="BN10" i="52" s="1"/>
  <c r="BP68" i="56"/>
  <c r="BO75" i="56"/>
  <c r="BO57" i="17"/>
  <c r="BO58" i="17"/>
  <c r="BO59" i="17"/>
  <c r="D7" i="51"/>
  <c r="D10" i="51"/>
  <c r="D8" i="51"/>
  <c r="CE56" i="10"/>
  <c r="CF59" i="10"/>
  <c r="CF2" i="10"/>
  <c r="CE45" i="10"/>
  <c r="D11" i="50"/>
  <c r="BO6" i="52"/>
  <c r="BN7" i="52"/>
  <c r="V57" i="17"/>
  <c r="V25" i="17"/>
  <c r="V73" i="17"/>
  <c r="V9" i="17"/>
  <c r="V41" i="17"/>
  <c r="W73" i="17"/>
  <c r="W57" i="17"/>
  <c r="W41" i="17"/>
  <c r="W9" i="17"/>
  <c r="E26" i="48"/>
  <c r="D32" i="48"/>
  <c r="E27" i="48"/>
  <c r="E34" i="48" s="1"/>
  <c r="BK7" i="51" l="1"/>
  <c r="BH10" i="51"/>
  <c r="BH7" i="51"/>
  <c r="BH9" i="51"/>
  <c r="BG11" i="50"/>
  <c r="BI11" i="50"/>
  <c r="BE11" i="50"/>
  <c r="BH11" i="50"/>
  <c r="BN11" i="51"/>
  <c r="BC11" i="50"/>
  <c r="D17" i="49"/>
  <c r="C70" i="49" s="1"/>
  <c r="C34" i="49"/>
  <c r="D22" i="49" s="1"/>
  <c r="D23" i="49" s="1"/>
  <c r="D24" i="49" s="1"/>
  <c r="D35" i="49" s="1"/>
  <c r="C5" i="50"/>
  <c r="D16" i="50" s="1"/>
  <c r="C34" i="50" s="1"/>
  <c r="AD8" i="48"/>
  <c r="AG8" i="48"/>
  <c r="AG11" i="48" s="1"/>
  <c r="AG13" i="17"/>
  <c r="AF13" i="17"/>
  <c r="AF8" i="48"/>
  <c r="AF11" i="48" s="1"/>
  <c r="BF11" i="50"/>
  <c r="AE8" i="48"/>
  <c r="AE11" i="48" s="1"/>
  <c r="AE13" i="17"/>
  <c r="AM13" i="17"/>
  <c r="AM8" i="48"/>
  <c r="AM11" i="48" s="1"/>
  <c r="AL13" i="17"/>
  <c r="AL8" i="48"/>
  <c r="AL11" i="48" s="1"/>
  <c r="AN8" i="48"/>
  <c r="AN11" i="48" s="1"/>
  <c r="AN13" i="17"/>
  <c r="AI8" i="48"/>
  <c r="AK13" i="17"/>
  <c r="AK8" i="48"/>
  <c r="AK11" i="48" s="1"/>
  <c r="AJ8" i="48"/>
  <c r="AJ11" i="48" s="1"/>
  <c r="AJ13" i="17"/>
  <c r="BP61" i="56"/>
  <c r="D9" i="52"/>
  <c r="D8" i="52"/>
  <c r="CG2" i="10"/>
  <c r="CF56" i="10"/>
  <c r="CG59" i="10"/>
  <c r="CF45" i="10"/>
  <c r="BP75" i="56"/>
  <c r="BQ68" i="56"/>
  <c r="C5" i="52"/>
  <c r="D16" i="52" s="1"/>
  <c r="D10" i="52"/>
  <c r="BP68" i="17"/>
  <c r="BO74" i="17"/>
  <c r="BO9" i="52" s="1"/>
  <c r="BO75" i="17"/>
  <c r="BO10" i="52" s="1"/>
  <c r="BO61" i="17"/>
  <c r="BQ57" i="56"/>
  <c r="BR52" i="56"/>
  <c r="BQ59" i="56"/>
  <c r="D11" i="51"/>
  <c r="BP6" i="52"/>
  <c r="BO7" i="52"/>
  <c r="V45" i="17"/>
  <c r="V8" i="50"/>
  <c r="V11" i="50" s="1"/>
  <c r="V13" i="17"/>
  <c r="V8" i="48"/>
  <c r="V11" i="48" s="1"/>
  <c r="V8" i="52"/>
  <c r="V11" i="52" s="1"/>
  <c r="V77" i="17"/>
  <c r="V29" i="17"/>
  <c r="V8" i="49"/>
  <c r="V11" i="49" s="1"/>
  <c r="V61" i="17"/>
  <c r="V8" i="51"/>
  <c r="V11" i="51" s="1"/>
  <c r="W8" i="48"/>
  <c r="W11" i="48" s="1"/>
  <c r="W13" i="17"/>
  <c r="W8" i="49"/>
  <c r="W11" i="49" s="1"/>
  <c r="W29" i="17"/>
  <c r="W45" i="17"/>
  <c r="W8" i="50"/>
  <c r="W11" i="50" s="1"/>
  <c r="W61" i="17"/>
  <c r="W8" i="51"/>
  <c r="W11" i="51" s="1"/>
  <c r="W77" i="17"/>
  <c r="W8" i="52"/>
  <c r="W11" i="52" s="1"/>
  <c r="F22" i="48"/>
  <c r="F23" i="48" s="1"/>
  <c r="F24" i="48" s="1"/>
  <c r="F35" i="48" s="1"/>
  <c r="D38" i="48"/>
  <c r="E28" i="48"/>
  <c r="E30" i="48" s="1"/>
  <c r="C5" i="51" l="1"/>
  <c r="D16" i="51" s="1"/>
  <c r="C34" i="51" s="1"/>
  <c r="D27" i="49"/>
  <c r="D34" i="49" s="1"/>
  <c r="E22" i="49" s="1"/>
  <c r="E23" i="49" s="1"/>
  <c r="E24" i="49" s="1"/>
  <c r="D26" i="49"/>
  <c r="D17" i="50"/>
  <c r="C70" i="50" s="1"/>
  <c r="D18" i="50"/>
  <c r="C73" i="50" s="1"/>
  <c r="D11" i="52"/>
  <c r="BQ61" i="56"/>
  <c r="BQ75" i="56"/>
  <c r="BR68" i="56"/>
  <c r="BR59" i="56"/>
  <c r="BR57" i="56"/>
  <c r="BS52" i="56"/>
  <c r="CH59" i="10"/>
  <c r="CH2" i="10"/>
  <c r="CG45" i="10"/>
  <c r="CG56" i="10"/>
  <c r="BP74" i="17"/>
  <c r="BQ68" i="17"/>
  <c r="BP75" i="17"/>
  <c r="D18" i="52"/>
  <c r="C73" i="52" s="1"/>
  <c r="D17" i="52"/>
  <c r="C70" i="52" s="1"/>
  <c r="C34" i="52"/>
  <c r="D39" i="49"/>
  <c r="D22" i="50"/>
  <c r="D23" i="50" s="1"/>
  <c r="D24" i="50" s="1"/>
  <c r="BP9" i="52"/>
  <c r="BP7" i="52"/>
  <c r="BP10" i="52"/>
  <c r="BQ6" i="52"/>
  <c r="D40" i="48"/>
  <c r="E39" i="48"/>
  <c r="F26" i="48"/>
  <c r="E32" i="48"/>
  <c r="E31" i="48"/>
  <c r="F27" i="48"/>
  <c r="F34" i="48" s="1"/>
  <c r="D28" i="49" l="1"/>
  <c r="D30" i="49" s="1"/>
  <c r="D31" i="49" s="1"/>
  <c r="D17" i="51"/>
  <c r="C70" i="51" s="1"/>
  <c r="D18" i="51"/>
  <c r="C73" i="51" s="1"/>
  <c r="D27" i="50"/>
  <c r="D34" i="50" s="1"/>
  <c r="CH45" i="10"/>
  <c r="CI59" i="10"/>
  <c r="CH56" i="10"/>
  <c r="CI2" i="10"/>
  <c r="D22" i="52"/>
  <c r="D23" i="52" s="1"/>
  <c r="D24" i="52" s="1"/>
  <c r="E26" i="49"/>
  <c r="E35" i="49"/>
  <c r="E27" i="49"/>
  <c r="E34" i="49" s="1"/>
  <c r="BS57" i="56"/>
  <c r="BT52" i="56"/>
  <c r="BS59" i="56"/>
  <c r="BR61" i="56"/>
  <c r="BQ9" i="52"/>
  <c r="BR6" i="52"/>
  <c r="BQ7" i="52"/>
  <c r="BQ10" i="52"/>
  <c r="D22" i="51"/>
  <c r="D23" i="51" s="1"/>
  <c r="D24" i="51" s="1"/>
  <c r="D35" i="51" s="1"/>
  <c r="BR75" i="56"/>
  <c r="BS68" i="56"/>
  <c r="D35" i="50"/>
  <c r="BQ74" i="17"/>
  <c r="BQ75" i="17"/>
  <c r="BR68" i="17"/>
  <c r="D26" i="50"/>
  <c r="E38" i="48"/>
  <c r="E40" i="48" s="1"/>
  <c r="E41" i="48" s="1"/>
  <c r="F28" i="48"/>
  <c r="F30" i="48" s="1"/>
  <c r="F32" i="48" s="1"/>
  <c r="G22" i="48"/>
  <c r="G23" i="48" s="1"/>
  <c r="G24" i="48" s="1"/>
  <c r="D45" i="48"/>
  <c r="D41" i="48"/>
  <c r="D32" i="49" l="1"/>
  <c r="D38" i="49" s="1"/>
  <c r="D40" i="49" s="1"/>
  <c r="D41" i="49" s="1"/>
  <c r="D39" i="50"/>
  <c r="D28" i="50"/>
  <c r="D30" i="50" s="1"/>
  <c r="D31" i="50" s="1"/>
  <c r="E28" i="49"/>
  <c r="E30" i="49" s="1"/>
  <c r="E31" i="49" s="1"/>
  <c r="D26" i="51"/>
  <c r="BS75" i="56"/>
  <c r="BT68" i="56"/>
  <c r="D35" i="52"/>
  <c r="D26" i="52"/>
  <c r="D27" i="52"/>
  <c r="D34" i="52" s="1"/>
  <c r="D27" i="51"/>
  <c r="D34" i="51" s="1"/>
  <c r="CJ59" i="10"/>
  <c r="CI45" i="10"/>
  <c r="CJ2" i="10"/>
  <c r="CI56" i="10"/>
  <c r="BR7" i="52"/>
  <c r="BR10" i="52"/>
  <c r="BR9" i="52"/>
  <c r="BS6" i="52"/>
  <c r="BT59" i="56"/>
  <c r="BU52" i="56"/>
  <c r="BT57" i="56"/>
  <c r="BS68" i="17"/>
  <c r="BR74" i="17"/>
  <c r="BR75" i="17"/>
  <c r="BS61" i="56"/>
  <c r="F22" i="49"/>
  <c r="F23" i="49" s="1"/>
  <c r="F24" i="49" s="1"/>
  <c r="E22" i="50"/>
  <c r="E23" i="50" s="1"/>
  <c r="E24" i="50" s="1"/>
  <c r="F39" i="48"/>
  <c r="F38" i="48" s="1"/>
  <c r="F40" i="48" s="1"/>
  <c r="F41" i="48" s="1"/>
  <c r="D46" i="48"/>
  <c r="D47" i="48" s="1"/>
  <c r="F31" i="48"/>
  <c r="D44" i="48"/>
  <c r="G26" i="48"/>
  <c r="G27" i="48"/>
  <c r="G34" i="48" s="1"/>
  <c r="G35" i="48"/>
  <c r="D45" i="49" l="1"/>
  <c r="D46" i="49" s="1"/>
  <c r="D47" i="49" s="1"/>
  <c r="E39" i="49"/>
  <c r="BT61" i="56"/>
  <c r="E26" i="50"/>
  <c r="F26" i="49"/>
  <c r="D28" i="52"/>
  <c r="D30" i="52" s="1"/>
  <c r="D31" i="52" s="1"/>
  <c r="D39" i="51"/>
  <c r="D32" i="50"/>
  <c r="D38" i="50" s="1"/>
  <c r="CK2" i="10"/>
  <c r="CJ56" i="10"/>
  <c r="CK59" i="10"/>
  <c r="CJ45" i="10"/>
  <c r="BS75" i="17"/>
  <c r="BS74" i="17"/>
  <c r="BT68" i="17"/>
  <c r="D28" i="51"/>
  <c r="D30" i="51" s="1"/>
  <c r="E22" i="51"/>
  <c r="E23" i="51" s="1"/>
  <c r="E24" i="51" s="1"/>
  <c r="E22" i="52"/>
  <c r="E26" i="52" s="1"/>
  <c r="BU59" i="56"/>
  <c r="BV52" i="56"/>
  <c r="BU57" i="56"/>
  <c r="BS7" i="52"/>
  <c r="BS10" i="52"/>
  <c r="BS9" i="52"/>
  <c r="BT6" i="52"/>
  <c r="BT75" i="56"/>
  <c r="BT73" i="56"/>
  <c r="BU68" i="56"/>
  <c r="F35" i="49"/>
  <c r="F27" i="49"/>
  <c r="F34" i="49" s="1"/>
  <c r="E27" i="50"/>
  <c r="E34" i="50" s="1"/>
  <c r="E35" i="50"/>
  <c r="E32" i="49"/>
  <c r="E38" i="49" s="1"/>
  <c r="D39" i="52"/>
  <c r="E45" i="48"/>
  <c r="E44" i="48" s="1"/>
  <c r="G28" i="48"/>
  <c r="G39" i="48"/>
  <c r="H22" i="48"/>
  <c r="H23" i="48" s="1"/>
  <c r="H24" i="48" s="1"/>
  <c r="H35" i="48" s="1"/>
  <c r="D44" i="49" l="1"/>
  <c r="E28" i="50"/>
  <c r="E30" i="50" s="1"/>
  <c r="E31" i="50" s="1"/>
  <c r="E23" i="52"/>
  <c r="E24" i="52" s="1"/>
  <c r="E35" i="52" s="1"/>
  <c r="D32" i="52"/>
  <c r="D38" i="52" s="1"/>
  <c r="BT77" i="56"/>
  <c r="BU61" i="56"/>
  <c r="F28" i="49"/>
  <c r="F30" i="49" s="1"/>
  <c r="F31" i="49" s="1"/>
  <c r="BU75" i="56"/>
  <c r="BU73" i="56"/>
  <c r="BV68" i="56"/>
  <c r="E26" i="51"/>
  <c r="E35" i="51"/>
  <c r="E27" i="51"/>
  <c r="E34" i="51" s="1"/>
  <c r="BT7" i="52"/>
  <c r="BT9" i="52"/>
  <c r="BT10" i="52"/>
  <c r="BU6" i="52"/>
  <c r="D32" i="51"/>
  <c r="D38" i="51" s="1"/>
  <c r="D31" i="51"/>
  <c r="BT74" i="17"/>
  <c r="BU68" i="17"/>
  <c r="BT75" i="17"/>
  <c r="CL2" i="10"/>
  <c r="CK45" i="10"/>
  <c r="CL59" i="10"/>
  <c r="CK56" i="10"/>
  <c r="F22" i="50"/>
  <c r="F23" i="50" s="1"/>
  <c r="F24" i="50" s="1"/>
  <c r="E39" i="50"/>
  <c r="D40" i="50"/>
  <c r="BV57" i="56"/>
  <c r="BW52" i="56"/>
  <c r="BV59" i="56"/>
  <c r="F39" i="49"/>
  <c r="E40" i="49"/>
  <c r="G22" i="49"/>
  <c r="G23" i="49" s="1"/>
  <c r="G24" i="49" s="1"/>
  <c r="E46" i="48"/>
  <c r="E47" i="48" s="1"/>
  <c r="G30" i="48"/>
  <c r="G31" i="48" s="1"/>
  <c r="H26" i="48"/>
  <c r="H27" i="48"/>
  <c r="H34" i="48" s="1"/>
  <c r="E27" i="52" l="1"/>
  <c r="E34" i="52" s="1"/>
  <c r="F22" i="52" s="1"/>
  <c r="F23" i="52" s="1"/>
  <c r="F24" i="52" s="1"/>
  <c r="BU77" i="56"/>
  <c r="F26" i="50"/>
  <c r="E32" i="50"/>
  <c r="E38" i="50" s="1"/>
  <c r="E40" i="50" s="1"/>
  <c r="E41" i="50" s="1"/>
  <c r="F32" i="49"/>
  <c r="F38" i="49" s="1"/>
  <c r="F40" i="49" s="1"/>
  <c r="F41" i="49" s="1"/>
  <c r="BV61" i="56"/>
  <c r="F27" i="50"/>
  <c r="F34" i="50" s="1"/>
  <c r="E39" i="51"/>
  <c r="D40" i="51"/>
  <c r="BU9" i="52"/>
  <c r="BU7" i="52"/>
  <c r="BU10" i="52"/>
  <c r="BV6" i="52"/>
  <c r="E28" i="51"/>
  <c r="CL45" i="10"/>
  <c r="CM59" i="10"/>
  <c r="CL56" i="10"/>
  <c r="CM2" i="10"/>
  <c r="F22" i="51"/>
  <c r="F23" i="51" s="1"/>
  <c r="F24" i="51" s="1"/>
  <c r="BX52" i="56"/>
  <c r="BW57" i="56"/>
  <c r="BW59" i="56"/>
  <c r="E45" i="49"/>
  <c r="E41" i="49"/>
  <c r="BV73" i="56"/>
  <c r="BV75" i="56"/>
  <c r="BW68" i="56"/>
  <c r="G26" i="49"/>
  <c r="F35" i="50"/>
  <c r="D40" i="52"/>
  <c r="G27" i="49"/>
  <c r="G34" i="49" s="1"/>
  <c r="D41" i="50"/>
  <c r="D45" i="50"/>
  <c r="BU75" i="17"/>
  <c r="BV68" i="17"/>
  <c r="BU74" i="17"/>
  <c r="G35" i="49"/>
  <c r="F45" i="48"/>
  <c r="F46" i="48" s="1"/>
  <c r="F47" i="48" s="1"/>
  <c r="H28" i="48"/>
  <c r="H30" i="48" s="1"/>
  <c r="H31" i="48" s="1"/>
  <c r="G32" i="48"/>
  <c r="G38" i="48" s="1"/>
  <c r="I22" i="48"/>
  <c r="I23" i="48" s="1"/>
  <c r="I24" i="48" s="1"/>
  <c r="I35" i="48" s="1"/>
  <c r="E39" i="52" l="1"/>
  <c r="E28" i="52"/>
  <c r="E30" i="52" s="1"/>
  <c r="E31" i="52" s="1"/>
  <c r="F26" i="51"/>
  <c r="E44" i="49"/>
  <c r="G28" i="49"/>
  <c r="G30" i="49" s="1"/>
  <c r="BW61" i="56"/>
  <c r="F26" i="52"/>
  <c r="E30" i="51"/>
  <c r="E32" i="51" s="1"/>
  <c r="E38" i="51" s="1"/>
  <c r="E40" i="51" s="1"/>
  <c r="E41" i="51" s="1"/>
  <c r="BW68" i="17"/>
  <c r="BV74" i="17"/>
  <c r="BV75" i="17"/>
  <c r="BW73" i="56"/>
  <c r="BX68" i="56"/>
  <c r="BW75" i="56"/>
  <c r="BV7" i="52"/>
  <c r="BV9" i="52"/>
  <c r="BW6" i="52"/>
  <c r="BV10" i="52"/>
  <c r="BV77" i="56"/>
  <c r="D41" i="51"/>
  <c r="D45" i="51"/>
  <c r="D41" i="52"/>
  <c r="D45" i="52"/>
  <c r="H22" i="49"/>
  <c r="H23" i="49" s="1"/>
  <c r="H24" i="49" s="1"/>
  <c r="BX57" i="56"/>
  <c r="BY52" i="56"/>
  <c r="BX59" i="56"/>
  <c r="E46" i="49"/>
  <c r="E47" i="49" s="1"/>
  <c r="F28" i="50"/>
  <c r="F35" i="51"/>
  <c r="F27" i="51"/>
  <c r="F34" i="51" s="1"/>
  <c r="G22" i="50"/>
  <c r="G23" i="50" s="1"/>
  <c r="G24" i="50" s="1"/>
  <c r="F27" i="52"/>
  <c r="F34" i="52" s="1"/>
  <c r="F35" i="52"/>
  <c r="G39" i="49"/>
  <c r="D46" i="50"/>
  <c r="D44" i="50"/>
  <c r="CN59" i="10"/>
  <c r="CM56" i="10"/>
  <c r="CN2" i="10"/>
  <c r="CM45" i="10"/>
  <c r="F39" i="50"/>
  <c r="F44" i="48"/>
  <c r="I26" i="48"/>
  <c r="H32" i="48"/>
  <c r="G40" i="48"/>
  <c r="H39" i="48"/>
  <c r="I27" i="48"/>
  <c r="I34" i="48" s="1"/>
  <c r="E32" i="52" l="1"/>
  <c r="E38" i="52" s="1"/>
  <c r="D46" i="51"/>
  <c r="D47" i="51" s="1"/>
  <c r="F28" i="52"/>
  <c r="D44" i="51"/>
  <c r="F28" i="51"/>
  <c r="F30" i="51" s="1"/>
  <c r="F32" i="51" s="1"/>
  <c r="D46" i="52"/>
  <c r="D47" i="52" s="1"/>
  <c r="F39" i="51"/>
  <c r="G26" i="50"/>
  <c r="G32" i="49"/>
  <c r="G38" i="49" s="1"/>
  <c r="G40" i="49" s="1"/>
  <c r="G41" i="49" s="1"/>
  <c r="G31" i="49"/>
  <c r="H26" i="49"/>
  <c r="F30" i="50"/>
  <c r="F32" i="50" s="1"/>
  <c r="CN56" i="10"/>
  <c r="CO2" i="10"/>
  <c r="CO59" i="10"/>
  <c r="CN45" i="10"/>
  <c r="D47" i="50"/>
  <c r="E45" i="50"/>
  <c r="BX6" i="52"/>
  <c r="BW7" i="52"/>
  <c r="BW9" i="52"/>
  <c r="BW10" i="52"/>
  <c r="BX61" i="56"/>
  <c r="BX75" i="56"/>
  <c r="BX73" i="56"/>
  <c r="BY68" i="56"/>
  <c r="BW77" i="56"/>
  <c r="G22" i="52"/>
  <c r="G26" i="52" s="1"/>
  <c r="D44" i="52"/>
  <c r="F30" i="52"/>
  <c r="F31" i="52" s="1"/>
  <c r="BW75" i="17"/>
  <c r="BW74" i="17"/>
  <c r="BX68" i="17"/>
  <c r="BY59" i="56"/>
  <c r="BY57" i="56"/>
  <c r="H35" i="49"/>
  <c r="H27" i="49"/>
  <c r="H34" i="49" s="1"/>
  <c r="E45" i="51"/>
  <c r="G35" i="50"/>
  <c r="G27" i="50"/>
  <c r="G34" i="50" s="1"/>
  <c r="E31" i="51"/>
  <c r="G22" i="51"/>
  <c r="G23" i="51" s="1"/>
  <c r="G24" i="51" s="1"/>
  <c r="F45" i="49"/>
  <c r="G41" i="48"/>
  <c r="G45" i="48"/>
  <c r="H38" i="48"/>
  <c r="I28" i="48"/>
  <c r="J22" i="48"/>
  <c r="J23" i="48" s="1"/>
  <c r="J24" i="48" s="1"/>
  <c r="F38" i="51" l="1"/>
  <c r="F40" i="51" s="1"/>
  <c r="H28" i="49"/>
  <c r="H30" i="49" s="1"/>
  <c r="BX77" i="56"/>
  <c r="G23" i="52"/>
  <c r="G24" i="52" s="1"/>
  <c r="G35" i="52" s="1"/>
  <c r="F32" i="52"/>
  <c r="H39" i="49"/>
  <c r="F38" i="50"/>
  <c r="BX10" i="52"/>
  <c r="BX7" i="52"/>
  <c r="BX9" i="52"/>
  <c r="BY6" i="52"/>
  <c r="F46" i="49"/>
  <c r="F47" i="49" s="1"/>
  <c r="F44" i="49"/>
  <c r="BX75" i="17"/>
  <c r="BX74" i="17"/>
  <c r="BY68" i="17"/>
  <c r="E46" i="50"/>
  <c r="E47" i="50" s="1"/>
  <c r="E44" i="50"/>
  <c r="G26" i="51"/>
  <c r="G35" i="51"/>
  <c r="G27" i="51"/>
  <c r="G34" i="51" s="1"/>
  <c r="F31" i="51"/>
  <c r="E40" i="52"/>
  <c r="F39" i="52"/>
  <c r="CP2" i="10"/>
  <c r="CO45" i="10"/>
  <c r="CP59" i="10"/>
  <c r="CO56" i="10"/>
  <c r="BZ68" i="56"/>
  <c r="BY73" i="56"/>
  <c r="H22" i="50"/>
  <c r="H23" i="50" s="1"/>
  <c r="H24" i="50" s="1"/>
  <c r="G28" i="50"/>
  <c r="G30" i="50" s="1"/>
  <c r="G32" i="50" s="1"/>
  <c r="H32" i="49"/>
  <c r="H31" i="49"/>
  <c r="F31" i="50"/>
  <c r="E44" i="51"/>
  <c r="E46" i="51"/>
  <c r="E47" i="51" s="1"/>
  <c r="I22" i="49"/>
  <c r="I23" i="49" s="1"/>
  <c r="I24" i="49" s="1"/>
  <c r="BY61" i="56"/>
  <c r="G44" i="48"/>
  <c r="H40" i="48"/>
  <c r="H41" i="48" s="1"/>
  <c r="I39" i="48"/>
  <c r="G46" i="48"/>
  <c r="G47" i="48" s="1"/>
  <c r="J26" i="48"/>
  <c r="J35" i="48"/>
  <c r="J27" i="48"/>
  <c r="J34" i="48" s="1"/>
  <c r="I30" i="48"/>
  <c r="I32" i="48" s="1"/>
  <c r="G27" i="52" l="1"/>
  <c r="G34" i="52" s="1"/>
  <c r="H22" i="52" s="1"/>
  <c r="H23" i="52" s="1"/>
  <c r="H24" i="52" s="1"/>
  <c r="H38" i="49"/>
  <c r="H40" i="49" s="1"/>
  <c r="H41" i="49" s="1"/>
  <c r="H26" i="50"/>
  <c r="I26" i="49"/>
  <c r="G39" i="51"/>
  <c r="G28" i="51"/>
  <c r="G30" i="51" s="1"/>
  <c r="G32" i="51" s="1"/>
  <c r="I27" i="49"/>
  <c r="I34" i="49" s="1"/>
  <c r="BZ73" i="56"/>
  <c r="BZ75" i="56"/>
  <c r="CP56" i="10"/>
  <c r="CP45" i="10"/>
  <c r="F38" i="52"/>
  <c r="F40" i="52" s="1"/>
  <c r="BZ68" i="17"/>
  <c r="BY74" i="17"/>
  <c r="BY73" i="17"/>
  <c r="G31" i="50"/>
  <c r="E41" i="52"/>
  <c r="E45" i="52"/>
  <c r="I35" i="49"/>
  <c r="BY9" i="52"/>
  <c r="BZ6" i="52"/>
  <c r="BY10" i="52"/>
  <c r="BY7" i="52"/>
  <c r="H35" i="50"/>
  <c r="H27" i="50"/>
  <c r="H34" i="50" s="1"/>
  <c r="G45" i="49"/>
  <c r="H22" i="51"/>
  <c r="H23" i="51" s="1"/>
  <c r="H24" i="51" s="1"/>
  <c r="F40" i="50"/>
  <c r="G39" i="50"/>
  <c r="G38" i="50" s="1"/>
  <c r="G40" i="50" s="1"/>
  <c r="G41" i="50" s="1"/>
  <c r="J28" i="48"/>
  <c r="J30" i="48" s="1"/>
  <c r="J32" i="48" s="1"/>
  <c r="H45" i="48"/>
  <c r="I38" i="48"/>
  <c r="I40" i="48" s="1"/>
  <c r="K22" i="48"/>
  <c r="K23" i="48" s="1"/>
  <c r="K24" i="48" s="1"/>
  <c r="I31" i="48"/>
  <c r="F45" i="51"/>
  <c r="F41" i="51"/>
  <c r="G28" i="52" l="1"/>
  <c r="G30" i="52" s="1"/>
  <c r="G31" i="52" s="1"/>
  <c r="G38" i="51"/>
  <c r="G39" i="52"/>
  <c r="G31" i="51"/>
  <c r="H28" i="50"/>
  <c r="H30" i="50" s="1"/>
  <c r="H31" i="50" s="1"/>
  <c r="E46" i="52"/>
  <c r="E47" i="52" s="1"/>
  <c r="BZ77" i="56"/>
  <c r="I28" i="49"/>
  <c r="I30" i="49" s="1"/>
  <c r="I31" i="49" s="1"/>
  <c r="I39" i="49"/>
  <c r="G40" i="51"/>
  <c r="G41" i="51" s="1"/>
  <c r="H39" i="50"/>
  <c r="F41" i="50"/>
  <c r="F45" i="50"/>
  <c r="E44" i="52"/>
  <c r="H26" i="51"/>
  <c r="F45" i="52"/>
  <c r="H35" i="51"/>
  <c r="H27" i="51"/>
  <c r="H34" i="51" s="1"/>
  <c r="BY8" i="52"/>
  <c r="BY11" i="52" s="1"/>
  <c r="H26" i="52"/>
  <c r="G46" i="49"/>
  <c r="G47" i="49" s="1"/>
  <c r="G44" i="49"/>
  <c r="BZ74" i="17"/>
  <c r="BZ73" i="17"/>
  <c r="BZ75" i="17"/>
  <c r="I22" i="50"/>
  <c r="I23" i="50" s="1"/>
  <c r="I24" i="50" s="1"/>
  <c r="H35" i="52"/>
  <c r="H27" i="52"/>
  <c r="H34" i="52" s="1"/>
  <c r="BZ9" i="52"/>
  <c r="BZ7" i="52"/>
  <c r="F41" i="52"/>
  <c r="J22" i="49"/>
  <c r="J23" i="49" s="1"/>
  <c r="J24" i="49" s="1"/>
  <c r="J39" i="48"/>
  <c r="J38" i="48" s="1"/>
  <c r="J40" i="48" s="1"/>
  <c r="J41" i="48" s="1"/>
  <c r="H46" i="48"/>
  <c r="H47" i="48" s="1"/>
  <c r="H44" i="48"/>
  <c r="K35" i="48"/>
  <c r="K27" i="48"/>
  <c r="K34" i="48" s="1"/>
  <c r="J31" i="48"/>
  <c r="I41" i="48"/>
  <c r="K26" i="48"/>
  <c r="F44" i="51"/>
  <c r="F46" i="51"/>
  <c r="F47" i="51" s="1"/>
  <c r="F44" i="52" l="1"/>
  <c r="G32" i="52"/>
  <c r="G38" i="52" s="1"/>
  <c r="G40" i="52" s="1"/>
  <c r="G41" i="52" s="1"/>
  <c r="BZ10" i="52"/>
  <c r="F44" i="50"/>
  <c r="H45" i="49"/>
  <c r="H46" i="49" s="1"/>
  <c r="H47" i="49" s="1"/>
  <c r="J26" i="49"/>
  <c r="H32" i="50"/>
  <c r="H38" i="50" s="1"/>
  <c r="H40" i="50" s="1"/>
  <c r="H41" i="50" s="1"/>
  <c r="H28" i="51"/>
  <c r="H30" i="51" s="1"/>
  <c r="H31" i="51" s="1"/>
  <c r="I26" i="50"/>
  <c r="H28" i="52"/>
  <c r="H30" i="52" s="1"/>
  <c r="H32" i="52" s="1"/>
  <c r="BZ77" i="17"/>
  <c r="J27" i="49"/>
  <c r="J34" i="49" s="1"/>
  <c r="J35" i="49"/>
  <c r="BZ8" i="52"/>
  <c r="F46" i="52"/>
  <c r="F47" i="52" s="1"/>
  <c r="I22" i="52"/>
  <c r="I23" i="52" s="1"/>
  <c r="I24" i="52" s="1"/>
  <c r="I35" i="52" s="1"/>
  <c r="I35" i="50"/>
  <c r="I27" i="50"/>
  <c r="I34" i="50" s="1"/>
  <c r="H39" i="51"/>
  <c r="I22" i="51"/>
  <c r="I23" i="51" s="1"/>
  <c r="I24" i="51" s="1"/>
  <c r="I35" i="51" s="1"/>
  <c r="F46" i="50"/>
  <c r="F47" i="50" s="1"/>
  <c r="I32" i="49"/>
  <c r="I38" i="49" s="1"/>
  <c r="K39" i="48"/>
  <c r="I45" i="48"/>
  <c r="I44" i="48" s="1"/>
  <c r="K28" i="48"/>
  <c r="K30" i="48" s="1"/>
  <c r="L22" i="48"/>
  <c r="L23" i="48" s="1"/>
  <c r="L24" i="48" s="1"/>
  <c r="L35" i="48" s="1"/>
  <c r="G45" i="51"/>
  <c r="BZ11" i="52" l="1"/>
  <c r="H39" i="52"/>
  <c r="H38" i="52" s="1"/>
  <c r="H40" i="52" s="1"/>
  <c r="H41" i="52" s="1"/>
  <c r="H44" i="49"/>
  <c r="H32" i="51"/>
  <c r="H38" i="51" s="1"/>
  <c r="H40" i="51" s="1"/>
  <c r="H41" i="51" s="1"/>
  <c r="I26" i="52"/>
  <c r="I26" i="51"/>
  <c r="I28" i="50"/>
  <c r="I30" i="50" s="1"/>
  <c r="I31" i="50" s="1"/>
  <c r="J28" i="49"/>
  <c r="J30" i="49" s="1"/>
  <c r="J31" i="49" s="1"/>
  <c r="G45" i="52"/>
  <c r="G46" i="52" s="1"/>
  <c r="G47" i="52" s="1"/>
  <c r="H31" i="52"/>
  <c r="K22" i="49"/>
  <c r="K23" i="49" s="1"/>
  <c r="K24" i="49" s="1"/>
  <c r="G45" i="50"/>
  <c r="I39" i="50"/>
  <c r="I27" i="51"/>
  <c r="I34" i="51" s="1"/>
  <c r="J22" i="50"/>
  <c r="J23" i="50" s="1"/>
  <c r="J24" i="50" s="1"/>
  <c r="I40" i="49"/>
  <c r="J39" i="49"/>
  <c r="I27" i="52"/>
  <c r="I28" i="52" s="1"/>
  <c r="L26" i="48"/>
  <c r="I46" i="48"/>
  <c r="I47" i="48" s="1"/>
  <c r="K32" i="48"/>
  <c r="K38" i="48" s="1"/>
  <c r="K31" i="48"/>
  <c r="L27" i="48"/>
  <c r="L34" i="48" s="1"/>
  <c r="G46" i="51"/>
  <c r="G47" i="51" s="1"/>
  <c r="G44" i="51"/>
  <c r="G44" i="52" l="1"/>
  <c r="K26" i="49"/>
  <c r="J32" i="49"/>
  <c r="I28" i="51"/>
  <c r="I30" i="51" s="1"/>
  <c r="I31" i="51" s="1"/>
  <c r="I32" i="50"/>
  <c r="I38" i="50" s="1"/>
  <c r="H45" i="52"/>
  <c r="J26" i="50"/>
  <c r="I41" i="49"/>
  <c r="I45" i="49"/>
  <c r="J35" i="50"/>
  <c r="J27" i="50"/>
  <c r="J34" i="50" s="1"/>
  <c r="J22" i="51"/>
  <c r="J23" i="51" s="1"/>
  <c r="J24" i="51" s="1"/>
  <c r="I30" i="52"/>
  <c r="I31" i="52" s="1"/>
  <c r="J38" i="49"/>
  <c r="G44" i="50"/>
  <c r="G46" i="50"/>
  <c r="G47" i="50" s="1"/>
  <c r="K35" i="49"/>
  <c r="K27" i="49"/>
  <c r="K34" i="49" s="1"/>
  <c r="I34" i="52"/>
  <c r="I39" i="52"/>
  <c r="I39" i="51"/>
  <c r="J45" i="48"/>
  <c r="J46" i="48" s="1"/>
  <c r="J47" i="48" s="1"/>
  <c r="L28" i="48"/>
  <c r="L30" i="48" s="1"/>
  <c r="L32" i="48" s="1"/>
  <c r="M22" i="48"/>
  <c r="M23" i="48" s="1"/>
  <c r="M24" i="48" s="1"/>
  <c r="K40" i="48"/>
  <c r="K41" i="48" s="1"/>
  <c r="L39" i="48"/>
  <c r="H45" i="51"/>
  <c r="H46" i="51" s="1"/>
  <c r="H47" i="51" s="1"/>
  <c r="I32" i="51" l="1"/>
  <c r="I38" i="51" s="1"/>
  <c r="I40" i="51" s="1"/>
  <c r="I41" i="51" s="1"/>
  <c r="K28" i="49"/>
  <c r="K30" i="49" s="1"/>
  <c r="K31" i="49" s="1"/>
  <c r="J28" i="50"/>
  <c r="J26" i="51"/>
  <c r="H45" i="50"/>
  <c r="I46" i="49"/>
  <c r="J40" i="49"/>
  <c r="J41" i="49" s="1"/>
  <c r="K39" i="49"/>
  <c r="J22" i="52"/>
  <c r="J23" i="52" s="1"/>
  <c r="J24" i="52" s="1"/>
  <c r="J35" i="52" s="1"/>
  <c r="K22" i="50"/>
  <c r="K23" i="50" s="1"/>
  <c r="K24" i="50" s="1"/>
  <c r="H44" i="52"/>
  <c r="H46" i="52"/>
  <c r="H47" i="52" s="1"/>
  <c r="I32" i="52"/>
  <c r="I40" i="50"/>
  <c r="I41" i="50" s="1"/>
  <c r="J39" i="50"/>
  <c r="J35" i="51"/>
  <c r="J27" i="51"/>
  <c r="J34" i="51" s="1"/>
  <c r="L22" i="49"/>
  <c r="L23" i="49" s="1"/>
  <c r="L24" i="49" s="1"/>
  <c r="I44" i="49"/>
  <c r="J44" i="48"/>
  <c r="L31" i="48"/>
  <c r="K45" i="48"/>
  <c r="K46" i="48" s="1"/>
  <c r="K47" i="48" s="1"/>
  <c r="M35" i="48"/>
  <c r="M27" i="48"/>
  <c r="M34" i="48" s="1"/>
  <c r="L38" i="48"/>
  <c r="L40" i="48" s="1"/>
  <c r="L41" i="48" s="1"/>
  <c r="M26" i="48"/>
  <c r="H44" i="51"/>
  <c r="J28" i="51" l="1"/>
  <c r="J30" i="51" s="1"/>
  <c r="J31" i="51" s="1"/>
  <c r="K32" i="49"/>
  <c r="K38" i="49" s="1"/>
  <c r="K40" i="49" s="1"/>
  <c r="K41" i="49" s="1"/>
  <c r="J30" i="50"/>
  <c r="J31" i="50" s="1"/>
  <c r="K26" i="50"/>
  <c r="L26" i="49"/>
  <c r="J26" i="52"/>
  <c r="I45" i="51"/>
  <c r="I44" i="51" s="1"/>
  <c r="J39" i="51"/>
  <c r="J27" i="52"/>
  <c r="J34" i="52" s="1"/>
  <c r="I47" i="49"/>
  <c r="J45" i="49"/>
  <c r="I38" i="52"/>
  <c r="K27" i="50"/>
  <c r="K34" i="50" s="1"/>
  <c r="L35" i="49"/>
  <c r="L27" i="49"/>
  <c r="L34" i="49" s="1"/>
  <c r="K35" i="50"/>
  <c r="K22" i="51"/>
  <c r="K23" i="51" s="1"/>
  <c r="K24" i="51" s="1"/>
  <c r="H46" i="50"/>
  <c r="H47" i="50" s="1"/>
  <c r="H44" i="50"/>
  <c r="M39" i="48"/>
  <c r="L45" i="48"/>
  <c r="L44" i="48" s="1"/>
  <c r="M28" i="48"/>
  <c r="K44" i="48"/>
  <c r="N22" i="48"/>
  <c r="N23" i="48" s="1"/>
  <c r="N24" i="48" s="1"/>
  <c r="I46" i="51" l="1"/>
  <c r="I47" i="51" s="1"/>
  <c r="J32" i="50"/>
  <c r="J38" i="50" s="1"/>
  <c r="J40" i="50" s="1"/>
  <c r="J41" i="50" s="1"/>
  <c r="K28" i="50"/>
  <c r="L28" i="49"/>
  <c r="L30" i="49" s="1"/>
  <c r="L32" i="49" s="1"/>
  <c r="K26" i="51"/>
  <c r="J28" i="52"/>
  <c r="J30" i="52" s="1"/>
  <c r="J32" i="52" s="1"/>
  <c r="I45" i="50"/>
  <c r="K27" i="51"/>
  <c r="K34" i="51" s="1"/>
  <c r="K35" i="51"/>
  <c r="K30" i="50"/>
  <c r="K31" i="50" s="1"/>
  <c r="I40" i="52"/>
  <c r="J39" i="52"/>
  <c r="J46" i="49"/>
  <c r="J44" i="49"/>
  <c r="K22" i="52"/>
  <c r="K23" i="52" s="1"/>
  <c r="K24" i="52" s="1"/>
  <c r="J32" i="51"/>
  <c r="J38" i="51" s="1"/>
  <c r="M22" i="49"/>
  <c r="M23" i="49" s="1"/>
  <c r="M24" i="49" s="1"/>
  <c r="L39" i="49"/>
  <c r="L22" i="50"/>
  <c r="L23" i="50" s="1"/>
  <c r="L24" i="50" s="1"/>
  <c r="L35" i="50" s="1"/>
  <c r="L46" i="48"/>
  <c r="L47" i="48" s="1"/>
  <c r="M30" i="48"/>
  <c r="M31" i="48" s="1"/>
  <c r="N26" i="48"/>
  <c r="N35" i="48"/>
  <c r="N27" i="48"/>
  <c r="N34" i="48" s="1"/>
  <c r="K39" i="50" l="1"/>
  <c r="J31" i="52"/>
  <c r="K28" i="51"/>
  <c r="K30" i="51" s="1"/>
  <c r="K32" i="51" s="1"/>
  <c r="L31" i="49"/>
  <c r="M26" i="49"/>
  <c r="K32" i="50"/>
  <c r="I44" i="50"/>
  <c r="I46" i="50"/>
  <c r="L38" i="49"/>
  <c r="L40" i="49" s="1"/>
  <c r="L41" i="49" s="1"/>
  <c r="J40" i="51"/>
  <c r="K39" i="51"/>
  <c r="I41" i="52"/>
  <c r="I45" i="52"/>
  <c r="K26" i="52"/>
  <c r="K27" i="52"/>
  <c r="K34" i="52" s="1"/>
  <c r="K35" i="52"/>
  <c r="L27" i="50"/>
  <c r="L34" i="50" s="1"/>
  <c r="L22" i="51"/>
  <c r="L23" i="51" s="1"/>
  <c r="L24" i="51" s="1"/>
  <c r="M27" i="49"/>
  <c r="M34" i="49" s="1"/>
  <c r="J47" i="49"/>
  <c r="K45" i="49"/>
  <c r="J38" i="52"/>
  <c r="J40" i="52" s="1"/>
  <c r="J41" i="52" s="1"/>
  <c r="L26" i="50"/>
  <c r="M35" i="49"/>
  <c r="M32" i="48"/>
  <c r="M38" i="48" s="1"/>
  <c r="N28" i="48"/>
  <c r="O22" i="48"/>
  <c r="O23" i="48" s="1"/>
  <c r="O24" i="48" s="1"/>
  <c r="K38" i="50" l="1"/>
  <c r="K40" i="50" s="1"/>
  <c r="K41" i="50" s="1"/>
  <c r="K31" i="51"/>
  <c r="I44" i="52"/>
  <c r="I46" i="52"/>
  <c r="I47" i="52" s="1"/>
  <c r="L28" i="50"/>
  <c r="L30" i="50" s="1"/>
  <c r="L32" i="50" s="1"/>
  <c r="I47" i="50"/>
  <c r="J45" i="50"/>
  <c r="L26" i="51"/>
  <c r="M28" i="49"/>
  <c r="K39" i="52"/>
  <c r="N22" i="49"/>
  <c r="N23" i="49" s="1"/>
  <c r="N24" i="49" s="1"/>
  <c r="K38" i="51"/>
  <c r="K40" i="51" s="1"/>
  <c r="K41" i="51" s="1"/>
  <c r="K28" i="52"/>
  <c r="K30" i="52" s="1"/>
  <c r="J41" i="51"/>
  <c r="J45" i="51"/>
  <c r="L35" i="51"/>
  <c r="L27" i="51"/>
  <c r="L34" i="51" s="1"/>
  <c r="M39" i="49"/>
  <c r="M22" i="50"/>
  <c r="M23" i="50" s="1"/>
  <c r="M24" i="50" s="1"/>
  <c r="L22" i="52"/>
  <c r="L23" i="52" s="1"/>
  <c r="L24" i="52" s="1"/>
  <c r="L35" i="52" s="1"/>
  <c r="K46" i="49"/>
  <c r="K44" i="49"/>
  <c r="N39" i="48"/>
  <c r="M40" i="48"/>
  <c r="O26" i="48"/>
  <c r="O35" i="48"/>
  <c r="O27" i="48"/>
  <c r="O34" i="48" s="1"/>
  <c r="N30" i="48"/>
  <c r="N32" i="48" s="1"/>
  <c r="L39" i="50" l="1"/>
  <c r="L38" i="50" s="1"/>
  <c r="L40" i="50" s="1"/>
  <c r="L41" i="50" s="1"/>
  <c r="J45" i="52"/>
  <c r="L31" i="50"/>
  <c r="L26" i="52"/>
  <c r="L28" i="51"/>
  <c r="L30" i="51" s="1"/>
  <c r="L31" i="51" s="1"/>
  <c r="N26" i="49"/>
  <c r="J46" i="50"/>
  <c r="J44" i="50"/>
  <c r="M35" i="50"/>
  <c r="M27" i="50"/>
  <c r="M34" i="50" s="1"/>
  <c r="M35" i="51"/>
  <c r="J44" i="51"/>
  <c r="J46" i="51"/>
  <c r="M30" i="49"/>
  <c r="M32" i="49" s="1"/>
  <c r="M38" i="49" s="1"/>
  <c r="M40" i="49" s="1"/>
  <c r="M41" i="49" s="1"/>
  <c r="M26" i="50"/>
  <c r="J44" i="52"/>
  <c r="J46" i="52"/>
  <c r="J47" i="52" s="1"/>
  <c r="K32" i="52"/>
  <c r="K31" i="52"/>
  <c r="N27" i="49"/>
  <c r="N34" i="49" s="1"/>
  <c r="L45" i="49"/>
  <c r="K47" i="49"/>
  <c r="M22" i="51"/>
  <c r="M23" i="51" s="1"/>
  <c r="M24" i="51" s="1"/>
  <c r="L39" i="51"/>
  <c r="N35" i="49"/>
  <c r="L27" i="52"/>
  <c r="L34" i="52" s="1"/>
  <c r="O28" i="48"/>
  <c r="O30" i="48" s="1"/>
  <c r="O32" i="48" s="1"/>
  <c r="N38" i="48"/>
  <c r="N40" i="48" s="1"/>
  <c r="N41" i="48" s="1"/>
  <c r="M41" i="48"/>
  <c r="M45" i="48"/>
  <c r="P22" i="48"/>
  <c r="P23" i="48" s="1"/>
  <c r="P24" i="48" s="1"/>
  <c r="N31" i="48"/>
  <c r="M39" i="50" l="1"/>
  <c r="L28" i="52"/>
  <c r="L30" i="52" s="1"/>
  <c r="L31" i="52" s="1"/>
  <c r="M28" i="50"/>
  <c r="M30" i="50" s="1"/>
  <c r="M31" i="50" s="1"/>
  <c r="M26" i="51"/>
  <c r="L32" i="51"/>
  <c r="L38" i="51" s="1"/>
  <c r="J47" i="50"/>
  <c r="K45" i="50"/>
  <c r="O22" i="49"/>
  <c r="O23" i="49" s="1"/>
  <c r="O24" i="49" s="1"/>
  <c r="M31" i="49"/>
  <c r="J47" i="51"/>
  <c r="K45" i="51"/>
  <c r="M22" i="52"/>
  <c r="M23" i="52" s="1"/>
  <c r="M24" i="52" s="1"/>
  <c r="M35" i="52" s="1"/>
  <c r="N22" i="50"/>
  <c r="N23" i="50" s="1"/>
  <c r="N24" i="50" s="1"/>
  <c r="N35" i="50" s="1"/>
  <c r="K38" i="52"/>
  <c r="M27" i="51"/>
  <c r="M34" i="51" s="1"/>
  <c r="L46" i="49"/>
  <c r="L44" i="49"/>
  <c r="N28" i="49"/>
  <c r="N30" i="49" s="1"/>
  <c r="N32" i="49" s="1"/>
  <c r="N39" i="49"/>
  <c r="O39" i="48"/>
  <c r="O38" i="48" s="1"/>
  <c r="O40" i="48" s="1"/>
  <c r="O41" i="48" s="1"/>
  <c r="P26" i="48"/>
  <c r="M46" i="48"/>
  <c r="M44" i="48"/>
  <c r="O31" i="48"/>
  <c r="P35" i="48"/>
  <c r="P27" i="48"/>
  <c r="P28" i="48" s="1"/>
  <c r="P30" i="48" s="1"/>
  <c r="M32" i="50" l="1"/>
  <c r="M38" i="50" s="1"/>
  <c r="M40" i="50" s="1"/>
  <c r="M41" i="50" s="1"/>
  <c r="L32" i="52"/>
  <c r="O26" i="49"/>
  <c r="N38" i="49"/>
  <c r="N40" i="49" s="1"/>
  <c r="N41" i="49" s="1"/>
  <c r="M26" i="52"/>
  <c r="M28" i="51"/>
  <c r="M30" i="51" s="1"/>
  <c r="M31" i="51" s="1"/>
  <c r="N26" i="50"/>
  <c r="K46" i="50"/>
  <c r="K47" i="50" s="1"/>
  <c r="K44" i="50"/>
  <c r="K40" i="52"/>
  <c r="L39" i="52"/>
  <c r="L38" i="52" s="1"/>
  <c r="L40" i="52" s="1"/>
  <c r="L41" i="52" s="1"/>
  <c r="M27" i="52"/>
  <c r="M34" i="52" s="1"/>
  <c r="N31" i="49"/>
  <c r="K46" i="51"/>
  <c r="K47" i="51" s="1"/>
  <c r="K44" i="51"/>
  <c r="L47" i="49"/>
  <c r="M45" i="49"/>
  <c r="N22" i="51"/>
  <c r="N23" i="51" s="1"/>
  <c r="N24" i="51" s="1"/>
  <c r="O35" i="49"/>
  <c r="O27" i="49"/>
  <c r="O34" i="49" s="1"/>
  <c r="N27" i="50"/>
  <c r="N34" i="50" s="1"/>
  <c r="M39" i="51"/>
  <c r="L40" i="51"/>
  <c r="L41" i="51" s="1"/>
  <c r="M47" i="48"/>
  <c r="N45" i="48"/>
  <c r="P32" i="48"/>
  <c r="P31" i="48"/>
  <c r="P34" i="48"/>
  <c r="P39" i="48"/>
  <c r="M28" i="52" l="1"/>
  <c r="M30" i="52" s="1"/>
  <c r="M31" i="52" s="1"/>
  <c r="M32" i="51"/>
  <c r="N26" i="51"/>
  <c r="N39" i="50"/>
  <c r="L45" i="50"/>
  <c r="M46" i="49"/>
  <c r="M44" i="49"/>
  <c r="O22" i="50"/>
  <c r="O23" i="50" s="1"/>
  <c r="O24" i="50" s="1"/>
  <c r="P22" i="49"/>
  <c r="P23" i="49" s="1"/>
  <c r="P24" i="49" s="1"/>
  <c r="O28" i="49"/>
  <c r="M39" i="52"/>
  <c r="N35" i="51"/>
  <c r="N27" i="51"/>
  <c r="N34" i="51" s="1"/>
  <c r="N22" i="52"/>
  <c r="N23" i="52" s="1"/>
  <c r="N24" i="52" s="1"/>
  <c r="L45" i="51"/>
  <c r="K41" i="52"/>
  <c r="K45" i="52"/>
  <c r="M38" i="51"/>
  <c r="N28" i="50"/>
  <c r="N30" i="50" s="1"/>
  <c r="O39" i="49"/>
  <c r="P38" i="48"/>
  <c r="P40" i="48" s="1"/>
  <c r="N46" i="48"/>
  <c r="N44" i="48"/>
  <c r="Q22" i="48"/>
  <c r="Q23" i="48" s="1"/>
  <c r="Q24" i="48" s="1"/>
  <c r="O26" i="50" l="1"/>
  <c r="N26" i="52"/>
  <c r="K44" i="52"/>
  <c r="L44" i="50"/>
  <c r="L46" i="50"/>
  <c r="L47" i="50" s="1"/>
  <c r="K46" i="52"/>
  <c r="K47" i="52" s="1"/>
  <c r="L44" i="51"/>
  <c r="L46" i="51"/>
  <c r="L47" i="51" s="1"/>
  <c r="N27" i="52"/>
  <c r="N34" i="52" s="1"/>
  <c r="N28" i="51"/>
  <c r="O30" i="49"/>
  <c r="O31" i="49" s="1"/>
  <c r="M40" i="51"/>
  <c r="M41" i="51" s="1"/>
  <c r="N39" i="51"/>
  <c r="M32" i="52"/>
  <c r="P27" i="49"/>
  <c r="P34" i="49" s="1"/>
  <c r="N32" i="50"/>
  <c r="N38" i="50" s="1"/>
  <c r="N40" i="50" s="1"/>
  <c r="N41" i="50" s="1"/>
  <c r="N31" i="50"/>
  <c r="M47" i="49"/>
  <c r="N45" i="49"/>
  <c r="O22" i="51"/>
  <c r="O23" i="51" s="1"/>
  <c r="O24" i="51" s="1"/>
  <c r="P35" i="49"/>
  <c r="P26" i="49"/>
  <c r="O35" i="50"/>
  <c r="O27" i="50"/>
  <c r="O34" i="50" s="1"/>
  <c r="N35" i="52"/>
  <c r="N47" i="48"/>
  <c r="O45" i="48"/>
  <c r="Q27" i="48"/>
  <c r="Q34" i="48" s="1"/>
  <c r="Q35" i="48"/>
  <c r="Q26" i="48"/>
  <c r="P41" i="48"/>
  <c r="L45" i="52" l="1"/>
  <c r="L46" i="52" s="1"/>
  <c r="L47" i="52" s="1"/>
  <c r="P28" i="49"/>
  <c r="P30" i="49" s="1"/>
  <c r="P32" i="49" s="1"/>
  <c r="O28" i="50"/>
  <c r="N28" i="52"/>
  <c r="N30" i="52" s="1"/>
  <c r="M45" i="50"/>
  <c r="M44" i="50" s="1"/>
  <c r="M45" i="51"/>
  <c r="O26" i="51"/>
  <c r="N44" i="49"/>
  <c r="N46" i="49"/>
  <c r="Q22" i="49"/>
  <c r="Q23" i="49" s="1"/>
  <c r="Q24" i="49" s="1"/>
  <c r="Q35" i="49" s="1"/>
  <c r="O32" i="49"/>
  <c r="O38" i="49" s="1"/>
  <c r="N30" i="51"/>
  <c r="N31" i="51" s="1"/>
  <c r="O22" i="52"/>
  <c r="O23" i="52" s="1"/>
  <c r="O24" i="52" s="1"/>
  <c r="O35" i="52" s="1"/>
  <c r="P22" i="50"/>
  <c r="P23" i="50" s="1"/>
  <c r="P24" i="50" s="1"/>
  <c r="P35" i="50" s="1"/>
  <c r="O35" i="51"/>
  <c r="O27" i="51"/>
  <c r="O34" i="51" s="1"/>
  <c r="O39" i="50"/>
  <c r="M38" i="52"/>
  <c r="Q28" i="48"/>
  <c r="Q30" i="48" s="1"/>
  <c r="Q31" i="48" s="1"/>
  <c r="Q39" i="48"/>
  <c r="O46" i="48"/>
  <c r="O47" i="48" s="1"/>
  <c r="O44" i="48"/>
  <c r="R22" i="48"/>
  <c r="R23" i="48" s="1"/>
  <c r="R24" i="48" s="1"/>
  <c r="L44" i="52" l="1"/>
  <c r="P31" i="49"/>
  <c r="M46" i="50"/>
  <c r="Q26" i="49"/>
  <c r="O30" i="50"/>
  <c r="O31" i="50" s="1"/>
  <c r="O26" i="52"/>
  <c r="M46" i="51"/>
  <c r="M47" i="51" s="1"/>
  <c r="M44" i="51"/>
  <c r="N32" i="51"/>
  <c r="N38" i="51" s="1"/>
  <c r="N40" i="51" s="1"/>
  <c r="N41" i="51" s="1"/>
  <c r="M47" i="50"/>
  <c r="N45" i="50"/>
  <c r="O28" i="51"/>
  <c r="P22" i="51"/>
  <c r="P23" i="51" s="1"/>
  <c r="P24" i="51" s="1"/>
  <c r="P35" i="51" s="1"/>
  <c r="P26" i="50"/>
  <c r="N31" i="52"/>
  <c r="P27" i="50"/>
  <c r="P34" i="50" s="1"/>
  <c r="O27" i="52"/>
  <c r="O34" i="52" s="1"/>
  <c r="M40" i="52"/>
  <c r="N39" i="52"/>
  <c r="O40" i="49"/>
  <c r="P39" i="49"/>
  <c r="N32" i="52"/>
  <c r="Q27" i="49"/>
  <c r="Q34" i="49" s="1"/>
  <c r="N47" i="49"/>
  <c r="Q32" i="48"/>
  <c r="Q38" i="48" s="1"/>
  <c r="Q40" i="48" s="1"/>
  <c r="Q41" i="48" s="1"/>
  <c r="P45" i="48"/>
  <c r="R26" i="48"/>
  <c r="R35" i="48"/>
  <c r="R27" i="48"/>
  <c r="R28" i="48" s="1"/>
  <c r="O32" i="50" l="1"/>
  <c r="O38" i="50" s="1"/>
  <c r="O40" i="50" s="1"/>
  <c r="O41" i="50" s="1"/>
  <c r="N45" i="51"/>
  <c r="P26" i="51"/>
  <c r="O39" i="51"/>
  <c r="P28" i="50"/>
  <c r="P30" i="50" s="1"/>
  <c r="P31" i="50" s="1"/>
  <c r="O28" i="52"/>
  <c r="O30" i="52" s="1"/>
  <c r="O32" i="52" s="1"/>
  <c r="N44" i="50"/>
  <c r="N46" i="50"/>
  <c r="N47" i="50" s="1"/>
  <c r="Q28" i="49"/>
  <c r="Q30" i="49" s="1"/>
  <c r="Q31" i="49" s="1"/>
  <c r="N38" i="52"/>
  <c r="N40" i="52" s="1"/>
  <c r="N41" i="52" s="1"/>
  <c r="M41" i="52"/>
  <c r="O41" i="49"/>
  <c r="R22" i="49"/>
  <c r="R23" i="49" s="1"/>
  <c r="R24" i="49" s="1"/>
  <c r="R35" i="49" s="1"/>
  <c r="P38" i="49"/>
  <c r="P40" i="49" s="1"/>
  <c r="P41" i="49" s="1"/>
  <c r="P22" i="52"/>
  <c r="P23" i="52" s="1"/>
  <c r="P24" i="52" s="1"/>
  <c r="Q22" i="50"/>
  <c r="Q23" i="50" s="1"/>
  <c r="Q24" i="50" s="1"/>
  <c r="M45" i="52"/>
  <c r="P27" i="51"/>
  <c r="P34" i="51" s="1"/>
  <c r="O45" i="49"/>
  <c r="O30" i="51"/>
  <c r="O32" i="51" s="1"/>
  <c r="P46" i="48"/>
  <c r="P44" i="48"/>
  <c r="R30" i="48"/>
  <c r="R31" i="48" s="1"/>
  <c r="R34" i="48"/>
  <c r="R39" i="48"/>
  <c r="P39" i="50" l="1"/>
  <c r="P28" i="51"/>
  <c r="P30" i="51" s="1"/>
  <c r="P32" i="51" s="1"/>
  <c r="O45" i="50"/>
  <c r="O46" i="50" s="1"/>
  <c r="O47" i="50" s="1"/>
  <c r="P26" i="52"/>
  <c r="R26" i="49"/>
  <c r="O39" i="52"/>
  <c r="O38" i="52" s="1"/>
  <c r="O40" i="52" s="1"/>
  <c r="O41" i="52" s="1"/>
  <c r="N46" i="51"/>
  <c r="N47" i="51" s="1"/>
  <c r="N44" i="51"/>
  <c r="M46" i="52"/>
  <c r="M47" i="52" s="1"/>
  <c r="O38" i="51"/>
  <c r="O44" i="49"/>
  <c r="O31" i="51"/>
  <c r="Q22" i="51"/>
  <c r="Q23" i="51" s="1"/>
  <c r="Q24" i="51" s="1"/>
  <c r="Q35" i="50"/>
  <c r="Q27" i="50"/>
  <c r="Q34" i="50" s="1"/>
  <c r="P32" i="50"/>
  <c r="R27" i="49"/>
  <c r="R34" i="49" s="1"/>
  <c r="M44" i="52"/>
  <c r="Q39" i="49"/>
  <c r="Q32" i="49"/>
  <c r="O46" i="49"/>
  <c r="O47" i="49" s="1"/>
  <c r="O31" i="52"/>
  <c r="Q26" i="50"/>
  <c r="P35" i="52"/>
  <c r="P27" i="52"/>
  <c r="P34" i="52" s="1"/>
  <c r="P47" i="48"/>
  <c r="Q45" i="48"/>
  <c r="R32" i="48"/>
  <c r="R38" i="48" s="1"/>
  <c r="R40" i="48" s="1"/>
  <c r="S22" i="48"/>
  <c r="S23" i="48" s="1"/>
  <c r="S24" i="48" s="1"/>
  <c r="O44" i="50"/>
  <c r="P38" i="50" l="1"/>
  <c r="N45" i="52"/>
  <c r="P28" i="52"/>
  <c r="P30" i="52" s="1"/>
  <c r="P32" i="52" s="1"/>
  <c r="Q28" i="50"/>
  <c r="Q30" i="50" s="1"/>
  <c r="Q31" i="50" s="1"/>
  <c r="Q26" i="51"/>
  <c r="P45" i="49"/>
  <c r="P46" i="49" s="1"/>
  <c r="Q35" i="51"/>
  <c r="Q27" i="51"/>
  <c r="Q34" i="51" s="1"/>
  <c r="P31" i="51"/>
  <c r="S22" i="49"/>
  <c r="S23" i="49" s="1"/>
  <c r="S24" i="49" s="1"/>
  <c r="Q22" i="52"/>
  <c r="Q23" i="52" s="1"/>
  <c r="Q24" i="52" s="1"/>
  <c r="P40" i="50"/>
  <c r="Q39" i="50"/>
  <c r="R22" i="50"/>
  <c r="R23" i="50" s="1"/>
  <c r="R24" i="50" s="1"/>
  <c r="R35" i="50" s="1"/>
  <c r="P39" i="52"/>
  <c r="Q38" i="49"/>
  <c r="Q40" i="49" s="1"/>
  <c r="Q41" i="49" s="1"/>
  <c r="N44" i="52"/>
  <c r="N46" i="52"/>
  <c r="N47" i="52" s="1"/>
  <c r="R28" i="49"/>
  <c r="R30" i="49" s="1"/>
  <c r="O40" i="51"/>
  <c r="P39" i="51"/>
  <c r="P38" i="51" s="1"/>
  <c r="P40" i="51" s="1"/>
  <c r="P41" i="51" s="1"/>
  <c r="Q46" i="48"/>
  <c r="Q47" i="48" s="1"/>
  <c r="Q44" i="48"/>
  <c r="S26" i="48"/>
  <c r="R41" i="48"/>
  <c r="S27" i="48"/>
  <c r="S34" i="48" s="1"/>
  <c r="S35" i="48"/>
  <c r="P44" i="49" l="1"/>
  <c r="Q28" i="51"/>
  <c r="Q30" i="51" s="1"/>
  <c r="Q32" i="51" s="1"/>
  <c r="R39" i="49"/>
  <c r="O45" i="52"/>
  <c r="O46" i="52" s="1"/>
  <c r="O47" i="52" s="1"/>
  <c r="R26" i="50"/>
  <c r="S35" i="49"/>
  <c r="S27" i="49"/>
  <c r="S34" i="49" s="1"/>
  <c r="Q32" i="50"/>
  <c r="Q38" i="50" s="1"/>
  <c r="Q40" i="50" s="1"/>
  <c r="Q41" i="50" s="1"/>
  <c r="Q39" i="51"/>
  <c r="O41" i="51"/>
  <c r="O45" i="51"/>
  <c r="P41" i="50"/>
  <c r="P45" i="50"/>
  <c r="R32" i="49"/>
  <c r="R38" i="49" s="1"/>
  <c r="R40" i="49" s="1"/>
  <c r="R41" i="49" s="1"/>
  <c r="R31" i="49"/>
  <c r="S26" i="49"/>
  <c r="P47" i="49"/>
  <c r="Q45" i="49"/>
  <c r="P38" i="52"/>
  <c r="P40" i="52" s="1"/>
  <c r="P41" i="52" s="1"/>
  <c r="R27" i="50"/>
  <c r="R34" i="50" s="1"/>
  <c r="Q27" i="52"/>
  <c r="Q34" i="52" s="1"/>
  <c r="R22" i="51"/>
  <c r="R23" i="51" s="1"/>
  <c r="R24" i="51" s="1"/>
  <c r="R35" i="51" s="1"/>
  <c r="P31" i="52"/>
  <c r="Q26" i="52"/>
  <c r="Q35" i="52"/>
  <c r="R45" i="48"/>
  <c r="R46" i="48" s="1"/>
  <c r="R47" i="48" s="1"/>
  <c r="S39" i="48"/>
  <c r="S28" i="48"/>
  <c r="S30" i="48" s="1"/>
  <c r="S32" i="48" s="1"/>
  <c r="T22" i="48"/>
  <c r="T23" i="48" s="1"/>
  <c r="T24" i="48" s="1"/>
  <c r="T35" i="48" s="1"/>
  <c r="Q38" i="51" l="1"/>
  <c r="Q40" i="51" s="1"/>
  <c r="Q41" i="51" s="1"/>
  <c r="O44" i="52"/>
  <c r="O44" i="51"/>
  <c r="R26" i="51"/>
  <c r="O46" i="51"/>
  <c r="O47" i="51" s="1"/>
  <c r="R28" i="50"/>
  <c r="R30" i="50" s="1"/>
  <c r="R31" i="50" s="1"/>
  <c r="S28" i="49"/>
  <c r="S30" i="49" s="1"/>
  <c r="S32" i="49" s="1"/>
  <c r="Q31" i="51"/>
  <c r="Q39" i="52"/>
  <c r="P45" i="52"/>
  <c r="P46" i="52" s="1"/>
  <c r="P47" i="52" s="1"/>
  <c r="P46" i="50"/>
  <c r="P47" i="50" s="1"/>
  <c r="Q46" i="49"/>
  <c r="Q47" i="49" s="1"/>
  <c r="Q44" i="49"/>
  <c r="R22" i="52"/>
  <c r="R23" i="52" s="1"/>
  <c r="R24" i="52" s="1"/>
  <c r="S22" i="50"/>
  <c r="S23" i="50" s="1"/>
  <c r="S24" i="50" s="1"/>
  <c r="P44" i="50"/>
  <c r="T22" i="49"/>
  <c r="T23" i="49" s="1"/>
  <c r="T24" i="49" s="1"/>
  <c r="R39" i="50"/>
  <c r="R27" i="51"/>
  <c r="R34" i="51" s="1"/>
  <c r="Q28" i="52"/>
  <c r="S39" i="49"/>
  <c r="R44" i="48"/>
  <c r="S38" i="48"/>
  <c r="S40" i="48" s="1"/>
  <c r="S41" i="48" s="1"/>
  <c r="S31" i="48"/>
  <c r="T26" i="48"/>
  <c r="T27" i="48"/>
  <c r="T34" i="48" s="1"/>
  <c r="P44" i="52" l="1"/>
  <c r="P45" i="51"/>
  <c r="R45" i="49"/>
  <c r="R46" i="49" s="1"/>
  <c r="R47" i="49" s="1"/>
  <c r="S31" i="49"/>
  <c r="T26" i="49"/>
  <c r="R28" i="51"/>
  <c r="R30" i="51" s="1"/>
  <c r="R31" i="51" s="1"/>
  <c r="R39" i="51"/>
  <c r="Q45" i="50"/>
  <c r="S26" i="50"/>
  <c r="R32" i="50"/>
  <c r="R38" i="50" s="1"/>
  <c r="R40" i="50" s="1"/>
  <c r="R41" i="50" s="1"/>
  <c r="S38" i="49"/>
  <c r="S40" i="49" s="1"/>
  <c r="S41" i="49" s="1"/>
  <c r="R35" i="52"/>
  <c r="R27" i="52"/>
  <c r="R34" i="52" s="1"/>
  <c r="S35" i="50"/>
  <c r="S27" i="50"/>
  <c r="S34" i="50" s="1"/>
  <c r="P46" i="51"/>
  <c r="P44" i="51"/>
  <c r="R26" i="52"/>
  <c r="Q30" i="52"/>
  <c r="Q31" i="52" s="1"/>
  <c r="T35" i="49"/>
  <c r="T27" i="49"/>
  <c r="T34" i="49" s="1"/>
  <c r="S22" i="51"/>
  <c r="S23" i="51" s="1"/>
  <c r="S24" i="51" s="1"/>
  <c r="S45" i="48"/>
  <c r="S44" i="48" s="1"/>
  <c r="T39" i="48"/>
  <c r="T28" i="48"/>
  <c r="T30" i="48" s="1"/>
  <c r="T31" i="48" s="1"/>
  <c r="U22" i="48"/>
  <c r="U23" i="48" s="1"/>
  <c r="U24" i="48" s="1"/>
  <c r="R44" i="49" l="1"/>
  <c r="S26" i="51"/>
  <c r="T28" i="49"/>
  <c r="T30" i="49" s="1"/>
  <c r="S45" i="49"/>
  <c r="S46" i="49" s="1"/>
  <c r="S47" i="49" s="1"/>
  <c r="Q32" i="52"/>
  <c r="Q38" i="52" s="1"/>
  <c r="R32" i="51"/>
  <c r="R38" i="51" s="1"/>
  <c r="R40" i="51" s="1"/>
  <c r="R41" i="51" s="1"/>
  <c r="S28" i="50"/>
  <c r="S30" i="50" s="1"/>
  <c r="S32" i="50" s="1"/>
  <c r="T39" i="49"/>
  <c r="Q46" i="50"/>
  <c r="Q44" i="50"/>
  <c r="P47" i="51"/>
  <c r="Q45" i="51"/>
  <c r="T22" i="50"/>
  <c r="T23" i="50" s="1"/>
  <c r="T24" i="50" s="1"/>
  <c r="R28" i="52"/>
  <c r="R30" i="52" s="1"/>
  <c r="R32" i="52" s="1"/>
  <c r="S22" i="52"/>
  <c r="S23" i="52" s="1"/>
  <c r="S24" i="52" s="1"/>
  <c r="S35" i="52" s="1"/>
  <c r="S39" i="50"/>
  <c r="S35" i="51"/>
  <c r="S27" i="51"/>
  <c r="S28" i="51" s="1"/>
  <c r="U22" i="49"/>
  <c r="U23" i="49" s="1"/>
  <c r="U24" i="49" s="1"/>
  <c r="S46" i="48"/>
  <c r="S47" i="48" s="1"/>
  <c r="T32" i="48"/>
  <c r="T38" i="48" s="1"/>
  <c r="T40" i="48" s="1"/>
  <c r="U26" i="48"/>
  <c r="U35" i="48"/>
  <c r="U27" i="48"/>
  <c r="U34" i="48" s="1"/>
  <c r="S44" i="49" l="1"/>
  <c r="T26" i="50"/>
  <c r="S26" i="52"/>
  <c r="T32" i="49"/>
  <c r="T38" i="49" s="1"/>
  <c r="T31" i="49"/>
  <c r="U26" i="49"/>
  <c r="S31" i="50"/>
  <c r="Q47" i="50"/>
  <c r="R45" i="50"/>
  <c r="U35" i="49"/>
  <c r="U27" i="49"/>
  <c r="U34" i="49" s="1"/>
  <c r="S30" i="51"/>
  <c r="S31" i="51" s="1"/>
  <c r="S27" i="52"/>
  <c r="S34" i="52" s="1"/>
  <c r="T35" i="50"/>
  <c r="T27" i="50"/>
  <c r="T34" i="50" s="1"/>
  <c r="S34" i="51"/>
  <c r="S39" i="51"/>
  <c r="Q40" i="52"/>
  <c r="R39" i="52"/>
  <c r="Q44" i="51"/>
  <c r="Q46" i="51"/>
  <c r="S38" i="50"/>
  <c r="S40" i="50" s="1"/>
  <c r="S41" i="50" s="1"/>
  <c r="R31" i="52"/>
  <c r="T45" i="48"/>
  <c r="U39" i="48"/>
  <c r="U28" i="48"/>
  <c r="U30" i="48" s="1"/>
  <c r="U31" i="48" s="1"/>
  <c r="V22" i="48"/>
  <c r="V23" i="48" s="1"/>
  <c r="V24" i="48" s="1"/>
  <c r="T41" i="48"/>
  <c r="T40" i="49" l="1"/>
  <c r="U39" i="49"/>
  <c r="T44" i="48"/>
  <c r="T28" i="50"/>
  <c r="S28" i="52"/>
  <c r="U28" i="49"/>
  <c r="U30" i="49" s="1"/>
  <c r="U31" i="49" s="1"/>
  <c r="R46" i="50"/>
  <c r="R44" i="50"/>
  <c r="Q47" i="51"/>
  <c r="R45" i="51"/>
  <c r="T22" i="51"/>
  <c r="T23" i="51" s="1"/>
  <c r="T24" i="51" s="1"/>
  <c r="T35" i="51" s="1"/>
  <c r="S32" i="51"/>
  <c r="S38" i="51" s="1"/>
  <c r="Q41" i="52"/>
  <c r="Q45" i="52"/>
  <c r="T22" i="52"/>
  <c r="T23" i="52" s="1"/>
  <c r="T24" i="52" s="1"/>
  <c r="V22" i="49"/>
  <c r="V23" i="49" s="1"/>
  <c r="V24" i="49" s="1"/>
  <c r="S39" i="52"/>
  <c r="T30" i="50"/>
  <c r="T31" i="50" s="1"/>
  <c r="U22" i="50"/>
  <c r="U23" i="50" s="1"/>
  <c r="U24" i="50" s="1"/>
  <c r="S30" i="52"/>
  <c r="S31" i="52" s="1"/>
  <c r="T39" i="50"/>
  <c r="R38" i="52"/>
  <c r="R40" i="52" s="1"/>
  <c r="V35" i="48"/>
  <c r="V27" i="48"/>
  <c r="V34" i="48" s="1"/>
  <c r="T46" i="48"/>
  <c r="U32" i="48"/>
  <c r="U38" i="48" s="1"/>
  <c r="V26" i="48"/>
  <c r="T41" i="49" l="1"/>
  <c r="T45" i="49"/>
  <c r="Q44" i="52"/>
  <c r="T26" i="51"/>
  <c r="T26" i="52"/>
  <c r="U32" i="49"/>
  <c r="U38" i="49" s="1"/>
  <c r="U40" i="49" s="1"/>
  <c r="U41" i="49" s="1"/>
  <c r="S32" i="52"/>
  <c r="S38" i="52" s="1"/>
  <c r="S40" i="52" s="1"/>
  <c r="S41" i="52" s="1"/>
  <c r="T32" i="50"/>
  <c r="T38" i="50" s="1"/>
  <c r="T40" i="50" s="1"/>
  <c r="T41" i="50" s="1"/>
  <c r="Q46" i="52"/>
  <c r="Q47" i="52" s="1"/>
  <c r="R47" i="50"/>
  <c r="S45" i="50"/>
  <c r="U27" i="50"/>
  <c r="U34" i="50" s="1"/>
  <c r="T27" i="52"/>
  <c r="T34" i="52" s="1"/>
  <c r="U26" i="50"/>
  <c r="V26" i="49"/>
  <c r="R41" i="52"/>
  <c r="T27" i="51"/>
  <c r="T34" i="51" s="1"/>
  <c r="U35" i="50"/>
  <c r="S40" i="51"/>
  <c r="S41" i="51" s="1"/>
  <c r="R46" i="51"/>
  <c r="R44" i="51"/>
  <c r="V35" i="49"/>
  <c r="V27" i="49"/>
  <c r="V34" i="49" s="1"/>
  <c r="T35" i="52"/>
  <c r="W22" i="48"/>
  <c r="W23" i="48" s="1"/>
  <c r="W24" i="48" s="1"/>
  <c r="T47" i="48"/>
  <c r="V28" i="48"/>
  <c r="V30" i="48" s="1"/>
  <c r="U40" i="48"/>
  <c r="V39" i="48"/>
  <c r="R45" i="52" l="1"/>
  <c r="R46" i="52" s="1"/>
  <c r="R47" i="52" s="1"/>
  <c r="T28" i="52"/>
  <c r="U28" i="50"/>
  <c r="T46" i="49"/>
  <c r="T44" i="49"/>
  <c r="V28" i="49"/>
  <c r="V30" i="49" s="1"/>
  <c r="V32" i="49" s="1"/>
  <c r="V39" i="49"/>
  <c r="T39" i="51"/>
  <c r="T28" i="51"/>
  <c r="T30" i="51" s="1"/>
  <c r="T32" i="51" s="1"/>
  <c r="S46" i="50"/>
  <c r="S47" i="50" s="1"/>
  <c r="S44" i="50"/>
  <c r="U22" i="52"/>
  <c r="U23" i="52" s="1"/>
  <c r="U24" i="52" s="1"/>
  <c r="U22" i="51"/>
  <c r="U23" i="51" s="1"/>
  <c r="U24" i="51" s="1"/>
  <c r="T39" i="52"/>
  <c r="R47" i="51"/>
  <c r="S45" i="51"/>
  <c r="S44" i="51" s="1"/>
  <c r="V22" i="50"/>
  <c r="V23" i="50" s="1"/>
  <c r="V24" i="50" s="1"/>
  <c r="V35" i="50" s="1"/>
  <c r="T30" i="52"/>
  <c r="T32" i="52" s="1"/>
  <c r="W22" i="49"/>
  <c r="W23" i="49" s="1"/>
  <c r="W24" i="49" s="1"/>
  <c r="W35" i="49" s="1"/>
  <c r="U39" i="50"/>
  <c r="W26" i="48"/>
  <c r="U41" i="48"/>
  <c r="U45" i="48"/>
  <c r="V32" i="48"/>
  <c r="V38" i="48" s="1"/>
  <c r="V31" i="48"/>
  <c r="W35" i="48"/>
  <c r="W27" i="48"/>
  <c r="W34" i="48" s="1"/>
  <c r="R44" i="52" l="1"/>
  <c r="V38" i="49"/>
  <c r="V40" i="49" s="1"/>
  <c r="V41" i="49" s="1"/>
  <c r="V31" i="49"/>
  <c r="T45" i="50"/>
  <c r="T46" i="50" s="1"/>
  <c r="T47" i="50" s="1"/>
  <c r="T38" i="51"/>
  <c r="T40" i="51" s="1"/>
  <c r="T41" i="51" s="1"/>
  <c r="T31" i="51"/>
  <c r="U30" i="50"/>
  <c r="U31" i="50" s="1"/>
  <c r="T47" i="49"/>
  <c r="U45" i="49"/>
  <c r="W26" i="49"/>
  <c r="U26" i="52"/>
  <c r="T38" i="52"/>
  <c r="T40" i="52" s="1"/>
  <c r="T41" i="52" s="1"/>
  <c r="V26" i="50"/>
  <c r="S46" i="51"/>
  <c r="S47" i="51" s="1"/>
  <c r="U26" i="51"/>
  <c r="U35" i="51"/>
  <c r="U27" i="51"/>
  <c r="U34" i="51" s="1"/>
  <c r="V27" i="50"/>
  <c r="V34" i="50" s="1"/>
  <c r="T31" i="52"/>
  <c r="W27" i="49"/>
  <c r="W28" i="49" s="1"/>
  <c r="S45" i="52"/>
  <c r="U35" i="52"/>
  <c r="U27" i="52"/>
  <c r="U34" i="52" s="1"/>
  <c r="U46" i="48"/>
  <c r="U47" i="48" s="1"/>
  <c r="W28" i="48"/>
  <c r="W30" i="48" s="1"/>
  <c r="W31" i="48" s="1"/>
  <c r="V40" i="48"/>
  <c r="W39" i="48"/>
  <c r="U44" i="48"/>
  <c r="T44" i="50" l="1"/>
  <c r="U32" i="50"/>
  <c r="U38" i="50" s="1"/>
  <c r="U40" i="50" s="1"/>
  <c r="U41" i="50" s="1"/>
  <c r="U46" i="49"/>
  <c r="U47" i="49" s="1"/>
  <c r="U44" i="49"/>
  <c r="V28" i="50"/>
  <c r="V30" i="50" s="1"/>
  <c r="V31" i="50" s="1"/>
  <c r="U28" i="51"/>
  <c r="U30" i="51" s="1"/>
  <c r="U31" i="51" s="1"/>
  <c r="U39" i="52"/>
  <c r="U28" i="52"/>
  <c r="U30" i="52" s="1"/>
  <c r="W30" i="49"/>
  <c r="W31" i="49" s="1"/>
  <c r="U39" i="51"/>
  <c r="T45" i="51"/>
  <c r="S46" i="52"/>
  <c r="S47" i="52" s="1"/>
  <c r="S44" i="52"/>
  <c r="W34" i="49"/>
  <c r="W39" i="49"/>
  <c r="W22" i="50"/>
  <c r="W23" i="50" s="1"/>
  <c r="W24" i="50" s="1"/>
  <c r="V22" i="52"/>
  <c r="V23" i="52" s="1"/>
  <c r="V24" i="52" s="1"/>
  <c r="V22" i="51"/>
  <c r="V23" i="51" s="1"/>
  <c r="V24" i="51" s="1"/>
  <c r="V45" i="48"/>
  <c r="W32" i="48"/>
  <c r="W38" i="48" s="1"/>
  <c r="W40" i="48" s="1"/>
  <c r="W41" i="48" s="1"/>
  <c r="V41" i="48"/>
  <c r="V32" i="50" l="1"/>
  <c r="U45" i="50"/>
  <c r="U46" i="50" s="1"/>
  <c r="U47" i="50" s="1"/>
  <c r="V39" i="50"/>
  <c r="V45" i="49"/>
  <c r="V44" i="49" s="1"/>
  <c r="U32" i="51"/>
  <c r="U38" i="51" s="1"/>
  <c r="U40" i="51" s="1"/>
  <c r="U41" i="51" s="1"/>
  <c r="V26" i="51"/>
  <c r="T45" i="52"/>
  <c r="T44" i="52" s="1"/>
  <c r="W26" i="50"/>
  <c r="V26" i="52"/>
  <c r="V35" i="51"/>
  <c r="V27" i="51"/>
  <c r="V34" i="51" s="1"/>
  <c r="W35" i="50"/>
  <c r="W27" i="50"/>
  <c r="W34" i="50" s="1"/>
  <c r="T46" i="51"/>
  <c r="T44" i="51"/>
  <c r="U31" i="52"/>
  <c r="V35" i="52"/>
  <c r="V27" i="52"/>
  <c r="V34" i="52" s="1"/>
  <c r="W32" i="49"/>
  <c r="W38" i="49" s="1"/>
  <c r="W40" i="49" s="1"/>
  <c r="U32" i="52"/>
  <c r="V44" i="48"/>
  <c r="V46" i="48"/>
  <c r="V38" i="50" l="1"/>
  <c r="V40" i="50" s="1"/>
  <c r="V41" i="50" s="1"/>
  <c r="T46" i="52"/>
  <c r="T47" i="52" s="1"/>
  <c r="U44" i="50"/>
  <c r="V46" i="49"/>
  <c r="V47" i="49" s="1"/>
  <c r="W28" i="50"/>
  <c r="W30" i="50" s="1"/>
  <c r="W32" i="50" s="1"/>
  <c r="V28" i="51"/>
  <c r="V30" i="51" s="1"/>
  <c r="V31" i="51" s="1"/>
  <c r="V28" i="52"/>
  <c r="V30" i="52" s="1"/>
  <c r="V32" i="52" s="1"/>
  <c r="W22" i="51"/>
  <c r="W23" i="51" s="1"/>
  <c r="W24" i="51" s="1"/>
  <c r="W35" i="51" s="1"/>
  <c r="V39" i="51"/>
  <c r="W22" i="52"/>
  <c r="W23" i="52" s="1"/>
  <c r="W24" i="52" s="1"/>
  <c r="T47" i="51"/>
  <c r="U45" i="51"/>
  <c r="U44" i="51" s="1"/>
  <c r="U38" i="52"/>
  <c r="W41" i="49"/>
  <c r="V47" i="48"/>
  <c r="W45" i="48"/>
  <c r="V45" i="50" l="1"/>
  <c r="V46" i="50" s="1"/>
  <c r="V47" i="50" s="1"/>
  <c r="W39" i="50"/>
  <c r="W38" i="50" s="1"/>
  <c r="W40" i="50" s="1"/>
  <c r="W41" i="50" s="1"/>
  <c r="W31" i="50"/>
  <c r="W45" i="49"/>
  <c r="W44" i="49" s="1"/>
  <c r="W26" i="51"/>
  <c r="W26" i="52"/>
  <c r="V31" i="52"/>
  <c r="U46" i="51"/>
  <c r="U47" i="51" s="1"/>
  <c r="V32" i="51"/>
  <c r="V38" i="51" s="1"/>
  <c r="V40" i="51" s="1"/>
  <c r="W35" i="52"/>
  <c r="W27" i="52"/>
  <c r="W34" i="52" s="1"/>
  <c r="W27" i="51"/>
  <c r="W34" i="51" s="1"/>
  <c r="U40" i="52"/>
  <c r="V39" i="52"/>
  <c r="W46" i="48"/>
  <c r="W47" i="48" s="1"/>
  <c r="W44" i="48"/>
  <c r="V44" i="50" l="1"/>
  <c r="W46" i="49"/>
  <c r="W47" i="49" s="1"/>
  <c r="W28" i="52"/>
  <c r="W30" i="52" s="1"/>
  <c r="W31" i="52" s="1"/>
  <c r="W45" i="50"/>
  <c r="W46" i="50" s="1"/>
  <c r="W47" i="50" s="1"/>
  <c r="V38" i="52"/>
  <c r="V40" i="52" s="1"/>
  <c r="W28" i="51"/>
  <c r="W39" i="51"/>
  <c r="V41" i="51"/>
  <c r="V45" i="51"/>
  <c r="U41" i="52"/>
  <c r="U45" i="52"/>
  <c r="W44" i="50" l="1"/>
  <c r="W32" i="52"/>
  <c r="U44" i="52"/>
  <c r="W30" i="51"/>
  <c r="W31" i="51" s="1"/>
  <c r="V41" i="52"/>
  <c r="W39" i="52"/>
  <c r="V46" i="51"/>
  <c r="V47" i="51" s="1"/>
  <c r="V44" i="51"/>
  <c r="U46" i="52"/>
  <c r="U47" i="52" s="1"/>
  <c r="W38" i="52" l="1"/>
  <c r="W40" i="52" s="1"/>
  <c r="W41" i="52" s="1"/>
  <c r="W32" i="51"/>
  <c r="W38" i="51" s="1"/>
  <c r="V45" i="52"/>
  <c r="V44" i="52" s="1"/>
  <c r="V46" i="52" l="1"/>
  <c r="V47" i="52" s="1"/>
  <c r="W40" i="51"/>
  <c r="W45" i="52" l="1"/>
  <c r="W44" i="52" s="1"/>
  <c r="W41" i="51"/>
  <c r="W45" i="51"/>
  <c r="W46" i="52" l="1"/>
  <c r="W47" i="52" s="1"/>
  <c r="W44" i="51"/>
  <c r="W46" i="51"/>
  <c r="W47" i="51" s="1"/>
  <c r="AH9" i="17"/>
  <c r="AH13" i="17" s="1"/>
  <c r="AI11" i="17"/>
  <c r="AI10" i="48" s="1"/>
  <c r="AI11" i="48" s="1"/>
  <c r="R59" i="10"/>
  <c r="Z58" i="17" s="1"/>
  <c r="Z9" i="51" s="1"/>
  <c r="Q7" i="1"/>
  <c r="J5" i="8" s="1"/>
  <c r="P7" i="1"/>
  <c r="I5" i="8" s="1"/>
  <c r="G5" i="8"/>
  <c r="H5" i="8"/>
  <c r="E20" i="8"/>
  <c r="G20" i="8" s="1"/>
  <c r="AH8" i="48" l="1"/>
  <c r="AH11" i="48" s="1"/>
  <c r="C62" i="16"/>
  <c r="Z74" i="17"/>
  <c r="Z9" i="52" s="1"/>
  <c r="Z26" i="17"/>
  <c r="Z9" i="49" s="1"/>
  <c r="Z42" i="17"/>
  <c r="Z9" i="50" s="1"/>
  <c r="AI13" i="17"/>
  <c r="I20" i="8"/>
  <c r="R7" i="1"/>
  <c r="K20" i="8" l="1"/>
  <c r="L5" i="8"/>
  <c r="C20" i="8" s="1"/>
  <c r="M20" i="8" l="1"/>
  <c r="N11" i="1"/>
  <c r="Q11" i="1" s="1"/>
  <c r="J9" i="8" s="1"/>
  <c r="P11" i="1"/>
  <c r="I9" i="8" s="1"/>
  <c r="G9" i="8"/>
  <c r="H9" i="8"/>
  <c r="E24" i="8"/>
  <c r="G24" i="8" s="1"/>
  <c r="P16" i="1" l="1"/>
  <c r="I14" i="8" s="1"/>
  <c r="I24" i="8"/>
  <c r="R11" i="1"/>
  <c r="L9" i="8" l="1"/>
  <c r="C24" i="8" s="1"/>
  <c r="K24" i="8"/>
  <c r="M24" i="8" l="1"/>
  <c r="N15" i="1"/>
  <c r="N16" i="1" s="1"/>
  <c r="G14" i="8" s="1"/>
  <c r="P15" i="1"/>
  <c r="I13" i="8" s="1"/>
  <c r="Q15" i="1"/>
  <c r="R15" i="1" s="1"/>
  <c r="R16" i="1" s="1"/>
  <c r="L14" i="8" s="1"/>
  <c r="E29" i="8" s="1"/>
  <c r="C5" i="9" s="1"/>
  <c r="O16" i="1"/>
  <c r="H14" i="8" s="1"/>
  <c r="G13" i="8"/>
  <c r="H13" i="8"/>
  <c r="E28" i="8"/>
  <c r="G28" i="8" s="1"/>
  <c r="I28" i="8" s="1"/>
  <c r="G29" i="8" l="1"/>
  <c r="AK7" i="10" s="1"/>
  <c r="L13" i="8"/>
  <c r="C28" i="8" s="1"/>
  <c r="C29" i="8" s="1"/>
  <c r="D29" i="8" s="1"/>
  <c r="J13" i="8"/>
  <c r="E5" i="9"/>
  <c r="C6" i="9"/>
  <c r="C7" i="9"/>
  <c r="D7" i="9" s="1"/>
  <c r="C8" i="9"/>
  <c r="C9" i="9"/>
  <c r="D5" i="9"/>
  <c r="R7" i="10"/>
  <c r="S7" i="10"/>
  <c r="T7" i="10"/>
  <c r="U7" i="10"/>
  <c r="V7" i="10"/>
  <c r="W7" i="10"/>
  <c r="Z7" i="10"/>
  <c r="P7" i="10"/>
  <c r="Q7" i="10"/>
  <c r="X7" i="10"/>
  <c r="Y7" i="10"/>
  <c r="AA7" i="10"/>
  <c r="K28" i="8"/>
  <c r="I29" i="8"/>
  <c r="Q16" i="1"/>
  <c r="J14" i="8" s="1"/>
  <c r="AJ7" i="10" l="1"/>
  <c r="AB7" i="10"/>
  <c r="AB9" i="10" s="1"/>
  <c r="AC7" i="10"/>
  <c r="AC8" i="10" s="1"/>
  <c r="AI7" i="10"/>
  <c r="AE7" i="10"/>
  <c r="AE9" i="10" s="1"/>
  <c r="AH7" i="10"/>
  <c r="AH8" i="10" s="1"/>
  <c r="AF7" i="10"/>
  <c r="AF11" i="10" s="1"/>
  <c r="AD7" i="10"/>
  <c r="AD9" i="10" s="1"/>
  <c r="AL7" i="10"/>
  <c r="AL8" i="10" s="1"/>
  <c r="F29" i="8"/>
  <c r="AG7" i="10"/>
  <c r="AG8" i="10" s="1"/>
  <c r="AM7" i="10"/>
  <c r="E7" i="9"/>
  <c r="C10" i="9"/>
  <c r="C19" i="9" s="1"/>
  <c r="C25" i="9" s="1"/>
  <c r="D6" i="9"/>
  <c r="E6" i="9"/>
  <c r="D9" i="9"/>
  <c r="E9" i="9"/>
  <c r="D8" i="9"/>
  <c r="E8" i="9"/>
  <c r="R11" i="10"/>
  <c r="R10" i="10"/>
  <c r="R9" i="10"/>
  <c r="R8" i="10"/>
  <c r="AN7" i="10"/>
  <c r="AO7" i="10"/>
  <c r="AP7" i="10"/>
  <c r="AQ7" i="10"/>
  <c r="AT7" i="10"/>
  <c r="AV7" i="10"/>
  <c r="AW7" i="10"/>
  <c r="AY7" i="10"/>
  <c r="AR7" i="10"/>
  <c r="AS7" i="10"/>
  <c r="AU7" i="10"/>
  <c r="AX7" i="10"/>
  <c r="H29" i="8"/>
  <c r="V11" i="10"/>
  <c r="V10" i="10"/>
  <c r="V9" i="10"/>
  <c r="V8" i="10"/>
  <c r="U10" i="10"/>
  <c r="U9" i="10"/>
  <c r="U8" i="10"/>
  <c r="U11" i="10"/>
  <c r="S8" i="10"/>
  <c r="S11" i="10"/>
  <c r="S10" i="10"/>
  <c r="S9" i="10"/>
  <c r="AJ11" i="10"/>
  <c r="AJ10" i="10"/>
  <c r="AJ9" i="10"/>
  <c r="AJ8" i="10"/>
  <c r="AI11" i="10"/>
  <c r="AI10" i="10"/>
  <c r="AI9" i="10"/>
  <c r="AI8" i="10"/>
  <c r="AH10" i="10"/>
  <c r="AH9" i="10"/>
  <c r="Y11" i="10"/>
  <c r="Y10" i="10"/>
  <c r="Y9" i="10"/>
  <c r="Y8" i="10"/>
  <c r="W11" i="10"/>
  <c r="W10" i="10"/>
  <c r="W9" i="10"/>
  <c r="W8" i="10"/>
  <c r="T9" i="10"/>
  <c r="T8" i="10"/>
  <c r="D10" i="16"/>
  <c r="T11" i="10"/>
  <c r="T10" i="10"/>
  <c r="AK11" i="10"/>
  <c r="AK10" i="10"/>
  <c r="AK9" i="10"/>
  <c r="AK8" i="10"/>
  <c r="M28" i="8"/>
  <c r="M29" i="8" s="1"/>
  <c r="K29" i="8"/>
  <c r="AE10" i="10"/>
  <c r="AB8" i="10"/>
  <c r="AA11" i="10"/>
  <c r="AA8" i="10"/>
  <c r="AA9" i="10"/>
  <c r="AA10" i="10"/>
  <c r="X11" i="10"/>
  <c r="X10" i="10"/>
  <c r="X9" i="10"/>
  <c r="X8" i="10"/>
  <c r="Q11" i="10"/>
  <c r="Q10" i="10"/>
  <c r="Q9" i="10"/>
  <c r="Q8" i="10"/>
  <c r="C10" i="16"/>
  <c r="C10" i="15"/>
  <c r="P11" i="10"/>
  <c r="P10" i="10"/>
  <c r="P9" i="10"/>
  <c r="P8" i="10"/>
  <c r="I34" i="1"/>
  <c r="Z11" i="10"/>
  <c r="Z10" i="10"/>
  <c r="Z9" i="10"/>
  <c r="Z8" i="10"/>
  <c r="AC10" i="10" l="1"/>
  <c r="AC9" i="10"/>
  <c r="AC11" i="10"/>
  <c r="AB10" i="10"/>
  <c r="AB11" i="10"/>
  <c r="AG9" i="10"/>
  <c r="K34" i="1"/>
  <c r="AF9" i="10"/>
  <c r="AF8" i="10"/>
  <c r="AD11" i="10"/>
  <c r="AF10" i="10"/>
  <c r="AM11" i="10"/>
  <c r="AM9" i="10"/>
  <c r="AM10" i="10"/>
  <c r="AM8" i="10"/>
  <c r="AE8" i="10"/>
  <c r="D10" i="15"/>
  <c r="AE11" i="10"/>
  <c r="D14" i="16" s="1"/>
  <c r="E19" i="9"/>
  <c r="D19" i="9"/>
  <c r="D10" i="9"/>
  <c r="AL9" i="10"/>
  <c r="AL10" i="10"/>
  <c r="AL11" i="10"/>
  <c r="AD10" i="10"/>
  <c r="D13" i="16" s="1"/>
  <c r="AG10" i="10"/>
  <c r="AD8" i="10"/>
  <c r="AG11" i="10"/>
  <c r="AH11" i="10"/>
  <c r="AH12" i="10" s="1"/>
  <c r="AH21" i="10" s="1"/>
  <c r="AH29" i="10" s="1"/>
  <c r="AH36" i="10" s="1"/>
  <c r="AH38" i="10" s="1"/>
  <c r="E10" i="9"/>
  <c r="AK12" i="10"/>
  <c r="AK21" i="10" s="1"/>
  <c r="AK29" i="10" s="1"/>
  <c r="AK36" i="10" s="1"/>
  <c r="AK38" i="10" s="1"/>
  <c r="E10" i="16"/>
  <c r="D12" i="16"/>
  <c r="S12" i="10"/>
  <c r="S21" i="10" s="1"/>
  <c r="S29" i="10" s="1"/>
  <c r="S36" i="10" s="1"/>
  <c r="S38" i="10" s="1"/>
  <c r="Q12" i="10"/>
  <c r="Q21" i="10" s="1"/>
  <c r="Q29" i="10" s="1"/>
  <c r="Q36" i="10" s="1"/>
  <c r="Q38" i="10" s="1"/>
  <c r="Z12" i="10"/>
  <c r="Z21" i="10" s="1"/>
  <c r="Z29" i="10" s="1"/>
  <c r="Z36" i="10" s="1"/>
  <c r="Z38" i="10" s="1"/>
  <c r="W12" i="10"/>
  <c r="W21" i="10" s="1"/>
  <c r="W29" i="10" s="1"/>
  <c r="W36" i="10" s="1"/>
  <c r="W38" i="10" s="1"/>
  <c r="AB12" i="10"/>
  <c r="AB21" i="10" s="1"/>
  <c r="AB29" i="10" s="1"/>
  <c r="AB36" i="10" s="1"/>
  <c r="Y12" i="10"/>
  <c r="Y21" i="10" s="1"/>
  <c r="Y29" i="10" s="1"/>
  <c r="Y36" i="10" s="1"/>
  <c r="Y38" i="10" s="1"/>
  <c r="AC12" i="10"/>
  <c r="AC21" i="10" s="1"/>
  <c r="AC29" i="10" s="1"/>
  <c r="AC36" i="10" s="1"/>
  <c r="AA12" i="10"/>
  <c r="AA21" i="10" s="1"/>
  <c r="AA29" i="10" s="1"/>
  <c r="AA36" i="10" s="1"/>
  <c r="AA38" i="10" s="1"/>
  <c r="U12" i="10"/>
  <c r="U21" i="10" s="1"/>
  <c r="U29" i="10" s="1"/>
  <c r="U36" i="10" s="1"/>
  <c r="U38" i="10" s="1"/>
  <c r="X12" i="10"/>
  <c r="X21" i="10" s="1"/>
  <c r="X29" i="10" s="1"/>
  <c r="X36" i="10" s="1"/>
  <c r="X38" i="10" s="1"/>
  <c r="V12" i="10"/>
  <c r="V21" i="10" s="1"/>
  <c r="V29" i="10" s="1"/>
  <c r="V36" i="10" s="1"/>
  <c r="V38" i="10" s="1"/>
  <c r="AI12" i="10"/>
  <c r="AI21" i="10" s="1"/>
  <c r="AI29" i="10" s="1"/>
  <c r="AI36" i="10" s="1"/>
  <c r="AI38" i="10" s="1"/>
  <c r="R12" i="10"/>
  <c r="R21" i="10" s="1"/>
  <c r="R29" i="10" s="1"/>
  <c r="R36" i="10" s="1"/>
  <c r="R38" i="10" s="1"/>
  <c r="AJ12" i="10"/>
  <c r="AJ21" i="10" s="1"/>
  <c r="AJ29" i="10" s="1"/>
  <c r="AJ36" i="10" s="1"/>
  <c r="AJ38" i="10" s="1"/>
  <c r="C12" i="15"/>
  <c r="I36" i="1"/>
  <c r="C12" i="16"/>
  <c r="AY10" i="10"/>
  <c r="AY9" i="10"/>
  <c r="AY11" i="10"/>
  <c r="AY8" i="10"/>
  <c r="AU11" i="10"/>
  <c r="AU8" i="10"/>
  <c r="AU10" i="10"/>
  <c r="AU9" i="10"/>
  <c r="AV9" i="10"/>
  <c r="AV10" i="10"/>
  <c r="AV8" i="10"/>
  <c r="AV11" i="10"/>
  <c r="BF7" i="10"/>
  <c r="BG7" i="10"/>
  <c r="BH7" i="10"/>
  <c r="BI7" i="10"/>
  <c r="BJ7" i="10"/>
  <c r="BK7" i="10"/>
  <c r="AZ7" i="10"/>
  <c r="BA7" i="10"/>
  <c r="BB7" i="10"/>
  <c r="BC7" i="10"/>
  <c r="BD7" i="10"/>
  <c r="BE7" i="10"/>
  <c r="J29" i="8"/>
  <c r="AW10" i="10"/>
  <c r="AW8" i="10"/>
  <c r="AW9" i="10"/>
  <c r="AW11" i="10"/>
  <c r="AO10" i="10"/>
  <c r="AO9" i="10"/>
  <c r="AO8" i="10"/>
  <c r="AO11" i="10"/>
  <c r="I35" i="1"/>
  <c r="C11" i="16"/>
  <c r="C11" i="15"/>
  <c r="AS11" i="10"/>
  <c r="AS10" i="10"/>
  <c r="AS9" i="10"/>
  <c r="AS8" i="10"/>
  <c r="C14" i="16"/>
  <c r="C14" i="15"/>
  <c r="I38" i="1"/>
  <c r="AN9" i="10"/>
  <c r="AN8" i="10"/>
  <c r="E10" i="15"/>
  <c r="AN11" i="10"/>
  <c r="AN10" i="10"/>
  <c r="M34" i="1"/>
  <c r="AQ11" i="10"/>
  <c r="AQ10" i="10"/>
  <c r="AQ9" i="10"/>
  <c r="AQ8" i="10"/>
  <c r="D25" i="9"/>
  <c r="E25" i="9"/>
  <c r="C36" i="9"/>
  <c r="BZ7" i="10"/>
  <c r="CA7" i="10"/>
  <c r="CB7" i="10"/>
  <c r="CC7" i="10"/>
  <c r="CD7" i="10"/>
  <c r="CE7" i="10"/>
  <c r="BN7" i="10"/>
  <c r="CH7" i="10"/>
  <c r="BP7" i="10"/>
  <c r="CJ7" i="10"/>
  <c r="BQ7" i="10"/>
  <c r="CK7" i="10"/>
  <c r="BS7" i="10"/>
  <c r="CM7" i="10"/>
  <c r="BT7" i="10"/>
  <c r="CN7" i="10"/>
  <c r="BU7" i="10"/>
  <c r="CO7" i="10"/>
  <c r="BV7" i="10"/>
  <c r="CP7" i="10"/>
  <c r="BW7" i="10"/>
  <c r="BX7" i="10"/>
  <c r="BY7" i="10"/>
  <c r="CF7" i="10"/>
  <c r="CG7" i="10"/>
  <c r="CI7" i="10"/>
  <c r="CL7" i="10"/>
  <c r="BL7" i="10"/>
  <c r="BM7" i="10"/>
  <c r="BO7" i="10"/>
  <c r="BR7" i="10"/>
  <c r="L29" i="8"/>
  <c r="C13" i="16"/>
  <c r="I37" i="1"/>
  <c r="C13" i="15"/>
  <c r="AR11" i="10"/>
  <c r="AR10" i="10"/>
  <c r="AR9" i="10"/>
  <c r="AR8" i="10"/>
  <c r="P12" i="10"/>
  <c r="P21" i="10" s="1"/>
  <c r="AX9" i="10"/>
  <c r="AX8" i="10"/>
  <c r="AX11" i="10"/>
  <c r="AX10" i="10"/>
  <c r="AT11" i="10"/>
  <c r="AT10" i="10"/>
  <c r="AT9" i="10"/>
  <c r="AT8" i="10"/>
  <c r="T12" i="10"/>
  <c r="T21" i="10" s="1"/>
  <c r="AP11" i="10"/>
  <c r="AP10" i="10"/>
  <c r="AP9" i="10"/>
  <c r="AP8" i="10"/>
  <c r="K36" i="1" l="1"/>
  <c r="AF12" i="10"/>
  <c r="AF21" i="10" s="1"/>
  <c r="AF29" i="10" s="1"/>
  <c r="AM12" i="10"/>
  <c r="AM21" i="10" s="1"/>
  <c r="AM29" i="10" s="1"/>
  <c r="AM36" i="10" s="1"/>
  <c r="AM38" i="10" s="1"/>
  <c r="AD12" i="10"/>
  <c r="AD21" i="10" s="1"/>
  <c r="AD29" i="10" s="1"/>
  <c r="AD36" i="10" s="1"/>
  <c r="AD38" i="10" s="1"/>
  <c r="AE12" i="10"/>
  <c r="AE21" i="10" s="1"/>
  <c r="AE29" i="10" s="1"/>
  <c r="AE36" i="10" s="1"/>
  <c r="AE38" i="10" s="1"/>
  <c r="AM73" i="56" s="1"/>
  <c r="AM77" i="56" s="1"/>
  <c r="D12" i="15"/>
  <c r="AG12" i="10"/>
  <c r="AG21" i="10" s="1"/>
  <c r="AG29" i="10" s="1"/>
  <c r="AG36" i="10" s="1"/>
  <c r="AG38" i="10" s="1"/>
  <c r="AL12" i="10"/>
  <c r="AL21" i="10" s="1"/>
  <c r="AL29" i="10" s="1"/>
  <c r="AL36" i="10" s="1"/>
  <c r="AL38" i="10" s="1"/>
  <c r="AT57" i="56" s="1"/>
  <c r="AT61" i="56" s="1"/>
  <c r="K38" i="1"/>
  <c r="D14" i="15"/>
  <c r="D13" i="15"/>
  <c r="D11" i="15"/>
  <c r="K37" i="1"/>
  <c r="K35" i="1"/>
  <c r="D11" i="16"/>
  <c r="D15" i="16" s="1"/>
  <c r="D24" i="16" s="1"/>
  <c r="F10" i="16"/>
  <c r="AP12" i="10"/>
  <c r="AP21" i="10" s="1"/>
  <c r="AP29" i="10" s="1"/>
  <c r="AP36" i="10" s="1"/>
  <c r="AP38" i="10" s="1"/>
  <c r="AS12" i="10"/>
  <c r="AS21" i="10" s="1"/>
  <c r="AS29" i="10" s="1"/>
  <c r="AS36" i="10" s="1"/>
  <c r="AS38" i="10" s="1"/>
  <c r="AU12" i="10"/>
  <c r="AU21" i="10" s="1"/>
  <c r="AU29" i="10" s="1"/>
  <c r="AU36" i="10" s="1"/>
  <c r="AU38" i="10" s="1"/>
  <c r="AT12" i="10"/>
  <c r="AT21" i="10" s="1"/>
  <c r="AT29" i="10" s="1"/>
  <c r="AT36" i="10" s="1"/>
  <c r="AT38" i="10" s="1"/>
  <c r="E13" i="16"/>
  <c r="AY12" i="10"/>
  <c r="AY21" i="10" s="1"/>
  <c r="AY29" i="10" s="1"/>
  <c r="AY36" i="10" s="1"/>
  <c r="AY38" i="10" s="1"/>
  <c r="AX12" i="10"/>
  <c r="AX21" i="10" s="1"/>
  <c r="AX29" i="10" s="1"/>
  <c r="AX36" i="10" s="1"/>
  <c r="AX38" i="10" s="1"/>
  <c r="C15" i="16"/>
  <c r="C24" i="16" s="1"/>
  <c r="AW12" i="10"/>
  <c r="AW21" i="10" s="1"/>
  <c r="AW29" i="10" s="1"/>
  <c r="AW36" i="10" s="1"/>
  <c r="AW38" i="10" s="1"/>
  <c r="I39" i="1"/>
  <c r="I41" i="1" s="1"/>
  <c r="C15" i="15"/>
  <c r="C24" i="15" s="1"/>
  <c r="AQ12" i="10"/>
  <c r="AQ21" i="10" s="1"/>
  <c r="AQ29" i="10" s="1"/>
  <c r="AQ36" i="10" s="1"/>
  <c r="AQ38" i="10" s="1"/>
  <c r="AO12" i="10"/>
  <c r="AO21" i="10" s="1"/>
  <c r="AO29" i="10" s="1"/>
  <c r="AO36" i="10" s="1"/>
  <c r="AO38" i="10" s="1"/>
  <c r="AV12" i="10"/>
  <c r="AV21" i="10" s="1"/>
  <c r="AV29" i="10" s="1"/>
  <c r="AV36" i="10" s="1"/>
  <c r="AV38" i="10" s="1"/>
  <c r="AC38" i="10"/>
  <c r="AK57" i="56" s="1"/>
  <c r="AK61" i="56" s="1"/>
  <c r="AO41" i="56"/>
  <c r="AO45" i="56" s="1"/>
  <c r="AG51" i="10"/>
  <c r="AO25" i="56"/>
  <c r="AO29" i="56" s="1"/>
  <c r="AO57" i="56"/>
  <c r="AO61" i="56" s="1"/>
  <c r="AO73" i="56"/>
  <c r="AO77" i="56" s="1"/>
  <c r="AE51" i="10"/>
  <c r="AM57" i="56"/>
  <c r="AM61" i="56" s="1"/>
  <c r="AM25" i="56"/>
  <c r="AM29" i="56" s="1"/>
  <c r="AM41" i="56"/>
  <c r="AM45" i="56" s="1"/>
  <c r="R41" i="10"/>
  <c r="R43" i="10"/>
  <c r="R49" i="10" s="1"/>
  <c r="R51" i="10"/>
  <c r="X51" i="10"/>
  <c r="AF25" i="56"/>
  <c r="AF29" i="56" s="1"/>
  <c r="AF57" i="56"/>
  <c r="AF61" i="56" s="1"/>
  <c r="AF41" i="56"/>
  <c r="AF45" i="56" s="1"/>
  <c r="AF73" i="56"/>
  <c r="AF77" i="56" s="1"/>
  <c r="Q43" i="10"/>
  <c r="Q49" i="10" s="1"/>
  <c r="Q51" i="10"/>
  <c r="Q41" i="10"/>
  <c r="AL73" i="56"/>
  <c r="AL77" i="56" s="1"/>
  <c r="AD51" i="10"/>
  <c r="AL57" i="56"/>
  <c r="AL61" i="56" s="1"/>
  <c r="AL25" i="56"/>
  <c r="AL29" i="56" s="1"/>
  <c r="AL41" i="56"/>
  <c r="AL45" i="56" s="1"/>
  <c r="AR41" i="56"/>
  <c r="AR45" i="56" s="1"/>
  <c r="AJ51" i="10"/>
  <c r="AR73" i="56"/>
  <c r="AR77" i="56" s="1"/>
  <c r="AR57" i="56"/>
  <c r="AR61" i="56" s="1"/>
  <c r="W51" i="10"/>
  <c r="AE25" i="56"/>
  <c r="AE29" i="56" s="1"/>
  <c r="AE57" i="56"/>
  <c r="AE61" i="56" s="1"/>
  <c r="AE41" i="56"/>
  <c r="AE45" i="56" s="1"/>
  <c r="AE73" i="56"/>
  <c r="AE77" i="56" s="1"/>
  <c r="Y51" i="10"/>
  <c r="AG25" i="56"/>
  <c r="AG29" i="56" s="1"/>
  <c r="AG41" i="56"/>
  <c r="AG45" i="56" s="1"/>
  <c r="AG57" i="56"/>
  <c r="AG61" i="56" s="1"/>
  <c r="AG73" i="56"/>
  <c r="AG77" i="56" s="1"/>
  <c r="AI73" i="56"/>
  <c r="AI77" i="56" s="1"/>
  <c r="AA51" i="10"/>
  <c r="AI57" i="56"/>
  <c r="AI61" i="56" s="1"/>
  <c r="AI25" i="56"/>
  <c r="AI29" i="56" s="1"/>
  <c r="AI41" i="56"/>
  <c r="AI45" i="56" s="1"/>
  <c r="AK51" i="10"/>
  <c r="AS73" i="56"/>
  <c r="AS77" i="56" s="1"/>
  <c r="AS57" i="56"/>
  <c r="AS61" i="56" s="1"/>
  <c r="AS41" i="56"/>
  <c r="AS45" i="56" s="1"/>
  <c r="S43" i="10"/>
  <c r="S49" i="10" s="1"/>
  <c r="S41" i="10"/>
  <c r="S51" i="10"/>
  <c r="AQ41" i="56"/>
  <c r="AQ45" i="56" s="1"/>
  <c r="AI51" i="10"/>
  <c r="AQ73" i="56"/>
  <c r="AQ77" i="56" s="1"/>
  <c r="AQ57" i="56"/>
  <c r="AQ61" i="56" s="1"/>
  <c r="U43" i="10"/>
  <c r="U49" i="10" s="1"/>
  <c r="U41" i="10"/>
  <c r="U51" i="10"/>
  <c r="BL11" i="10"/>
  <c r="BL10" i="10"/>
  <c r="BL9" i="10"/>
  <c r="BL8" i="10"/>
  <c r="Q34" i="1"/>
  <c r="G10" i="15"/>
  <c r="E14" i="15"/>
  <c r="M38" i="1"/>
  <c r="BN11" i="10"/>
  <c r="BN10" i="10"/>
  <c r="BN9" i="10"/>
  <c r="BN8" i="10"/>
  <c r="CG11" i="10"/>
  <c r="CG10" i="10"/>
  <c r="CG9" i="10"/>
  <c r="CG8" i="10"/>
  <c r="CD11" i="10"/>
  <c r="CD10" i="10"/>
  <c r="CD9" i="10"/>
  <c r="CD8" i="10"/>
  <c r="M35" i="1"/>
  <c r="E11" i="15"/>
  <c r="CL9" i="10"/>
  <c r="CL8" i="10"/>
  <c r="CL10" i="10"/>
  <c r="CL11" i="10"/>
  <c r="CF11" i="10"/>
  <c r="CF10" i="10"/>
  <c r="CF9" i="10"/>
  <c r="CF8" i="10"/>
  <c r="CC10" i="10"/>
  <c r="CC9" i="10"/>
  <c r="CC8" i="10"/>
  <c r="CC11" i="10"/>
  <c r="E12" i="15"/>
  <c r="M36" i="1"/>
  <c r="E11" i="16"/>
  <c r="AP41" i="56"/>
  <c r="AP45" i="56" s="1"/>
  <c r="AH51" i="10"/>
  <c r="AP57" i="56"/>
  <c r="AP61" i="56" s="1"/>
  <c r="AP73" i="56"/>
  <c r="AP77" i="56" s="1"/>
  <c r="V51" i="10"/>
  <c r="AD25" i="56"/>
  <c r="AD29" i="56" s="1"/>
  <c r="AD57" i="56"/>
  <c r="AD61" i="56" s="1"/>
  <c r="AD41" i="56"/>
  <c r="AD45" i="56" s="1"/>
  <c r="AD73" i="56"/>
  <c r="AD77" i="56" s="1"/>
  <c r="BE11" i="10"/>
  <c r="BE10" i="10"/>
  <c r="BE9" i="10"/>
  <c r="BE8" i="10"/>
  <c r="CI11" i="10"/>
  <c r="CI8" i="10"/>
  <c r="CI10" i="10"/>
  <c r="CI9" i="10"/>
  <c r="BY11" i="10"/>
  <c r="BY10" i="10"/>
  <c r="BY9" i="10"/>
  <c r="BY8" i="10"/>
  <c r="CA8" i="10"/>
  <c r="CA11" i="10"/>
  <c r="CA10" i="10"/>
  <c r="CA9" i="10"/>
  <c r="BW11" i="10"/>
  <c r="BW10" i="10"/>
  <c r="BW9" i="10"/>
  <c r="BW8" i="10"/>
  <c r="D32" i="15"/>
  <c r="D39" i="15" s="1"/>
  <c r="BD11" i="10"/>
  <c r="BD10" i="10"/>
  <c r="BD9" i="10"/>
  <c r="BD8" i="10"/>
  <c r="BZ11" i="10"/>
  <c r="BZ10" i="10"/>
  <c r="BZ9" i="10"/>
  <c r="BZ8" i="10"/>
  <c r="CP10" i="10"/>
  <c r="CP9" i="10"/>
  <c r="CP8" i="10"/>
  <c r="CP11" i="10"/>
  <c r="BV10" i="10"/>
  <c r="BV9" i="10"/>
  <c r="BV8" i="10"/>
  <c r="BV11" i="10"/>
  <c r="CO9" i="10"/>
  <c r="CO8" i="10"/>
  <c r="CO10" i="10"/>
  <c r="CO11" i="10"/>
  <c r="BU9" i="10"/>
  <c r="BU8" i="10"/>
  <c r="BU10" i="10"/>
  <c r="BU11" i="10"/>
  <c r="AR12" i="10"/>
  <c r="AR21" i="10" s="1"/>
  <c r="BA9" i="10"/>
  <c r="BA8" i="10"/>
  <c r="BA11" i="10"/>
  <c r="BA10" i="10"/>
  <c r="AH73" i="56"/>
  <c r="AH77" i="56" s="1"/>
  <c r="Z51" i="10"/>
  <c r="AH25" i="56"/>
  <c r="AH29" i="56" s="1"/>
  <c r="AH41" i="56"/>
  <c r="AH45" i="56" s="1"/>
  <c r="AH57" i="56"/>
  <c r="AH61" i="56" s="1"/>
  <c r="O34" i="1"/>
  <c r="AZ11" i="10"/>
  <c r="AZ10" i="10"/>
  <c r="AZ8" i="10"/>
  <c r="F10" i="15"/>
  <c r="AZ9" i="10"/>
  <c r="D36" i="9"/>
  <c r="D38" i="9" s="1"/>
  <c r="E36" i="9"/>
  <c r="E38" i="9" s="1"/>
  <c r="C38" i="9"/>
  <c r="BC11" i="10"/>
  <c r="BC10" i="10"/>
  <c r="BC9" i="10"/>
  <c r="BC8" i="10"/>
  <c r="BB10" i="10"/>
  <c r="BB9" i="10"/>
  <c r="BB8" i="10"/>
  <c r="BB11" i="10"/>
  <c r="CN11" i="10"/>
  <c r="CN8" i="10"/>
  <c r="CN10" i="10"/>
  <c r="CN9" i="10"/>
  <c r="BS10" i="10"/>
  <c r="BS9" i="10"/>
  <c r="BS11" i="10"/>
  <c r="BS8" i="10"/>
  <c r="BJ11" i="10"/>
  <c r="BJ10" i="10"/>
  <c r="BJ9" i="10"/>
  <c r="BJ8" i="10"/>
  <c r="T29" i="10"/>
  <c r="CH11" i="10"/>
  <c r="CH10" i="10"/>
  <c r="CH9" i="10"/>
  <c r="CH8" i="10"/>
  <c r="CE11" i="10"/>
  <c r="CE10" i="10"/>
  <c r="CE9" i="10"/>
  <c r="CE8" i="10"/>
  <c r="CB9" i="10"/>
  <c r="CB8" i="10"/>
  <c r="CB11" i="10"/>
  <c r="CB10" i="10"/>
  <c r="CK10" i="10"/>
  <c r="CK8" i="10"/>
  <c r="CK11" i="10"/>
  <c r="CK9" i="10"/>
  <c r="BI10" i="10"/>
  <c r="BI9" i="10"/>
  <c r="BI8" i="10"/>
  <c r="BI11" i="10"/>
  <c r="AN12" i="10"/>
  <c r="AN21" i="10" s="1"/>
  <c r="P29" i="10"/>
  <c r="BH9" i="10"/>
  <c r="BH8" i="10"/>
  <c r="BH11" i="10"/>
  <c r="BH10" i="10"/>
  <c r="BT11" i="10"/>
  <c r="BT10" i="10"/>
  <c r="BT8" i="10"/>
  <c r="BT9" i="10"/>
  <c r="CM10" i="10"/>
  <c r="CM9" i="10"/>
  <c r="CM11" i="10"/>
  <c r="CM8" i="10"/>
  <c r="BK11" i="10"/>
  <c r="BK10" i="10"/>
  <c r="BK9" i="10"/>
  <c r="BK8" i="10"/>
  <c r="E14" i="16"/>
  <c r="BR9" i="10"/>
  <c r="BR8" i="10"/>
  <c r="BR10" i="10"/>
  <c r="BR11" i="10"/>
  <c r="BQ10" i="10"/>
  <c r="BQ8" i="10"/>
  <c r="BQ11" i="10"/>
  <c r="BQ9" i="10"/>
  <c r="BO11" i="10"/>
  <c r="BO8" i="10"/>
  <c r="BO10" i="10"/>
  <c r="BO9" i="10"/>
  <c r="CJ9" i="10"/>
  <c r="CJ10" i="10"/>
  <c r="CJ11" i="10"/>
  <c r="CJ8" i="10"/>
  <c r="BG8" i="10"/>
  <c r="BG11" i="10"/>
  <c r="BG10" i="10"/>
  <c r="BG9" i="10"/>
  <c r="AM51" i="10"/>
  <c r="AU73" i="56"/>
  <c r="AU77" i="56" s="1"/>
  <c r="AU57" i="56"/>
  <c r="AU61" i="56" s="1"/>
  <c r="AU41" i="56"/>
  <c r="AU45" i="56" s="1"/>
  <c r="AF36" i="10"/>
  <c r="AF38" i="10" s="1"/>
  <c r="BX11" i="10"/>
  <c r="BX10" i="10"/>
  <c r="BX9" i="10"/>
  <c r="BX8" i="10"/>
  <c r="E12" i="16"/>
  <c r="BM11" i="10"/>
  <c r="BM10" i="10"/>
  <c r="BM9" i="10"/>
  <c r="BM8" i="10"/>
  <c r="BP9" i="10"/>
  <c r="BP11" i="10"/>
  <c r="BP10" i="10"/>
  <c r="BP8" i="10"/>
  <c r="M37" i="1"/>
  <c r="E13" i="15"/>
  <c r="BF11" i="10"/>
  <c r="BF10" i="10"/>
  <c r="BF9" i="10"/>
  <c r="BF8" i="10"/>
  <c r="AL51" i="10" l="1"/>
  <c r="AT73" i="56"/>
  <c r="AT77" i="56" s="1"/>
  <c r="K39" i="1"/>
  <c r="K41" i="1" s="1"/>
  <c r="K42" i="1" s="1"/>
  <c r="D15" i="15"/>
  <c r="D24" i="15" s="1"/>
  <c r="AT41" i="56"/>
  <c r="AT45" i="56" s="1"/>
  <c r="D41" i="15"/>
  <c r="BW12" i="10"/>
  <c r="BW21" i="10" s="1"/>
  <c r="BW29" i="10" s="1"/>
  <c r="BW36" i="10" s="1"/>
  <c r="BW38" i="10" s="1"/>
  <c r="CJ12" i="10"/>
  <c r="CJ21" i="10" s="1"/>
  <c r="CJ29" i="10" s="1"/>
  <c r="CJ36" i="10" s="1"/>
  <c r="CJ38" i="10" s="1"/>
  <c r="AC51" i="10"/>
  <c r="BP12" i="10"/>
  <c r="BP21" i="10" s="1"/>
  <c r="BP29" i="10" s="1"/>
  <c r="BP36" i="10" s="1"/>
  <c r="BP38" i="10" s="1"/>
  <c r="BI12" i="10"/>
  <c r="BI21" i="10" s="1"/>
  <c r="BI29" i="10" s="1"/>
  <c r="BI36" i="10" s="1"/>
  <c r="BI38" i="10" s="1"/>
  <c r="CK12" i="10"/>
  <c r="CK21" i="10" s="1"/>
  <c r="CK29" i="10" s="1"/>
  <c r="CK36" i="10" s="1"/>
  <c r="CK38" i="10" s="1"/>
  <c r="F11" i="16"/>
  <c r="F13" i="16"/>
  <c r="BZ12" i="10"/>
  <c r="BZ21" i="10" s="1"/>
  <c r="BZ29" i="10" s="1"/>
  <c r="BZ36" i="10" s="1"/>
  <c r="BZ38" i="10" s="1"/>
  <c r="BX12" i="10"/>
  <c r="BX21" i="10" s="1"/>
  <c r="BX29" i="10" s="1"/>
  <c r="BX36" i="10" s="1"/>
  <c r="BX38" i="10" s="1"/>
  <c r="BJ12" i="10"/>
  <c r="BJ21" i="10" s="1"/>
  <c r="BJ29" i="10" s="1"/>
  <c r="BJ36" i="10" s="1"/>
  <c r="BJ38" i="10" s="1"/>
  <c r="CM12" i="10"/>
  <c r="CM21" i="10" s="1"/>
  <c r="CM29" i="10" s="1"/>
  <c r="CM36" i="10" s="1"/>
  <c r="CM38" i="10" s="1"/>
  <c r="BS12" i="10"/>
  <c r="BS21" i="10" s="1"/>
  <c r="BS29" i="10" s="1"/>
  <c r="BS36" i="10" s="1"/>
  <c r="BS38" i="10" s="1"/>
  <c r="BN12" i="10"/>
  <c r="BN21" i="10" s="1"/>
  <c r="BN29" i="10" s="1"/>
  <c r="BN36" i="10" s="1"/>
  <c r="BN38" i="10" s="1"/>
  <c r="BM12" i="10"/>
  <c r="BM21" i="10" s="1"/>
  <c r="BM29" i="10" s="1"/>
  <c r="BM36" i="10" s="1"/>
  <c r="BM38" i="10" s="1"/>
  <c r="AZ12" i="10"/>
  <c r="AZ21" i="10" s="1"/>
  <c r="AZ29" i="10" s="1"/>
  <c r="CN12" i="10"/>
  <c r="CN21" i="10" s="1"/>
  <c r="CN29" i="10" s="1"/>
  <c r="CN36" i="10" s="1"/>
  <c r="CN38" i="10" s="1"/>
  <c r="BT12" i="10"/>
  <c r="BT21" i="10" s="1"/>
  <c r="BT29" i="10" s="1"/>
  <c r="BT36" i="10" s="1"/>
  <c r="BT38" i="10" s="1"/>
  <c r="BH12" i="10"/>
  <c r="BH21" i="10" s="1"/>
  <c r="BH29" i="10" s="1"/>
  <c r="BH36" i="10" s="1"/>
  <c r="BH38" i="10" s="1"/>
  <c r="BB12" i="10"/>
  <c r="BB21" i="10" s="1"/>
  <c r="BB29" i="10" s="1"/>
  <c r="BB36" i="10" s="1"/>
  <c r="BB38" i="10" s="1"/>
  <c r="CH12" i="10"/>
  <c r="CH21" i="10" s="1"/>
  <c r="CH29" i="10" s="1"/>
  <c r="CH36" i="10" s="1"/>
  <c r="CH38" i="10" s="1"/>
  <c r="BR12" i="10"/>
  <c r="BR21" i="10" s="1"/>
  <c r="BR29" i="10" s="1"/>
  <c r="BR36" i="10" s="1"/>
  <c r="BR38" i="10" s="1"/>
  <c r="BC12" i="10"/>
  <c r="BC21" i="10" s="1"/>
  <c r="BC29" i="10" s="1"/>
  <c r="BC36" i="10" s="1"/>
  <c r="BC38" i="10" s="1"/>
  <c r="CD12" i="10"/>
  <c r="CD21" i="10" s="1"/>
  <c r="CD29" i="10" s="1"/>
  <c r="CD36" i="10" s="1"/>
  <c r="CD38" i="10" s="1"/>
  <c r="CP12" i="10"/>
  <c r="CP21" i="10" s="1"/>
  <c r="CP29" i="10" s="1"/>
  <c r="CP36" i="10" s="1"/>
  <c r="CP38" i="10" s="1"/>
  <c r="CB12" i="10"/>
  <c r="CB21" i="10" s="1"/>
  <c r="CB29" i="10" s="1"/>
  <c r="CB36" i="10" s="1"/>
  <c r="CB38" i="10" s="1"/>
  <c r="BU12" i="10"/>
  <c r="BU21" i="10" s="1"/>
  <c r="BU29" i="10" s="1"/>
  <c r="BU36" i="10" s="1"/>
  <c r="BU38" i="10" s="1"/>
  <c r="BD12" i="10"/>
  <c r="BD21" i="10" s="1"/>
  <c r="BD29" i="10" s="1"/>
  <c r="BD36" i="10" s="1"/>
  <c r="BD38" i="10" s="1"/>
  <c r="CI12" i="10"/>
  <c r="CI21" i="10" s="1"/>
  <c r="CI29" i="10" s="1"/>
  <c r="CI36" i="10" s="1"/>
  <c r="CI38" i="10" s="1"/>
  <c r="AK73" i="56"/>
  <c r="AK77" i="56" s="1"/>
  <c r="BF12" i="10"/>
  <c r="BF21" i="10" s="1"/>
  <c r="BF29" i="10" s="1"/>
  <c r="BF36" i="10" s="1"/>
  <c r="BF38" i="10" s="1"/>
  <c r="CE12" i="10"/>
  <c r="CE21" i="10" s="1"/>
  <c r="CE29" i="10" s="1"/>
  <c r="CE36" i="10" s="1"/>
  <c r="CE38" i="10" s="1"/>
  <c r="BE12" i="10"/>
  <c r="BE21" i="10" s="1"/>
  <c r="BE29" i="10" s="1"/>
  <c r="BE36" i="10" s="1"/>
  <c r="BE38" i="10" s="1"/>
  <c r="CF12" i="10"/>
  <c r="CF21" i="10" s="1"/>
  <c r="CF29" i="10" s="1"/>
  <c r="CF36" i="10" s="1"/>
  <c r="CF38" i="10" s="1"/>
  <c r="CO12" i="10"/>
  <c r="CO21" i="10" s="1"/>
  <c r="CO29" i="10" s="1"/>
  <c r="CO36" i="10" s="1"/>
  <c r="CO38" i="10" s="1"/>
  <c r="CL12" i="10"/>
  <c r="CL21" i="10" s="1"/>
  <c r="CL29" i="10" s="1"/>
  <c r="CL36" i="10" s="1"/>
  <c r="CL38" i="10" s="1"/>
  <c r="BG12" i="10"/>
  <c r="BG21" i="10" s="1"/>
  <c r="BG29" i="10" s="1"/>
  <c r="BG36" i="10" s="1"/>
  <c r="BG38" i="10" s="1"/>
  <c r="CA12" i="10"/>
  <c r="CA21" i="10" s="1"/>
  <c r="CA29" i="10" s="1"/>
  <c r="CA36" i="10" s="1"/>
  <c r="CA38" i="10" s="1"/>
  <c r="E15" i="15"/>
  <c r="E24" i="15" s="1"/>
  <c r="BV12" i="10"/>
  <c r="BV21" i="10" s="1"/>
  <c r="BV29" i="10" s="1"/>
  <c r="BV36" i="10" s="1"/>
  <c r="BV38" i="10" s="1"/>
  <c r="M39" i="1"/>
  <c r="M41" i="1" s="1"/>
  <c r="M42" i="1" s="1"/>
  <c r="BK12" i="10"/>
  <c r="BK21" i="10" s="1"/>
  <c r="BK29" i="10" s="1"/>
  <c r="BK36" i="10" s="1"/>
  <c r="BK38" i="10" s="1"/>
  <c r="F12" i="16"/>
  <c r="BA12" i="10"/>
  <c r="BA21" i="10" s="1"/>
  <c r="BA29" i="10" s="1"/>
  <c r="BA36" i="10" s="1"/>
  <c r="BA38" i="10" s="1"/>
  <c r="BQ12" i="10"/>
  <c r="BQ21" i="10" s="1"/>
  <c r="BQ29" i="10" s="1"/>
  <c r="BQ36" i="10" s="1"/>
  <c r="BQ38" i="10" s="1"/>
  <c r="CG12" i="10"/>
  <c r="CG21" i="10" s="1"/>
  <c r="CG29" i="10" s="1"/>
  <c r="CG36" i="10" s="1"/>
  <c r="CG38" i="10" s="1"/>
  <c r="AK41" i="56"/>
  <c r="AK45" i="56" s="1"/>
  <c r="F14" i="16"/>
  <c r="BY12" i="10"/>
  <c r="BY21" i="10" s="1"/>
  <c r="BY29" i="10" s="1"/>
  <c r="BY36" i="10" s="1"/>
  <c r="BY38" i="10" s="1"/>
  <c r="BO12" i="10"/>
  <c r="BO21" i="10" s="1"/>
  <c r="BO29" i="10" s="1"/>
  <c r="BO36" i="10" s="1"/>
  <c r="BO38" i="10" s="1"/>
  <c r="AK25" i="56"/>
  <c r="AK29" i="56" s="1"/>
  <c r="CC12" i="10"/>
  <c r="CC21" i="10" s="1"/>
  <c r="CC29" i="10" s="1"/>
  <c r="CC36" i="10" s="1"/>
  <c r="CC38" i="10" s="1"/>
  <c r="K43" i="1"/>
  <c r="K44" i="1" s="1"/>
  <c r="BF73" i="56"/>
  <c r="BF77" i="56" s="1"/>
  <c r="AX51" i="10"/>
  <c r="BF57" i="56"/>
  <c r="BF61" i="56" s="1"/>
  <c r="AQ51" i="10"/>
  <c r="AY57" i="56"/>
  <c r="AY61" i="56" s="1"/>
  <c r="AY73" i="56"/>
  <c r="AY77" i="56" s="1"/>
  <c r="AY41" i="56"/>
  <c r="AY45" i="56" s="1"/>
  <c r="AP51" i="10"/>
  <c r="AX57" i="56"/>
  <c r="AX61" i="56" s="1"/>
  <c r="AX73" i="56"/>
  <c r="AX77" i="56" s="1"/>
  <c r="AX41" i="56"/>
  <c r="AX45" i="56" s="1"/>
  <c r="D54" i="15"/>
  <c r="BC73" i="56"/>
  <c r="BC77" i="56" s="1"/>
  <c r="AU51" i="10"/>
  <c r="BC57" i="56"/>
  <c r="BC61" i="56" s="1"/>
  <c r="AS51" i="10"/>
  <c r="BA41" i="56"/>
  <c r="BA45" i="56" s="1"/>
  <c r="BA73" i="56"/>
  <c r="BA77" i="56" s="1"/>
  <c r="BA57" i="56"/>
  <c r="BA61" i="56" s="1"/>
  <c r="AY51" i="10"/>
  <c r="BG73" i="56"/>
  <c r="BG77" i="56" s="1"/>
  <c r="BG57" i="56"/>
  <c r="BG61" i="56" s="1"/>
  <c r="BD73" i="56"/>
  <c r="BD77" i="56" s="1"/>
  <c r="AV51" i="10"/>
  <c r="BD57" i="56"/>
  <c r="BD61" i="56" s="1"/>
  <c r="C32" i="15"/>
  <c r="C39" i="15" s="1"/>
  <c r="C41" i="15" s="1"/>
  <c r="C32" i="16"/>
  <c r="C39" i="16" s="1"/>
  <c r="C41" i="16" s="1"/>
  <c r="P36" i="10"/>
  <c r="E15" i="16"/>
  <c r="E24" i="16" s="1"/>
  <c r="Q36" i="1"/>
  <c r="G12" i="15"/>
  <c r="Q58" i="10"/>
  <c r="Q53" i="10"/>
  <c r="BE73" i="56"/>
  <c r="BE77" i="56" s="1"/>
  <c r="AW51" i="10"/>
  <c r="BE57" i="56"/>
  <c r="BE61" i="56" s="1"/>
  <c r="G13" i="15"/>
  <c r="Q37" i="1"/>
  <c r="S58" i="10"/>
  <c r="S53" i="10"/>
  <c r="G11" i="15"/>
  <c r="Q35" i="1"/>
  <c r="O36" i="1"/>
  <c r="F12" i="15"/>
  <c r="O37" i="1"/>
  <c r="F13" i="15"/>
  <c r="BB73" i="56"/>
  <c r="BB77" i="56" s="1"/>
  <c r="AT51" i="10"/>
  <c r="BB57" i="56"/>
  <c r="BB61" i="56" s="1"/>
  <c r="AR29" i="10"/>
  <c r="U58" i="10"/>
  <c r="U53" i="10"/>
  <c r="T36" i="10"/>
  <c r="T38" i="10" s="1"/>
  <c r="D32" i="16"/>
  <c r="D39" i="16" s="1"/>
  <c r="D41" i="16" s="1"/>
  <c r="O38" i="1"/>
  <c r="F14" i="15"/>
  <c r="AB38" i="10"/>
  <c r="AN29" i="10"/>
  <c r="AN41" i="56"/>
  <c r="AN45" i="56" s="1"/>
  <c r="AF51" i="10"/>
  <c r="AN57" i="56"/>
  <c r="AN61" i="56" s="1"/>
  <c r="AN25" i="56"/>
  <c r="AN29" i="56" s="1"/>
  <c r="AN73" i="56"/>
  <c r="AN77" i="56" s="1"/>
  <c r="BL12" i="10"/>
  <c r="BL21" i="10" s="1"/>
  <c r="O35" i="1"/>
  <c r="F11" i="15"/>
  <c r="AW57" i="56"/>
  <c r="AW61" i="56" s="1"/>
  <c r="AO51" i="10"/>
  <c r="AW73" i="56"/>
  <c r="AW77" i="56" s="1"/>
  <c r="AW41" i="56"/>
  <c r="AW45" i="56" s="1"/>
  <c r="Q38" i="1"/>
  <c r="G14" i="15"/>
  <c r="R58" i="10"/>
  <c r="R53" i="10"/>
  <c r="K55" i="1" l="1"/>
  <c r="F47" i="1"/>
  <c r="G15" i="15"/>
  <c r="G24" i="15" s="1"/>
  <c r="F15" i="16"/>
  <c r="F24" i="16" s="1"/>
  <c r="F15" i="15"/>
  <c r="F24" i="15" s="1"/>
  <c r="O39" i="1"/>
  <c r="O41" i="1" s="1"/>
  <c r="Q39" i="1"/>
  <c r="Q41" i="1" s="1"/>
  <c r="CC51" i="10"/>
  <c r="BP51" i="10"/>
  <c r="BQ51" i="10"/>
  <c r="CI51" i="10"/>
  <c r="BZ51" i="10"/>
  <c r="BV51" i="10"/>
  <c r="BO51" i="10"/>
  <c r="CO51" i="10"/>
  <c r="BA51" i="10"/>
  <c r="BI57" i="56"/>
  <c r="BI61" i="56" s="1"/>
  <c r="BI73" i="56"/>
  <c r="BI77" i="56" s="1"/>
  <c r="CK51" i="10"/>
  <c r="BW51" i="10"/>
  <c r="CJ51" i="10"/>
  <c r="CL51" i="10"/>
  <c r="CB51" i="10"/>
  <c r="CP51" i="10"/>
  <c r="BJ51" i="10"/>
  <c r="BR73" i="56"/>
  <c r="BR77" i="56" s="1"/>
  <c r="BR51" i="10"/>
  <c r="CE51" i="10"/>
  <c r="O42" i="1"/>
  <c r="BH51" i="10"/>
  <c r="BP73" i="56"/>
  <c r="BP77" i="56" s="1"/>
  <c r="BN51" i="10"/>
  <c r="BD51" i="10"/>
  <c r="BL57" i="56"/>
  <c r="BL61" i="56" s="1"/>
  <c r="BL73" i="56"/>
  <c r="BL77" i="56" s="1"/>
  <c r="CM51" i="10"/>
  <c r="BM51" i="10"/>
  <c r="CD51" i="10"/>
  <c r="BE51" i="10"/>
  <c r="BM73" i="56"/>
  <c r="BM77" i="56" s="1"/>
  <c r="CF51" i="10"/>
  <c r="BT51" i="10"/>
  <c r="CN51" i="10"/>
  <c r="I43" i="1"/>
  <c r="I44" i="1" s="1"/>
  <c r="P38" i="10"/>
  <c r="BC51" i="10"/>
  <c r="BK57" i="56"/>
  <c r="BK61" i="56" s="1"/>
  <c r="BK73" i="56"/>
  <c r="BK77" i="56" s="1"/>
  <c r="BB51" i="10"/>
  <c r="BJ57" i="56"/>
  <c r="BJ61" i="56" s="1"/>
  <c r="BJ73" i="56"/>
  <c r="BJ77" i="56" s="1"/>
  <c r="C44" i="16"/>
  <c r="C46" i="16"/>
  <c r="C52" i="16" s="1"/>
  <c r="C61" i="16" s="1"/>
  <c r="C63" i="16" s="1"/>
  <c r="AA73" i="17"/>
  <c r="AA25" i="17"/>
  <c r="AA41" i="17"/>
  <c r="AA9" i="17"/>
  <c r="S60" i="10"/>
  <c r="AA57" i="17"/>
  <c r="BU51" i="10"/>
  <c r="BK51" i="10"/>
  <c r="BS73" i="56"/>
  <c r="BS77" i="56" s="1"/>
  <c r="AJ73" i="56"/>
  <c r="AJ77" i="56" s="1"/>
  <c r="AB51" i="10"/>
  <c r="AJ57" i="56"/>
  <c r="AJ61" i="56" s="1"/>
  <c r="AJ25" i="56"/>
  <c r="AJ29" i="56" s="1"/>
  <c r="AJ41" i="56"/>
  <c r="AJ45" i="56" s="1"/>
  <c r="BI51" i="10"/>
  <c r="BQ73" i="56"/>
  <c r="BQ77" i="56" s="1"/>
  <c r="BS51" i="10"/>
  <c r="C54" i="15"/>
  <c r="BY51" i="10"/>
  <c r="BG51" i="10"/>
  <c r="BO73" i="56"/>
  <c r="BO77" i="56" s="1"/>
  <c r="BF51" i="10"/>
  <c r="BN73" i="56"/>
  <c r="BN77" i="56" s="1"/>
  <c r="T43" i="10"/>
  <c r="T49" i="10" s="1"/>
  <c r="T41" i="10"/>
  <c r="T51" i="10"/>
  <c r="AC73" i="17"/>
  <c r="AC25" i="17"/>
  <c r="AC41" i="17"/>
  <c r="AC9" i="17"/>
  <c r="U60" i="10"/>
  <c r="AC57" i="17"/>
  <c r="Y73" i="17"/>
  <c r="Y25" i="17"/>
  <c r="Y41" i="17"/>
  <c r="Y9" i="17"/>
  <c r="Q60" i="10"/>
  <c r="Y57" i="17"/>
  <c r="BX51" i="10"/>
  <c r="BL29" i="10"/>
  <c r="F32" i="16"/>
  <c r="F39" i="16" s="1"/>
  <c r="F41" i="16" s="1"/>
  <c r="AR36" i="10"/>
  <c r="AR38" i="10" s="1"/>
  <c r="Z73" i="17"/>
  <c r="Z25" i="17"/>
  <c r="Z41" i="17"/>
  <c r="Z9" i="17"/>
  <c r="R60" i="10"/>
  <c r="Z57" i="17"/>
  <c r="E32" i="15"/>
  <c r="E39" i="15" s="1"/>
  <c r="E41" i="15" s="1"/>
  <c r="AN36" i="10"/>
  <c r="E32" i="16"/>
  <c r="E39" i="16" s="1"/>
  <c r="E41" i="16" s="1"/>
  <c r="CH51" i="10"/>
  <c r="K49" i="1"/>
  <c r="CG51" i="10"/>
  <c r="F32" i="15"/>
  <c r="F39" i="15" s="1"/>
  <c r="F41" i="15" s="1"/>
  <c r="AZ36" i="10"/>
  <c r="CA51" i="10"/>
  <c r="I55" i="1" l="1"/>
  <c r="Q42" i="1"/>
  <c r="D54" i="16"/>
  <c r="F54" i="15"/>
  <c r="Z45" i="17"/>
  <c r="Z8" i="50"/>
  <c r="Z11" i="50" s="1"/>
  <c r="AC29" i="17"/>
  <c r="AC8" i="49"/>
  <c r="AC11" i="49" s="1"/>
  <c r="Z29" i="17"/>
  <c r="Z8" i="49"/>
  <c r="Z11" i="49" s="1"/>
  <c r="AC77" i="17"/>
  <c r="AC8" i="52"/>
  <c r="AC11" i="52" s="1"/>
  <c r="Z77" i="17"/>
  <c r="Z8" i="52"/>
  <c r="Z11" i="52" s="1"/>
  <c r="P41" i="10"/>
  <c r="P43" i="10"/>
  <c r="P49" i="10" s="1"/>
  <c r="P51" i="10"/>
  <c r="C54" i="16" s="1"/>
  <c r="C47" i="1"/>
  <c r="C49" i="1" s="1"/>
  <c r="F49" i="1"/>
  <c r="F25" i="1"/>
  <c r="I49" i="1"/>
  <c r="F43" i="1"/>
  <c r="AR51" i="10"/>
  <c r="AZ57" i="56"/>
  <c r="AZ61" i="56" s="1"/>
  <c r="AZ73" i="56"/>
  <c r="AZ77" i="56" s="1"/>
  <c r="AZ41" i="56"/>
  <c r="AZ45" i="56" s="1"/>
  <c r="G32" i="15"/>
  <c r="G39" i="15" s="1"/>
  <c r="G41" i="15" s="1"/>
  <c r="BL36" i="10"/>
  <c r="AA13" i="17"/>
  <c r="AA8" i="48"/>
  <c r="AA11" i="48" s="1"/>
  <c r="AA45" i="17"/>
  <c r="AA8" i="50"/>
  <c r="AA11" i="50" s="1"/>
  <c r="AA29" i="17"/>
  <c r="AA8" i="49"/>
  <c r="AA11" i="49" s="1"/>
  <c r="AA77" i="17"/>
  <c r="AA8" i="52"/>
  <c r="AA11" i="52" s="1"/>
  <c r="AA61" i="17"/>
  <c r="AA8" i="51"/>
  <c r="AA11" i="51" s="1"/>
  <c r="O43" i="1"/>
  <c r="O44" i="1" s="1"/>
  <c r="AZ38" i="10"/>
  <c r="Y61" i="17"/>
  <c r="Y8" i="51"/>
  <c r="Y11" i="51" s="1"/>
  <c r="K57" i="1"/>
  <c r="E64" i="1"/>
  <c r="Y29" i="17"/>
  <c r="Y8" i="49"/>
  <c r="Y11" i="49" s="1"/>
  <c r="Y77" i="17"/>
  <c r="Y8" i="52"/>
  <c r="Y11" i="52" s="1"/>
  <c r="Y45" i="17"/>
  <c r="Y8" i="50"/>
  <c r="Y11" i="50" s="1"/>
  <c r="E54" i="15"/>
  <c r="AC61" i="17"/>
  <c r="AC8" i="51"/>
  <c r="AC11" i="51" s="1"/>
  <c r="M43" i="1"/>
  <c r="M44" i="1" s="1"/>
  <c r="AN38" i="10"/>
  <c r="Z61" i="17"/>
  <c r="Z8" i="51"/>
  <c r="Z11" i="51" s="1"/>
  <c r="Y13" i="17"/>
  <c r="Y8" i="48"/>
  <c r="Y11" i="48" s="1"/>
  <c r="AC13" i="17"/>
  <c r="AC8" i="48"/>
  <c r="AC11" i="48" s="1"/>
  <c r="T58" i="10"/>
  <c r="T53" i="10"/>
  <c r="Z13" i="17"/>
  <c r="Z8" i="48"/>
  <c r="Z11" i="48" s="1"/>
  <c r="AC45" i="17"/>
  <c r="AC8" i="50"/>
  <c r="AC11" i="50" s="1"/>
  <c r="P58" i="10" l="1"/>
  <c r="P53" i="10"/>
  <c r="F64" i="1"/>
  <c r="G64" i="1"/>
  <c r="G54" i="15"/>
  <c r="Q43" i="1"/>
  <c r="Q44" i="1" s="1"/>
  <c r="BL38" i="10"/>
  <c r="AZ51" i="10"/>
  <c r="F54" i="16" s="1"/>
  <c r="BH73" i="56"/>
  <c r="BH77" i="56" s="1"/>
  <c r="BH57" i="56"/>
  <c r="BH61" i="56" s="1"/>
  <c r="M55" i="1"/>
  <c r="M49" i="1"/>
  <c r="O55" i="1"/>
  <c r="Q55" i="1"/>
  <c r="O49" i="1"/>
  <c r="D3" i="13"/>
  <c r="Y65" i="10"/>
  <c r="AS65" i="10"/>
  <c r="BM65" i="10"/>
  <c r="CG65" i="10"/>
  <c r="Z65" i="10"/>
  <c r="AT65" i="10"/>
  <c r="BN65" i="10"/>
  <c r="CH65" i="10"/>
  <c r="AA65" i="10"/>
  <c r="AU65" i="10"/>
  <c r="BO65" i="10"/>
  <c r="CI65" i="10"/>
  <c r="AB65" i="10"/>
  <c r="AV65" i="10"/>
  <c r="BP65" i="10"/>
  <c r="CJ65" i="10"/>
  <c r="AC65" i="10"/>
  <c r="AW65" i="10"/>
  <c r="BQ65" i="10"/>
  <c r="CK65" i="10"/>
  <c r="AD65" i="10"/>
  <c r="AX65" i="10"/>
  <c r="BR65" i="10"/>
  <c r="CL65" i="10"/>
  <c r="AE65" i="10"/>
  <c r="AY65" i="10"/>
  <c r="BS65" i="10"/>
  <c r="CM65" i="10"/>
  <c r="AF65" i="10"/>
  <c r="AZ65" i="10"/>
  <c r="BT65" i="10"/>
  <c r="CN65" i="10"/>
  <c r="AG65" i="10"/>
  <c r="BA65" i="10"/>
  <c r="BU65" i="10"/>
  <c r="CO65" i="10"/>
  <c r="AH65" i="10"/>
  <c r="BB65" i="10"/>
  <c r="BV65" i="10"/>
  <c r="CP65" i="10"/>
  <c r="AI65" i="10"/>
  <c r="BC65" i="10"/>
  <c r="BW65" i="10"/>
  <c r="V59" i="10"/>
  <c r="AJ65" i="10"/>
  <c r="BD65" i="10"/>
  <c r="BX65" i="10"/>
  <c r="AK65" i="10"/>
  <c r="BE65" i="10"/>
  <c r="BY65" i="10"/>
  <c r="AL65" i="10"/>
  <c r="BF65" i="10"/>
  <c r="BZ65" i="10"/>
  <c r="AM65" i="10"/>
  <c r="BG65" i="10"/>
  <c r="CA65" i="10"/>
  <c r="AN65" i="10"/>
  <c r="BH65" i="10"/>
  <c r="CB65" i="10"/>
  <c r="AO65" i="10"/>
  <c r="BI65" i="10"/>
  <c r="CC65" i="10"/>
  <c r="V65" i="10"/>
  <c r="AP65" i="10"/>
  <c r="BJ65" i="10"/>
  <c r="CD65" i="10"/>
  <c r="W65" i="10"/>
  <c r="AQ65" i="10"/>
  <c r="BK65" i="10"/>
  <c r="CE65" i="10"/>
  <c r="X65" i="10"/>
  <c r="AR65" i="10"/>
  <c r="BL65" i="10"/>
  <c r="CF65" i="10"/>
  <c r="AB73" i="17"/>
  <c r="AB25" i="17"/>
  <c r="AB41" i="17"/>
  <c r="AB9" i="17"/>
  <c r="T60" i="10"/>
  <c r="AB57" i="17"/>
  <c r="AV57" i="56"/>
  <c r="AV61" i="56" s="1"/>
  <c r="AN51" i="10"/>
  <c r="E54" i="16" s="1"/>
  <c r="AV73" i="56"/>
  <c r="AV77" i="56" s="1"/>
  <c r="AV41" i="56"/>
  <c r="AV45" i="56" s="1"/>
  <c r="E63" i="1"/>
  <c r="D19" i="1"/>
  <c r="I57" i="1"/>
  <c r="I58" i="1" s="1"/>
  <c r="AD11" i="17" s="1"/>
  <c r="AP27" i="56" l="1"/>
  <c r="AP29" i="56" s="1"/>
  <c r="C31" i="56" s="1"/>
  <c r="H17" i="55" s="1"/>
  <c r="AD11" i="56"/>
  <c r="AD13" i="56" s="1"/>
  <c r="AD13" i="17"/>
  <c r="AD10" i="48"/>
  <c r="AD11" i="48" s="1"/>
  <c r="D9" i="19"/>
  <c r="CI64" i="10"/>
  <c r="CI63" i="10"/>
  <c r="BY63" i="10"/>
  <c r="BY64" i="10"/>
  <c r="AZ63" i="10"/>
  <c r="AZ64" i="10"/>
  <c r="AU64" i="10"/>
  <c r="AU63" i="10"/>
  <c r="AR64" i="10"/>
  <c r="AR63" i="10"/>
  <c r="CN63" i="10"/>
  <c r="CN64" i="10"/>
  <c r="BB43" i="56"/>
  <c r="BB45" i="56" s="1"/>
  <c r="C46" i="56" s="1"/>
  <c r="F18" i="55" s="1"/>
  <c r="X64" i="10"/>
  <c r="X63" i="10"/>
  <c r="AL64" i="10"/>
  <c r="AL63" i="10"/>
  <c r="BT63" i="10"/>
  <c r="BT64" i="10"/>
  <c r="BO64" i="10"/>
  <c r="BO63" i="10"/>
  <c r="CE64" i="10"/>
  <c r="CE63" i="10"/>
  <c r="BY75" i="56"/>
  <c r="BY77" i="56" s="1"/>
  <c r="C79" i="56" s="1"/>
  <c r="BK64" i="10"/>
  <c r="F67" i="15" s="1"/>
  <c r="BK63" i="10"/>
  <c r="F66" i="15" s="1"/>
  <c r="BE63" i="10"/>
  <c r="BE64" i="10"/>
  <c r="AF63" i="10"/>
  <c r="AF64" i="10"/>
  <c r="AA64" i="10"/>
  <c r="C67" i="15" s="1"/>
  <c r="AA63" i="10"/>
  <c r="C66" i="15" s="1"/>
  <c r="BF64" i="10"/>
  <c r="BF63" i="10"/>
  <c r="BM59" i="56"/>
  <c r="BM61" i="56" s="1"/>
  <c r="C62" i="56" s="1"/>
  <c r="F19" i="55" s="1"/>
  <c r="AQ64" i="10"/>
  <c r="E67" i="16" s="1"/>
  <c r="AQ63" i="10"/>
  <c r="E66" i="16" s="1"/>
  <c r="AK63" i="10"/>
  <c r="AK64" i="10"/>
  <c r="CM63" i="10"/>
  <c r="CM64" i="10"/>
  <c r="CH64" i="10"/>
  <c r="CH63" i="10"/>
  <c r="BN64" i="10"/>
  <c r="BN63" i="10"/>
  <c r="AB61" i="17"/>
  <c r="AB8" i="51"/>
  <c r="AB11" i="51" s="1"/>
  <c r="W64" i="10"/>
  <c r="W63" i="10"/>
  <c r="BX63" i="10"/>
  <c r="BX64" i="10"/>
  <c r="CD64" i="10"/>
  <c r="CD63" i="10"/>
  <c r="BD63" i="10"/>
  <c r="BD64" i="10"/>
  <c r="AY63" i="10"/>
  <c r="E66" i="15" s="1"/>
  <c r="AY64" i="10"/>
  <c r="E67" i="15" s="1"/>
  <c r="AT64" i="10"/>
  <c r="AT63" i="10"/>
  <c r="BS63" i="10"/>
  <c r="BS64" i="10"/>
  <c r="AB13" i="17"/>
  <c r="AB8" i="48"/>
  <c r="AB11" i="48" s="1"/>
  <c r="BJ64" i="10"/>
  <c r="BJ63" i="10"/>
  <c r="AJ63" i="10"/>
  <c r="AJ64" i="10"/>
  <c r="AE63" i="10"/>
  <c r="D66" i="16" s="1"/>
  <c r="AE64" i="10"/>
  <c r="D67" i="16" s="1"/>
  <c r="Z64" i="10"/>
  <c r="Z63" i="10"/>
  <c r="E67" i="1"/>
  <c r="Q57" i="1"/>
  <c r="BL51" i="10"/>
  <c r="CG64" i="10"/>
  <c r="CG63" i="10"/>
  <c r="E66" i="1"/>
  <c r="O57" i="1"/>
  <c r="C62" i="15"/>
  <c r="D62" i="16"/>
  <c r="AD26" i="17"/>
  <c r="AD58" i="17"/>
  <c r="AD42" i="17"/>
  <c r="AD74" i="17"/>
  <c r="AD9" i="52" s="1"/>
  <c r="F63" i="1"/>
  <c r="G63" i="1"/>
  <c r="V64" i="10"/>
  <c r="V63" i="10"/>
  <c r="CC64" i="10"/>
  <c r="CC63" i="10"/>
  <c r="AO64" i="10"/>
  <c r="AO63" i="10"/>
  <c r="CK64" i="10"/>
  <c r="CK63" i="10"/>
  <c r="F23" i="13"/>
  <c r="F28" i="13"/>
  <c r="F33" i="13"/>
  <c r="F38" i="13"/>
  <c r="F43" i="13"/>
  <c r="F48" i="13"/>
  <c r="F53" i="13"/>
  <c r="F58" i="13"/>
  <c r="F63" i="13"/>
  <c r="F68" i="13"/>
  <c r="F73" i="13"/>
  <c r="F78" i="13"/>
  <c r="F83" i="13"/>
  <c r="E17" i="13"/>
  <c r="AB40" i="10" s="1"/>
  <c r="D11" i="13"/>
  <c r="G11" i="13" s="1"/>
  <c r="D12" i="13" s="1"/>
  <c r="G12" i="13" s="1"/>
  <c r="D13" i="13" s="1"/>
  <c r="G13" i="13" s="1"/>
  <c r="D14" i="13" s="1"/>
  <c r="G14" i="13" s="1"/>
  <c r="D15" i="13" s="1"/>
  <c r="G15" i="13" s="1"/>
  <c r="D16" i="13" s="1"/>
  <c r="G16" i="13" s="1"/>
  <c r="D17" i="13" s="1"/>
  <c r="G17" i="13" s="1"/>
  <c r="D18" i="13" s="1"/>
  <c r="G18" i="13" s="1"/>
  <c r="D19" i="13" s="1"/>
  <c r="G19" i="13" s="1"/>
  <c r="D20" i="13" s="1"/>
  <c r="G20" i="13" s="1"/>
  <c r="D21" i="13" s="1"/>
  <c r="G21" i="13" s="1"/>
  <c r="D22" i="13" s="1"/>
  <c r="G22" i="13" s="1"/>
  <c r="D23" i="13" s="1"/>
  <c r="E11" i="13"/>
  <c r="V40" i="10" s="1"/>
  <c r="E24" i="13"/>
  <c r="E29" i="13"/>
  <c r="E34" i="13"/>
  <c r="E39" i="13"/>
  <c r="E44" i="13"/>
  <c r="E49" i="13"/>
  <c r="E54" i="13"/>
  <c r="E59" i="13"/>
  <c r="E64" i="13"/>
  <c r="E69" i="13"/>
  <c r="E74" i="13"/>
  <c r="E79" i="13"/>
  <c r="E84" i="13"/>
  <c r="E18" i="13"/>
  <c r="AC40" i="10" s="1"/>
  <c r="F24" i="13"/>
  <c r="F29" i="13"/>
  <c r="F34" i="13"/>
  <c r="F39" i="13"/>
  <c r="F44" i="13"/>
  <c r="F49" i="13"/>
  <c r="F54" i="13"/>
  <c r="F59" i="13"/>
  <c r="F64" i="13"/>
  <c r="F69" i="13"/>
  <c r="F74" i="13"/>
  <c r="F79" i="13"/>
  <c r="F84" i="13"/>
  <c r="E12" i="13"/>
  <c r="W40" i="10" s="1"/>
  <c r="E19" i="13"/>
  <c r="AD40" i="10" s="1"/>
  <c r="E25" i="13"/>
  <c r="E30" i="13"/>
  <c r="E35" i="13"/>
  <c r="E40" i="13"/>
  <c r="E45" i="13"/>
  <c r="E50" i="13"/>
  <c r="E55" i="13"/>
  <c r="E60" i="13"/>
  <c r="E65" i="13"/>
  <c r="E70" i="13"/>
  <c r="E75" i="13"/>
  <c r="E80" i="13"/>
  <c r="E85" i="13"/>
  <c r="F25" i="13"/>
  <c r="F30" i="13"/>
  <c r="F35" i="13"/>
  <c r="F40" i="13"/>
  <c r="F45" i="13"/>
  <c r="F50" i="13"/>
  <c r="F55" i="13"/>
  <c r="F60" i="13"/>
  <c r="F65" i="13"/>
  <c r="F70" i="13"/>
  <c r="F75" i="13"/>
  <c r="F80" i="13"/>
  <c r="F85" i="13"/>
  <c r="E13" i="13"/>
  <c r="X40" i="10" s="1"/>
  <c r="E20" i="13"/>
  <c r="AE40" i="10" s="1"/>
  <c r="E26" i="13"/>
  <c r="E31" i="13"/>
  <c r="E36" i="13"/>
  <c r="E41" i="13"/>
  <c r="E46" i="13"/>
  <c r="E51" i="13"/>
  <c r="E56" i="13"/>
  <c r="E61" i="13"/>
  <c r="E66" i="13"/>
  <c r="E71" i="13"/>
  <c r="E76" i="13"/>
  <c r="E81" i="13"/>
  <c r="E14" i="13"/>
  <c r="Y40" i="10" s="1"/>
  <c r="F26" i="13"/>
  <c r="F31" i="13"/>
  <c r="F36" i="13"/>
  <c r="F41" i="13"/>
  <c r="F46" i="13"/>
  <c r="F51" i="13"/>
  <c r="F56" i="13"/>
  <c r="F61" i="13"/>
  <c r="F66" i="13"/>
  <c r="F71" i="13"/>
  <c r="F76" i="13"/>
  <c r="F81" i="13"/>
  <c r="E21" i="13"/>
  <c r="AF40" i="10" s="1"/>
  <c r="E15" i="13"/>
  <c r="Z40" i="10" s="1"/>
  <c r="E27" i="13"/>
  <c r="E32" i="13"/>
  <c r="E37" i="13"/>
  <c r="E42" i="13"/>
  <c r="E47" i="13"/>
  <c r="E52" i="13"/>
  <c r="E57" i="13"/>
  <c r="E62" i="13"/>
  <c r="E67" i="13"/>
  <c r="E72" i="13"/>
  <c r="E77" i="13"/>
  <c r="E82" i="13"/>
  <c r="E22" i="13"/>
  <c r="AG40" i="10" s="1"/>
  <c r="F27" i="13"/>
  <c r="F32" i="13"/>
  <c r="F37" i="13"/>
  <c r="F42" i="13"/>
  <c r="F47" i="13"/>
  <c r="F52" i="13"/>
  <c r="F57" i="13"/>
  <c r="F62" i="13"/>
  <c r="F67" i="13"/>
  <c r="F72" i="13"/>
  <c r="F77" i="13"/>
  <c r="F82" i="13"/>
  <c r="E16" i="13"/>
  <c r="AA40" i="10" s="1"/>
  <c r="E23" i="13"/>
  <c r="E28" i="13"/>
  <c r="E33" i="13"/>
  <c r="E38" i="13"/>
  <c r="E43" i="13"/>
  <c r="E48" i="13"/>
  <c r="E53" i="13"/>
  <c r="E58" i="13"/>
  <c r="E63" i="13"/>
  <c r="E68" i="13"/>
  <c r="E73" i="13"/>
  <c r="E78" i="13"/>
  <c r="E83" i="13"/>
  <c r="AB45" i="17"/>
  <c r="AB8" i="50"/>
  <c r="AB11" i="50" s="1"/>
  <c r="CL64" i="10"/>
  <c r="CL63" i="10"/>
  <c r="CB64" i="10"/>
  <c r="CB63" i="10"/>
  <c r="BV63" i="10"/>
  <c r="BV64" i="10"/>
  <c r="BQ64" i="10"/>
  <c r="BQ63" i="10"/>
  <c r="AW64" i="10"/>
  <c r="AW63" i="10"/>
  <c r="BR64" i="10"/>
  <c r="BR63" i="10"/>
  <c r="AB77" i="17"/>
  <c r="AB8" i="52"/>
  <c r="AB11" i="52" s="1"/>
  <c r="BH64" i="10"/>
  <c r="BH63" i="10"/>
  <c r="AH63" i="10"/>
  <c r="AH64" i="10"/>
  <c r="AC64" i="10"/>
  <c r="AC63" i="10"/>
  <c r="C14" i="56"/>
  <c r="F16" i="55" s="1"/>
  <c r="C15" i="56"/>
  <c r="H16" i="55" s="1"/>
  <c r="AI63" i="10"/>
  <c r="AI64" i="10"/>
  <c r="M57" i="1"/>
  <c r="E65" i="1"/>
  <c r="CP63" i="10"/>
  <c r="CP64" i="10"/>
  <c r="CA64" i="10"/>
  <c r="CA63" i="10"/>
  <c r="CO63" i="10"/>
  <c r="CO64" i="10"/>
  <c r="CJ64" i="10"/>
  <c r="CJ63" i="10"/>
  <c r="Q49" i="1"/>
  <c r="BI64" i="10"/>
  <c r="BI63" i="10"/>
  <c r="BG64" i="10"/>
  <c r="BG63" i="10"/>
  <c r="BU63" i="10"/>
  <c r="BU64" i="10"/>
  <c r="BP64" i="10"/>
  <c r="BP63" i="10"/>
  <c r="AP64" i="10"/>
  <c r="AP63" i="10"/>
  <c r="AB29" i="17"/>
  <c r="AB8" i="49"/>
  <c r="AB11" i="49" s="1"/>
  <c r="BW63" i="10"/>
  <c r="BW64" i="10"/>
  <c r="BM64" i="10"/>
  <c r="BM63" i="10"/>
  <c r="BC63" i="10"/>
  <c r="F66" i="16" s="1"/>
  <c r="BC64" i="10"/>
  <c r="F67" i="16" s="1"/>
  <c r="AX64" i="10"/>
  <c r="AX63" i="10"/>
  <c r="AS64" i="10"/>
  <c r="AS63" i="10"/>
  <c r="Y64" i="10"/>
  <c r="Y63" i="10"/>
  <c r="BB63" i="10"/>
  <c r="BB64" i="10"/>
  <c r="CF64" i="10"/>
  <c r="CF63" i="10"/>
  <c r="AM64" i="10"/>
  <c r="D67" i="15" s="1"/>
  <c r="AM63" i="10"/>
  <c r="D66" i="15" s="1"/>
  <c r="BA63" i="10"/>
  <c r="BA64" i="10"/>
  <c r="AV64" i="10"/>
  <c r="AV63" i="10"/>
  <c r="C56" i="16"/>
  <c r="AD64" i="10"/>
  <c r="AD63" i="10"/>
  <c r="AN64" i="10"/>
  <c r="AN63" i="10"/>
  <c r="BL64" i="10"/>
  <c r="G67" i="15" s="1"/>
  <c r="BL63" i="10"/>
  <c r="G66" i="15" s="1"/>
  <c r="BZ64" i="10"/>
  <c r="BZ63" i="10"/>
  <c r="AG63" i="10"/>
  <c r="AG64" i="10"/>
  <c r="AB64" i="10"/>
  <c r="AB63" i="10"/>
  <c r="X25" i="17"/>
  <c r="X41" i="17"/>
  <c r="X9" i="17"/>
  <c r="P60" i="10"/>
  <c r="X57" i="17"/>
  <c r="X73" i="17"/>
  <c r="C63" i="56" l="1"/>
  <c r="H19" i="55" s="1"/>
  <c r="CB40" i="10"/>
  <c r="C30" i="56"/>
  <c r="F17" i="55" s="1"/>
  <c r="AO40" i="10"/>
  <c r="AO43" i="10" s="1"/>
  <c r="AO49" i="10" s="1"/>
  <c r="AM40" i="10"/>
  <c r="AM41" i="10" s="1"/>
  <c r="BU40" i="10"/>
  <c r="BU43" i="10" s="1"/>
  <c r="BU49" i="10" s="1"/>
  <c r="AT40" i="10"/>
  <c r="AT41" i="10" s="1"/>
  <c r="AR40" i="10"/>
  <c r="AR43" i="10" s="1"/>
  <c r="AR49" i="10" s="1"/>
  <c r="AW40" i="10"/>
  <c r="AW41" i="10" s="1"/>
  <c r="AH40" i="10"/>
  <c r="AH43" i="10" s="1"/>
  <c r="AH49" i="10" s="1"/>
  <c r="BD40" i="10"/>
  <c r="BD43" i="10" s="1"/>
  <c r="BD49" i="10" s="1"/>
  <c r="CL40" i="10"/>
  <c r="CL41" i="10" s="1"/>
  <c r="BP40" i="10"/>
  <c r="BP43" i="10" s="1"/>
  <c r="BP49" i="10" s="1"/>
  <c r="BZ40" i="10"/>
  <c r="BZ41" i="10" s="1"/>
  <c r="CJ40" i="10"/>
  <c r="CJ43" i="10" s="1"/>
  <c r="CJ49" i="10" s="1"/>
  <c r="BI40" i="10"/>
  <c r="BI43" i="10" s="1"/>
  <c r="BI49" i="10" s="1"/>
  <c r="AY40" i="10"/>
  <c r="AY43" i="10" s="1"/>
  <c r="AY49" i="10" s="1"/>
  <c r="CG40" i="10"/>
  <c r="CG43" i="10" s="1"/>
  <c r="CG49" i="10" s="1"/>
  <c r="BB40" i="10"/>
  <c r="BB41" i="10" s="1"/>
  <c r="CF40" i="10"/>
  <c r="CF43" i="10" s="1"/>
  <c r="CF49" i="10" s="1"/>
  <c r="C47" i="56"/>
  <c r="H18" i="55" s="1"/>
  <c r="CK40" i="10"/>
  <c r="CK43" i="10" s="1"/>
  <c r="CK49" i="10" s="1"/>
  <c r="BX40" i="10"/>
  <c r="BX41" i="10" s="1"/>
  <c r="BK40" i="10"/>
  <c r="BK43" i="10" s="1"/>
  <c r="BK49" i="10" s="1"/>
  <c r="AJ40" i="10"/>
  <c r="AJ43" i="10" s="1"/>
  <c r="AJ49" i="10" s="1"/>
  <c r="C78" i="56"/>
  <c r="BW40" i="10"/>
  <c r="BW41" i="10" s="1"/>
  <c r="BF40" i="10"/>
  <c r="BF43" i="10" s="1"/>
  <c r="BF49" i="10" s="1"/>
  <c r="CN40" i="10"/>
  <c r="CN43" i="10" s="1"/>
  <c r="CN49" i="10" s="1"/>
  <c r="AV40" i="10"/>
  <c r="AV41" i="10" s="1"/>
  <c r="CD40" i="10"/>
  <c r="CD41" i="10" s="1"/>
  <c r="E68" i="16"/>
  <c r="AQ40" i="10"/>
  <c r="AQ41" i="10" s="1"/>
  <c r="C68" i="15"/>
  <c r="CP40" i="10"/>
  <c r="CP41" i="10" s="1"/>
  <c r="F68" i="16"/>
  <c r="D68" i="16"/>
  <c r="BG40" i="10"/>
  <c r="BG43" i="10" s="1"/>
  <c r="BG49" i="10" s="1"/>
  <c r="BR40" i="10"/>
  <c r="BR43" i="10" s="1"/>
  <c r="BR49" i="10" s="1"/>
  <c r="BM40" i="10"/>
  <c r="BM41" i="10" s="1"/>
  <c r="BH40" i="10"/>
  <c r="BH43" i="10" s="1"/>
  <c r="BH49" i="10" s="1"/>
  <c r="BY40" i="10"/>
  <c r="BY43" i="10" s="1"/>
  <c r="BY49" i="10" s="1"/>
  <c r="G68" i="15"/>
  <c r="BV40" i="10"/>
  <c r="AP40" i="10"/>
  <c r="CC40" i="10"/>
  <c r="G23" i="13"/>
  <c r="D24" i="13" s="1"/>
  <c r="G24" i="13" s="1"/>
  <c r="D25" i="13" s="1"/>
  <c r="G25" i="13" s="1"/>
  <c r="D26" i="13" s="1"/>
  <c r="G26" i="13" s="1"/>
  <c r="D27" i="13" s="1"/>
  <c r="G27" i="13" s="1"/>
  <c r="D28" i="13" s="1"/>
  <c r="G28" i="13" s="1"/>
  <c r="D29" i="13" s="1"/>
  <c r="G29" i="13" s="1"/>
  <c r="D30" i="13" s="1"/>
  <c r="G30" i="13" s="1"/>
  <c r="D31" i="13" s="1"/>
  <c r="G31" i="13" s="1"/>
  <c r="D32" i="13" s="1"/>
  <c r="G32" i="13" s="1"/>
  <c r="D33" i="13" s="1"/>
  <c r="G33" i="13" s="1"/>
  <c r="D34" i="13" s="1"/>
  <c r="G34" i="13" s="1"/>
  <c r="D35" i="13" s="1"/>
  <c r="K56" i="1"/>
  <c r="K58" i="1" s="1"/>
  <c r="AP27" i="17" s="1"/>
  <c r="AK40" i="10"/>
  <c r="AB41" i="10"/>
  <c r="AB43" i="10"/>
  <c r="AB49" i="10" s="1"/>
  <c r="G67" i="1"/>
  <c r="F67" i="1"/>
  <c r="X45" i="17"/>
  <c r="X8" i="50"/>
  <c r="X11" i="50" s="1"/>
  <c r="D8" i="29"/>
  <c r="BL40" i="10"/>
  <c r="AG41" i="10"/>
  <c r="AG43" i="10"/>
  <c r="AG49" i="10" s="1"/>
  <c r="AE41" i="10"/>
  <c r="AE43" i="10"/>
  <c r="AE49" i="10" s="1"/>
  <c r="BS40" i="10"/>
  <c r="X8" i="48"/>
  <c r="X11" i="48" s="1"/>
  <c r="X13" i="17"/>
  <c r="D8" i="19"/>
  <c r="D10" i="19" s="1"/>
  <c r="BQ40" i="10"/>
  <c r="X29" i="17"/>
  <c r="X8" i="49"/>
  <c r="X11" i="49" s="1"/>
  <c r="D8" i="20"/>
  <c r="D68" i="15"/>
  <c r="CO40" i="10"/>
  <c r="X41" i="10"/>
  <c r="X43" i="10"/>
  <c r="X49" i="10" s="1"/>
  <c r="BN40" i="10"/>
  <c r="AO41" i="10"/>
  <c r="CE40" i="10"/>
  <c r="AC43" i="10"/>
  <c r="AC49" i="10" s="1"/>
  <c r="AC41" i="10"/>
  <c r="F68" i="15"/>
  <c r="AD9" i="49"/>
  <c r="D9" i="20"/>
  <c r="AA41" i="10"/>
  <c r="AA43" i="10"/>
  <c r="AA49" i="10" s="1"/>
  <c r="Y43" i="10"/>
  <c r="Y49" i="10" s="1"/>
  <c r="Y41" i="10"/>
  <c r="CB43" i="10"/>
  <c r="CB49" i="10" s="1"/>
  <c r="CB41" i="10"/>
  <c r="AD41" i="10"/>
  <c r="AD43" i="10"/>
  <c r="AD49" i="10" s="1"/>
  <c r="BA40" i="10"/>
  <c r="CI40" i="10"/>
  <c r="W41" i="10"/>
  <c r="W43" i="10"/>
  <c r="W49" i="10" s="1"/>
  <c r="AD9" i="51"/>
  <c r="D9" i="27"/>
  <c r="F65" i="1"/>
  <c r="G65" i="1"/>
  <c r="BT40" i="10"/>
  <c r="BC40" i="10"/>
  <c r="AL40" i="10"/>
  <c r="Z41" i="10"/>
  <c r="Z43" i="10"/>
  <c r="Z49" i="10" s="1"/>
  <c r="BO40" i="10"/>
  <c r="AX40" i="10"/>
  <c r="AF41" i="10"/>
  <c r="AF43" i="10"/>
  <c r="AF49" i="10" s="1"/>
  <c r="BJ40" i="10"/>
  <c r="AS40" i="10"/>
  <c r="AD9" i="50"/>
  <c r="D9" i="29"/>
  <c r="BE40" i="10"/>
  <c r="AN40" i="10"/>
  <c r="E68" i="15"/>
  <c r="X77" i="17"/>
  <c r="X8" i="52"/>
  <c r="X11" i="52" s="1"/>
  <c r="AZ40" i="10"/>
  <c r="CM40" i="10"/>
  <c r="AI40" i="10"/>
  <c r="F66" i="1"/>
  <c r="G66" i="1"/>
  <c r="X61" i="17"/>
  <c r="X8" i="51"/>
  <c r="X11" i="51" s="1"/>
  <c r="D8" i="27"/>
  <c r="CA40" i="10"/>
  <c r="AU40" i="10"/>
  <c r="CH40" i="10"/>
  <c r="C43" i="15"/>
  <c r="D43" i="16"/>
  <c r="I45" i="1"/>
  <c r="I48" i="1" s="1"/>
  <c r="V41" i="10"/>
  <c r="V43" i="10"/>
  <c r="V49" i="10" s="1"/>
  <c r="AM43" i="10" l="1"/>
  <c r="AM49" i="10" s="1"/>
  <c r="BU41" i="10"/>
  <c r="AT43" i="10"/>
  <c r="AT49" i="10" s="1"/>
  <c r="AT53" i="10" s="1"/>
  <c r="BP41" i="10"/>
  <c r="AR41" i="10"/>
  <c r="AH41" i="10"/>
  <c r="CL43" i="10"/>
  <c r="CL49" i="10" s="1"/>
  <c r="CL58" i="10" s="1"/>
  <c r="CL60" i="10" s="1"/>
  <c r="AW43" i="10"/>
  <c r="AW49" i="10" s="1"/>
  <c r="AW58" i="10" s="1"/>
  <c r="BD41" i="10"/>
  <c r="CJ41" i="10"/>
  <c r="BZ43" i="10"/>
  <c r="BZ49" i="10" s="1"/>
  <c r="BZ58" i="10" s="1"/>
  <c r="BZ60" i="10" s="1"/>
  <c r="BI41" i="10"/>
  <c r="BK41" i="10"/>
  <c r="CG41" i="10"/>
  <c r="BB43" i="10"/>
  <c r="BB49" i="10" s="1"/>
  <c r="BB58" i="10" s="1"/>
  <c r="CK41" i="10"/>
  <c r="AY41" i="10"/>
  <c r="AJ41" i="10"/>
  <c r="CF41" i="10"/>
  <c r="AV43" i="10"/>
  <c r="AV49" i="10" s="1"/>
  <c r="AV58" i="10" s="1"/>
  <c r="AQ43" i="10"/>
  <c r="AQ49" i="10" s="1"/>
  <c r="AQ58" i="10" s="1"/>
  <c r="BX43" i="10"/>
  <c r="BX49" i="10" s="1"/>
  <c r="BX58" i="10" s="1"/>
  <c r="BX60" i="10" s="1"/>
  <c r="CP43" i="10"/>
  <c r="CP49" i="10" s="1"/>
  <c r="CP53" i="10" s="1"/>
  <c r="CD43" i="10"/>
  <c r="CD49" i="10" s="1"/>
  <c r="CD58" i="10" s="1"/>
  <c r="CD60" i="10" s="1"/>
  <c r="K45" i="1"/>
  <c r="K48" i="1" s="1"/>
  <c r="BW43" i="10"/>
  <c r="BW49" i="10" s="1"/>
  <c r="BW58" i="10" s="1"/>
  <c r="BW60" i="10" s="1"/>
  <c r="BH41" i="10"/>
  <c r="CN41" i="10"/>
  <c r="BF41" i="10"/>
  <c r="BY41" i="10"/>
  <c r="BM43" i="10"/>
  <c r="BM49" i="10" s="1"/>
  <c r="BM58" i="10" s="1"/>
  <c r="BG41" i="10"/>
  <c r="BR41" i="10"/>
  <c r="E43" i="16"/>
  <c r="E44" i="16" s="1"/>
  <c r="D43" i="15"/>
  <c r="D46" i="15" s="1"/>
  <c r="D52" i="15" s="1"/>
  <c r="D61" i="15" s="1"/>
  <c r="D63" i="15" s="1"/>
  <c r="AB58" i="10"/>
  <c r="AB53" i="10"/>
  <c r="CN58" i="10"/>
  <c r="CN60" i="10" s="1"/>
  <c r="CN53" i="10"/>
  <c r="BC41" i="10"/>
  <c r="BC43" i="10"/>
  <c r="BC49" i="10" s="1"/>
  <c r="W53" i="10"/>
  <c r="W58" i="10"/>
  <c r="C15" i="48"/>
  <c r="X22" i="48"/>
  <c r="X23" i="48" s="1"/>
  <c r="C13" i="48"/>
  <c r="C14" i="48"/>
  <c r="BH58" i="10"/>
  <c r="BH53" i="10"/>
  <c r="BY58" i="10"/>
  <c r="BY60" i="10" s="1"/>
  <c r="BY53" i="10"/>
  <c r="D21" i="19"/>
  <c r="D23" i="19" s="1"/>
  <c r="D12" i="19"/>
  <c r="D13" i="19"/>
  <c r="D14" i="19"/>
  <c r="AM58" i="10"/>
  <c r="AM53" i="10"/>
  <c r="BA41" i="10"/>
  <c r="BA43" i="10"/>
  <c r="BA49" i="10" s="1"/>
  <c r="AG58" i="10"/>
  <c r="AG53" i="10"/>
  <c r="C14" i="17"/>
  <c r="C15" i="17"/>
  <c r="BP58" i="10"/>
  <c r="BP53" i="10"/>
  <c r="AE58" i="10"/>
  <c r="AE53" i="10"/>
  <c r="G35" i="13"/>
  <c r="D36" i="13" s="1"/>
  <c r="G36" i="13" s="1"/>
  <c r="D37" i="13" s="1"/>
  <c r="G37" i="13" s="1"/>
  <c r="D38" i="13" s="1"/>
  <c r="G38" i="13" s="1"/>
  <c r="D39" i="13" s="1"/>
  <c r="G39" i="13" s="1"/>
  <c r="D40" i="13" s="1"/>
  <c r="G40" i="13" s="1"/>
  <c r="D41" i="13" s="1"/>
  <c r="G41" i="13" s="1"/>
  <c r="D42" i="13" s="1"/>
  <c r="G42" i="13" s="1"/>
  <c r="D43" i="13" s="1"/>
  <c r="G43" i="13" s="1"/>
  <c r="D44" i="13" s="1"/>
  <c r="G44" i="13" s="1"/>
  <c r="D45" i="13" s="1"/>
  <c r="G45" i="13" s="1"/>
  <c r="D46" i="13" s="1"/>
  <c r="M56" i="1"/>
  <c r="M58" i="1" s="1"/>
  <c r="BB43" i="17" s="1"/>
  <c r="Q45" i="1"/>
  <c r="Q48" i="1" s="1"/>
  <c r="G43" i="15"/>
  <c r="BL41" i="10"/>
  <c r="BL43" i="10"/>
  <c r="BL49" i="10" s="1"/>
  <c r="BV41" i="10"/>
  <c r="BV43" i="10"/>
  <c r="BV49" i="10" s="1"/>
  <c r="CA43" i="10"/>
  <c r="CA49" i="10" s="1"/>
  <c r="CA41" i="10"/>
  <c r="D11" i="27"/>
  <c r="X22" i="52"/>
  <c r="X23" i="52" s="1"/>
  <c r="AJ58" i="10"/>
  <c r="AJ53" i="10"/>
  <c r="BD58" i="10"/>
  <c r="BD53" i="10"/>
  <c r="AH58" i="10"/>
  <c r="AH53" i="10"/>
  <c r="BS41" i="10"/>
  <c r="BS43" i="10"/>
  <c r="BS49" i="10" s="1"/>
  <c r="AP41" i="10"/>
  <c r="AP43" i="10"/>
  <c r="AP49" i="10" s="1"/>
  <c r="BG58" i="10"/>
  <c r="BG53" i="10"/>
  <c r="BI58" i="10"/>
  <c r="BI53" i="10"/>
  <c r="V58" i="10"/>
  <c r="V53" i="10"/>
  <c r="D11" i="29"/>
  <c r="AU43" i="10"/>
  <c r="AU49" i="10" s="1"/>
  <c r="AU41" i="10"/>
  <c r="CF58" i="10"/>
  <c r="CF60" i="10" s="1"/>
  <c r="CF53" i="10"/>
  <c r="AX41" i="10"/>
  <c r="AX43" i="10"/>
  <c r="AX49" i="10" s="1"/>
  <c r="CE41" i="10"/>
  <c r="CE43" i="10"/>
  <c r="CE49" i="10" s="1"/>
  <c r="BU58" i="10"/>
  <c r="BU60" i="10" s="1"/>
  <c r="BU53" i="10"/>
  <c r="CI41" i="10"/>
  <c r="CI43" i="10"/>
  <c r="CI49" i="10" s="1"/>
  <c r="AO58" i="10"/>
  <c r="AO53" i="10"/>
  <c r="CJ58" i="10"/>
  <c r="CJ60" i="10" s="1"/>
  <c r="CJ53" i="10"/>
  <c r="D44" i="16"/>
  <c r="D46" i="16"/>
  <c r="D52" i="16" s="1"/>
  <c r="D61" i="16" s="1"/>
  <c r="D63" i="16" s="1"/>
  <c r="C44" i="15"/>
  <c r="C46" i="15"/>
  <c r="C52" i="15" s="1"/>
  <c r="C61" i="15" s="1"/>
  <c r="C63" i="15" s="1"/>
  <c r="AC58" i="10"/>
  <c r="AC53" i="10"/>
  <c r="BO43" i="10"/>
  <c r="BO49" i="10" s="1"/>
  <c r="BO41" i="10"/>
  <c r="D11" i="20"/>
  <c r="AY58" i="10"/>
  <c r="AY53" i="10"/>
  <c r="BT41" i="10"/>
  <c r="BT43" i="10"/>
  <c r="BT49" i="10" s="1"/>
  <c r="AI41" i="10"/>
  <c r="AI43" i="10"/>
  <c r="AI49" i="10" s="1"/>
  <c r="CM43" i="10"/>
  <c r="CM49" i="10" s="1"/>
  <c r="CM41" i="10"/>
  <c r="CH43" i="10"/>
  <c r="CH49" i="10" s="1"/>
  <c r="CH41" i="10"/>
  <c r="AF58" i="10"/>
  <c r="AF53" i="10"/>
  <c r="CO43" i="10"/>
  <c r="CO49" i="10" s="1"/>
  <c r="CO41" i="10"/>
  <c r="X22" i="51"/>
  <c r="X23" i="51" s="1"/>
  <c r="BF58" i="10"/>
  <c r="BF53" i="10"/>
  <c r="Y58" i="10"/>
  <c r="Y53" i="10"/>
  <c r="Z58" i="10"/>
  <c r="Z53" i="10"/>
  <c r="BK53" i="10"/>
  <c r="BK58" i="10"/>
  <c r="X22" i="49"/>
  <c r="X23" i="49" s="1"/>
  <c r="CK58" i="10"/>
  <c r="CK60" i="10" s="1"/>
  <c r="CK53" i="10"/>
  <c r="AK43" i="10"/>
  <c r="AK49" i="10" s="1"/>
  <c r="AK41" i="10"/>
  <c r="CG58" i="10"/>
  <c r="CG60" i="10" s="1"/>
  <c r="CG53" i="10"/>
  <c r="CC41" i="10"/>
  <c r="CC43" i="10"/>
  <c r="CC49" i="10" s="1"/>
  <c r="BN41" i="10"/>
  <c r="BN43" i="10"/>
  <c r="BN49" i="10" s="1"/>
  <c r="X22" i="50"/>
  <c r="X23" i="50" s="1"/>
  <c r="E43" i="15"/>
  <c r="M45" i="1"/>
  <c r="M48" i="1" s="1"/>
  <c r="AN41" i="10"/>
  <c r="AN43" i="10"/>
  <c r="AN49" i="10" s="1"/>
  <c r="AR58" i="10"/>
  <c r="AR53" i="10"/>
  <c r="AP29" i="17"/>
  <c r="AP10" i="49"/>
  <c r="AP11" i="49" s="1"/>
  <c r="E10" i="20"/>
  <c r="AS43" i="10"/>
  <c r="AS49" i="10" s="1"/>
  <c r="AS41" i="10"/>
  <c r="BJ41" i="10"/>
  <c r="BJ43" i="10"/>
  <c r="BJ49" i="10" s="1"/>
  <c r="AD58" i="10"/>
  <c r="AD53" i="10"/>
  <c r="O45" i="1"/>
  <c r="O48" i="1" s="1"/>
  <c r="F43" i="15"/>
  <c r="AZ41" i="10"/>
  <c r="AZ43" i="10"/>
  <c r="AZ49" i="10" s="1"/>
  <c r="X58" i="10"/>
  <c r="X53" i="10"/>
  <c r="CB58" i="10"/>
  <c r="CB60" i="10" s="1"/>
  <c r="CB53" i="10"/>
  <c r="BE43" i="10"/>
  <c r="BE49" i="10" s="1"/>
  <c r="BE41" i="10"/>
  <c r="AL43" i="10"/>
  <c r="AL49" i="10" s="1"/>
  <c r="AL41" i="10"/>
  <c r="BR58" i="10"/>
  <c r="BR60" i="10" s="1"/>
  <c r="BR53" i="10"/>
  <c r="AA58" i="10"/>
  <c r="AA53" i="10"/>
  <c r="BQ43" i="10"/>
  <c r="BQ49" i="10" s="1"/>
  <c r="BQ41" i="10"/>
  <c r="F43" i="16"/>
  <c r="AT58" i="10" l="1"/>
  <c r="AT60" i="10" s="1"/>
  <c r="CL53" i="10"/>
  <c r="BZ53" i="10"/>
  <c r="AW53" i="10"/>
  <c r="AQ53" i="10"/>
  <c r="BB53" i="10"/>
  <c r="BX53" i="10"/>
  <c r="AV53" i="10"/>
  <c r="CD53" i="10"/>
  <c r="CP58" i="10"/>
  <c r="CP60" i="10" s="1"/>
  <c r="BW53" i="10"/>
  <c r="D44" i="15"/>
  <c r="BM53" i="10"/>
  <c r="E46" i="16"/>
  <c r="E52" i="16" s="1"/>
  <c r="E61" i="16" s="1"/>
  <c r="E63" i="16" s="1"/>
  <c r="D24" i="19"/>
  <c r="BP60" i="10"/>
  <c r="BX73" i="17"/>
  <c r="AW60" i="10"/>
  <c r="BE57" i="17"/>
  <c r="BE73" i="17"/>
  <c r="AL25" i="17"/>
  <c r="AL41" i="17"/>
  <c r="AD60" i="10"/>
  <c r="AL57" i="17"/>
  <c r="AL73" i="17"/>
  <c r="AX58" i="10"/>
  <c r="AX53" i="10"/>
  <c r="BO73" i="17"/>
  <c r="BG60" i="10"/>
  <c r="BP73" i="17"/>
  <c r="BH60" i="10"/>
  <c r="F46" i="16"/>
  <c r="F52" i="16" s="1"/>
  <c r="F61" i="16" s="1"/>
  <c r="F63" i="16" s="1"/>
  <c r="F44" i="16"/>
  <c r="BQ58" i="10"/>
  <c r="BQ60" i="10" s="1"/>
  <c r="BQ53" i="10"/>
  <c r="BJ58" i="10"/>
  <c r="BJ53" i="10"/>
  <c r="BO58" i="10"/>
  <c r="BO53" i="10"/>
  <c r="AY73" i="17"/>
  <c r="AY41" i="17"/>
  <c r="AQ60" i="10"/>
  <c r="AY57" i="17"/>
  <c r="AK41" i="17"/>
  <c r="AC60" i="10"/>
  <c r="AK57" i="17"/>
  <c r="AK25" i="17"/>
  <c r="AK73" i="17"/>
  <c r="AN25" i="17"/>
  <c r="AN41" i="17"/>
  <c r="AF60" i="10"/>
  <c r="AN57" i="17"/>
  <c r="AN73" i="17"/>
  <c r="AP58" i="10"/>
  <c r="AP53" i="10"/>
  <c r="BV58" i="10"/>
  <c r="BV60" i="10" s="1"/>
  <c r="BV53" i="10"/>
  <c r="AL58" i="10"/>
  <c r="AL53" i="10"/>
  <c r="AO25" i="17"/>
  <c r="AO41" i="17"/>
  <c r="AG60" i="10"/>
  <c r="AO73" i="17"/>
  <c r="AO57" i="17"/>
  <c r="X24" i="48"/>
  <c r="X26" i="48"/>
  <c r="AE73" i="17"/>
  <c r="AE25" i="17"/>
  <c r="AE41" i="17"/>
  <c r="W60" i="10"/>
  <c r="AE57" i="17"/>
  <c r="G44" i="15"/>
  <c r="G46" i="15"/>
  <c r="G52" i="15" s="1"/>
  <c r="G61" i="15" s="1"/>
  <c r="G63" i="15" s="1"/>
  <c r="CE53" i="10"/>
  <c r="CE58" i="10"/>
  <c r="CE60" i="10" s="1"/>
  <c r="X26" i="50"/>
  <c r="X24" i="50"/>
  <c r="CC58" i="10"/>
  <c r="CC60" i="10" s="1"/>
  <c r="CC53" i="10"/>
  <c r="BM60" i="10"/>
  <c r="BU73" i="17"/>
  <c r="BS58" i="10"/>
  <c r="BS60" i="10" s="1"/>
  <c r="BS53" i="10"/>
  <c r="BL58" i="10"/>
  <c r="BL53" i="10"/>
  <c r="CM58" i="10"/>
  <c r="CM60" i="10" s="1"/>
  <c r="CM53" i="10"/>
  <c r="AR60" i="10"/>
  <c r="AZ57" i="17"/>
  <c r="AZ41" i="17"/>
  <c r="AZ73" i="17"/>
  <c r="AI58" i="10"/>
  <c r="AI53" i="10"/>
  <c r="BC58" i="10"/>
  <c r="BC53" i="10"/>
  <c r="CO58" i="10"/>
  <c r="CO60" i="10" s="1"/>
  <c r="CO53" i="10"/>
  <c r="D22" i="27"/>
  <c r="D24" i="27" s="1"/>
  <c r="BB60" i="10"/>
  <c r="BJ57" i="17"/>
  <c r="BJ73" i="17"/>
  <c r="AS58" i="10"/>
  <c r="AS53" i="10"/>
  <c r="AV60" i="10"/>
  <c r="BD57" i="17"/>
  <c r="BD73" i="17"/>
  <c r="BE58" i="10"/>
  <c r="BE53" i="10"/>
  <c r="BB45" i="17"/>
  <c r="BB10" i="50"/>
  <c r="BB11" i="50" s="1"/>
  <c r="Y60" i="10"/>
  <c r="AG57" i="17"/>
  <c r="AG73" i="17"/>
  <c r="AG25" i="17"/>
  <c r="AG41" i="17"/>
  <c r="BA58" i="10"/>
  <c r="BA53" i="10"/>
  <c r="AU58" i="10"/>
  <c r="AU53" i="10"/>
  <c r="AN58" i="10"/>
  <c r="AN53" i="10"/>
  <c r="AK58" i="10"/>
  <c r="AK53" i="10"/>
  <c r="BD60" i="10"/>
  <c r="BL73" i="17"/>
  <c r="BL57" i="17"/>
  <c r="BN73" i="17"/>
  <c r="BF60" i="10"/>
  <c r="D56" i="16"/>
  <c r="C56" i="15"/>
  <c r="I50" i="1"/>
  <c r="CI58" i="10"/>
  <c r="CI60" i="10" s="1"/>
  <c r="CI53" i="10"/>
  <c r="AD73" i="17"/>
  <c r="AD25" i="17"/>
  <c r="AD41" i="17"/>
  <c r="V60" i="10"/>
  <c r="AD57" i="17"/>
  <c r="AR41" i="17"/>
  <c r="AJ60" i="10"/>
  <c r="AR57" i="17"/>
  <c r="AR73" i="17"/>
  <c r="O56" i="1"/>
  <c r="O58" i="1" s="1"/>
  <c r="G46" i="13"/>
  <c r="D47" i="13" s="1"/>
  <c r="G47" i="13" s="1"/>
  <c r="D48" i="13" s="1"/>
  <c r="G48" i="13" s="1"/>
  <c r="D49" i="13" s="1"/>
  <c r="G49" i="13" s="1"/>
  <c r="D50" i="13" s="1"/>
  <c r="G50" i="13" s="1"/>
  <c r="D51" i="13" s="1"/>
  <c r="G51" i="13" s="1"/>
  <c r="D52" i="13" s="1"/>
  <c r="G52" i="13" s="1"/>
  <c r="D53" i="13" s="1"/>
  <c r="G53" i="13" s="1"/>
  <c r="D54" i="13" s="1"/>
  <c r="G54" i="13" s="1"/>
  <c r="D55" i="13" s="1"/>
  <c r="G55" i="13" s="1"/>
  <c r="D56" i="13" s="1"/>
  <c r="G56" i="13" s="1"/>
  <c r="D57" i="13" s="1"/>
  <c r="G57" i="13" s="1"/>
  <c r="D58" i="13" s="1"/>
  <c r="BT58" i="10"/>
  <c r="BT60" i="10" s="1"/>
  <c r="BT53" i="10"/>
  <c r="E44" i="15"/>
  <c r="E46" i="15"/>
  <c r="E52" i="15" s="1"/>
  <c r="E61" i="15" s="1"/>
  <c r="E63" i="15" s="1"/>
  <c r="X24" i="52"/>
  <c r="X26" i="52"/>
  <c r="AB60" i="10"/>
  <c r="AJ57" i="17"/>
  <c r="AJ73" i="17"/>
  <c r="AJ25" i="17"/>
  <c r="AJ41" i="17"/>
  <c r="AA60" i="10"/>
  <c r="AI57" i="17"/>
  <c r="AI25" i="17"/>
  <c r="AI41" i="17"/>
  <c r="AI73" i="17"/>
  <c r="BS73" i="17"/>
  <c r="BK60" i="10"/>
  <c r="CA58" i="10"/>
  <c r="CA60" i="10" s="1"/>
  <c r="CA53" i="10"/>
  <c r="CH58" i="10"/>
  <c r="CH60" i="10" s="1"/>
  <c r="CH53" i="10"/>
  <c r="AZ58" i="10"/>
  <c r="AZ53" i="10"/>
  <c r="X24" i="49"/>
  <c r="X26" i="49"/>
  <c r="X24" i="51"/>
  <c r="X26" i="51"/>
  <c r="AY60" i="10"/>
  <c r="BG73" i="17"/>
  <c r="BG57" i="17"/>
  <c r="BQ73" i="17"/>
  <c r="BI60" i="10"/>
  <c r="AM25" i="17"/>
  <c r="AM41" i="17"/>
  <c r="AE60" i="10"/>
  <c r="AM73" i="17"/>
  <c r="AM57" i="17"/>
  <c r="D22" i="19"/>
  <c r="D25" i="19" s="1"/>
  <c r="D31" i="19"/>
  <c r="BN58" i="10"/>
  <c r="BN53" i="10"/>
  <c r="Z60" i="10"/>
  <c r="AH57" i="17"/>
  <c r="AH25" i="17"/>
  <c r="AH41" i="17"/>
  <c r="AH73" i="17"/>
  <c r="AP41" i="17"/>
  <c r="AH60" i="10"/>
  <c r="AP57" i="17"/>
  <c r="AP73" i="17"/>
  <c r="AU73" i="17"/>
  <c r="AU41" i="17"/>
  <c r="AM60" i="10"/>
  <c r="AU57" i="17"/>
  <c r="X60" i="10"/>
  <c r="AF57" i="17"/>
  <c r="AF25" i="17"/>
  <c r="AF41" i="17"/>
  <c r="AF73" i="17"/>
  <c r="D22" i="29"/>
  <c r="D24" i="29" s="1"/>
  <c r="AW73" i="17"/>
  <c r="AO60" i="10"/>
  <c r="AW57" i="17"/>
  <c r="AW41" i="17"/>
  <c r="F44" i="15"/>
  <c r="F46" i="15"/>
  <c r="F52" i="15" s="1"/>
  <c r="F61" i="15" s="1"/>
  <c r="F63" i="15" s="1"/>
  <c r="D22" i="20"/>
  <c r="D24" i="20" s="1"/>
  <c r="D25" i="20" s="1"/>
  <c r="BB73" i="17" l="1"/>
  <c r="BB77" i="17" s="1"/>
  <c r="BB57" i="17"/>
  <c r="BB8" i="51" s="1"/>
  <c r="BB11" i="51" s="1"/>
  <c r="D30" i="19"/>
  <c r="D32" i="19" s="1"/>
  <c r="D33" i="19" s="1"/>
  <c r="K50" i="1"/>
  <c r="D56" i="15"/>
  <c r="D25" i="29"/>
  <c r="D25" i="27"/>
  <c r="G56" i="15"/>
  <c r="F56" i="16"/>
  <c r="X35" i="49"/>
  <c r="X27" i="49"/>
  <c r="X34" i="49" s="1"/>
  <c r="AF77" i="17"/>
  <c r="AF8" i="52"/>
  <c r="AF11" i="52" s="1"/>
  <c r="AJ45" i="17"/>
  <c r="AJ8" i="50"/>
  <c r="AJ11" i="50" s="1"/>
  <c r="BY75" i="17"/>
  <c r="BY77" i="17" s="1"/>
  <c r="BM59" i="17"/>
  <c r="BD77" i="17"/>
  <c r="BD8" i="52"/>
  <c r="BD11" i="52" s="1"/>
  <c r="AZ77" i="17"/>
  <c r="AZ8" i="52"/>
  <c r="AZ11" i="52" s="1"/>
  <c r="AX73" i="17"/>
  <c r="AX41" i="17"/>
  <c r="AP60" i="10"/>
  <c r="AX57" i="17"/>
  <c r="AN29" i="17"/>
  <c r="AN8" i="49"/>
  <c r="AN11" i="49" s="1"/>
  <c r="BG61" i="17"/>
  <c r="BG8" i="51"/>
  <c r="BG11" i="51" s="1"/>
  <c r="AH77" i="17"/>
  <c r="AH8" i="52"/>
  <c r="AH11" i="52" s="1"/>
  <c r="BG77" i="17"/>
  <c r="BG8" i="52"/>
  <c r="BG11" i="52" s="1"/>
  <c r="AJ29" i="17"/>
  <c r="AJ8" i="49"/>
  <c r="AJ11" i="49" s="1"/>
  <c r="AR77" i="17"/>
  <c r="AR8" i="52"/>
  <c r="AR11" i="52" s="1"/>
  <c r="BB61" i="17"/>
  <c r="BD61" i="17"/>
  <c r="BD8" i="51"/>
  <c r="BD11" i="51" s="1"/>
  <c r="AZ45" i="17"/>
  <c r="AZ8" i="50"/>
  <c r="AZ11" i="50" s="1"/>
  <c r="AN77" i="17"/>
  <c r="AN8" i="52"/>
  <c r="AN11" i="52" s="1"/>
  <c r="AZ61" i="17"/>
  <c r="AZ8" i="51"/>
  <c r="AZ11" i="51" s="1"/>
  <c r="AN61" i="17"/>
  <c r="AN8" i="51"/>
  <c r="AN11" i="51" s="1"/>
  <c r="AZ60" i="10"/>
  <c r="BH57" i="17"/>
  <c r="BH73" i="17"/>
  <c r="AP45" i="17"/>
  <c r="AP8" i="50"/>
  <c r="AP11" i="50" s="1"/>
  <c r="AH45" i="17"/>
  <c r="AH8" i="50"/>
  <c r="AH11" i="50" s="1"/>
  <c r="AH29" i="17"/>
  <c r="AH8" i="49"/>
  <c r="AH11" i="49" s="1"/>
  <c r="AJ61" i="17"/>
  <c r="AJ8" i="51"/>
  <c r="AJ11" i="51" s="1"/>
  <c r="AE61" i="17"/>
  <c r="AE8" i="51"/>
  <c r="AE11" i="51" s="1"/>
  <c r="AD61" i="17"/>
  <c r="AD8" i="51"/>
  <c r="AD11" i="51" s="1"/>
  <c r="E8" i="27"/>
  <c r="E11" i="27" s="1"/>
  <c r="AV73" i="17"/>
  <c r="AV41" i="17"/>
  <c r="AN60" i="10"/>
  <c r="AV57" i="17"/>
  <c r="AW77" i="17"/>
  <c r="AW8" i="52"/>
  <c r="AW11" i="52" s="1"/>
  <c r="AJ77" i="17"/>
  <c r="AJ8" i="52"/>
  <c r="AJ11" i="52" s="1"/>
  <c r="AR61" i="17"/>
  <c r="AR8" i="51"/>
  <c r="AR11" i="51" s="1"/>
  <c r="D32" i="29"/>
  <c r="D23" i="29"/>
  <c r="D26" i="29" s="1"/>
  <c r="AH61" i="17"/>
  <c r="AH8" i="51"/>
  <c r="AH11" i="51" s="1"/>
  <c r="X35" i="51"/>
  <c r="X27" i="51"/>
  <c r="X34" i="51" s="1"/>
  <c r="AR45" i="17"/>
  <c r="AR8" i="50"/>
  <c r="AR11" i="50" s="1"/>
  <c r="AS73" i="17"/>
  <c r="AS41" i="17"/>
  <c r="AK60" i="10"/>
  <c r="AS57" i="17"/>
  <c r="AS60" i="10"/>
  <c r="BA57" i="17"/>
  <c r="BA73" i="17"/>
  <c r="BA41" i="17"/>
  <c r="AN45" i="17"/>
  <c r="AN8" i="50"/>
  <c r="AN11" i="50" s="1"/>
  <c r="BP77" i="17"/>
  <c r="BP8" i="52"/>
  <c r="BP11" i="52" s="1"/>
  <c r="BJ61" i="17"/>
  <c r="BJ8" i="51"/>
  <c r="BJ11" i="51" s="1"/>
  <c r="Q50" i="1"/>
  <c r="AE29" i="17"/>
  <c r="AE8" i="49"/>
  <c r="AE11" i="49" s="1"/>
  <c r="E56" i="16"/>
  <c r="X35" i="52"/>
  <c r="X27" i="52"/>
  <c r="X34" i="52" s="1"/>
  <c r="AD45" i="17"/>
  <c r="AD8" i="50"/>
  <c r="AD11" i="50" s="1"/>
  <c r="E8" i="29"/>
  <c r="E11" i="29" s="1"/>
  <c r="BL60" i="10"/>
  <c r="BT73" i="17"/>
  <c r="AE77" i="17"/>
  <c r="AE8" i="52"/>
  <c r="AE11" i="52" s="1"/>
  <c r="AK77" i="17"/>
  <c r="AK8" i="52"/>
  <c r="AK11" i="52" s="1"/>
  <c r="BO77" i="17"/>
  <c r="BO8" i="52"/>
  <c r="BO11" i="52" s="1"/>
  <c r="AD29" i="17"/>
  <c r="AD8" i="49"/>
  <c r="AD11" i="49" s="1"/>
  <c r="E8" i="20"/>
  <c r="E11" i="20" s="1"/>
  <c r="AU60" i="10"/>
  <c r="BC57" i="17"/>
  <c r="BC73" i="17"/>
  <c r="AK29" i="17"/>
  <c r="AK8" i="49"/>
  <c r="AK11" i="49" s="1"/>
  <c r="X35" i="48"/>
  <c r="X27" i="48"/>
  <c r="X34" i="48" s="1"/>
  <c r="AK61" i="17"/>
  <c r="AK8" i="51"/>
  <c r="AK11" i="51" s="1"/>
  <c r="AX60" i="10"/>
  <c r="BF57" i="17"/>
  <c r="BF73" i="17"/>
  <c r="AO61" i="17"/>
  <c r="AO8" i="51"/>
  <c r="AO11" i="51" s="1"/>
  <c r="AL77" i="17"/>
  <c r="AL8" i="52"/>
  <c r="AL11" i="52" s="1"/>
  <c r="E56" i="15"/>
  <c r="M50" i="1"/>
  <c r="BA60" i="10"/>
  <c r="BI73" i="17"/>
  <c r="BI57" i="17"/>
  <c r="AF61" i="17"/>
  <c r="AF8" i="51"/>
  <c r="AF11" i="51" s="1"/>
  <c r="AG45" i="17"/>
  <c r="AG8" i="50"/>
  <c r="AG11" i="50" s="1"/>
  <c r="D32" i="27"/>
  <c r="D23" i="27"/>
  <c r="D26" i="27" s="1"/>
  <c r="AO77" i="17"/>
  <c r="AO8" i="52"/>
  <c r="AO11" i="52" s="1"/>
  <c r="AK45" i="17"/>
  <c r="AK8" i="50"/>
  <c r="AK11" i="50" s="1"/>
  <c r="AL61" i="17"/>
  <c r="AL8" i="51"/>
  <c r="AL11" i="51" s="1"/>
  <c r="AY61" i="17"/>
  <c r="AY8" i="51"/>
  <c r="AY11" i="51" s="1"/>
  <c r="AF45" i="17"/>
  <c r="AF8" i="50"/>
  <c r="AF11" i="50" s="1"/>
  <c r="AO45" i="17"/>
  <c r="AO8" i="50"/>
  <c r="AO11" i="50" s="1"/>
  <c r="AL45" i="17"/>
  <c r="AL8" i="50"/>
  <c r="AL11" i="50" s="1"/>
  <c r="AU61" i="17"/>
  <c r="AU8" i="51"/>
  <c r="AU11" i="51" s="1"/>
  <c r="AY45" i="17"/>
  <c r="AY8" i="50"/>
  <c r="AY11" i="50" s="1"/>
  <c r="AL29" i="17"/>
  <c r="AL8" i="49"/>
  <c r="AL11" i="49" s="1"/>
  <c r="AG77" i="17"/>
  <c r="AG8" i="52"/>
  <c r="AG11" i="52" s="1"/>
  <c r="AU45" i="17"/>
  <c r="AU8" i="50"/>
  <c r="AU11" i="50" s="1"/>
  <c r="AI77" i="17"/>
  <c r="AI8" i="52"/>
  <c r="AI11" i="52" s="1"/>
  <c r="AY77" i="17"/>
  <c r="AY8" i="52"/>
  <c r="AY11" i="52" s="1"/>
  <c r="BE77" i="17"/>
  <c r="BE8" i="52"/>
  <c r="BE11" i="52" s="1"/>
  <c r="AF29" i="17"/>
  <c r="AF8" i="49"/>
  <c r="AF11" i="49" s="1"/>
  <c r="BS77" i="17"/>
  <c r="BS8" i="52"/>
  <c r="BS11" i="52" s="1"/>
  <c r="AO29" i="17"/>
  <c r="AO8" i="49"/>
  <c r="AO11" i="49" s="1"/>
  <c r="AM45" i="17"/>
  <c r="AM8" i="50"/>
  <c r="AM11" i="50" s="1"/>
  <c r="AI45" i="17"/>
  <c r="AI8" i="50"/>
  <c r="AI11" i="50" s="1"/>
  <c r="BN77" i="17"/>
  <c r="BN8" i="52"/>
  <c r="BN11" i="52" s="1"/>
  <c r="AT73" i="17"/>
  <c r="AT41" i="17"/>
  <c r="AL60" i="10"/>
  <c r="AT57" i="17"/>
  <c r="BE61" i="17"/>
  <c r="BE8" i="51"/>
  <c r="BE11" i="51" s="1"/>
  <c r="BJ77" i="17"/>
  <c r="BJ8" i="52"/>
  <c r="BJ11" i="52" s="1"/>
  <c r="BN60" i="10"/>
  <c r="BV73" i="17"/>
  <c r="AG29" i="17"/>
  <c r="AG8" i="49"/>
  <c r="AG11" i="49" s="1"/>
  <c r="AU77" i="17"/>
  <c r="AU8" i="52"/>
  <c r="AU11" i="52" s="1"/>
  <c r="AP77" i="17"/>
  <c r="AP8" i="52"/>
  <c r="AP11" i="52" s="1"/>
  <c r="AM29" i="17"/>
  <c r="AM8" i="49"/>
  <c r="AM11" i="49" s="1"/>
  <c r="AI29" i="17"/>
  <c r="AI8" i="49"/>
  <c r="AI11" i="49" s="1"/>
  <c r="BL61" i="17"/>
  <c r="BL8" i="51"/>
  <c r="BL11" i="51" s="1"/>
  <c r="BC60" i="10"/>
  <c r="BK57" i="17"/>
  <c r="BK73" i="17"/>
  <c r="X35" i="50"/>
  <c r="X27" i="50"/>
  <c r="X34" i="50" s="1"/>
  <c r="BO60" i="10"/>
  <c r="BW73" i="17"/>
  <c r="AE45" i="17"/>
  <c r="AE8" i="50"/>
  <c r="AE11" i="50" s="1"/>
  <c r="O50" i="1"/>
  <c r="F56" i="15"/>
  <c r="AD77" i="17"/>
  <c r="AD8" i="52"/>
  <c r="AD11" i="52" s="1"/>
  <c r="BU77" i="17"/>
  <c r="BU8" i="52"/>
  <c r="BU11" i="52" s="1"/>
  <c r="D32" i="20"/>
  <c r="D23" i="20"/>
  <c r="D26" i="20" s="1"/>
  <c r="BL77" i="17"/>
  <c r="BL8" i="52"/>
  <c r="BL11" i="52" s="1"/>
  <c r="BX77" i="17"/>
  <c r="BX8" i="52"/>
  <c r="BX11" i="52" s="1"/>
  <c r="AM61" i="17"/>
  <c r="AM8" i="51"/>
  <c r="AM11" i="51" s="1"/>
  <c r="AM77" i="17"/>
  <c r="AM8" i="52"/>
  <c r="AM11" i="52" s="1"/>
  <c r="AG61" i="17"/>
  <c r="AG8" i="51"/>
  <c r="AG11" i="51" s="1"/>
  <c r="AW45" i="17"/>
  <c r="AW8" i="50"/>
  <c r="AW11" i="50" s="1"/>
  <c r="AP61" i="17"/>
  <c r="AP8" i="51"/>
  <c r="AP11" i="51" s="1"/>
  <c r="AI61" i="17"/>
  <c r="AI8" i="51"/>
  <c r="AI11" i="51" s="1"/>
  <c r="AW61" i="17"/>
  <c r="AW8" i="51"/>
  <c r="AW11" i="51" s="1"/>
  <c r="BQ77" i="17"/>
  <c r="BQ8" i="52"/>
  <c r="BQ11" i="52" s="1"/>
  <c r="G58" i="13"/>
  <c r="D59" i="13" s="1"/>
  <c r="G59" i="13" s="1"/>
  <c r="D60" i="13" s="1"/>
  <c r="G60" i="13" s="1"/>
  <c r="D61" i="13" s="1"/>
  <c r="G61" i="13" s="1"/>
  <c r="D62" i="13" s="1"/>
  <c r="G62" i="13" s="1"/>
  <c r="D63" i="13" s="1"/>
  <c r="G63" i="13" s="1"/>
  <c r="D64" i="13" s="1"/>
  <c r="G64" i="13" s="1"/>
  <c r="D65" i="13" s="1"/>
  <c r="G65" i="13" s="1"/>
  <c r="D66" i="13" s="1"/>
  <c r="G66" i="13" s="1"/>
  <c r="D67" i="13" s="1"/>
  <c r="G67" i="13" s="1"/>
  <c r="D68" i="13" s="1"/>
  <c r="G68" i="13" s="1"/>
  <c r="D69" i="13" s="1"/>
  <c r="G69" i="13" s="1"/>
  <c r="D70" i="13" s="1"/>
  <c r="G70" i="13" s="1"/>
  <c r="D71" i="13" s="1"/>
  <c r="G71" i="13" s="1"/>
  <c r="D72" i="13" s="1"/>
  <c r="G72" i="13" s="1"/>
  <c r="D73" i="13" s="1"/>
  <c r="G73" i="13" s="1"/>
  <c r="D74" i="13" s="1"/>
  <c r="G74" i="13" s="1"/>
  <c r="D75" i="13" s="1"/>
  <c r="G75" i="13" s="1"/>
  <c r="D76" i="13" s="1"/>
  <c r="G76" i="13" s="1"/>
  <c r="D77" i="13" s="1"/>
  <c r="G77" i="13" s="1"/>
  <c r="D78" i="13" s="1"/>
  <c r="G78" i="13" s="1"/>
  <c r="D79" i="13" s="1"/>
  <c r="G79" i="13" s="1"/>
  <c r="D80" i="13" s="1"/>
  <c r="G80" i="13" s="1"/>
  <c r="D81" i="13" s="1"/>
  <c r="G81" i="13" s="1"/>
  <c r="D82" i="13" s="1"/>
  <c r="G82" i="13" s="1"/>
  <c r="D83" i="13" s="1"/>
  <c r="G83" i="13" s="1"/>
  <c r="D84" i="13" s="1"/>
  <c r="G84" i="13" s="1"/>
  <c r="D85" i="13" s="1"/>
  <c r="G85" i="13" s="1"/>
  <c r="Q56" i="1"/>
  <c r="Q58" i="1" s="1"/>
  <c r="BM73" i="17"/>
  <c r="BE60" i="10"/>
  <c r="AQ41" i="17"/>
  <c r="AI60" i="10"/>
  <c r="AQ57" i="17"/>
  <c r="AQ73" i="17"/>
  <c r="BR73" i="17"/>
  <c r="BJ60" i="10"/>
  <c r="BB8" i="52" l="1"/>
  <c r="BB11" i="52" s="1"/>
  <c r="D37" i="19"/>
  <c r="D36" i="19" s="1"/>
  <c r="D31" i="27"/>
  <c r="D33" i="27" s="1"/>
  <c r="D34" i="27" s="1"/>
  <c r="F8" i="27"/>
  <c r="F11" i="27" s="1"/>
  <c r="G13" i="27" s="1"/>
  <c r="X28" i="49"/>
  <c r="X39" i="52"/>
  <c r="X28" i="48"/>
  <c r="X30" i="48" s="1"/>
  <c r="X32" i="48" s="1"/>
  <c r="X28" i="50"/>
  <c r="X30" i="50" s="1"/>
  <c r="X32" i="50" s="1"/>
  <c r="X39" i="49"/>
  <c r="E22" i="29"/>
  <c r="E24" i="29" s="1"/>
  <c r="E22" i="20"/>
  <c r="E24" i="20" s="1"/>
  <c r="E25" i="20" s="1"/>
  <c r="AV45" i="17"/>
  <c r="AV8" i="50"/>
  <c r="AV11" i="50" s="1"/>
  <c r="X30" i="49"/>
  <c r="Y22" i="50"/>
  <c r="Y26" i="50" s="1"/>
  <c r="AV77" i="17"/>
  <c r="AV8" i="52"/>
  <c r="AV11" i="52" s="1"/>
  <c r="BM77" i="17"/>
  <c r="BM8" i="52"/>
  <c r="BM11" i="52" s="1"/>
  <c r="Y22" i="52"/>
  <c r="Y26" i="52" s="1"/>
  <c r="E22" i="27"/>
  <c r="E23" i="27" s="1"/>
  <c r="X28" i="52"/>
  <c r="BA45" i="17"/>
  <c r="BA8" i="50"/>
  <c r="BA11" i="50" s="1"/>
  <c r="AX61" i="17"/>
  <c r="AX8" i="51"/>
  <c r="AX11" i="51" s="1"/>
  <c r="BC77" i="17"/>
  <c r="BC8" i="52"/>
  <c r="BC11" i="52" s="1"/>
  <c r="BA61" i="17"/>
  <c r="BA8" i="51"/>
  <c r="BA11" i="51" s="1"/>
  <c r="AX45" i="17"/>
  <c r="AX8" i="50"/>
  <c r="AX11" i="50" s="1"/>
  <c r="AX77" i="17"/>
  <c r="AX8" i="52"/>
  <c r="AX11" i="52" s="1"/>
  <c r="AS61" i="17"/>
  <c r="AS8" i="51"/>
  <c r="AS11" i="51" s="1"/>
  <c r="BF77" i="17"/>
  <c r="BF8" i="52"/>
  <c r="BF11" i="52" s="1"/>
  <c r="X39" i="50"/>
  <c r="D31" i="20"/>
  <c r="D33" i="20" s="1"/>
  <c r="BF61" i="17"/>
  <c r="BF8" i="51"/>
  <c r="BF11" i="51" s="1"/>
  <c r="E13" i="20"/>
  <c r="E15" i="20"/>
  <c r="E14" i="20"/>
  <c r="BV77" i="17"/>
  <c r="BV8" i="52"/>
  <c r="BV11" i="52" s="1"/>
  <c r="C30" i="17"/>
  <c r="C31" i="17"/>
  <c r="AS77" i="17"/>
  <c r="AS8" i="52"/>
  <c r="AS11" i="52" s="1"/>
  <c r="BK77" i="17"/>
  <c r="BK8" i="52"/>
  <c r="BK11" i="52" s="1"/>
  <c r="Y22" i="48"/>
  <c r="Y26" i="48" s="1"/>
  <c r="D31" i="29"/>
  <c r="D33" i="29" s="1"/>
  <c r="BC61" i="17"/>
  <c r="BC8" i="51"/>
  <c r="BC11" i="51" s="1"/>
  <c r="C15" i="49"/>
  <c r="C13" i="49"/>
  <c r="C14" i="49"/>
  <c r="Y22" i="51"/>
  <c r="BM61" i="17"/>
  <c r="BM10" i="51"/>
  <c r="BM11" i="51" s="1"/>
  <c r="X28" i="51"/>
  <c r="BK61" i="17"/>
  <c r="BK8" i="51"/>
  <c r="BK11" i="51" s="1"/>
  <c r="BR77" i="17"/>
  <c r="BR8" i="52"/>
  <c r="BR11" i="52" s="1"/>
  <c r="AQ77" i="17"/>
  <c r="AQ8" i="52"/>
  <c r="AQ11" i="52" s="1"/>
  <c r="AT61" i="17"/>
  <c r="AT8" i="51"/>
  <c r="AT11" i="51" s="1"/>
  <c r="X39" i="51"/>
  <c r="BH77" i="17"/>
  <c r="BH8" i="52"/>
  <c r="BH11" i="52" s="1"/>
  <c r="BA77" i="17"/>
  <c r="BA8" i="52"/>
  <c r="BA11" i="52" s="1"/>
  <c r="AS45" i="17"/>
  <c r="AS8" i="50"/>
  <c r="AS11" i="50" s="1"/>
  <c r="F8" i="29"/>
  <c r="F11" i="29" s="1"/>
  <c r="F14" i="29" s="1"/>
  <c r="BT77" i="17"/>
  <c r="BT8" i="52"/>
  <c r="BT11" i="52" s="1"/>
  <c r="BH61" i="17"/>
  <c r="BH8" i="51"/>
  <c r="BH11" i="51" s="1"/>
  <c r="AQ61" i="17"/>
  <c r="AQ8" i="51"/>
  <c r="AQ11" i="51" s="1"/>
  <c r="AT45" i="17"/>
  <c r="AT8" i="50"/>
  <c r="AT11" i="50" s="1"/>
  <c r="BI61" i="17"/>
  <c r="BI8" i="51"/>
  <c r="BI11" i="51" s="1"/>
  <c r="AV61" i="17"/>
  <c r="AV8" i="51"/>
  <c r="AV11" i="51" s="1"/>
  <c r="AQ45" i="17"/>
  <c r="AQ8" i="50"/>
  <c r="AQ11" i="50" s="1"/>
  <c r="BW77" i="17"/>
  <c r="BW8" i="52"/>
  <c r="BW11" i="52" s="1"/>
  <c r="AT77" i="17"/>
  <c r="AT8" i="52"/>
  <c r="AT11" i="52" s="1"/>
  <c r="BI77" i="17"/>
  <c r="BI8" i="52"/>
  <c r="BI11" i="52" s="1"/>
  <c r="X39" i="48"/>
  <c r="Y22" i="49"/>
  <c r="Y26" i="49" s="1"/>
  <c r="D38" i="19" l="1"/>
  <c r="D39" i="19" s="1"/>
  <c r="D41" i="19" s="1"/>
  <c r="D38" i="27"/>
  <c r="D39" i="27" s="1"/>
  <c r="D40" i="27" s="1"/>
  <c r="D48" i="27" s="1"/>
  <c r="D55" i="27" s="1"/>
  <c r="E23" i="20"/>
  <c r="E26" i="20" s="1"/>
  <c r="G15" i="27"/>
  <c r="E25" i="29"/>
  <c r="E32" i="29"/>
  <c r="G14" i="27"/>
  <c r="C78" i="17"/>
  <c r="C63" i="17"/>
  <c r="C79" i="17"/>
  <c r="C13" i="50"/>
  <c r="D34" i="29"/>
  <c r="D38" i="29"/>
  <c r="X30" i="52"/>
  <c r="X32" i="52" s="1"/>
  <c r="D34" i="20"/>
  <c r="D38" i="20"/>
  <c r="C62" i="17"/>
  <c r="X31" i="49"/>
  <c r="Y23" i="48"/>
  <c r="Y24" i="48" s="1"/>
  <c r="X32" i="49"/>
  <c r="E32" i="20"/>
  <c r="E31" i="20" s="1"/>
  <c r="E33" i="20" s="1"/>
  <c r="E24" i="27"/>
  <c r="C15" i="50"/>
  <c r="Y23" i="52"/>
  <c r="Y24" i="52" s="1"/>
  <c r="C14" i="50"/>
  <c r="X38" i="50"/>
  <c r="X40" i="50" s="1"/>
  <c r="F15" i="29"/>
  <c r="C13" i="51"/>
  <c r="X31" i="50"/>
  <c r="F13" i="29"/>
  <c r="Y23" i="51"/>
  <c r="Y24" i="51" s="1"/>
  <c r="C14" i="51"/>
  <c r="C14" i="52"/>
  <c r="Y26" i="51"/>
  <c r="C15" i="51"/>
  <c r="X38" i="48"/>
  <c r="X40" i="48" s="1"/>
  <c r="C15" i="52"/>
  <c r="Y23" i="49"/>
  <c r="Y24" i="49" s="1"/>
  <c r="Y23" i="50"/>
  <c r="Y24" i="50" s="1"/>
  <c r="C13" i="52"/>
  <c r="X30" i="51"/>
  <c r="E23" i="29"/>
  <c r="E26" i="29" s="1"/>
  <c r="D47" i="27" l="1"/>
  <c r="D49" i="27" s="1"/>
  <c r="D37" i="27"/>
  <c r="E31" i="29"/>
  <c r="E33" i="29" s="1"/>
  <c r="E34" i="29" s="1"/>
  <c r="D39" i="29"/>
  <c r="D40" i="29" s="1"/>
  <c r="D39" i="20"/>
  <c r="D47" i="20" s="1"/>
  <c r="Y27" i="52"/>
  <c r="Y34" i="52" s="1"/>
  <c r="Y35" i="52"/>
  <c r="D42" i="19"/>
  <c r="D46" i="19" s="1"/>
  <c r="D43" i="19"/>
  <c r="E34" i="20"/>
  <c r="X38" i="52"/>
  <c r="F22" i="29"/>
  <c r="Y27" i="50"/>
  <c r="Y34" i="50" s="1"/>
  <c r="Y35" i="50"/>
  <c r="X41" i="50"/>
  <c r="X45" i="50"/>
  <c r="E32" i="27"/>
  <c r="E26" i="27"/>
  <c r="E25" i="27"/>
  <c r="X38" i="49"/>
  <c r="X31" i="52"/>
  <c r="Y27" i="48"/>
  <c r="Y35" i="48"/>
  <c r="Y27" i="51"/>
  <c r="Y34" i="51" s="1"/>
  <c r="Y35" i="51"/>
  <c r="Y27" i="49"/>
  <c r="Y34" i="49" s="1"/>
  <c r="Y35" i="49"/>
  <c r="D37" i="29"/>
  <c r="X41" i="48"/>
  <c r="X45" i="48"/>
  <c r="X31" i="51"/>
  <c r="X32" i="51"/>
  <c r="D37" i="20"/>
  <c r="D52" i="27" l="1"/>
  <c r="D47" i="19"/>
  <c r="D54" i="19" s="1"/>
  <c r="D47" i="29"/>
  <c r="D52" i="29" s="1"/>
  <c r="E38" i="29"/>
  <c r="E39" i="29" s="1"/>
  <c r="D48" i="29"/>
  <c r="D55" i="29" s="1"/>
  <c r="Y28" i="49"/>
  <c r="Y30" i="49" s="1"/>
  <c r="Y32" i="49" s="1"/>
  <c r="D40" i="20"/>
  <c r="D48" i="20" s="1"/>
  <c r="D55" i="20" s="1"/>
  <c r="E38" i="20"/>
  <c r="E37" i="20" s="1"/>
  <c r="X44" i="48"/>
  <c r="X46" i="50"/>
  <c r="X47" i="50" s="1"/>
  <c r="Y39" i="50"/>
  <c r="X46" i="48"/>
  <c r="X47" i="48" s="1"/>
  <c r="D52" i="20"/>
  <c r="X44" i="50"/>
  <c r="G54" i="19"/>
  <c r="F54" i="19"/>
  <c r="Z22" i="51"/>
  <c r="Z26" i="51" s="1"/>
  <c r="Y28" i="50"/>
  <c r="D51" i="19"/>
  <c r="X38" i="51"/>
  <c r="Y34" i="48"/>
  <c r="Y39" i="48"/>
  <c r="Y28" i="48"/>
  <c r="Z22" i="50"/>
  <c r="Z26" i="50" s="1"/>
  <c r="X40" i="49"/>
  <c r="Y39" i="49"/>
  <c r="F24" i="29"/>
  <c r="F25" i="29" s="1"/>
  <c r="Z22" i="52"/>
  <c r="Z26" i="52" s="1"/>
  <c r="F23" i="29"/>
  <c r="Y28" i="52"/>
  <c r="E31" i="27"/>
  <c r="E33" i="27" s="1"/>
  <c r="Z22" i="49"/>
  <c r="F22" i="27"/>
  <c r="F23" i="27" s="1"/>
  <c r="X40" i="52"/>
  <c r="Y39" i="52"/>
  <c r="Y28" i="51"/>
  <c r="E39" i="20" l="1"/>
  <c r="E37" i="29"/>
  <c r="D56" i="19"/>
  <c r="D48" i="19"/>
  <c r="G48" i="19" s="1"/>
  <c r="D49" i="29"/>
  <c r="D49" i="20"/>
  <c r="Z23" i="52"/>
  <c r="Z24" i="52" s="1"/>
  <c r="Y38" i="49"/>
  <c r="Y40" i="49" s="1"/>
  <c r="Z23" i="49"/>
  <c r="Z24" i="49" s="1"/>
  <c r="F51" i="19"/>
  <c r="G51" i="19"/>
  <c r="Y30" i="51"/>
  <c r="Y32" i="51" s="1"/>
  <c r="Y31" i="49"/>
  <c r="F26" i="29"/>
  <c r="F32" i="29"/>
  <c r="F31" i="29" s="1"/>
  <c r="F33" i="29" s="1"/>
  <c r="F34" i="29" s="1"/>
  <c r="X41" i="52"/>
  <c r="X45" i="52"/>
  <c r="Z22" i="48"/>
  <c r="Z26" i="48" s="1"/>
  <c r="X41" i="49"/>
  <c r="X45" i="49"/>
  <c r="E40" i="29"/>
  <c r="E48" i="29" s="1"/>
  <c r="E55" i="29" s="1"/>
  <c r="E47" i="29"/>
  <c r="Y30" i="52"/>
  <c r="Z26" i="49"/>
  <c r="Y30" i="50"/>
  <c r="E34" i="27"/>
  <c r="E38" i="27"/>
  <c r="Z23" i="50"/>
  <c r="Z24" i="50" s="1"/>
  <c r="Y30" i="48"/>
  <c r="Z23" i="51"/>
  <c r="Z24" i="51" s="1"/>
  <c r="E40" i="20"/>
  <c r="F24" i="27"/>
  <c r="F25" i="27" s="1"/>
  <c r="X40" i="51"/>
  <c r="Y39" i="51"/>
  <c r="F48" i="19" l="1"/>
  <c r="X44" i="52"/>
  <c r="X44" i="49"/>
  <c r="X46" i="52"/>
  <c r="X47" i="52" s="1"/>
  <c r="X46" i="49"/>
  <c r="X47" i="49" s="1"/>
  <c r="Y38" i="51"/>
  <c r="Y40" i="51" s="1"/>
  <c r="Z27" i="49"/>
  <c r="Z34" i="49" s="1"/>
  <c r="Z35" i="49"/>
  <c r="Z27" i="50"/>
  <c r="Z34" i="50" s="1"/>
  <c r="Z35" i="50"/>
  <c r="Z27" i="51"/>
  <c r="Z34" i="51" s="1"/>
  <c r="Z35" i="51"/>
  <c r="Z27" i="52"/>
  <c r="Z34" i="52" s="1"/>
  <c r="Z35" i="52"/>
  <c r="Y31" i="50"/>
  <c r="Y31" i="52"/>
  <c r="X41" i="51"/>
  <c r="X45" i="51"/>
  <c r="F26" i="27"/>
  <c r="F32" i="27"/>
  <c r="Y32" i="52"/>
  <c r="F38" i="29"/>
  <c r="F37" i="29" s="1"/>
  <c r="E49" i="29"/>
  <c r="E52" i="29"/>
  <c r="Y41" i="49"/>
  <c r="Y32" i="50"/>
  <c r="Y32" i="48"/>
  <c r="Y31" i="51"/>
  <c r="E37" i="27"/>
  <c r="E39" i="27"/>
  <c r="Z23" i="48"/>
  <c r="Z24" i="48" s="1"/>
  <c r="E42" i="20"/>
  <c r="Y45" i="49" l="1"/>
  <c r="Y46" i="49" s="1"/>
  <c r="Y47" i="49" s="1"/>
  <c r="X46" i="51"/>
  <c r="X47" i="51" s="1"/>
  <c r="Z28" i="52"/>
  <c r="Z30" i="52" s="1"/>
  <c r="Z32" i="52" s="1"/>
  <c r="Z39" i="49"/>
  <c r="X44" i="51"/>
  <c r="Z28" i="49"/>
  <c r="Z30" i="49" s="1"/>
  <c r="Z32" i="49" s="1"/>
  <c r="Z27" i="48"/>
  <c r="Z34" i="48" s="1"/>
  <c r="Z35" i="48"/>
  <c r="Y38" i="50"/>
  <c r="Y38" i="52"/>
  <c r="Z28" i="50"/>
  <c r="Y38" i="48"/>
  <c r="AA22" i="50"/>
  <c r="G22" i="27"/>
  <c r="G23" i="27" s="1"/>
  <c r="AA22" i="51"/>
  <c r="AA26" i="51" s="1"/>
  <c r="Z28" i="51"/>
  <c r="AA22" i="49"/>
  <c r="AA26" i="49" s="1"/>
  <c r="E44" i="20"/>
  <c r="E43" i="20"/>
  <c r="Z39" i="51"/>
  <c r="E40" i="27"/>
  <c r="E48" i="27" s="1"/>
  <c r="E55" i="27" s="1"/>
  <c r="E47" i="27"/>
  <c r="F39" i="29"/>
  <c r="F31" i="27"/>
  <c r="F33" i="27" s="1"/>
  <c r="Y41" i="51"/>
  <c r="AA22" i="52"/>
  <c r="AA26" i="52" s="1"/>
  <c r="Y44" i="49" l="1"/>
  <c r="Y45" i="51"/>
  <c r="Y46" i="51" s="1"/>
  <c r="Y47" i="51" s="1"/>
  <c r="Z31" i="52"/>
  <c r="Z28" i="48"/>
  <c r="Z30" i="48" s="1"/>
  <c r="AA23" i="50"/>
  <c r="AA24" i="50" s="1"/>
  <c r="Y40" i="50"/>
  <c r="Z39" i="50"/>
  <c r="AA26" i="50"/>
  <c r="F34" i="27"/>
  <c r="F40" i="29"/>
  <c r="F42" i="29" s="1"/>
  <c r="E49" i="27"/>
  <c r="E52" i="27"/>
  <c r="F38" i="27"/>
  <c r="Z30" i="50"/>
  <c r="Z32" i="50" s="1"/>
  <c r="Z30" i="51"/>
  <c r="Z32" i="51" s="1"/>
  <c r="Z38" i="49"/>
  <c r="G24" i="27"/>
  <c r="G26" i="27" s="1"/>
  <c r="Y40" i="52"/>
  <c r="Z39" i="52"/>
  <c r="Z38" i="52" s="1"/>
  <c r="Z40" i="52" s="1"/>
  <c r="AA22" i="48"/>
  <c r="AA26" i="48" s="1"/>
  <c r="AA23" i="49"/>
  <c r="AA24" i="49" s="1"/>
  <c r="Z31" i="49"/>
  <c r="Y40" i="48"/>
  <c r="Z39" i="48"/>
  <c r="AA23" i="51"/>
  <c r="AA24" i="51" s="1"/>
  <c r="AA23" i="52"/>
  <c r="AA24" i="52" s="1"/>
  <c r="E47" i="20"/>
  <c r="E48" i="20"/>
  <c r="E55" i="20" s="1"/>
  <c r="Y44" i="51" l="1"/>
  <c r="F39" i="27"/>
  <c r="F40" i="27" s="1"/>
  <c r="G25" i="27"/>
  <c r="G32" i="27"/>
  <c r="F37" i="27"/>
  <c r="Z38" i="50"/>
  <c r="Z40" i="50" s="1"/>
  <c r="F43" i="29"/>
  <c r="F44" i="29"/>
  <c r="AA27" i="50"/>
  <c r="AA34" i="50" s="1"/>
  <c r="AA35" i="50"/>
  <c r="Z41" i="52"/>
  <c r="Z40" i="49"/>
  <c r="AA27" i="52"/>
  <c r="AA34" i="52" s="1"/>
  <c r="AA35" i="52"/>
  <c r="AA27" i="51"/>
  <c r="AA34" i="51" s="1"/>
  <c r="AA35" i="51"/>
  <c r="F48" i="27"/>
  <c r="F55" i="27" s="1"/>
  <c r="Y41" i="48"/>
  <c r="Y45" i="48"/>
  <c r="Z31" i="51"/>
  <c r="Y41" i="50"/>
  <c r="Y45" i="50"/>
  <c r="Y41" i="52"/>
  <c r="Y45" i="52"/>
  <c r="AA27" i="49"/>
  <c r="AA34" i="49" s="1"/>
  <c r="AA35" i="49"/>
  <c r="G55" i="20"/>
  <c r="H55" i="20"/>
  <c r="E49" i="20"/>
  <c r="E52" i="20"/>
  <c r="E57" i="20"/>
  <c r="Z38" i="51"/>
  <c r="Z32" i="48"/>
  <c r="Z31" i="50"/>
  <c r="AA23" i="48"/>
  <c r="AA24" i="48" s="1"/>
  <c r="G31" i="27"/>
  <c r="G33" i="27" s="1"/>
  <c r="F47" i="27" l="1"/>
  <c r="F49" i="27" s="1"/>
  <c r="AA28" i="52"/>
  <c r="Y46" i="48"/>
  <c r="Y47" i="48" s="1"/>
  <c r="Y44" i="48"/>
  <c r="Y44" i="52"/>
  <c r="Y46" i="52"/>
  <c r="Y47" i="52" s="1"/>
  <c r="Y44" i="50"/>
  <c r="AA39" i="52"/>
  <c r="AA39" i="50"/>
  <c r="AA27" i="48"/>
  <c r="AA34" i="48" s="1"/>
  <c r="AA35" i="48"/>
  <c r="G34" i="27"/>
  <c r="AB22" i="51"/>
  <c r="AB26" i="51" s="1"/>
  <c r="AB22" i="49"/>
  <c r="AB26" i="49" s="1"/>
  <c r="AA28" i="49"/>
  <c r="G38" i="27"/>
  <c r="AA28" i="51"/>
  <c r="Z38" i="48"/>
  <c r="AB22" i="50"/>
  <c r="AB26" i="50" s="1"/>
  <c r="Z40" i="51"/>
  <c r="AA39" i="51"/>
  <c r="AA28" i="50"/>
  <c r="AB22" i="52"/>
  <c r="AB26" i="52" s="1"/>
  <c r="G52" i="20"/>
  <c r="H52" i="20"/>
  <c r="F47" i="29"/>
  <c r="F48" i="29"/>
  <c r="F55" i="29" s="1"/>
  <c r="G49" i="20"/>
  <c r="H49" i="20"/>
  <c r="AA30" i="52"/>
  <c r="Z41" i="50"/>
  <c r="Y46" i="50"/>
  <c r="Y47" i="50" s="1"/>
  <c r="AA39" i="49"/>
  <c r="Z41" i="49"/>
  <c r="Z45" i="49"/>
  <c r="F52" i="27" l="1"/>
  <c r="Z45" i="52"/>
  <c r="Z44" i="52" s="1"/>
  <c r="Z45" i="50"/>
  <c r="AB23" i="51"/>
  <c r="AB24" i="51" s="1"/>
  <c r="G37" i="27"/>
  <c r="F52" i="29"/>
  <c r="F49" i="29"/>
  <c r="F57" i="29"/>
  <c r="Z40" i="48"/>
  <c r="AA39" i="48"/>
  <c r="AB23" i="52"/>
  <c r="AB24" i="52" s="1"/>
  <c r="AA30" i="51"/>
  <c r="Z44" i="49"/>
  <c r="AB22" i="48"/>
  <c r="AB26" i="48" s="1"/>
  <c r="Z46" i="50"/>
  <c r="Z47" i="50" s="1"/>
  <c r="Z44" i="50"/>
  <c r="AA28" i="48"/>
  <c r="G39" i="27"/>
  <c r="AA30" i="50"/>
  <c r="AA32" i="50" s="1"/>
  <c r="AA31" i="52"/>
  <c r="AB23" i="49"/>
  <c r="AB24" i="49" s="1"/>
  <c r="AA30" i="49"/>
  <c r="AA32" i="49" s="1"/>
  <c r="Z41" i="51"/>
  <c r="Z45" i="51"/>
  <c r="Z46" i="49"/>
  <c r="Z47" i="49" s="1"/>
  <c r="AA32" i="52"/>
  <c r="I55" i="29"/>
  <c r="H55" i="29"/>
  <c r="AB23" i="50"/>
  <c r="AB24" i="50" s="1"/>
  <c r="Z46" i="52" l="1"/>
  <c r="Z47" i="52" s="1"/>
  <c r="Z46" i="51"/>
  <c r="Z47" i="51" s="1"/>
  <c r="AB27" i="49"/>
  <c r="AB34" i="49" s="1"/>
  <c r="AB35" i="49"/>
  <c r="AA38" i="50"/>
  <c r="AA38" i="49"/>
  <c r="AB27" i="51"/>
  <c r="AB34" i="51" s="1"/>
  <c r="AB35" i="51"/>
  <c r="AB27" i="52"/>
  <c r="AB34" i="52" s="1"/>
  <c r="AB35" i="52"/>
  <c r="Z44" i="51"/>
  <c r="Z41" i="48"/>
  <c r="Z45" i="48"/>
  <c r="AA31" i="50"/>
  <c r="H52" i="29"/>
  <c r="I52" i="29"/>
  <c r="G40" i="27"/>
  <c r="G42" i="27" s="1"/>
  <c r="AA30" i="48"/>
  <c r="AA31" i="49"/>
  <c r="AB27" i="50"/>
  <c r="AB34" i="50" s="1"/>
  <c r="AB35" i="50"/>
  <c r="H49" i="29"/>
  <c r="I49" i="29"/>
  <c r="AA31" i="51"/>
  <c r="AB23" i="48"/>
  <c r="AB24" i="48" s="1"/>
  <c r="AA38" i="52"/>
  <c r="AA32" i="51"/>
  <c r="Z44" i="48" l="1"/>
  <c r="AB28" i="50"/>
  <c r="AB30" i="50" s="1"/>
  <c r="AB31" i="50" s="1"/>
  <c r="AB28" i="51"/>
  <c r="AB30" i="51" s="1"/>
  <c r="AB31" i="51" s="1"/>
  <c r="AB27" i="48"/>
  <c r="AB34" i="48" s="1"/>
  <c r="AB35" i="48"/>
  <c r="AA40" i="49"/>
  <c r="AB39" i="49"/>
  <c r="AA38" i="51"/>
  <c r="G44" i="27"/>
  <c r="G43" i="27"/>
  <c r="G47" i="27" s="1"/>
  <c r="AA32" i="48"/>
  <c r="AB28" i="52"/>
  <c r="AA40" i="50"/>
  <c r="AB39" i="50"/>
  <c r="AC22" i="52"/>
  <c r="AC26" i="52" s="1"/>
  <c r="AC22" i="49"/>
  <c r="AC26" i="49" s="1"/>
  <c r="AB28" i="49"/>
  <c r="AA40" i="52"/>
  <c r="AB39" i="52"/>
  <c r="Z46" i="48"/>
  <c r="Z47" i="48" s="1"/>
  <c r="AC22" i="51"/>
  <c r="AC26" i="51" s="1"/>
  <c r="AC22" i="50"/>
  <c r="AB32" i="51" l="1"/>
  <c r="AB32" i="50"/>
  <c r="AB38" i="50" s="1"/>
  <c r="AB40" i="50" s="1"/>
  <c r="AA40" i="51"/>
  <c r="AB39" i="51"/>
  <c r="AA41" i="52"/>
  <c r="AA45" i="52"/>
  <c r="AB30" i="49"/>
  <c r="AC22" i="48"/>
  <c r="AC26" i="48" s="1"/>
  <c r="AB28" i="48"/>
  <c r="AC23" i="49"/>
  <c r="AC24" i="49" s="1"/>
  <c r="AA38" i="48"/>
  <c r="AA41" i="50"/>
  <c r="AA45" i="50"/>
  <c r="G52" i="27"/>
  <c r="AA41" i="49"/>
  <c r="AA45" i="49"/>
  <c r="AC23" i="50"/>
  <c r="AC24" i="50" s="1"/>
  <c r="AC26" i="50"/>
  <c r="AB30" i="52"/>
  <c r="AB32" i="52" s="1"/>
  <c r="G48" i="27"/>
  <c r="G55" i="27" s="1"/>
  <c r="AC23" i="51"/>
  <c r="AC24" i="51" s="1"/>
  <c r="AC23" i="52"/>
  <c r="AC24" i="52" s="1"/>
  <c r="G57" i="27" l="1"/>
  <c r="G49" i="27"/>
  <c r="AB38" i="51"/>
  <c r="AB40" i="51" s="1"/>
  <c r="AB41" i="51" s="1"/>
  <c r="AA46" i="50"/>
  <c r="AA47" i="50" s="1"/>
  <c r="AA44" i="52"/>
  <c r="AA46" i="52"/>
  <c r="AA47" i="52" s="1"/>
  <c r="AA46" i="49"/>
  <c r="AA47" i="49" s="1"/>
  <c r="AA44" i="50"/>
  <c r="AA44" i="49"/>
  <c r="AC27" i="52"/>
  <c r="AC34" i="52" s="1"/>
  <c r="AC35" i="52"/>
  <c r="AC27" i="49"/>
  <c r="AC34" i="49" s="1"/>
  <c r="AC35" i="49"/>
  <c r="AC27" i="51"/>
  <c r="AC34" i="51" s="1"/>
  <c r="AC35" i="51"/>
  <c r="AB45" i="50"/>
  <c r="AB38" i="52"/>
  <c r="AC27" i="50"/>
  <c r="AC34" i="50" s="1"/>
  <c r="AC35" i="50"/>
  <c r="AB31" i="49"/>
  <c r="AA40" i="48"/>
  <c r="AB39" i="48"/>
  <c r="AB31" i="52"/>
  <c r="AB32" i="49"/>
  <c r="AC23" i="48"/>
  <c r="AC24" i="48" s="1"/>
  <c r="J52" i="27"/>
  <c r="I52" i="27"/>
  <c r="AB30" i="48"/>
  <c r="AB32" i="48" s="1"/>
  <c r="AB41" i="50"/>
  <c r="J49" i="27"/>
  <c r="I49" i="27"/>
  <c r="I55" i="27"/>
  <c r="J55" i="27"/>
  <c r="AA41" i="51"/>
  <c r="AA45" i="51"/>
  <c r="AC28" i="52" l="1"/>
  <c r="AC30" i="52" s="1"/>
  <c r="AC32" i="52" s="1"/>
  <c r="AA44" i="51"/>
  <c r="AA46" i="51"/>
  <c r="AA47" i="51" s="1"/>
  <c r="AB46" i="50"/>
  <c r="AB47" i="50" s="1"/>
  <c r="AC39" i="50"/>
  <c r="AB44" i="50"/>
  <c r="AD22" i="51"/>
  <c r="AD26" i="51" s="1"/>
  <c r="AA41" i="48"/>
  <c r="AA45" i="48"/>
  <c r="AC28" i="51"/>
  <c r="AC28" i="50"/>
  <c r="AD22" i="50"/>
  <c r="AC28" i="49"/>
  <c r="AD22" i="49"/>
  <c r="AD26" i="49" s="1"/>
  <c r="AC27" i="48"/>
  <c r="AC34" i="48" s="1"/>
  <c r="AC35" i="48"/>
  <c r="AB40" i="52"/>
  <c r="AC39" i="52"/>
  <c r="AB38" i="48"/>
  <c r="AB40" i="48" s="1"/>
  <c r="AB38" i="49"/>
  <c r="AD22" i="52"/>
  <c r="AD26" i="52" s="1"/>
  <c r="AC39" i="51"/>
  <c r="AC31" i="52" l="1"/>
  <c r="AA46" i="48"/>
  <c r="AA47" i="48" s="1"/>
  <c r="AB45" i="51"/>
  <c r="AB46" i="51" s="1"/>
  <c r="AB47" i="51" s="1"/>
  <c r="AA44" i="48"/>
  <c r="AD23" i="50"/>
  <c r="AD24" i="50" s="1"/>
  <c r="AC30" i="50"/>
  <c r="AD22" i="48"/>
  <c r="AD26" i="48" s="1"/>
  <c r="AC30" i="51"/>
  <c r="AC32" i="51" s="1"/>
  <c r="AC28" i="48"/>
  <c r="AB41" i="52"/>
  <c r="AB45" i="52"/>
  <c r="AB45" i="48"/>
  <c r="AC30" i="49"/>
  <c r="AD23" i="49"/>
  <c r="AD24" i="49" s="1"/>
  <c r="AB41" i="48"/>
  <c r="AD23" i="51"/>
  <c r="AD24" i="51" s="1"/>
  <c r="AC38" i="52"/>
  <c r="AC40" i="52" s="1"/>
  <c r="AC39" i="48"/>
  <c r="AD26" i="50"/>
  <c r="AD23" i="52"/>
  <c r="AD24" i="52" s="1"/>
  <c r="AB40" i="49"/>
  <c r="AC39" i="49"/>
  <c r="AB46" i="48" l="1"/>
  <c r="AB47" i="48" s="1"/>
  <c r="AB44" i="51"/>
  <c r="AB44" i="48"/>
  <c r="AB44" i="52"/>
  <c r="AB46" i="52"/>
  <c r="AB47" i="52" s="1"/>
  <c r="AD27" i="49"/>
  <c r="AD34" i="49" s="1"/>
  <c r="AD35" i="49"/>
  <c r="AD27" i="52"/>
  <c r="AD34" i="52" s="1"/>
  <c r="AD35" i="52"/>
  <c r="AD27" i="50"/>
  <c r="AD34" i="50" s="1"/>
  <c r="AD35" i="50"/>
  <c r="AC41" i="52"/>
  <c r="AD27" i="51"/>
  <c r="AD34" i="51" s="1"/>
  <c r="AD35" i="51"/>
  <c r="AC31" i="51"/>
  <c r="AC38" i="51"/>
  <c r="AC31" i="50"/>
  <c r="AB41" i="49"/>
  <c r="AB45" i="49"/>
  <c r="AC31" i="49"/>
  <c r="AC32" i="50"/>
  <c r="AC30" i="48"/>
  <c r="AC32" i="48" s="1"/>
  <c r="AC32" i="49"/>
  <c r="AD23" i="48"/>
  <c r="AD24" i="48" s="1"/>
  <c r="AD39" i="52" l="1"/>
  <c r="AD28" i="52"/>
  <c r="AB44" i="49"/>
  <c r="AC45" i="52"/>
  <c r="AC46" i="52" s="1"/>
  <c r="AC47" i="52" s="1"/>
  <c r="AB46" i="49"/>
  <c r="AB47" i="49" s="1"/>
  <c r="AD28" i="51"/>
  <c r="AD30" i="51" s="1"/>
  <c r="AD31" i="51" s="1"/>
  <c r="AD27" i="48"/>
  <c r="AD34" i="48" s="1"/>
  <c r="AD35" i="48"/>
  <c r="AC38" i="49"/>
  <c r="AE22" i="50"/>
  <c r="AD28" i="50"/>
  <c r="AC40" i="51"/>
  <c r="AD39" i="51"/>
  <c r="AC38" i="48"/>
  <c r="AD30" i="52"/>
  <c r="AE22" i="52"/>
  <c r="AE26" i="52" s="1"/>
  <c r="AC38" i="50"/>
  <c r="AE22" i="51"/>
  <c r="AE26" i="51" s="1"/>
  <c r="AE22" i="49"/>
  <c r="AE26" i="49" s="1"/>
  <c r="AD28" i="49"/>
  <c r="AD32" i="51" l="1"/>
  <c r="AD38" i="51" s="1"/>
  <c r="AD40" i="51" s="1"/>
  <c r="AC44" i="52"/>
  <c r="AD28" i="48"/>
  <c r="AD30" i="48" s="1"/>
  <c r="AD30" i="49"/>
  <c r="AD30" i="50"/>
  <c r="AC40" i="50"/>
  <c r="AD39" i="50"/>
  <c r="AE23" i="50"/>
  <c r="AE24" i="50" s="1"/>
  <c r="AE23" i="52"/>
  <c r="AE24" i="52" s="1"/>
  <c r="AD31" i="52"/>
  <c r="AD32" i="52"/>
  <c r="AE22" i="48"/>
  <c r="AE23" i="49"/>
  <c r="AE24" i="49" s="1"/>
  <c r="AC40" i="48"/>
  <c r="AD39" i="48"/>
  <c r="AE26" i="50"/>
  <c r="AC40" i="49"/>
  <c r="AD39" i="49"/>
  <c r="AE23" i="51"/>
  <c r="AE24" i="51" s="1"/>
  <c r="AC41" i="51"/>
  <c r="AC45" i="51"/>
  <c r="AD32" i="48" l="1"/>
  <c r="AD38" i="48" s="1"/>
  <c r="AD40" i="48" s="1"/>
  <c r="AC46" i="51"/>
  <c r="AC47" i="51" s="1"/>
  <c r="AE27" i="51"/>
  <c r="AE34" i="51" s="1"/>
  <c r="AE35" i="51"/>
  <c r="AE27" i="50"/>
  <c r="AE34" i="50" s="1"/>
  <c r="AE35" i="50"/>
  <c r="AD31" i="50"/>
  <c r="AE23" i="48"/>
  <c r="AE24" i="48" s="1"/>
  <c r="AE26" i="48"/>
  <c r="AD38" i="52"/>
  <c r="AD32" i="50"/>
  <c r="AD41" i="51"/>
  <c r="AC44" i="51"/>
  <c r="AD31" i="49"/>
  <c r="AE27" i="49"/>
  <c r="AE34" i="49" s="1"/>
  <c r="AE35" i="49"/>
  <c r="AE27" i="52"/>
  <c r="AE34" i="52" s="1"/>
  <c r="AE35" i="52"/>
  <c r="AC41" i="49"/>
  <c r="AC45" i="49"/>
  <c r="AC41" i="50"/>
  <c r="AC45" i="50"/>
  <c r="AC41" i="48"/>
  <c r="AC45" i="48"/>
  <c r="AD32" i="49"/>
  <c r="AD45" i="51" l="1"/>
  <c r="AC44" i="49"/>
  <c r="AC46" i="48"/>
  <c r="AC47" i="48" s="1"/>
  <c r="AE28" i="49"/>
  <c r="AE30" i="49" s="1"/>
  <c r="AE31" i="49" s="1"/>
  <c r="AC44" i="48"/>
  <c r="AE39" i="51"/>
  <c r="AE28" i="51"/>
  <c r="AE30" i="51" s="1"/>
  <c r="AE32" i="51" s="1"/>
  <c r="AC46" i="49"/>
  <c r="AC47" i="49" s="1"/>
  <c r="AD41" i="48"/>
  <c r="AF22" i="52"/>
  <c r="AE27" i="48"/>
  <c r="AE34" i="48" s="1"/>
  <c r="AE35" i="48"/>
  <c r="AF22" i="50"/>
  <c r="AF26" i="50" s="1"/>
  <c r="AE28" i="52"/>
  <c r="AD38" i="50"/>
  <c r="AD40" i="52"/>
  <c r="AE39" i="52"/>
  <c r="AF22" i="51"/>
  <c r="AD44" i="51"/>
  <c r="AD46" i="51"/>
  <c r="AD47" i="51" s="1"/>
  <c r="AC44" i="50"/>
  <c r="AE28" i="50"/>
  <c r="AC46" i="50"/>
  <c r="AC47" i="50" s="1"/>
  <c r="AF22" i="49"/>
  <c r="AF26" i="49" s="1"/>
  <c r="AD38" i="49"/>
  <c r="AD45" i="48" l="1"/>
  <c r="AD44" i="48"/>
  <c r="AD46" i="48"/>
  <c r="AD47" i="48" s="1"/>
  <c r="AE32" i="49"/>
  <c r="AE28" i="48"/>
  <c r="AE31" i="51"/>
  <c r="AE38" i="51"/>
  <c r="AF22" i="48"/>
  <c r="AF23" i="51"/>
  <c r="AF24" i="51" s="1"/>
  <c r="AF26" i="51"/>
  <c r="AD41" i="52"/>
  <c r="AD45" i="52"/>
  <c r="AE30" i="50"/>
  <c r="AE32" i="50" s="1"/>
  <c r="AF23" i="52"/>
  <c r="AF24" i="52" s="1"/>
  <c r="AD40" i="50"/>
  <c r="AD45" i="50" s="1"/>
  <c r="AE39" i="50"/>
  <c r="AF23" i="50"/>
  <c r="AF24" i="50" s="1"/>
  <c r="AD40" i="49"/>
  <c r="AE39" i="49"/>
  <c r="AF23" i="49"/>
  <c r="AF24" i="49" s="1"/>
  <c r="AE39" i="48"/>
  <c r="AF26" i="52"/>
  <c r="AE30" i="52"/>
  <c r="AE32" i="52" s="1"/>
  <c r="AE30" i="48" l="1"/>
  <c r="AD44" i="52"/>
  <c r="AF27" i="50"/>
  <c r="AF34" i="50" s="1"/>
  <c r="AF35" i="50"/>
  <c r="AE38" i="52"/>
  <c r="AF27" i="49"/>
  <c r="AF34" i="49" s="1"/>
  <c r="AF35" i="49"/>
  <c r="AE38" i="50"/>
  <c r="AE40" i="50" s="1"/>
  <c r="AF27" i="52"/>
  <c r="AF34" i="52" s="1"/>
  <c r="AF35" i="52"/>
  <c r="AF23" i="48"/>
  <c r="AF24" i="48" s="1"/>
  <c r="AE38" i="49"/>
  <c r="AE40" i="49" s="1"/>
  <c r="AE40" i="51"/>
  <c r="AD46" i="52"/>
  <c r="AD47" i="52" s="1"/>
  <c r="AD41" i="49"/>
  <c r="AD41" i="50"/>
  <c r="AD44" i="50" s="1"/>
  <c r="AF26" i="48"/>
  <c r="AE31" i="52"/>
  <c r="AF27" i="51"/>
  <c r="AF34" i="51" s="1"/>
  <c r="AF35" i="51"/>
  <c r="AD45" i="49"/>
  <c r="AE31" i="50"/>
  <c r="AE32" i="48" l="1"/>
  <c r="AE38" i="48" s="1"/>
  <c r="AE40" i="48" s="1"/>
  <c r="AE45" i="48" s="1"/>
  <c r="AF39" i="51"/>
  <c r="AF28" i="50"/>
  <c r="AF30" i="50" s="1"/>
  <c r="AF31" i="50" s="1"/>
  <c r="AD46" i="50"/>
  <c r="AD47" i="50" s="1"/>
  <c r="AF28" i="49"/>
  <c r="AF30" i="49" s="1"/>
  <c r="AF28" i="52"/>
  <c r="AF30" i="52" s="1"/>
  <c r="AF31" i="52" s="1"/>
  <c r="AF27" i="48"/>
  <c r="AF34" i="48" s="1"/>
  <c r="AF35" i="48"/>
  <c r="AG22" i="49"/>
  <c r="AG26" i="49" s="1"/>
  <c r="AE40" i="52"/>
  <c r="AF39" i="52"/>
  <c r="AF39" i="49"/>
  <c r="AG22" i="50"/>
  <c r="AG26" i="50" s="1"/>
  <c r="AE41" i="50"/>
  <c r="AG22" i="52"/>
  <c r="AG26" i="52" s="1"/>
  <c r="AD46" i="49"/>
  <c r="AD47" i="49" s="1"/>
  <c r="AE41" i="49"/>
  <c r="AF39" i="50"/>
  <c r="AD44" i="49"/>
  <c r="AE41" i="51"/>
  <c r="AE45" i="51"/>
  <c r="AG22" i="51"/>
  <c r="AG26" i="51" s="1"/>
  <c r="AF28" i="51"/>
  <c r="AF32" i="50" l="1"/>
  <c r="AE41" i="48"/>
  <c r="AE44" i="48" s="1"/>
  <c r="AE45" i="50"/>
  <c r="AE46" i="50" s="1"/>
  <c r="AE47" i="50" s="1"/>
  <c r="AF39" i="48"/>
  <c r="AE46" i="48"/>
  <c r="AE47" i="48" s="1"/>
  <c r="AF28" i="48"/>
  <c r="AF30" i="48" s="1"/>
  <c r="AE44" i="51"/>
  <c r="AE46" i="51"/>
  <c r="AE47" i="51" s="1"/>
  <c r="AF32" i="52"/>
  <c r="AF38" i="52" s="1"/>
  <c r="AF40" i="52" s="1"/>
  <c r="AE45" i="49"/>
  <c r="AF31" i="49"/>
  <c r="AG23" i="52"/>
  <c r="AG24" i="52" s="1"/>
  <c r="AF32" i="49"/>
  <c r="AG23" i="50"/>
  <c r="AG24" i="50" s="1"/>
  <c r="AG23" i="49"/>
  <c r="AG24" i="49" s="1"/>
  <c r="AF30" i="51"/>
  <c r="AG23" i="51"/>
  <c r="AG24" i="51" s="1"/>
  <c r="AE41" i="52"/>
  <c r="AE45" i="52"/>
  <c r="AF38" i="50"/>
  <c r="AF40" i="50" s="1"/>
  <c r="AG22" i="48"/>
  <c r="AE44" i="50" l="1"/>
  <c r="AF32" i="48"/>
  <c r="AF38" i="48" s="1"/>
  <c r="AE44" i="52"/>
  <c r="AG27" i="51"/>
  <c r="AG34" i="51" s="1"/>
  <c r="AG35" i="51"/>
  <c r="AG27" i="49"/>
  <c r="AG34" i="49" s="1"/>
  <c r="AG35" i="49"/>
  <c r="AG27" i="52"/>
  <c r="AG34" i="52" s="1"/>
  <c r="AG35" i="52"/>
  <c r="AF38" i="49"/>
  <c r="AF45" i="50"/>
  <c r="AE46" i="52"/>
  <c r="AE47" i="52" s="1"/>
  <c r="AF41" i="50"/>
  <c r="AE44" i="49"/>
  <c r="AE46" i="49"/>
  <c r="AE47" i="49" s="1"/>
  <c r="AG23" i="48"/>
  <c r="AG24" i="48" s="1"/>
  <c r="AG26" i="48"/>
  <c r="AF41" i="52"/>
  <c r="AF31" i="51"/>
  <c r="AG27" i="50"/>
  <c r="AG34" i="50" s="1"/>
  <c r="AG35" i="50"/>
  <c r="AF32" i="51"/>
  <c r="AG39" i="50" l="1"/>
  <c r="AF45" i="52"/>
  <c r="AF44" i="52" s="1"/>
  <c r="AG28" i="51"/>
  <c r="AG30" i="51" s="1"/>
  <c r="AG32" i="51" s="1"/>
  <c r="AG27" i="48"/>
  <c r="AG34" i="48" s="1"/>
  <c r="AG35" i="48"/>
  <c r="AG28" i="52"/>
  <c r="AH22" i="50"/>
  <c r="AH26" i="50" s="1"/>
  <c r="AH22" i="51"/>
  <c r="AH26" i="51" s="1"/>
  <c r="AF38" i="51"/>
  <c r="AG28" i="50"/>
  <c r="AG28" i="49"/>
  <c r="AF44" i="50"/>
  <c r="AH22" i="52"/>
  <c r="AH22" i="49"/>
  <c r="AG39" i="52"/>
  <c r="AF40" i="48"/>
  <c r="AF46" i="50"/>
  <c r="AF47" i="50" s="1"/>
  <c r="AF40" i="49"/>
  <c r="AF45" i="49" s="1"/>
  <c r="AG39" i="49"/>
  <c r="AF46" i="52" l="1"/>
  <c r="AF47" i="52" s="1"/>
  <c r="AG31" i="51"/>
  <c r="AG28" i="48"/>
  <c r="AG30" i="48" s="1"/>
  <c r="AG39" i="48"/>
  <c r="AG30" i="49"/>
  <c r="AF41" i="48"/>
  <c r="AF45" i="48"/>
  <c r="AF41" i="49"/>
  <c r="AF46" i="49" s="1"/>
  <c r="AF47" i="49" s="1"/>
  <c r="AG30" i="52"/>
  <c r="AG30" i="50"/>
  <c r="AF40" i="51"/>
  <c r="AG39" i="51"/>
  <c r="AH23" i="50"/>
  <c r="AH24" i="50" s="1"/>
  <c r="AH23" i="51"/>
  <c r="AH24" i="51" s="1"/>
  <c r="AH23" i="52"/>
  <c r="AH24" i="52" s="1"/>
  <c r="AH23" i="49"/>
  <c r="AH24" i="49" s="1"/>
  <c r="AH26" i="49"/>
  <c r="AH26" i="52"/>
  <c r="AH22" i="48"/>
  <c r="AG32" i="48" l="1"/>
  <c r="AG38" i="48" s="1"/>
  <c r="AF44" i="48"/>
  <c r="AF44" i="49"/>
  <c r="AF46" i="48"/>
  <c r="AF47" i="48" s="1"/>
  <c r="AH27" i="49"/>
  <c r="AH34" i="49" s="1"/>
  <c r="AH35" i="49"/>
  <c r="AH27" i="52"/>
  <c r="AH34" i="52" s="1"/>
  <c r="AH35" i="52"/>
  <c r="AH27" i="50"/>
  <c r="AH34" i="50" s="1"/>
  <c r="AH35" i="50"/>
  <c r="AF41" i="51"/>
  <c r="AF45" i="51"/>
  <c r="AG31" i="52"/>
  <c r="AG32" i="52"/>
  <c r="AG31" i="50"/>
  <c r="AH23" i="48"/>
  <c r="AH24" i="48" s="1"/>
  <c r="AG38" i="51"/>
  <c r="AG40" i="51" s="1"/>
  <c r="AH26" i="48"/>
  <c r="AG32" i="50"/>
  <c r="AG31" i="49"/>
  <c r="AH27" i="51"/>
  <c r="AH34" i="51" s="1"/>
  <c r="AH35" i="51"/>
  <c r="AG32" i="49"/>
  <c r="AH28" i="51" l="1"/>
  <c r="AH28" i="50"/>
  <c r="AH30" i="50" s="1"/>
  <c r="AH32" i="50" s="1"/>
  <c r="AH28" i="52"/>
  <c r="AH30" i="52" s="1"/>
  <c r="AH27" i="48"/>
  <c r="AH34" i="48" s="1"/>
  <c r="AH35" i="48"/>
  <c r="AG38" i="50"/>
  <c r="AG41" i="51"/>
  <c r="AH39" i="51"/>
  <c r="AI22" i="52"/>
  <c r="AH30" i="51"/>
  <c r="AH32" i="51" s="1"/>
  <c r="AG40" i="48"/>
  <c r="AH39" i="48"/>
  <c r="AI22" i="49"/>
  <c r="AF44" i="51"/>
  <c r="AG38" i="49"/>
  <c r="AG38" i="52"/>
  <c r="AI22" i="50"/>
  <c r="AI26" i="50" s="1"/>
  <c r="AI22" i="51"/>
  <c r="AI26" i="51" s="1"/>
  <c r="AH28" i="49"/>
  <c r="AF46" i="51"/>
  <c r="AF47" i="51" s="1"/>
  <c r="AH28" i="48" l="1"/>
  <c r="AH30" i="48" s="1"/>
  <c r="AH32" i="52"/>
  <c r="AH31" i="52"/>
  <c r="AG45" i="51"/>
  <c r="AG46" i="51" s="1"/>
  <c r="AG47" i="51" s="1"/>
  <c r="AH38" i="51"/>
  <c r="AH40" i="51" s="1"/>
  <c r="AI23" i="50"/>
  <c r="AI24" i="50" s="1"/>
  <c r="AI23" i="49"/>
  <c r="AI24" i="49" s="1"/>
  <c r="AG41" i="48"/>
  <c r="AG45" i="48"/>
  <c r="AG40" i="52"/>
  <c r="AH39" i="52"/>
  <c r="AH38" i="52" s="1"/>
  <c r="AH40" i="52" s="1"/>
  <c r="AI23" i="52"/>
  <c r="AI24" i="52" s="1"/>
  <c r="AI26" i="49"/>
  <c r="AI23" i="51"/>
  <c r="AI24" i="51" s="1"/>
  <c r="AG40" i="49"/>
  <c r="AH39" i="49"/>
  <c r="AI26" i="52"/>
  <c r="AG40" i="50"/>
  <c r="AH39" i="50"/>
  <c r="AH30" i="49"/>
  <c r="AH31" i="51"/>
  <c r="AH31" i="50"/>
  <c r="AI22" i="48"/>
  <c r="AI26" i="48" s="1"/>
  <c r="AH32" i="48" l="1"/>
  <c r="AG44" i="51"/>
  <c r="AH45" i="51"/>
  <c r="AG46" i="48"/>
  <c r="AG47" i="48" s="1"/>
  <c r="AG44" i="48"/>
  <c r="AI27" i="51"/>
  <c r="AI34" i="51" s="1"/>
  <c r="AI35" i="51"/>
  <c r="AI27" i="52"/>
  <c r="AI34" i="52" s="1"/>
  <c r="AI35" i="52"/>
  <c r="AI27" i="49"/>
  <c r="AI34" i="49" s="1"/>
  <c r="AI35" i="49"/>
  <c r="AI27" i="50"/>
  <c r="AI34" i="50" s="1"/>
  <c r="AI35" i="50"/>
  <c r="AH38" i="48"/>
  <c r="AH41" i="51"/>
  <c r="AH31" i="49"/>
  <c r="AH41" i="52"/>
  <c r="AH32" i="49"/>
  <c r="AG41" i="50"/>
  <c r="AG45" i="50"/>
  <c r="AI23" i="48"/>
  <c r="AI24" i="48" s="1"/>
  <c r="AG41" i="52"/>
  <c r="AG45" i="52"/>
  <c r="AG41" i="49"/>
  <c r="AG45" i="49"/>
  <c r="AH38" i="50"/>
  <c r="AH40" i="50" s="1"/>
  <c r="AI39" i="51" l="1"/>
  <c r="AG44" i="50"/>
  <c r="AG44" i="49"/>
  <c r="AI28" i="51"/>
  <c r="AI30" i="51" s="1"/>
  <c r="AI32" i="51" s="1"/>
  <c r="AG46" i="50"/>
  <c r="AG47" i="50" s="1"/>
  <c r="AI28" i="52"/>
  <c r="AI30" i="52" s="1"/>
  <c r="AI32" i="52" s="1"/>
  <c r="AG44" i="52"/>
  <c r="AG46" i="52"/>
  <c r="AG47" i="52" s="1"/>
  <c r="AI39" i="50"/>
  <c r="AI28" i="49"/>
  <c r="AJ22" i="49"/>
  <c r="AJ26" i="49" s="1"/>
  <c r="AI27" i="48"/>
  <c r="AI34" i="48" s="1"/>
  <c r="AI35" i="48"/>
  <c r="AH44" i="51"/>
  <c r="AH46" i="51"/>
  <c r="AJ22" i="52"/>
  <c r="AJ26" i="52" s="1"/>
  <c r="AJ22" i="51"/>
  <c r="AH40" i="48"/>
  <c r="AI28" i="50"/>
  <c r="AJ22" i="50"/>
  <c r="AJ26" i="50" s="1"/>
  <c r="AH38" i="49"/>
  <c r="AH41" i="50"/>
  <c r="AG46" i="49"/>
  <c r="AG47" i="49" s="1"/>
  <c r="AI39" i="52"/>
  <c r="AH45" i="50" l="1"/>
  <c r="AH44" i="50" s="1"/>
  <c r="AI28" i="48"/>
  <c r="AI30" i="48" s="1"/>
  <c r="AI39" i="48"/>
  <c r="AH45" i="52"/>
  <c r="AH46" i="52" s="1"/>
  <c r="AH47" i="52" s="1"/>
  <c r="AI38" i="51"/>
  <c r="AI38" i="52"/>
  <c r="AI40" i="52" s="1"/>
  <c r="AH41" i="48"/>
  <c r="AH45" i="48"/>
  <c r="AJ23" i="51"/>
  <c r="AJ24" i="51" s="1"/>
  <c r="AJ22" i="48"/>
  <c r="AH40" i="49"/>
  <c r="AI39" i="49"/>
  <c r="AH47" i="51"/>
  <c r="AI31" i="51"/>
  <c r="AJ26" i="51"/>
  <c r="AJ23" i="49"/>
  <c r="AJ24" i="49" s="1"/>
  <c r="AJ23" i="50"/>
  <c r="AJ24" i="50" s="1"/>
  <c r="AI30" i="49"/>
  <c r="AI32" i="49" s="1"/>
  <c r="AJ23" i="52"/>
  <c r="AJ24" i="52" s="1"/>
  <c r="AI30" i="50"/>
  <c r="AI31" i="52"/>
  <c r="AH44" i="52" l="1"/>
  <c r="AH46" i="50"/>
  <c r="AH47" i="50" s="1"/>
  <c r="AI32" i="48"/>
  <c r="AI38" i="48" s="1"/>
  <c r="AH46" i="48"/>
  <c r="AH47" i="48" s="1"/>
  <c r="AI45" i="52"/>
  <c r="AJ27" i="52"/>
  <c r="AJ34" i="52" s="1"/>
  <c r="AJ35" i="52"/>
  <c r="AI38" i="49"/>
  <c r="AI40" i="49" s="1"/>
  <c r="AJ27" i="49"/>
  <c r="AJ34" i="49" s="1"/>
  <c r="AJ35" i="49"/>
  <c r="AJ27" i="51"/>
  <c r="AJ34" i="51" s="1"/>
  <c r="AJ35" i="51"/>
  <c r="AI41" i="52"/>
  <c r="AH44" i="48"/>
  <c r="AJ23" i="48"/>
  <c r="AJ24" i="48" s="1"/>
  <c r="AI31" i="50"/>
  <c r="AJ27" i="50"/>
  <c r="AJ34" i="50" s="1"/>
  <c r="AJ35" i="50"/>
  <c r="AH41" i="49"/>
  <c r="AH45" i="49"/>
  <c r="AI32" i="50"/>
  <c r="AJ26" i="48"/>
  <c r="AI31" i="49"/>
  <c r="AI40" i="51"/>
  <c r="AJ39" i="52" l="1"/>
  <c r="AJ28" i="51"/>
  <c r="AH46" i="49"/>
  <c r="AH47" i="49" s="1"/>
  <c r="AJ39" i="51"/>
  <c r="AJ28" i="49"/>
  <c r="AJ30" i="49" s="1"/>
  <c r="AJ31" i="49" s="1"/>
  <c r="AH44" i="49"/>
  <c r="AJ28" i="52"/>
  <c r="AK22" i="49"/>
  <c r="AK26" i="49" s="1"/>
  <c r="AI38" i="50"/>
  <c r="AI45" i="49"/>
  <c r="AK22" i="52"/>
  <c r="AJ27" i="48"/>
  <c r="AJ34" i="48" s="1"/>
  <c r="AJ35" i="48"/>
  <c r="AI41" i="49"/>
  <c r="AI44" i="52"/>
  <c r="AI46" i="52"/>
  <c r="AJ39" i="49"/>
  <c r="AJ30" i="51"/>
  <c r="AJ28" i="50"/>
  <c r="AK22" i="51"/>
  <c r="AK26" i="51" s="1"/>
  <c r="AI40" i="48"/>
  <c r="AK22" i="50"/>
  <c r="AK26" i="50" s="1"/>
  <c r="AI41" i="51"/>
  <c r="AI45" i="51"/>
  <c r="AI44" i="51" l="1"/>
  <c r="AJ32" i="49"/>
  <c r="AI46" i="51"/>
  <c r="AI47" i="51" s="1"/>
  <c r="AK23" i="52"/>
  <c r="AK24" i="52" s="1"/>
  <c r="AJ30" i="50"/>
  <c r="AJ32" i="50" s="1"/>
  <c r="AI47" i="52"/>
  <c r="AI44" i="49"/>
  <c r="AJ39" i="48"/>
  <c r="AI41" i="48"/>
  <c r="AI45" i="48"/>
  <c r="AK22" i="48"/>
  <c r="AJ31" i="51"/>
  <c r="AJ32" i="51"/>
  <c r="AI46" i="49"/>
  <c r="AI47" i="49" s="1"/>
  <c r="AI40" i="50"/>
  <c r="AJ39" i="50"/>
  <c r="AK23" i="49"/>
  <c r="AK24" i="49" s="1"/>
  <c r="AJ38" i="49"/>
  <c r="AJ40" i="49" s="1"/>
  <c r="AJ28" i="48"/>
  <c r="AJ30" i="48" s="1"/>
  <c r="AK26" i="52"/>
  <c r="AK23" i="50"/>
  <c r="AK24" i="50" s="1"/>
  <c r="AJ30" i="52"/>
  <c r="AK23" i="51"/>
  <c r="AK24" i="51" s="1"/>
  <c r="AI46" i="48" l="1"/>
  <c r="AI47" i="48" s="1"/>
  <c r="AK27" i="49"/>
  <c r="AK34" i="49" s="1"/>
  <c r="AK35" i="49"/>
  <c r="AJ38" i="50"/>
  <c r="AJ40" i="50" s="1"/>
  <c r="AK27" i="51"/>
  <c r="AK34" i="51" s="1"/>
  <c r="AK35" i="51"/>
  <c r="AK27" i="52"/>
  <c r="AK34" i="52" s="1"/>
  <c r="AK35" i="52"/>
  <c r="AI41" i="50"/>
  <c r="AI45" i="50"/>
  <c r="AJ31" i="52"/>
  <c r="AJ32" i="48"/>
  <c r="AJ38" i="51"/>
  <c r="AK27" i="50"/>
  <c r="AK34" i="50" s="1"/>
  <c r="AK35" i="50"/>
  <c r="AI44" i="48"/>
  <c r="AJ41" i="49"/>
  <c r="AJ45" i="49"/>
  <c r="AJ31" i="50"/>
  <c r="AJ32" i="52"/>
  <c r="AK23" i="48"/>
  <c r="AK24" i="48" s="1"/>
  <c r="AK26" i="48"/>
  <c r="AK39" i="50" l="1"/>
  <c r="AI46" i="50"/>
  <c r="AI47" i="50" s="1"/>
  <c r="AK39" i="49"/>
  <c r="AI44" i="50"/>
  <c r="AK28" i="49"/>
  <c r="AK30" i="49" s="1"/>
  <c r="AJ46" i="49"/>
  <c r="AJ47" i="49" s="1"/>
  <c r="AL22" i="52"/>
  <c r="AL26" i="52" s="1"/>
  <c r="AL22" i="51"/>
  <c r="AL26" i="51" s="1"/>
  <c r="AJ38" i="48"/>
  <c r="AK28" i="51"/>
  <c r="AJ41" i="50"/>
  <c r="AJ40" i="51"/>
  <c r="AK39" i="51"/>
  <c r="AK28" i="50"/>
  <c r="AL22" i="49"/>
  <c r="AL26" i="49" s="1"/>
  <c r="AJ44" i="49"/>
  <c r="AL22" i="50"/>
  <c r="AL26" i="50" s="1"/>
  <c r="AK27" i="48"/>
  <c r="AK34" i="48" s="1"/>
  <c r="AK35" i="48"/>
  <c r="AJ38" i="52"/>
  <c r="AK28" i="52"/>
  <c r="AJ45" i="50" l="1"/>
  <c r="AJ44" i="50" s="1"/>
  <c r="AK30" i="51"/>
  <c r="AK30" i="52"/>
  <c r="AK32" i="52" s="1"/>
  <c r="AL23" i="50"/>
  <c r="AL24" i="50" s="1"/>
  <c r="AJ40" i="48"/>
  <c r="AK39" i="48"/>
  <c r="AL23" i="49"/>
  <c r="AL24" i="49" s="1"/>
  <c r="AK31" i="49"/>
  <c r="AJ40" i="52"/>
  <c r="AK39" i="52"/>
  <c r="AK30" i="50"/>
  <c r="AL23" i="52"/>
  <c r="AL24" i="52" s="1"/>
  <c r="AK32" i="49"/>
  <c r="AL23" i="51"/>
  <c r="AL24" i="51" s="1"/>
  <c r="AJ41" i="51"/>
  <c r="AJ45" i="51"/>
  <c r="AL22" i="48"/>
  <c r="AL26" i="48" s="1"/>
  <c r="AK28" i="48"/>
  <c r="AK30" i="48" s="1"/>
  <c r="AJ46" i="50" l="1"/>
  <c r="AJ47" i="50" s="1"/>
  <c r="AJ46" i="51"/>
  <c r="AJ47" i="51" s="1"/>
  <c r="AJ44" i="51"/>
  <c r="AL27" i="51"/>
  <c r="AL34" i="51" s="1"/>
  <c r="AL35" i="51"/>
  <c r="AL27" i="49"/>
  <c r="AL34" i="49" s="1"/>
  <c r="AL35" i="49"/>
  <c r="AL27" i="52"/>
  <c r="AL34" i="52" s="1"/>
  <c r="AL35" i="52"/>
  <c r="AL27" i="50"/>
  <c r="AL34" i="50" s="1"/>
  <c r="AL35" i="50"/>
  <c r="AK31" i="50"/>
  <c r="AK32" i="50"/>
  <c r="AJ41" i="52"/>
  <c r="AJ45" i="52"/>
  <c r="AK32" i="48"/>
  <c r="AJ41" i="48"/>
  <c r="AJ45" i="48"/>
  <c r="AK38" i="52"/>
  <c r="AK40" i="52" s="1"/>
  <c r="AL23" i="48"/>
  <c r="AL24" i="48" s="1"/>
  <c r="AK31" i="52"/>
  <c r="AK38" i="49"/>
  <c r="AK31" i="51"/>
  <c r="AK32" i="51"/>
  <c r="AL28" i="52" l="1"/>
  <c r="AL30" i="52" s="1"/>
  <c r="AL28" i="49"/>
  <c r="AL30" i="49" s="1"/>
  <c r="AJ46" i="52"/>
  <c r="AJ47" i="52" s="1"/>
  <c r="AJ44" i="52"/>
  <c r="AL27" i="48"/>
  <c r="AL34" i="48" s="1"/>
  <c r="AL35" i="48"/>
  <c r="AK38" i="48"/>
  <c r="AM22" i="52"/>
  <c r="AM26" i="52" s="1"/>
  <c r="AM22" i="51"/>
  <c r="AM26" i="51" s="1"/>
  <c r="AM22" i="49"/>
  <c r="AM26" i="49" s="1"/>
  <c r="AJ46" i="48"/>
  <c r="AJ47" i="48" s="1"/>
  <c r="AM22" i="50"/>
  <c r="AM26" i="50" s="1"/>
  <c r="AK41" i="52"/>
  <c r="AL28" i="51"/>
  <c r="AL28" i="50"/>
  <c r="AK40" i="49"/>
  <c r="AL39" i="49"/>
  <c r="AL39" i="52"/>
  <c r="AK38" i="50"/>
  <c r="AJ44" i="48"/>
  <c r="AK38" i="51"/>
  <c r="AK45" i="52" l="1"/>
  <c r="AK46" i="52" s="1"/>
  <c r="AK47" i="52" s="1"/>
  <c r="AK40" i="51"/>
  <c r="AL39" i="51"/>
  <c r="AM23" i="51"/>
  <c r="AM24" i="51" s="1"/>
  <c r="AL30" i="51"/>
  <c r="AL32" i="51" s="1"/>
  <c r="AL31" i="52"/>
  <c r="AL31" i="49"/>
  <c r="AM23" i="52"/>
  <c r="AM24" i="52" s="1"/>
  <c r="AK40" i="50"/>
  <c r="AL39" i="50"/>
  <c r="AL32" i="49"/>
  <c r="AM22" i="48"/>
  <c r="AK40" i="48"/>
  <c r="AK45" i="48" s="1"/>
  <c r="AL39" i="48"/>
  <c r="AL32" i="52"/>
  <c r="AK41" i="49"/>
  <c r="AK45" i="49"/>
  <c r="AL30" i="50"/>
  <c r="AL28" i="48"/>
  <c r="AL30" i="48" s="1"/>
  <c r="AM23" i="50"/>
  <c r="AM24" i="50" s="1"/>
  <c r="AM23" i="49"/>
  <c r="AM24" i="49" s="1"/>
  <c r="AK44" i="52" l="1"/>
  <c r="AK44" i="49"/>
  <c r="AK46" i="49"/>
  <c r="AK47" i="49" s="1"/>
  <c r="AL38" i="51"/>
  <c r="AL40" i="51" s="1"/>
  <c r="AM27" i="52"/>
  <c r="AM34" i="52" s="1"/>
  <c r="AM35" i="52"/>
  <c r="AM27" i="49"/>
  <c r="AM34" i="49" s="1"/>
  <c r="AM35" i="49"/>
  <c r="AM27" i="50"/>
  <c r="AM34" i="50" s="1"/>
  <c r="AM35" i="50"/>
  <c r="AM27" i="51"/>
  <c r="AM34" i="51" s="1"/>
  <c r="AM35" i="51"/>
  <c r="AM23" i="48"/>
  <c r="AM24" i="48" s="1"/>
  <c r="AL38" i="49"/>
  <c r="AL31" i="50"/>
  <c r="AL32" i="48"/>
  <c r="AK41" i="50"/>
  <c r="AK45" i="50"/>
  <c r="AK41" i="51"/>
  <c r="AK45" i="51"/>
  <c r="AL32" i="50"/>
  <c r="AL31" i="51"/>
  <c r="AL38" i="52"/>
  <c r="AK41" i="48"/>
  <c r="AK46" i="48" s="1"/>
  <c r="AK47" i="48" s="1"/>
  <c r="AM26" i="48"/>
  <c r="AK44" i="48" l="1"/>
  <c r="AK46" i="51"/>
  <c r="AK47" i="51" s="1"/>
  <c r="AM39" i="51"/>
  <c r="AM28" i="51"/>
  <c r="AM30" i="51" s="1"/>
  <c r="AM31" i="51" s="1"/>
  <c r="AK46" i="50"/>
  <c r="AK47" i="50" s="1"/>
  <c r="AK44" i="51"/>
  <c r="AM28" i="52"/>
  <c r="AM30" i="52" s="1"/>
  <c r="AM28" i="50"/>
  <c r="AM30" i="50" s="1"/>
  <c r="AM31" i="50" s="1"/>
  <c r="AM28" i="49"/>
  <c r="AM30" i="49" s="1"/>
  <c r="AM32" i="49" s="1"/>
  <c r="AK44" i="50"/>
  <c r="AM27" i="48"/>
  <c r="AM34" i="48" s="1"/>
  <c r="AM35" i="48"/>
  <c r="AL38" i="50"/>
  <c r="AN22" i="49"/>
  <c r="AN26" i="49" s="1"/>
  <c r="AL40" i="49"/>
  <c r="AM39" i="49"/>
  <c r="AL40" i="52"/>
  <c r="AM39" i="52"/>
  <c r="AN22" i="51"/>
  <c r="AL41" i="51"/>
  <c r="AN22" i="52"/>
  <c r="AN26" i="52" s="1"/>
  <c r="AL38" i="48"/>
  <c r="AN22" i="50"/>
  <c r="AN26" i="50" s="1"/>
  <c r="AL45" i="51" l="1"/>
  <c r="AL46" i="51" s="1"/>
  <c r="AL47" i="51" s="1"/>
  <c r="AM32" i="50"/>
  <c r="AM38" i="49"/>
  <c r="AM40" i="49" s="1"/>
  <c r="AN23" i="51"/>
  <c r="AN24" i="51" s="1"/>
  <c r="AL41" i="49"/>
  <c r="AL45" i="49"/>
  <c r="AL40" i="48"/>
  <c r="AM39" i="48"/>
  <c r="AM32" i="51"/>
  <c r="AN22" i="48"/>
  <c r="AN26" i="48" s="1"/>
  <c r="AN23" i="50"/>
  <c r="AN24" i="50" s="1"/>
  <c r="AN26" i="51"/>
  <c r="AN23" i="49"/>
  <c r="AN24" i="49" s="1"/>
  <c r="AL41" i="52"/>
  <c r="AL45" i="52"/>
  <c r="AM31" i="52"/>
  <c r="AM32" i="52"/>
  <c r="AM28" i="48"/>
  <c r="AM30" i="48" s="1"/>
  <c r="AL40" i="50"/>
  <c r="AM39" i="50"/>
  <c r="AN23" i="52"/>
  <c r="AN24" i="52" s="1"/>
  <c r="AM31" i="49"/>
  <c r="AL44" i="51" l="1"/>
  <c r="AM38" i="50"/>
  <c r="AM40" i="50" s="1"/>
  <c r="AM41" i="50" s="1"/>
  <c r="AL44" i="49"/>
  <c r="AL46" i="52"/>
  <c r="AL47" i="52" s="1"/>
  <c r="AL46" i="49"/>
  <c r="AL47" i="49" s="1"/>
  <c r="AL44" i="52"/>
  <c r="AN27" i="49"/>
  <c r="AN34" i="49" s="1"/>
  <c r="AN35" i="49"/>
  <c r="AN27" i="50"/>
  <c r="AN34" i="50" s="1"/>
  <c r="AN35" i="50"/>
  <c r="AN27" i="52"/>
  <c r="AN34" i="52" s="1"/>
  <c r="AN35" i="52"/>
  <c r="AN27" i="51"/>
  <c r="AN34" i="51" s="1"/>
  <c r="AN35" i="51"/>
  <c r="AL41" i="48"/>
  <c r="AL45" i="48"/>
  <c r="AM38" i="52"/>
  <c r="AL41" i="50"/>
  <c r="AL45" i="50"/>
  <c r="AM41" i="49"/>
  <c r="AM32" i="48"/>
  <c r="AN23" i="48"/>
  <c r="AN24" i="48" s="1"/>
  <c r="AM38" i="51"/>
  <c r="AM45" i="49" l="1"/>
  <c r="AM46" i="49" s="1"/>
  <c r="AM47" i="49" s="1"/>
  <c r="AL44" i="48"/>
  <c r="AN39" i="49"/>
  <c r="AN28" i="50"/>
  <c r="AN30" i="50" s="1"/>
  <c r="AN32" i="50" s="1"/>
  <c r="AN28" i="51"/>
  <c r="AN30" i="51" s="1"/>
  <c r="AL44" i="50"/>
  <c r="AN27" i="48"/>
  <c r="AN34" i="48" s="1"/>
  <c r="AN35" i="48"/>
  <c r="AN28" i="52"/>
  <c r="AM40" i="51"/>
  <c r="AN39" i="51"/>
  <c r="AO22" i="52"/>
  <c r="AN28" i="49"/>
  <c r="AL46" i="48"/>
  <c r="AL47" i="48" s="1"/>
  <c r="AM40" i="52"/>
  <c r="AN39" i="52"/>
  <c r="AO22" i="51"/>
  <c r="AO26" i="51" s="1"/>
  <c r="AN39" i="50"/>
  <c r="AL46" i="50"/>
  <c r="AL47" i="50" s="1"/>
  <c r="AO22" i="50"/>
  <c r="AO26" i="50" s="1"/>
  <c r="AO22" i="49"/>
  <c r="AO26" i="49" s="1"/>
  <c r="AM38" i="48"/>
  <c r="AM44" i="49" l="1"/>
  <c r="AM45" i="50"/>
  <c r="AN38" i="50"/>
  <c r="AN40" i="50" s="1"/>
  <c r="AN31" i="50"/>
  <c r="AM40" i="48"/>
  <c r="AN39" i="48"/>
  <c r="AO23" i="52"/>
  <c r="AO24" i="52" s="1"/>
  <c r="AN30" i="49"/>
  <c r="AO23" i="49"/>
  <c r="AO24" i="49" s="1"/>
  <c r="AO23" i="50"/>
  <c r="AO24" i="50" s="1"/>
  <c r="AN30" i="52"/>
  <c r="AN32" i="52" s="1"/>
  <c r="AM41" i="52"/>
  <c r="AM45" i="52"/>
  <c r="AO22" i="48"/>
  <c r="AO26" i="48" s="1"/>
  <c r="AM41" i="51"/>
  <c r="AM45" i="51"/>
  <c r="AN28" i="48"/>
  <c r="AN30" i="48" s="1"/>
  <c r="AO26" i="52"/>
  <c r="AO23" i="51"/>
  <c r="AO24" i="51" s="1"/>
  <c r="AN31" i="51"/>
  <c r="AN32" i="51"/>
  <c r="AM44" i="51" l="1"/>
  <c r="AM46" i="51"/>
  <c r="AM47" i="51" s="1"/>
  <c r="AM44" i="50"/>
  <c r="AM46" i="50"/>
  <c r="AN38" i="52"/>
  <c r="AO27" i="51"/>
  <c r="AO34" i="51" s="1"/>
  <c r="AO35" i="51"/>
  <c r="AO27" i="52"/>
  <c r="AO34" i="52" s="1"/>
  <c r="AO35" i="52"/>
  <c r="AO27" i="49"/>
  <c r="AO34" i="49" s="1"/>
  <c r="AO35" i="49"/>
  <c r="AN31" i="49"/>
  <c r="AO23" i="48"/>
  <c r="AO24" i="48" s="1"/>
  <c r="AO27" i="50"/>
  <c r="AO34" i="50" s="1"/>
  <c r="AO35" i="50"/>
  <c r="AN32" i="49"/>
  <c r="AN38" i="51"/>
  <c r="AM41" i="48"/>
  <c r="AM45" i="48"/>
  <c r="AM44" i="52"/>
  <c r="AM46" i="52"/>
  <c r="AM47" i="52" s="1"/>
  <c r="AN31" i="52"/>
  <c r="AN32" i="48"/>
  <c r="AN41" i="50"/>
  <c r="AO28" i="51" l="1"/>
  <c r="AM44" i="48"/>
  <c r="AM47" i="50"/>
  <c r="AN45" i="50"/>
  <c r="AN44" i="50" s="1"/>
  <c r="AO28" i="52"/>
  <c r="AO30" i="52" s="1"/>
  <c r="AO31" i="52" s="1"/>
  <c r="AN40" i="51"/>
  <c r="AO39" i="51"/>
  <c r="AP22" i="50"/>
  <c r="AP22" i="51"/>
  <c r="AP22" i="49"/>
  <c r="AN38" i="49"/>
  <c r="AP22" i="52"/>
  <c r="AP26" i="52" s="1"/>
  <c r="AO27" i="48"/>
  <c r="AO34" i="48" s="1"/>
  <c r="AO35" i="48"/>
  <c r="AM46" i="48"/>
  <c r="AM47" i="48" s="1"/>
  <c r="AO28" i="49"/>
  <c r="AO28" i="50"/>
  <c r="AN40" i="52"/>
  <c r="AN45" i="52" s="1"/>
  <c r="AO39" i="52"/>
  <c r="AO30" i="51"/>
  <c r="AN38" i="48"/>
  <c r="AO39" i="50"/>
  <c r="AO32" i="52" l="1"/>
  <c r="AO38" i="52" s="1"/>
  <c r="AO40" i="52" s="1"/>
  <c r="AN46" i="50"/>
  <c r="AO28" i="48"/>
  <c r="AO30" i="48" s="1"/>
  <c r="AO32" i="48" s="1"/>
  <c r="AP23" i="51"/>
  <c r="AP24" i="51" s="1"/>
  <c r="AN40" i="48"/>
  <c r="AO39" i="48"/>
  <c r="AP26" i="51"/>
  <c r="AP23" i="52"/>
  <c r="AP24" i="52" s="1"/>
  <c r="AN41" i="52"/>
  <c r="AN44" i="52" s="1"/>
  <c r="AP22" i="48"/>
  <c r="AP26" i="48" s="1"/>
  <c r="AN47" i="50"/>
  <c r="AP23" i="50"/>
  <c r="AP24" i="50" s="1"/>
  <c r="AO31" i="51"/>
  <c r="AO32" i="51"/>
  <c r="AN40" i="49"/>
  <c r="AO39" i="49"/>
  <c r="AO30" i="50"/>
  <c r="AO32" i="50" s="1"/>
  <c r="AP26" i="50"/>
  <c r="AP23" i="49"/>
  <c r="AP24" i="49" s="1"/>
  <c r="AO30" i="49"/>
  <c r="AP26" i="49"/>
  <c r="AN41" i="51"/>
  <c r="AN45" i="51"/>
  <c r="AN44" i="51" l="1"/>
  <c r="AN46" i="52"/>
  <c r="AO38" i="50"/>
  <c r="AP27" i="50"/>
  <c r="AP34" i="50" s="1"/>
  <c r="AP35" i="50"/>
  <c r="AP27" i="52"/>
  <c r="AP34" i="52" s="1"/>
  <c r="AP35" i="52"/>
  <c r="AP27" i="51"/>
  <c r="AP34" i="51" s="1"/>
  <c r="AP35" i="51"/>
  <c r="AP27" i="49"/>
  <c r="AP34" i="49" s="1"/>
  <c r="AP35" i="49"/>
  <c r="AO41" i="52"/>
  <c r="AO31" i="49"/>
  <c r="AO38" i="48"/>
  <c r="AO40" i="48" s="1"/>
  <c r="AN46" i="51"/>
  <c r="AN47" i="51" s="1"/>
  <c r="AP23" i="48"/>
  <c r="AP24" i="48" s="1"/>
  <c r="AO32" i="49"/>
  <c r="AO31" i="50"/>
  <c r="AN41" i="49"/>
  <c r="AN45" i="49"/>
  <c r="AO38" i="51"/>
  <c r="AN41" i="48"/>
  <c r="AN45" i="48"/>
  <c r="AN44" i="48" l="1"/>
  <c r="AP28" i="50"/>
  <c r="AP30" i="50" s="1"/>
  <c r="AP31" i="50" s="1"/>
  <c r="AP39" i="52"/>
  <c r="AN46" i="49"/>
  <c r="AN47" i="49" s="1"/>
  <c r="AN47" i="52"/>
  <c r="AO45" i="52"/>
  <c r="AO44" i="52" s="1"/>
  <c r="AN44" i="49"/>
  <c r="AP28" i="49"/>
  <c r="AP30" i="49" s="1"/>
  <c r="AP28" i="52"/>
  <c r="AQ22" i="50"/>
  <c r="AQ22" i="52"/>
  <c r="AQ22" i="49"/>
  <c r="AO41" i="48"/>
  <c r="AN46" i="48"/>
  <c r="AN47" i="48" s="1"/>
  <c r="AQ22" i="51"/>
  <c r="AQ26" i="51" s="1"/>
  <c r="AO38" i="49"/>
  <c r="AP27" i="48"/>
  <c r="AP34" i="48" s="1"/>
  <c r="AP35" i="48"/>
  <c r="AO40" i="51"/>
  <c r="AO45" i="51" s="1"/>
  <c r="AP39" i="51"/>
  <c r="AP28" i="51"/>
  <c r="AO40" i="50"/>
  <c r="AP39" i="50"/>
  <c r="AP32" i="50" l="1"/>
  <c r="AP38" i="50" s="1"/>
  <c r="AP40" i="50" s="1"/>
  <c r="AO46" i="52"/>
  <c r="AO47" i="52" s="1"/>
  <c r="AP32" i="49"/>
  <c r="AP31" i="49"/>
  <c r="AP28" i="48"/>
  <c r="AP30" i="48" s="1"/>
  <c r="AO45" i="48"/>
  <c r="AO44" i="48" s="1"/>
  <c r="AO41" i="51"/>
  <c r="AO46" i="51" s="1"/>
  <c r="AO47" i="51" s="1"/>
  <c r="AQ23" i="52"/>
  <c r="AQ24" i="52" s="1"/>
  <c r="AQ26" i="52"/>
  <c r="AQ23" i="50"/>
  <c r="AQ24" i="50" s="1"/>
  <c r="AQ26" i="50"/>
  <c r="AQ23" i="49"/>
  <c r="AQ24" i="49" s="1"/>
  <c r="AQ26" i="49"/>
  <c r="AQ22" i="48"/>
  <c r="AQ26" i="48" s="1"/>
  <c r="AO40" i="49"/>
  <c r="AP39" i="49"/>
  <c r="AQ23" i="51"/>
  <c r="AQ24" i="51" s="1"/>
  <c r="AP30" i="52"/>
  <c r="AP39" i="48"/>
  <c r="AO41" i="50"/>
  <c r="AO45" i="50"/>
  <c r="AP30" i="51"/>
  <c r="AP32" i="51" s="1"/>
  <c r="AO46" i="48" l="1"/>
  <c r="AO47" i="48" s="1"/>
  <c r="AP32" i="48"/>
  <c r="AO46" i="50"/>
  <c r="AO47" i="50" s="1"/>
  <c r="AO44" i="51"/>
  <c r="AO44" i="50"/>
  <c r="AQ27" i="51"/>
  <c r="AQ34" i="51" s="1"/>
  <c r="AQ35" i="51"/>
  <c r="AQ27" i="52"/>
  <c r="AQ34" i="52" s="1"/>
  <c r="AQ35" i="52"/>
  <c r="AQ27" i="50"/>
  <c r="AQ34" i="50" s="1"/>
  <c r="AQ35" i="50"/>
  <c r="AP38" i="51"/>
  <c r="AP31" i="51"/>
  <c r="AP38" i="49"/>
  <c r="AP40" i="49" s="1"/>
  <c r="AP38" i="48"/>
  <c r="AP40" i="48" s="1"/>
  <c r="AO41" i="49"/>
  <c r="AO45" i="49"/>
  <c r="AP31" i="52"/>
  <c r="AP32" i="52"/>
  <c r="AQ23" i="48"/>
  <c r="AQ24" i="48" s="1"/>
  <c r="AP41" i="50"/>
  <c r="AQ27" i="49"/>
  <c r="AQ34" i="49" s="1"/>
  <c r="AQ35" i="49"/>
  <c r="AP45" i="48" l="1"/>
  <c r="AP45" i="50"/>
  <c r="AO46" i="49"/>
  <c r="AO47" i="49" s="1"/>
  <c r="AQ28" i="51"/>
  <c r="AQ30" i="51" s="1"/>
  <c r="AQ31" i="51" s="1"/>
  <c r="AO44" i="49"/>
  <c r="AQ28" i="50"/>
  <c r="AQ30" i="50" s="1"/>
  <c r="AQ39" i="50"/>
  <c r="AQ28" i="52"/>
  <c r="AQ30" i="52" s="1"/>
  <c r="AQ32" i="52" s="1"/>
  <c r="AR22" i="50"/>
  <c r="AR26" i="50" s="1"/>
  <c r="AR22" i="51"/>
  <c r="AR22" i="52"/>
  <c r="AP45" i="49"/>
  <c r="AQ28" i="49"/>
  <c r="AP41" i="48"/>
  <c r="AP41" i="49"/>
  <c r="AP46" i="50"/>
  <c r="AP47" i="50" s="1"/>
  <c r="AP44" i="50"/>
  <c r="AQ27" i="48"/>
  <c r="AQ34" i="48" s="1"/>
  <c r="AQ35" i="48"/>
  <c r="AP38" i="52"/>
  <c r="AR22" i="49"/>
  <c r="AQ39" i="49"/>
  <c r="AP40" i="51"/>
  <c r="AQ39" i="51"/>
  <c r="AP44" i="48" l="1"/>
  <c r="AQ30" i="49"/>
  <c r="AQ32" i="51"/>
  <c r="AQ38" i="51" s="1"/>
  <c r="AQ40" i="51" s="1"/>
  <c r="AP46" i="49"/>
  <c r="AP47" i="49" s="1"/>
  <c r="AP44" i="49"/>
  <c r="AP46" i="48"/>
  <c r="AP47" i="48" s="1"/>
  <c r="AQ31" i="52"/>
  <c r="AR23" i="52"/>
  <c r="AR24" i="52" s="1"/>
  <c r="AR23" i="49"/>
  <c r="AR24" i="49" s="1"/>
  <c r="AQ31" i="50"/>
  <c r="AR23" i="51"/>
  <c r="AR24" i="51" s="1"/>
  <c r="AR26" i="49"/>
  <c r="AQ32" i="50"/>
  <c r="AP40" i="52"/>
  <c r="AQ39" i="52"/>
  <c r="AR23" i="50"/>
  <c r="AR24" i="50" s="1"/>
  <c r="AR22" i="48"/>
  <c r="AR26" i="48" s="1"/>
  <c r="AP41" i="51"/>
  <c r="AP45" i="51"/>
  <c r="AQ28" i="48"/>
  <c r="AQ30" i="48" s="1"/>
  <c r="AR26" i="52"/>
  <c r="AR26" i="51"/>
  <c r="AQ39" i="48"/>
  <c r="AQ31" i="49" l="1"/>
  <c r="AQ32" i="49"/>
  <c r="AQ38" i="49" s="1"/>
  <c r="AQ40" i="49" s="1"/>
  <c r="AQ45" i="49" s="1"/>
  <c r="AP44" i="51"/>
  <c r="AR27" i="51"/>
  <c r="AR34" i="51" s="1"/>
  <c r="AR35" i="51"/>
  <c r="AR27" i="52"/>
  <c r="AR34" i="52" s="1"/>
  <c r="AR35" i="52"/>
  <c r="AR27" i="50"/>
  <c r="AR34" i="50" s="1"/>
  <c r="AR35" i="50"/>
  <c r="AP41" i="52"/>
  <c r="AP45" i="52"/>
  <c r="AR27" i="49"/>
  <c r="AR28" i="49" s="1"/>
  <c r="AR35" i="49"/>
  <c r="AQ38" i="52"/>
  <c r="AQ40" i="52" s="1"/>
  <c r="AQ38" i="50"/>
  <c r="AR23" i="48"/>
  <c r="AR24" i="48" s="1"/>
  <c r="AP46" i="51"/>
  <c r="AP47" i="51" s="1"/>
  <c r="AQ32" i="48"/>
  <c r="AQ41" i="51"/>
  <c r="AQ41" i="49" l="1"/>
  <c r="AQ44" i="49" s="1"/>
  <c r="AR30" i="49"/>
  <c r="AR39" i="51"/>
  <c r="AP44" i="52"/>
  <c r="AP46" i="52"/>
  <c r="AP47" i="52" s="1"/>
  <c r="AR39" i="52"/>
  <c r="AR27" i="48"/>
  <c r="AR34" i="48" s="1"/>
  <c r="AR35" i="48"/>
  <c r="AS22" i="50"/>
  <c r="AQ40" i="50"/>
  <c r="AR39" i="50"/>
  <c r="AS22" i="52"/>
  <c r="AS26" i="52" s="1"/>
  <c r="AS22" i="51"/>
  <c r="AS26" i="51" s="1"/>
  <c r="AQ41" i="52"/>
  <c r="AR34" i="49"/>
  <c r="AR39" i="49"/>
  <c r="AQ38" i="48"/>
  <c r="AR28" i="52"/>
  <c r="AR28" i="51"/>
  <c r="AR28" i="50"/>
  <c r="AQ45" i="51"/>
  <c r="AQ46" i="49" l="1"/>
  <c r="AR32" i="49"/>
  <c r="AR38" i="49" s="1"/>
  <c r="AR40" i="49" s="1"/>
  <c r="AQ45" i="52"/>
  <c r="AQ44" i="52" s="1"/>
  <c r="AR31" i="49"/>
  <c r="AQ41" i="50"/>
  <c r="AQ45" i="50"/>
  <c r="AS23" i="50"/>
  <c r="AS24" i="50" s="1"/>
  <c r="AR30" i="50"/>
  <c r="AQ46" i="51"/>
  <c r="AQ47" i="51" s="1"/>
  <c r="AS22" i="48"/>
  <c r="AS26" i="50"/>
  <c r="AR30" i="51"/>
  <c r="AR30" i="52"/>
  <c r="AS23" i="52"/>
  <c r="AS24" i="52" s="1"/>
  <c r="AR28" i="48"/>
  <c r="AR30" i="48" s="1"/>
  <c r="AS22" i="49"/>
  <c r="AQ44" i="51"/>
  <c r="AQ47" i="49"/>
  <c r="AS23" i="51"/>
  <c r="AS24" i="51" s="1"/>
  <c r="AQ40" i="48"/>
  <c r="AR39" i="48"/>
  <c r="AQ46" i="52" l="1"/>
  <c r="AQ47" i="52" s="1"/>
  <c r="AR41" i="49"/>
  <c r="AR45" i="49"/>
  <c r="AQ44" i="50"/>
  <c r="AQ46" i="50"/>
  <c r="AQ47" i="50" s="1"/>
  <c r="AS27" i="51"/>
  <c r="AS34" i="51" s="1"/>
  <c r="AS35" i="51"/>
  <c r="AS27" i="52"/>
  <c r="AS34" i="52" s="1"/>
  <c r="AS35" i="52"/>
  <c r="AS27" i="50"/>
  <c r="AS34" i="50" s="1"/>
  <c r="AS35" i="50"/>
  <c r="AR31" i="50"/>
  <c r="AR31" i="51"/>
  <c r="AS23" i="48"/>
  <c r="AS24" i="48" s="1"/>
  <c r="AS23" i="49"/>
  <c r="AS24" i="49" s="1"/>
  <c r="AR32" i="48"/>
  <c r="AR31" i="52"/>
  <c r="AQ41" i="48"/>
  <c r="AQ45" i="48"/>
  <c r="AS26" i="49"/>
  <c r="AS26" i="48"/>
  <c r="AR32" i="50"/>
  <c r="AR32" i="52"/>
  <c r="AR32" i="51"/>
  <c r="AR46" i="49" l="1"/>
  <c r="AR47" i="49" s="1"/>
  <c r="AR44" i="49"/>
  <c r="AQ44" i="48"/>
  <c r="AQ46" i="48"/>
  <c r="AQ47" i="48" s="1"/>
  <c r="AS27" i="48"/>
  <c r="AS34" i="48" s="1"/>
  <c r="AS35" i="48"/>
  <c r="AS28" i="50"/>
  <c r="AT22" i="50"/>
  <c r="AT26" i="50" s="1"/>
  <c r="AR38" i="48"/>
  <c r="AR38" i="50"/>
  <c r="AT22" i="51"/>
  <c r="AT26" i="51" s="1"/>
  <c r="AS27" i="49"/>
  <c r="AS39" i="49" s="1"/>
  <c r="AS35" i="49"/>
  <c r="AS28" i="51"/>
  <c r="AR38" i="51"/>
  <c r="AR38" i="52"/>
  <c r="AT22" i="52"/>
  <c r="AT26" i="52" s="1"/>
  <c r="AS28" i="52"/>
  <c r="AS30" i="52" l="1"/>
  <c r="AT22" i="48"/>
  <c r="AT26" i="48" s="1"/>
  <c r="AR40" i="48"/>
  <c r="AS39" i="48"/>
  <c r="AT23" i="52"/>
  <c r="AT24" i="52" s="1"/>
  <c r="AT23" i="50"/>
  <c r="AT24" i="50" s="1"/>
  <c r="AR40" i="52"/>
  <c r="AS39" i="52"/>
  <c r="AS28" i="48"/>
  <c r="AS30" i="48" s="1"/>
  <c r="AR40" i="51"/>
  <c r="AS39" i="51"/>
  <c r="AS28" i="49"/>
  <c r="AT23" i="51"/>
  <c r="AT24" i="51" s="1"/>
  <c r="AS30" i="51"/>
  <c r="AS32" i="51" s="1"/>
  <c r="AS34" i="49"/>
  <c r="AS30" i="50"/>
  <c r="AS32" i="50" s="1"/>
  <c r="AR40" i="50"/>
  <c r="AS39" i="50"/>
  <c r="AS30" i="49" l="1"/>
  <c r="AT27" i="50"/>
  <c r="AT34" i="50" s="1"/>
  <c r="AT35" i="50"/>
  <c r="AS38" i="50"/>
  <c r="AS40" i="50" s="1"/>
  <c r="AS38" i="51"/>
  <c r="AS40" i="51" s="1"/>
  <c r="AT27" i="51"/>
  <c r="AT34" i="51" s="1"/>
  <c r="AT35" i="51"/>
  <c r="AT27" i="52"/>
  <c r="AT34" i="52" s="1"/>
  <c r="AT35" i="52"/>
  <c r="AR41" i="51"/>
  <c r="AR45" i="51"/>
  <c r="AR41" i="52"/>
  <c r="AR45" i="52"/>
  <c r="AR41" i="50"/>
  <c r="AR45" i="50"/>
  <c r="AT22" i="49"/>
  <c r="AT26" i="49" s="1"/>
  <c r="AS31" i="50"/>
  <c r="AS31" i="52"/>
  <c r="AS32" i="48"/>
  <c r="AS31" i="51"/>
  <c r="AS32" i="52"/>
  <c r="AR41" i="48"/>
  <c r="AR45" i="48"/>
  <c r="AT23" i="48"/>
  <c r="AT24" i="48" s="1"/>
  <c r="AS31" i="49" l="1"/>
  <c r="AS32" i="49"/>
  <c r="AS38" i="49" s="1"/>
  <c r="AS40" i="49" s="1"/>
  <c r="AR44" i="48"/>
  <c r="AR44" i="51"/>
  <c r="AR46" i="52"/>
  <c r="AR47" i="52" s="1"/>
  <c r="AR44" i="50"/>
  <c r="AR46" i="51"/>
  <c r="AR47" i="51" s="1"/>
  <c r="AR46" i="50"/>
  <c r="AR47" i="50" s="1"/>
  <c r="AT27" i="48"/>
  <c r="AT34" i="48" s="1"/>
  <c r="AT35" i="48"/>
  <c r="AS41" i="51"/>
  <c r="AU22" i="51"/>
  <c r="AU26" i="51" s="1"/>
  <c r="AS38" i="52"/>
  <c r="AU22" i="50"/>
  <c r="AT39" i="51"/>
  <c r="AT23" i="49"/>
  <c r="AT24" i="49" s="1"/>
  <c r="AT28" i="52"/>
  <c r="AT28" i="50"/>
  <c r="AT28" i="51"/>
  <c r="AR46" i="48"/>
  <c r="AR47" i="48" s="1"/>
  <c r="AT39" i="50"/>
  <c r="AS38" i="48"/>
  <c r="AR44" i="52"/>
  <c r="AS41" i="50"/>
  <c r="AU22" i="52"/>
  <c r="AU26" i="52" s="1"/>
  <c r="AS45" i="51" l="1"/>
  <c r="AS44" i="51" s="1"/>
  <c r="AS45" i="50"/>
  <c r="AS46" i="50" s="1"/>
  <c r="AS47" i="50" s="1"/>
  <c r="AT30" i="50"/>
  <c r="AT30" i="51"/>
  <c r="AS40" i="48"/>
  <c r="AS45" i="48" s="1"/>
  <c r="AT39" i="48"/>
  <c r="AU23" i="50"/>
  <c r="AU24" i="50" s="1"/>
  <c r="AU22" i="48"/>
  <c r="AU26" i="48" s="1"/>
  <c r="AU23" i="51"/>
  <c r="AU24" i="51" s="1"/>
  <c r="AT30" i="52"/>
  <c r="AT32" i="52" s="1"/>
  <c r="AT27" i="49"/>
  <c r="AT34" i="49" s="1"/>
  <c r="AT35" i="49"/>
  <c r="AT28" i="48"/>
  <c r="AT30" i="48" s="1"/>
  <c r="AS41" i="49"/>
  <c r="AS45" i="49"/>
  <c r="AU23" i="52"/>
  <c r="AU24" i="52" s="1"/>
  <c r="AU26" i="50"/>
  <c r="AS40" i="52"/>
  <c r="AT39" i="52"/>
  <c r="AS44" i="50" l="1"/>
  <c r="AS46" i="51"/>
  <c r="AS47" i="51" s="1"/>
  <c r="AS46" i="49"/>
  <c r="AS47" i="49" s="1"/>
  <c r="AS44" i="49"/>
  <c r="AU27" i="50"/>
  <c r="AU34" i="50" s="1"/>
  <c r="AU35" i="50"/>
  <c r="AU27" i="51"/>
  <c r="AU34" i="51" s="1"/>
  <c r="AU35" i="51"/>
  <c r="AU27" i="52"/>
  <c r="AU34" i="52" s="1"/>
  <c r="AU35" i="52"/>
  <c r="AT31" i="52"/>
  <c r="AT31" i="51"/>
  <c r="AU22" i="49"/>
  <c r="AU26" i="49" s="1"/>
  <c r="AS41" i="48"/>
  <c r="AS44" i="48" s="1"/>
  <c r="AT39" i="49"/>
  <c r="AT32" i="51"/>
  <c r="AT38" i="52"/>
  <c r="AT40" i="52" s="1"/>
  <c r="AT32" i="48"/>
  <c r="AS41" i="52"/>
  <c r="AS45" i="52"/>
  <c r="AT31" i="50"/>
  <c r="AU23" i="48"/>
  <c r="AU24" i="48" s="1"/>
  <c r="AT28" i="49"/>
  <c r="AT32" i="50"/>
  <c r="AT30" i="49" l="1"/>
  <c r="AS46" i="48"/>
  <c r="AS47" i="48" s="1"/>
  <c r="AU27" i="48"/>
  <c r="AU34" i="48" s="1"/>
  <c r="AU35" i="48"/>
  <c r="AT41" i="52"/>
  <c r="AU28" i="52"/>
  <c r="AV22" i="52"/>
  <c r="AT38" i="51"/>
  <c r="AV22" i="50"/>
  <c r="AV26" i="50" s="1"/>
  <c r="AU28" i="50"/>
  <c r="AV22" i="51"/>
  <c r="AV26" i="51" s="1"/>
  <c r="AU23" i="49"/>
  <c r="AU24" i="49" s="1"/>
  <c r="AT38" i="48"/>
  <c r="AU39" i="52"/>
  <c r="AU28" i="51"/>
  <c r="AS46" i="52"/>
  <c r="AS47" i="52" s="1"/>
  <c r="AS44" i="52"/>
  <c r="AT38" i="50"/>
  <c r="AT31" i="49" l="1"/>
  <c r="AT32" i="49"/>
  <c r="AT38" i="49" s="1"/>
  <c r="AT40" i="49" s="1"/>
  <c r="AT41" i="49" s="1"/>
  <c r="AV23" i="52"/>
  <c r="AV24" i="52" s="1"/>
  <c r="AT40" i="50"/>
  <c r="AU39" i="50"/>
  <c r="AV22" i="48"/>
  <c r="AT40" i="51"/>
  <c r="AU39" i="51"/>
  <c r="AU28" i="48"/>
  <c r="AU30" i="48" s="1"/>
  <c r="AU30" i="52"/>
  <c r="AU32" i="52" s="1"/>
  <c r="AV23" i="50"/>
  <c r="AV24" i="50" s="1"/>
  <c r="AT45" i="52"/>
  <c r="AT46" i="52" s="1"/>
  <c r="AT47" i="52" s="1"/>
  <c r="AU27" i="49"/>
  <c r="AU28" i="49" s="1"/>
  <c r="AU35" i="49"/>
  <c r="AV23" i="51"/>
  <c r="AV24" i="51" s="1"/>
  <c r="AV26" i="52"/>
  <c r="AU30" i="50"/>
  <c r="AU30" i="51"/>
  <c r="AT40" i="48"/>
  <c r="AU39" i="48"/>
  <c r="AT45" i="49" l="1"/>
  <c r="AU30" i="49"/>
  <c r="AU31" i="49" s="1"/>
  <c r="AV27" i="51"/>
  <c r="AV34" i="51" s="1"/>
  <c r="AV35" i="51"/>
  <c r="AU38" i="52"/>
  <c r="AV27" i="52"/>
  <c r="AV34" i="52" s="1"/>
  <c r="AV35" i="52"/>
  <c r="AU31" i="51"/>
  <c r="AV27" i="50"/>
  <c r="AV34" i="50" s="1"/>
  <c r="AV35" i="50"/>
  <c r="AU31" i="50"/>
  <c r="AV23" i="48"/>
  <c r="AV24" i="48" s="1"/>
  <c r="AU32" i="50"/>
  <c r="AT44" i="49"/>
  <c r="AT46" i="49"/>
  <c r="AT47" i="49" s="1"/>
  <c r="AU31" i="52"/>
  <c r="AU32" i="48"/>
  <c r="AT41" i="50"/>
  <c r="AT45" i="50"/>
  <c r="AT44" i="52"/>
  <c r="AT41" i="48"/>
  <c r="AT45" i="48"/>
  <c r="AU32" i="51"/>
  <c r="AT41" i="51"/>
  <c r="AT45" i="51"/>
  <c r="AV26" i="48"/>
  <c r="AU34" i="49"/>
  <c r="AU39" i="49"/>
  <c r="AU32" i="49" l="1"/>
  <c r="AU38" i="49" s="1"/>
  <c r="AU40" i="49" s="1"/>
  <c r="AU45" i="49" s="1"/>
  <c r="AT44" i="48"/>
  <c r="AV28" i="50"/>
  <c r="AV30" i="50" s="1"/>
  <c r="AV31" i="50" s="1"/>
  <c r="AT44" i="51"/>
  <c r="AV27" i="48"/>
  <c r="AV34" i="48" s="1"/>
  <c r="AV35" i="48"/>
  <c r="AT46" i="48"/>
  <c r="AT47" i="48" s="1"/>
  <c r="AU38" i="51"/>
  <c r="AU38" i="48"/>
  <c r="AW22" i="52"/>
  <c r="AU38" i="50"/>
  <c r="AT46" i="51"/>
  <c r="AT47" i="51" s="1"/>
  <c r="AT46" i="50"/>
  <c r="AT47" i="50" s="1"/>
  <c r="AW22" i="51"/>
  <c r="AW26" i="51" s="1"/>
  <c r="AU40" i="52"/>
  <c r="AV39" i="52"/>
  <c r="AT44" i="50"/>
  <c r="AV28" i="51"/>
  <c r="AV22" i="49"/>
  <c r="AV26" i="49" s="1"/>
  <c r="AV28" i="52"/>
  <c r="AW22" i="50"/>
  <c r="AW26" i="50" s="1"/>
  <c r="AV32" i="50" l="1"/>
  <c r="AV28" i="48"/>
  <c r="AV30" i="48" s="1"/>
  <c r="AV32" i="48" s="1"/>
  <c r="AV30" i="51"/>
  <c r="AU41" i="49"/>
  <c r="AU46" i="49" s="1"/>
  <c r="AU47" i="49" s="1"/>
  <c r="AU40" i="48"/>
  <c r="AV39" i="48"/>
  <c r="AU40" i="50"/>
  <c r="AU45" i="50" s="1"/>
  <c r="AV39" i="50"/>
  <c r="AU41" i="52"/>
  <c r="AU45" i="52"/>
  <c r="AU40" i="51"/>
  <c r="AV39" i="51"/>
  <c r="AW23" i="52"/>
  <c r="AW24" i="52" s="1"/>
  <c r="AW22" i="48"/>
  <c r="AW26" i="48" s="1"/>
  <c r="AW23" i="51"/>
  <c r="AW24" i="51" s="1"/>
  <c r="AV30" i="52"/>
  <c r="AW23" i="50"/>
  <c r="AW24" i="50" s="1"/>
  <c r="AW26" i="52"/>
  <c r="AV23" i="49"/>
  <c r="AV24" i="49" s="1"/>
  <c r="AU44" i="49" l="1"/>
  <c r="AW27" i="51"/>
  <c r="AW34" i="51" s="1"/>
  <c r="AW35" i="51"/>
  <c r="AW27" i="50"/>
  <c r="AW34" i="50" s="1"/>
  <c r="AW35" i="50"/>
  <c r="AW27" i="52"/>
  <c r="AW34" i="52" s="1"/>
  <c r="AW35" i="52"/>
  <c r="AU41" i="48"/>
  <c r="AU45" i="48"/>
  <c r="AV38" i="48"/>
  <c r="AV40" i="48" s="1"/>
  <c r="AV31" i="52"/>
  <c r="AV32" i="52"/>
  <c r="AV27" i="49"/>
  <c r="AV28" i="49" s="1"/>
  <c r="AV35" i="49"/>
  <c r="AU46" i="52"/>
  <c r="AU47" i="52" s="1"/>
  <c r="AW23" i="48"/>
  <c r="AW24" i="48" s="1"/>
  <c r="AU41" i="51"/>
  <c r="AU45" i="51"/>
  <c r="AV31" i="51"/>
  <c r="AU41" i="50"/>
  <c r="AU44" i="50" s="1"/>
  <c r="AU44" i="52"/>
  <c r="AV38" i="50"/>
  <c r="AV40" i="50" s="1"/>
  <c r="AV32" i="51"/>
  <c r="AV30" i="49" l="1"/>
  <c r="AW28" i="50"/>
  <c r="AW28" i="52"/>
  <c r="AU46" i="51"/>
  <c r="AU47" i="51" s="1"/>
  <c r="AU44" i="48"/>
  <c r="AU44" i="51"/>
  <c r="AU46" i="50"/>
  <c r="AU47" i="50" s="1"/>
  <c r="AW39" i="50"/>
  <c r="AW27" i="48"/>
  <c r="AW34" i="48" s="1"/>
  <c r="AW35" i="48"/>
  <c r="AX22" i="51"/>
  <c r="AX26" i="51" s="1"/>
  <c r="AW30" i="50"/>
  <c r="AW32" i="50" s="1"/>
  <c r="AW28" i="51"/>
  <c r="AV34" i="49"/>
  <c r="AV39" i="49"/>
  <c r="AW30" i="52"/>
  <c r="AW31" i="52" s="1"/>
  <c r="AV38" i="51"/>
  <c r="AU46" i="48"/>
  <c r="AU47" i="48" s="1"/>
  <c r="AV41" i="48"/>
  <c r="AX22" i="52"/>
  <c r="AX26" i="52" s="1"/>
  <c r="AV38" i="52"/>
  <c r="AX22" i="50"/>
  <c r="AX26" i="50" s="1"/>
  <c r="AV41" i="50"/>
  <c r="AV31" i="49" l="1"/>
  <c r="AV45" i="50"/>
  <c r="AV44" i="50" s="1"/>
  <c r="AV32" i="49"/>
  <c r="AV38" i="49" s="1"/>
  <c r="AV40" i="49" s="1"/>
  <c r="AW39" i="48"/>
  <c r="AW32" i="52"/>
  <c r="AW38" i="50"/>
  <c r="AW31" i="50"/>
  <c r="AX22" i="48"/>
  <c r="AX26" i="48" s="1"/>
  <c r="AV40" i="52"/>
  <c r="AW39" i="52"/>
  <c r="AX23" i="51"/>
  <c r="AX24" i="51" s="1"/>
  <c r="AW22" i="49"/>
  <c r="AW26" i="49" s="1"/>
  <c r="AX23" i="50"/>
  <c r="AX24" i="50" s="1"/>
  <c r="AX23" i="52"/>
  <c r="AX24" i="52" s="1"/>
  <c r="AV40" i="51"/>
  <c r="AW39" i="51"/>
  <c r="AV45" i="48"/>
  <c r="AV44" i="48" s="1"/>
  <c r="AW30" i="51"/>
  <c r="AW32" i="51" s="1"/>
  <c r="AW28" i="48"/>
  <c r="AW30" i="48" s="1"/>
  <c r="AW38" i="52" l="1"/>
  <c r="AW40" i="52" s="1"/>
  <c r="AW41" i="52" s="1"/>
  <c r="AV46" i="50"/>
  <c r="AV47" i="50" s="1"/>
  <c r="AV41" i="49"/>
  <c r="AV45" i="49"/>
  <c r="AX27" i="51"/>
  <c r="AX34" i="51" s="1"/>
  <c r="AX35" i="51"/>
  <c r="AX27" i="50"/>
  <c r="AX34" i="50" s="1"/>
  <c r="AX35" i="50"/>
  <c r="AV41" i="51"/>
  <c r="AV45" i="51"/>
  <c r="AX27" i="52"/>
  <c r="AX34" i="52" s="1"/>
  <c r="AX35" i="52"/>
  <c r="AW31" i="51"/>
  <c r="AW40" i="50"/>
  <c r="AV41" i="52"/>
  <c r="AV45" i="52"/>
  <c r="AX23" i="48"/>
  <c r="AX24" i="48" s="1"/>
  <c r="AW32" i="48"/>
  <c r="AW23" i="49"/>
  <c r="AW24" i="49" s="1"/>
  <c r="AV46" i="48"/>
  <c r="AV47" i="48" s="1"/>
  <c r="AW38" i="51"/>
  <c r="AW40" i="51" s="1"/>
  <c r="AX39" i="50" l="1"/>
  <c r="AV46" i="49"/>
  <c r="AV47" i="49" s="1"/>
  <c r="AV44" i="49"/>
  <c r="AV44" i="52"/>
  <c r="AX28" i="51"/>
  <c r="AX30" i="51" s="1"/>
  <c r="AX31" i="51" s="1"/>
  <c r="AV46" i="52"/>
  <c r="AV47" i="52" s="1"/>
  <c r="AX39" i="52"/>
  <c r="AW27" i="49"/>
  <c r="AW34" i="49" s="1"/>
  <c r="AW35" i="49"/>
  <c r="AV44" i="51"/>
  <c r="AW38" i="48"/>
  <c r="AX27" i="48"/>
  <c r="AX34" i="48" s="1"/>
  <c r="AX35" i="48"/>
  <c r="AW41" i="51"/>
  <c r="AX39" i="51"/>
  <c r="AW41" i="50"/>
  <c r="AW45" i="50"/>
  <c r="AX28" i="50"/>
  <c r="AX28" i="52"/>
  <c r="AY22" i="50"/>
  <c r="AY26" i="50" s="1"/>
  <c r="AV46" i="51"/>
  <c r="AV47" i="51" s="1"/>
  <c r="AY22" i="52"/>
  <c r="AY26" i="52" s="1"/>
  <c r="AY22" i="51"/>
  <c r="AY26" i="51" s="1"/>
  <c r="AX32" i="51" l="1"/>
  <c r="AX38" i="51" s="1"/>
  <c r="AX40" i="51" s="1"/>
  <c r="AW39" i="49"/>
  <c r="AW44" i="50"/>
  <c r="AX28" i="48"/>
  <c r="AX30" i="48" s="1"/>
  <c r="AW46" i="50"/>
  <c r="AW47" i="50" s="1"/>
  <c r="AW45" i="52"/>
  <c r="AW46" i="52" s="1"/>
  <c r="AW47" i="52" s="1"/>
  <c r="AY23" i="52"/>
  <c r="AY24" i="52" s="1"/>
  <c r="AX22" i="49"/>
  <c r="AX26" i="49" s="1"/>
  <c r="AY23" i="50"/>
  <c r="AY24" i="50" s="1"/>
  <c r="AW40" i="48"/>
  <c r="AX39" i="48"/>
  <c r="AW28" i="49"/>
  <c r="AX30" i="52"/>
  <c r="AW45" i="51"/>
  <c r="AW46" i="51" s="1"/>
  <c r="AW47" i="51" s="1"/>
  <c r="AY23" i="51"/>
  <c r="AY24" i="51" s="1"/>
  <c r="AX30" i="50"/>
  <c r="AY22" i="48"/>
  <c r="AY26" i="48" s="1"/>
  <c r="AX32" i="48" l="1"/>
  <c r="AW44" i="52"/>
  <c r="AW30" i="49"/>
  <c r="AY27" i="51"/>
  <c r="AY34" i="51" s="1"/>
  <c r="AY35" i="51"/>
  <c r="AY27" i="52"/>
  <c r="AY34" i="52" s="1"/>
  <c r="AY35" i="52"/>
  <c r="AY27" i="50"/>
  <c r="AY34" i="50" s="1"/>
  <c r="AY35" i="50"/>
  <c r="AX45" i="51"/>
  <c r="AW44" i="51"/>
  <c r="AX31" i="50"/>
  <c r="AX31" i="52"/>
  <c r="AX23" i="49"/>
  <c r="AX24" i="49" s="1"/>
  <c r="AY23" i="48"/>
  <c r="AY24" i="48" s="1"/>
  <c r="AW41" i="48"/>
  <c r="AW45" i="48"/>
  <c r="AX38" i="48"/>
  <c r="AX40" i="48" s="1"/>
  <c r="AX32" i="50"/>
  <c r="AX32" i="52"/>
  <c r="AX41" i="51"/>
  <c r="AY39" i="51" l="1"/>
  <c r="AW31" i="49"/>
  <c r="AW32" i="49"/>
  <c r="AW38" i="49" s="1"/>
  <c r="AW40" i="49" s="1"/>
  <c r="AY28" i="50"/>
  <c r="AY28" i="52"/>
  <c r="AY30" i="52" s="1"/>
  <c r="AW44" i="48"/>
  <c r="AW46" i="48"/>
  <c r="AW47" i="48" s="1"/>
  <c r="AZ22" i="50"/>
  <c r="AZ26" i="50" s="1"/>
  <c r="AX27" i="49"/>
  <c r="AX34" i="49" s="1"/>
  <c r="AX35" i="49"/>
  <c r="AY27" i="48"/>
  <c r="AY34" i="48" s="1"/>
  <c r="AY35" i="48"/>
  <c r="AZ22" i="52"/>
  <c r="AZ26" i="52" s="1"/>
  <c r="AX41" i="48"/>
  <c r="AY28" i="51"/>
  <c r="AX46" i="51"/>
  <c r="AX47" i="51" s="1"/>
  <c r="AX44" i="51"/>
  <c r="AY30" i="50"/>
  <c r="AY31" i="50" s="1"/>
  <c r="AX38" i="52"/>
  <c r="AZ22" i="51"/>
  <c r="AX38" i="50"/>
  <c r="AX28" i="49" l="1"/>
  <c r="AX45" i="48"/>
  <c r="AX44" i="48" s="1"/>
  <c r="AY28" i="48"/>
  <c r="AX39" i="49"/>
  <c r="AZ22" i="48"/>
  <c r="AY32" i="52"/>
  <c r="AX40" i="50"/>
  <c r="AY39" i="50"/>
  <c r="AY31" i="52"/>
  <c r="AW41" i="49"/>
  <c r="AW45" i="49"/>
  <c r="AY30" i="51"/>
  <c r="AY32" i="51" s="1"/>
  <c r="AZ23" i="51"/>
  <c r="AZ24" i="51" s="1"/>
  <c r="AZ26" i="51"/>
  <c r="AZ23" i="50"/>
  <c r="AZ24" i="50" s="1"/>
  <c r="AY39" i="48"/>
  <c r="AY22" i="49"/>
  <c r="AX40" i="52"/>
  <c r="AY39" i="52"/>
  <c r="AY32" i="50"/>
  <c r="AZ23" i="52"/>
  <c r="AZ24" i="52" s="1"/>
  <c r="AY30" i="48" l="1"/>
  <c r="AX30" i="49"/>
  <c r="AX32" i="49" s="1"/>
  <c r="AX38" i="49" s="1"/>
  <c r="AX40" i="49" s="1"/>
  <c r="AX46" i="48"/>
  <c r="AX47" i="48" s="1"/>
  <c r="AW46" i="49"/>
  <c r="AW47" i="49" s="1"/>
  <c r="AZ27" i="52"/>
  <c r="AZ34" i="52" s="1"/>
  <c r="AZ35" i="52"/>
  <c r="AY38" i="51"/>
  <c r="AZ27" i="50"/>
  <c r="AZ34" i="50" s="1"/>
  <c r="AZ35" i="50"/>
  <c r="AY23" i="49"/>
  <c r="AY24" i="49" s="1"/>
  <c r="AY31" i="51"/>
  <c r="AZ23" i="48"/>
  <c r="AZ24" i="48" s="1"/>
  <c r="AX41" i="50"/>
  <c r="AX45" i="50"/>
  <c r="AY38" i="52"/>
  <c r="AY40" i="52" s="1"/>
  <c r="AW44" i="49"/>
  <c r="AY26" i="49"/>
  <c r="AZ27" i="51"/>
  <c r="AZ34" i="51" s="1"/>
  <c r="AZ35" i="51"/>
  <c r="AY38" i="50"/>
  <c r="AY40" i="50" s="1"/>
  <c r="AX41" i="52"/>
  <c r="AX45" i="52"/>
  <c r="AZ26" i="48"/>
  <c r="AX46" i="52" l="1"/>
  <c r="AX47" i="52" s="1"/>
  <c r="AX45" i="49"/>
  <c r="AX41" i="49"/>
  <c r="AX46" i="49" s="1"/>
  <c r="AX47" i="49" s="1"/>
  <c r="AX46" i="50"/>
  <c r="AX47" i="50" s="1"/>
  <c r="AX31" i="49"/>
  <c r="AY32" i="48"/>
  <c r="AY38" i="48" s="1"/>
  <c r="AY40" i="48" s="1"/>
  <c r="AY41" i="48" s="1"/>
  <c r="AZ28" i="52"/>
  <c r="AX44" i="52"/>
  <c r="AX44" i="49"/>
  <c r="AZ27" i="48"/>
  <c r="AZ34" i="48" s="1"/>
  <c r="AZ35" i="48"/>
  <c r="AY27" i="49"/>
  <c r="AY34" i="49" s="1"/>
  <c r="AY35" i="49"/>
  <c r="AY41" i="50"/>
  <c r="BA22" i="50"/>
  <c r="BA22" i="51"/>
  <c r="AX44" i="50"/>
  <c r="AZ30" i="52"/>
  <c r="AZ28" i="50"/>
  <c r="BA22" i="52"/>
  <c r="BA26" i="52" s="1"/>
  <c r="AZ28" i="51"/>
  <c r="AZ39" i="50"/>
  <c r="AY40" i="51"/>
  <c r="AZ39" i="51"/>
  <c r="AZ39" i="52"/>
  <c r="AY41" i="52"/>
  <c r="AY45" i="52" l="1"/>
  <c r="AY46" i="52" s="1"/>
  <c r="AY47" i="52" s="1"/>
  <c r="AY45" i="48"/>
  <c r="AY45" i="50"/>
  <c r="AY46" i="50" s="1"/>
  <c r="AY47" i="50" s="1"/>
  <c r="AZ39" i="48"/>
  <c r="AY39" i="49"/>
  <c r="AZ28" i="48"/>
  <c r="AZ30" i="48" s="1"/>
  <c r="AY44" i="48"/>
  <c r="AY44" i="52"/>
  <c r="BA23" i="50"/>
  <c r="BA24" i="50" s="1"/>
  <c r="AZ30" i="51"/>
  <c r="AY46" i="48"/>
  <c r="AY47" i="48" s="1"/>
  <c r="AZ31" i="52"/>
  <c r="AY41" i="51"/>
  <c r="AY45" i="51"/>
  <c r="BA23" i="51"/>
  <c r="BA24" i="51" s="1"/>
  <c r="AZ30" i="50"/>
  <c r="AZ32" i="52"/>
  <c r="AZ22" i="49"/>
  <c r="AZ26" i="49" s="1"/>
  <c r="BA26" i="51"/>
  <c r="BA23" i="52"/>
  <c r="BA24" i="52" s="1"/>
  <c r="AY28" i="49"/>
  <c r="BA26" i="50"/>
  <c r="BA22" i="48"/>
  <c r="AY44" i="50" l="1"/>
  <c r="AY30" i="49"/>
  <c r="AZ32" i="48"/>
  <c r="AY46" i="51"/>
  <c r="AY47" i="51" s="1"/>
  <c r="BA27" i="51"/>
  <c r="BA34" i="51" s="1"/>
  <c r="BA35" i="51"/>
  <c r="BA27" i="50"/>
  <c r="BA34" i="50" s="1"/>
  <c r="BA35" i="50"/>
  <c r="BA27" i="52"/>
  <c r="BA34" i="52" s="1"/>
  <c r="BA35" i="52"/>
  <c r="AZ38" i="48"/>
  <c r="AZ23" i="49"/>
  <c r="AZ24" i="49" s="1"/>
  <c r="AZ31" i="50"/>
  <c r="AZ31" i="51"/>
  <c r="AZ32" i="50"/>
  <c r="BA23" i="48"/>
  <c r="BA24" i="48" s="1"/>
  <c r="AY44" i="51"/>
  <c r="BA26" i="48"/>
  <c r="AZ32" i="51"/>
  <c r="AZ38" i="52"/>
  <c r="AY31" i="49" l="1"/>
  <c r="AY32" i="49"/>
  <c r="AY38" i="49" s="1"/>
  <c r="BA28" i="50"/>
  <c r="BA28" i="52"/>
  <c r="BA30" i="52" s="1"/>
  <c r="BA32" i="52" s="1"/>
  <c r="BA27" i="48"/>
  <c r="BA34" i="48" s="1"/>
  <c r="BA35" i="48"/>
  <c r="BB22" i="52"/>
  <c r="BB26" i="52" s="1"/>
  <c r="BB22" i="50"/>
  <c r="BA28" i="51"/>
  <c r="AZ38" i="51"/>
  <c r="AZ40" i="52"/>
  <c r="BA39" i="52"/>
  <c r="BB22" i="51"/>
  <c r="BB26" i="51" s="1"/>
  <c r="AZ27" i="49"/>
  <c r="AZ34" i="49" s="1"/>
  <c r="AZ35" i="49"/>
  <c r="AZ38" i="50"/>
  <c r="BA30" i="50"/>
  <c r="BA32" i="50" s="1"/>
  <c r="AY40" i="49"/>
  <c r="AZ40" i="48"/>
  <c r="BA39" i="48" l="1"/>
  <c r="BA31" i="50"/>
  <c r="AZ28" i="49"/>
  <c r="BA22" i="49"/>
  <c r="BA26" i="49" s="1"/>
  <c r="BB23" i="50"/>
  <c r="BB24" i="50" s="1"/>
  <c r="BA30" i="51"/>
  <c r="BB23" i="51"/>
  <c r="BB24" i="51" s="1"/>
  <c r="BA31" i="52"/>
  <c r="AZ39" i="49"/>
  <c r="BB22" i="48"/>
  <c r="BB26" i="50"/>
  <c r="BA38" i="52"/>
  <c r="BA40" i="52" s="1"/>
  <c r="AY41" i="49"/>
  <c r="AY45" i="49"/>
  <c r="AZ41" i="52"/>
  <c r="AZ45" i="52"/>
  <c r="BB23" i="52"/>
  <c r="BB24" i="52" s="1"/>
  <c r="AZ40" i="51"/>
  <c r="BA39" i="51"/>
  <c r="BA28" i="48"/>
  <c r="BA30" i="48" s="1"/>
  <c r="AZ41" i="48"/>
  <c r="AZ45" i="48"/>
  <c r="AZ40" i="50"/>
  <c r="BA39" i="50"/>
  <c r="BA38" i="50" s="1"/>
  <c r="BA40" i="50" s="1"/>
  <c r="AZ30" i="49" l="1"/>
  <c r="AZ32" i="49" s="1"/>
  <c r="AZ38" i="49" s="1"/>
  <c r="AZ40" i="49" s="1"/>
  <c r="AZ41" i="49" s="1"/>
  <c r="AY46" i="49"/>
  <c r="AY47" i="49" s="1"/>
  <c r="AZ46" i="48"/>
  <c r="AZ47" i="48" s="1"/>
  <c r="AY44" i="49"/>
  <c r="AZ44" i="48"/>
  <c r="BB27" i="50"/>
  <c r="BB34" i="50" s="1"/>
  <c r="BB35" i="50"/>
  <c r="BA31" i="51"/>
  <c r="BA32" i="51"/>
  <c r="BB23" i="48"/>
  <c r="BB24" i="48" s="1"/>
  <c r="BA32" i="48"/>
  <c r="AZ41" i="51"/>
  <c r="AZ45" i="51"/>
  <c r="BA41" i="50"/>
  <c r="AZ44" i="52"/>
  <c r="BB27" i="51"/>
  <c r="BB34" i="51" s="1"/>
  <c r="BB35" i="51"/>
  <c r="BB27" i="52"/>
  <c r="BB34" i="52" s="1"/>
  <c r="BB35" i="52"/>
  <c r="BB26" i="48"/>
  <c r="BA41" i="52"/>
  <c r="AZ46" i="52"/>
  <c r="AZ47" i="52" s="1"/>
  <c r="BA23" i="49"/>
  <c r="BA24" i="49" s="1"/>
  <c r="AZ41" i="50"/>
  <c r="AZ45" i="50"/>
  <c r="AZ45" i="49" l="1"/>
  <c r="AZ31" i="49"/>
  <c r="AZ44" i="50"/>
  <c r="BB28" i="52"/>
  <c r="AZ46" i="50"/>
  <c r="AZ47" i="50" s="1"/>
  <c r="BB39" i="52"/>
  <c r="BB28" i="51"/>
  <c r="BB30" i="51" s="1"/>
  <c r="BB31" i="51" s="1"/>
  <c r="AZ44" i="51"/>
  <c r="BB27" i="48"/>
  <c r="BB34" i="48" s="1"/>
  <c r="BB35" i="48"/>
  <c r="BA27" i="49"/>
  <c r="BA28" i="49" s="1"/>
  <c r="BA35" i="49"/>
  <c r="BA38" i="51"/>
  <c r="AZ46" i="51"/>
  <c r="AZ47" i="51" s="1"/>
  <c r="BB28" i="50"/>
  <c r="AZ46" i="49"/>
  <c r="AZ47" i="49" s="1"/>
  <c r="BA45" i="52"/>
  <c r="BA46" i="52" s="1"/>
  <c r="BA47" i="52" s="1"/>
  <c r="BB30" i="52"/>
  <c r="AZ44" i="49"/>
  <c r="BC22" i="50"/>
  <c r="BC22" i="52"/>
  <c r="BA38" i="48"/>
  <c r="BC22" i="51"/>
  <c r="BB39" i="50"/>
  <c r="BA30" i="49" l="1"/>
  <c r="BA31" i="49" s="1"/>
  <c r="BB32" i="51"/>
  <c r="BA45" i="50"/>
  <c r="BA44" i="50" s="1"/>
  <c r="BB28" i="48"/>
  <c r="BB30" i="48" s="1"/>
  <c r="BB32" i="48" s="1"/>
  <c r="BA44" i="52"/>
  <c r="BC23" i="50"/>
  <c r="BC24" i="50" s="1"/>
  <c r="BB31" i="52"/>
  <c r="BA40" i="51"/>
  <c r="BB39" i="51"/>
  <c r="BC23" i="51"/>
  <c r="BC24" i="51" s="1"/>
  <c r="BC26" i="51"/>
  <c r="BC26" i="50"/>
  <c r="BA40" i="48"/>
  <c r="BB39" i="48"/>
  <c r="BB30" i="50"/>
  <c r="BB32" i="52"/>
  <c r="BA34" i="49"/>
  <c r="BA39" i="49"/>
  <c r="BC23" i="52"/>
  <c r="BC24" i="52" s="1"/>
  <c r="BC26" i="52"/>
  <c r="BC22" i="48"/>
  <c r="BC26" i="48" s="1"/>
  <c r="BB38" i="51" l="1"/>
  <c r="BB40" i="51" s="1"/>
  <c r="BB41" i="51" s="1"/>
  <c r="BA46" i="50"/>
  <c r="BA47" i="50" s="1"/>
  <c r="BA32" i="49"/>
  <c r="BA38" i="49" s="1"/>
  <c r="BA40" i="49" s="1"/>
  <c r="BC27" i="52"/>
  <c r="BC34" i="52" s="1"/>
  <c r="BC35" i="52"/>
  <c r="BC27" i="50"/>
  <c r="BC34" i="50" s="1"/>
  <c r="BC35" i="50"/>
  <c r="BC27" i="51"/>
  <c r="BC34" i="51" s="1"/>
  <c r="BC35" i="51"/>
  <c r="BA41" i="51"/>
  <c r="BA45" i="51"/>
  <c r="BB38" i="52"/>
  <c r="BB31" i="50"/>
  <c r="BB22" i="49"/>
  <c r="BB38" i="48"/>
  <c r="BB40" i="48" s="1"/>
  <c r="BB32" i="50"/>
  <c r="BA41" i="48"/>
  <c r="BA45" i="48"/>
  <c r="BC23" i="48"/>
  <c r="BC24" i="48" s="1"/>
  <c r="BC39" i="51" l="1"/>
  <c r="BA44" i="51"/>
  <c r="BC28" i="52"/>
  <c r="BC30" i="52" s="1"/>
  <c r="BC32" i="52" s="1"/>
  <c r="BC28" i="51"/>
  <c r="BC30" i="51" s="1"/>
  <c r="BA46" i="48"/>
  <c r="BA47" i="48" s="1"/>
  <c r="BA44" i="48"/>
  <c r="BC27" i="48"/>
  <c r="BC34" i="48" s="1"/>
  <c r="BC35" i="48"/>
  <c r="BD22" i="50"/>
  <c r="BC28" i="50"/>
  <c r="BB38" i="50"/>
  <c r="BB40" i="52"/>
  <c r="BC39" i="52"/>
  <c r="BA46" i="51"/>
  <c r="BA47" i="51" s="1"/>
  <c r="BB41" i="48"/>
  <c r="BB23" i="49"/>
  <c r="BB24" i="49" s="1"/>
  <c r="BD22" i="51"/>
  <c r="BD22" i="52"/>
  <c r="BC39" i="48"/>
  <c r="BB26" i="49"/>
  <c r="BA41" i="49"/>
  <c r="BA45" i="49"/>
  <c r="BA46" i="49" l="1"/>
  <c r="BA47" i="49" s="1"/>
  <c r="BC30" i="50"/>
  <c r="BC28" i="48"/>
  <c r="BC30" i="48" s="1"/>
  <c r="BB45" i="48"/>
  <c r="BB44" i="48" s="1"/>
  <c r="BA44" i="49"/>
  <c r="BB45" i="51"/>
  <c r="BB46" i="51" s="1"/>
  <c r="BB47" i="51" s="1"/>
  <c r="BC38" i="52"/>
  <c r="BC40" i="52" s="1"/>
  <c r="BB40" i="50"/>
  <c r="BC39" i="50"/>
  <c r="BD23" i="52"/>
  <c r="BD24" i="52" s="1"/>
  <c r="BC31" i="52"/>
  <c r="BD23" i="51"/>
  <c r="BD24" i="51" s="1"/>
  <c r="BD26" i="52"/>
  <c r="BD26" i="51"/>
  <c r="BB27" i="49"/>
  <c r="BB34" i="49" s="1"/>
  <c r="BB35" i="49"/>
  <c r="BD23" i="50"/>
  <c r="BD24" i="50" s="1"/>
  <c r="BD26" i="50"/>
  <c r="BC31" i="51"/>
  <c r="BB41" i="52"/>
  <c r="BB45" i="52"/>
  <c r="BC32" i="51"/>
  <c r="BD22" i="48"/>
  <c r="BD26" i="48" s="1"/>
  <c r="BC32" i="48" l="1"/>
  <c r="BC38" i="48" s="1"/>
  <c r="BB46" i="48"/>
  <c r="BB47" i="48" s="1"/>
  <c r="BB44" i="51"/>
  <c r="BC31" i="50"/>
  <c r="BC32" i="50"/>
  <c r="BC38" i="50" s="1"/>
  <c r="BC40" i="50" s="1"/>
  <c r="BC41" i="50" s="1"/>
  <c r="BB44" i="52"/>
  <c r="BB46" i="52"/>
  <c r="BB47" i="52" s="1"/>
  <c r="BB28" i="49"/>
  <c r="BB39" i="49"/>
  <c r="BD27" i="51"/>
  <c r="BD34" i="51" s="1"/>
  <c r="BD35" i="51"/>
  <c r="BD27" i="52"/>
  <c r="BD34" i="52" s="1"/>
  <c r="BD35" i="52"/>
  <c r="BB41" i="50"/>
  <c r="BB45" i="50"/>
  <c r="BD27" i="50"/>
  <c r="BD34" i="50" s="1"/>
  <c r="BD35" i="50"/>
  <c r="BC38" i="51"/>
  <c r="BD23" i="48"/>
  <c r="BD24" i="48" s="1"/>
  <c r="BC22" i="49"/>
  <c r="BC41" i="52"/>
  <c r="BB30" i="49" l="1"/>
  <c r="BC45" i="52"/>
  <c r="BD39" i="52"/>
  <c r="BD28" i="52"/>
  <c r="BD30" i="52" s="1"/>
  <c r="BB46" i="50"/>
  <c r="BB47" i="50" s="1"/>
  <c r="BD28" i="51"/>
  <c r="BD30" i="51" s="1"/>
  <c r="BD39" i="50"/>
  <c r="BD27" i="48"/>
  <c r="BD34" i="48" s="1"/>
  <c r="BD35" i="48"/>
  <c r="BC40" i="48"/>
  <c r="BC40" i="51"/>
  <c r="BD39" i="51"/>
  <c r="BE22" i="51"/>
  <c r="BC44" i="52"/>
  <c r="BC46" i="52"/>
  <c r="BC47" i="52" s="1"/>
  <c r="BC23" i="49"/>
  <c r="BC24" i="49" s="1"/>
  <c r="BD28" i="50"/>
  <c r="BB44" i="50"/>
  <c r="BE22" i="52"/>
  <c r="BE26" i="52" s="1"/>
  <c r="BE22" i="50"/>
  <c r="BC26" i="49"/>
  <c r="BB31" i="49" l="1"/>
  <c r="BD30" i="50"/>
  <c r="BD32" i="50" s="1"/>
  <c r="BD38" i="50" s="1"/>
  <c r="BB32" i="49"/>
  <c r="BB38" i="49" s="1"/>
  <c r="BB40" i="49" s="1"/>
  <c r="BD39" i="48"/>
  <c r="BC45" i="50"/>
  <c r="BC44" i="50" s="1"/>
  <c r="BD28" i="48"/>
  <c r="BD30" i="48" s="1"/>
  <c r="BC27" i="49"/>
  <c r="BC34" i="49" s="1"/>
  <c r="BC35" i="49"/>
  <c r="BC41" i="51"/>
  <c r="BC45" i="51"/>
  <c r="BE23" i="50"/>
  <c r="BE24" i="50" s="1"/>
  <c r="BC41" i="48"/>
  <c r="BC45" i="48"/>
  <c r="BD31" i="51"/>
  <c r="BE26" i="50"/>
  <c r="BD32" i="51"/>
  <c r="BE23" i="51"/>
  <c r="BE24" i="51" s="1"/>
  <c r="BE26" i="51"/>
  <c r="BE22" i="48"/>
  <c r="BD31" i="52"/>
  <c r="BD32" i="52"/>
  <c r="BE23" i="52"/>
  <c r="BE24" i="52" s="1"/>
  <c r="BC39" i="49" l="1"/>
  <c r="BC46" i="50"/>
  <c r="BC47" i="50" s="1"/>
  <c r="BB41" i="49"/>
  <c r="BB45" i="49"/>
  <c r="BD32" i="48"/>
  <c r="BD38" i="48" s="1"/>
  <c r="BD31" i="50"/>
  <c r="BC28" i="49"/>
  <c r="BC46" i="51"/>
  <c r="BC47" i="51" s="1"/>
  <c r="BC44" i="51"/>
  <c r="BC44" i="48"/>
  <c r="BC46" i="48"/>
  <c r="BC47" i="48" s="1"/>
  <c r="BE27" i="50"/>
  <c r="BE34" i="50" s="1"/>
  <c r="BE35" i="50"/>
  <c r="BE27" i="52"/>
  <c r="BE34" i="52" s="1"/>
  <c r="BE35" i="52"/>
  <c r="BE27" i="51"/>
  <c r="BE34" i="51" s="1"/>
  <c r="BE35" i="51"/>
  <c r="BD38" i="52"/>
  <c r="BE23" i="48"/>
  <c r="BE24" i="48" s="1"/>
  <c r="BD38" i="51"/>
  <c r="BD40" i="50"/>
  <c r="BE26" i="48"/>
  <c r="BD22" i="49"/>
  <c r="BC30" i="49" l="1"/>
  <c r="BE39" i="50"/>
  <c r="BB46" i="49"/>
  <c r="BB47" i="49" s="1"/>
  <c r="BB44" i="49"/>
  <c r="BE28" i="52"/>
  <c r="BE30" i="52" s="1"/>
  <c r="BE32" i="52" s="1"/>
  <c r="BE28" i="51"/>
  <c r="BE30" i="51" s="1"/>
  <c r="BF22" i="51"/>
  <c r="BE27" i="48"/>
  <c r="BE34" i="48" s="1"/>
  <c r="BE35" i="48"/>
  <c r="BD40" i="52"/>
  <c r="BE39" i="52"/>
  <c r="BD40" i="48"/>
  <c r="BF22" i="50"/>
  <c r="BD41" i="50"/>
  <c r="BD45" i="50"/>
  <c r="BD40" i="51"/>
  <c r="BE39" i="51"/>
  <c r="BD23" i="49"/>
  <c r="BD24" i="49" s="1"/>
  <c r="BF22" i="52"/>
  <c r="BF26" i="52" s="1"/>
  <c r="BD26" i="49"/>
  <c r="BE28" i="50"/>
  <c r="BE30" i="50" l="1"/>
  <c r="BC31" i="49"/>
  <c r="BC32" i="49"/>
  <c r="BD44" i="50"/>
  <c r="BE28" i="48"/>
  <c r="BE30" i="48" s="1"/>
  <c r="BD27" i="49"/>
  <c r="BD34" i="49" s="1"/>
  <c r="BD35" i="49"/>
  <c r="BE38" i="52"/>
  <c r="BE40" i="52" s="1"/>
  <c r="BD41" i="51"/>
  <c r="BD45" i="51"/>
  <c r="BD41" i="52"/>
  <c r="BD45" i="52"/>
  <c r="BD46" i="50"/>
  <c r="BD47" i="50" s="1"/>
  <c r="BF22" i="48"/>
  <c r="BF23" i="52"/>
  <c r="BF24" i="52" s="1"/>
  <c r="BF23" i="51"/>
  <c r="BF24" i="51" s="1"/>
  <c r="BE31" i="51"/>
  <c r="BE32" i="51"/>
  <c r="BF26" i="51"/>
  <c r="BF23" i="50"/>
  <c r="BF24" i="50" s="1"/>
  <c r="BF26" i="50"/>
  <c r="BE39" i="48"/>
  <c r="BD41" i="48"/>
  <c r="BD45" i="48"/>
  <c r="BE31" i="52"/>
  <c r="BC38" i="49" l="1"/>
  <c r="BC40" i="49" s="1"/>
  <c r="BE31" i="50"/>
  <c r="BE32" i="48"/>
  <c r="BE38" i="48" s="1"/>
  <c r="BE40" i="48" s="1"/>
  <c r="BE32" i="50"/>
  <c r="BE38" i="50" s="1"/>
  <c r="BE40" i="50" s="1"/>
  <c r="BD44" i="52"/>
  <c r="BD28" i="49"/>
  <c r="BD46" i="51"/>
  <c r="BD47" i="51" s="1"/>
  <c r="BD46" i="48"/>
  <c r="BD47" i="48" s="1"/>
  <c r="BD44" i="51"/>
  <c r="BD46" i="52"/>
  <c r="BD47" i="52" s="1"/>
  <c r="BD44" i="48"/>
  <c r="BF27" i="52"/>
  <c r="BF34" i="52" s="1"/>
  <c r="BF35" i="52"/>
  <c r="BF27" i="50"/>
  <c r="BF34" i="50" s="1"/>
  <c r="BF35" i="50"/>
  <c r="BF23" i="48"/>
  <c r="BF24" i="48" s="1"/>
  <c r="BF27" i="51"/>
  <c r="BF34" i="51" s="1"/>
  <c r="BF35" i="51"/>
  <c r="BE41" i="52"/>
  <c r="BF26" i="48"/>
  <c r="BE38" i="51"/>
  <c r="BE22" i="49"/>
  <c r="BD39" i="49" l="1"/>
  <c r="BD30" i="49"/>
  <c r="BE45" i="48"/>
  <c r="BC41" i="49"/>
  <c r="BC45" i="49"/>
  <c r="BF39" i="50"/>
  <c r="BF39" i="52"/>
  <c r="BF28" i="52"/>
  <c r="BF30" i="52" s="1"/>
  <c r="BF28" i="51"/>
  <c r="BF30" i="51" s="1"/>
  <c r="BF32" i="51" s="1"/>
  <c r="BE45" i="52"/>
  <c r="BE44" i="52" s="1"/>
  <c r="BF27" i="48"/>
  <c r="BF34" i="48" s="1"/>
  <c r="BF35" i="48"/>
  <c r="BE23" i="49"/>
  <c r="BE24" i="49" s="1"/>
  <c r="BG22" i="50"/>
  <c r="BG26" i="50" s="1"/>
  <c r="BF28" i="50"/>
  <c r="BG22" i="52"/>
  <c r="BG26" i="52" s="1"/>
  <c r="BE41" i="48"/>
  <c r="BE41" i="50"/>
  <c r="BE26" i="49"/>
  <c r="BE45" i="50"/>
  <c r="BE40" i="51"/>
  <c r="BF39" i="51"/>
  <c r="BG22" i="51"/>
  <c r="BC44" i="49" l="1"/>
  <c r="BD31" i="49"/>
  <c r="BF30" i="50"/>
  <c r="BF32" i="50" s="1"/>
  <c r="BF38" i="50" s="1"/>
  <c r="BD32" i="49"/>
  <c r="BD38" i="49" s="1"/>
  <c r="BD40" i="49" s="1"/>
  <c r="BD41" i="49" s="1"/>
  <c r="BC46" i="49"/>
  <c r="BE46" i="48"/>
  <c r="BE47" i="48" s="1"/>
  <c r="BE46" i="52"/>
  <c r="BE47" i="52" s="1"/>
  <c r="BF28" i="48"/>
  <c r="BF30" i="48" s="1"/>
  <c r="BF39" i="48"/>
  <c r="BE46" i="50"/>
  <c r="BE47" i="50" s="1"/>
  <c r="BE44" i="50"/>
  <c r="BF38" i="51"/>
  <c r="BF40" i="51" s="1"/>
  <c r="BE27" i="49"/>
  <c r="BE34" i="49" s="1"/>
  <c r="BE35" i="49"/>
  <c r="BG23" i="51"/>
  <c r="BG24" i="51" s="1"/>
  <c r="BF31" i="51"/>
  <c r="BE44" i="48"/>
  <c r="BG23" i="50"/>
  <c r="BG24" i="50" s="1"/>
  <c r="BF31" i="52"/>
  <c r="BF32" i="52"/>
  <c r="BG26" i="51"/>
  <c r="BE41" i="51"/>
  <c r="BE45" i="51"/>
  <c r="BG23" i="52"/>
  <c r="BG24" i="52" s="1"/>
  <c r="BG22" i="48"/>
  <c r="BE39" i="49" l="1"/>
  <c r="BC47" i="49"/>
  <c r="BD45" i="49"/>
  <c r="BF31" i="50"/>
  <c r="BF32" i="48"/>
  <c r="BF38" i="48" s="1"/>
  <c r="BE28" i="49"/>
  <c r="BE46" i="51"/>
  <c r="BE47" i="51" s="1"/>
  <c r="BG27" i="52"/>
  <c r="BG34" i="52" s="1"/>
  <c r="BG35" i="52"/>
  <c r="BG27" i="50"/>
  <c r="BG34" i="50" s="1"/>
  <c r="BG35" i="50"/>
  <c r="BG27" i="51"/>
  <c r="BG34" i="51" s="1"/>
  <c r="BG35" i="51"/>
  <c r="BF38" i="52"/>
  <c r="BF41" i="51"/>
  <c r="BG23" i="48"/>
  <c r="BG24" i="48" s="1"/>
  <c r="BF40" i="50"/>
  <c r="BG26" i="48"/>
  <c r="BF22" i="49"/>
  <c r="BE44" i="51"/>
  <c r="BF45" i="51" l="1"/>
  <c r="BD46" i="49"/>
  <c r="BD47" i="49" s="1"/>
  <c r="BD44" i="49"/>
  <c r="BE30" i="49"/>
  <c r="BF46" i="51"/>
  <c r="BF47" i="51" s="1"/>
  <c r="BG39" i="51"/>
  <c r="BG28" i="52"/>
  <c r="BG30" i="52" s="1"/>
  <c r="BG32" i="52" s="1"/>
  <c r="BG27" i="48"/>
  <c r="BG34" i="48" s="1"/>
  <c r="BG35" i="48"/>
  <c r="BF41" i="50"/>
  <c r="BF45" i="50"/>
  <c r="BG28" i="51"/>
  <c r="BG28" i="50"/>
  <c r="BH22" i="51"/>
  <c r="BF23" i="49"/>
  <c r="BF24" i="49" s="1"/>
  <c r="BH22" i="50"/>
  <c r="BF44" i="51"/>
  <c r="BF26" i="49"/>
  <c r="BF40" i="48"/>
  <c r="BH22" i="52"/>
  <c r="BH26" i="52" s="1"/>
  <c r="BF40" i="52"/>
  <c r="BG39" i="52"/>
  <c r="BG39" i="50"/>
  <c r="BG30" i="50" l="1"/>
  <c r="BG39" i="48"/>
  <c r="BE31" i="49"/>
  <c r="BE32" i="49"/>
  <c r="BE38" i="49" s="1"/>
  <c r="BE40" i="49" s="1"/>
  <c r="BF44" i="50"/>
  <c r="BF46" i="50"/>
  <c r="BF47" i="50" s="1"/>
  <c r="BH23" i="50"/>
  <c r="BH24" i="50" s="1"/>
  <c r="BH26" i="50"/>
  <c r="BF41" i="52"/>
  <c r="BF45" i="52"/>
  <c r="BG30" i="51"/>
  <c r="BF27" i="49"/>
  <c r="BF34" i="49" s="1"/>
  <c r="BF35" i="49"/>
  <c r="BH23" i="51"/>
  <c r="BH24" i="51" s="1"/>
  <c r="BH22" i="48"/>
  <c r="BH26" i="48" s="1"/>
  <c r="BG38" i="52"/>
  <c r="BG40" i="52" s="1"/>
  <c r="BH23" i="52"/>
  <c r="BH24" i="52" s="1"/>
  <c r="BF41" i="48"/>
  <c r="BF45" i="48"/>
  <c r="BH26" i="51"/>
  <c r="BG31" i="52"/>
  <c r="BG28" i="48"/>
  <c r="BG30" i="48" s="1"/>
  <c r="BE45" i="49" l="1"/>
  <c r="BE41" i="49"/>
  <c r="BG31" i="50"/>
  <c r="BG32" i="50"/>
  <c r="BG38" i="50" s="1"/>
  <c r="BG40" i="50" s="1"/>
  <c r="BG41" i="50" s="1"/>
  <c r="BF39" i="49"/>
  <c r="BF44" i="52"/>
  <c r="BF28" i="49"/>
  <c r="BF46" i="52"/>
  <c r="BF47" i="52" s="1"/>
  <c r="BF46" i="48"/>
  <c r="BF47" i="48" s="1"/>
  <c r="BF44" i="48"/>
  <c r="BH27" i="51"/>
  <c r="BH34" i="51" s="1"/>
  <c r="BH35" i="51"/>
  <c r="BH27" i="52"/>
  <c r="BH34" i="52" s="1"/>
  <c r="BH35" i="52"/>
  <c r="BH27" i="50"/>
  <c r="BH34" i="50" s="1"/>
  <c r="BH35" i="50"/>
  <c r="BG41" i="52"/>
  <c r="BG32" i="48"/>
  <c r="BH23" i="48"/>
  <c r="BH24" i="48" s="1"/>
  <c r="BG22" i="49"/>
  <c r="BG31" i="51"/>
  <c r="BG32" i="51"/>
  <c r="BE44" i="49" l="1"/>
  <c r="BG45" i="50"/>
  <c r="BG44" i="50" s="1"/>
  <c r="BE46" i="49"/>
  <c r="BE47" i="49" s="1"/>
  <c r="BF30" i="49"/>
  <c r="BG45" i="52"/>
  <c r="BG46" i="52" s="1"/>
  <c r="BG47" i="52" s="1"/>
  <c r="BH39" i="50"/>
  <c r="BH28" i="50"/>
  <c r="BH28" i="52"/>
  <c r="BH30" i="52" s="1"/>
  <c r="BH27" i="48"/>
  <c r="BH34" i="48" s="1"/>
  <c r="BH35" i="48"/>
  <c r="BI22" i="51"/>
  <c r="BG46" i="50"/>
  <c r="BI22" i="52"/>
  <c r="BH28" i="51"/>
  <c r="BG38" i="51"/>
  <c r="BH39" i="52"/>
  <c r="BI22" i="50"/>
  <c r="BG38" i="48"/>
  <c r="BG23" i="49"/>
  <c r="BG24" i="49" s="1"/>
  <c r="BG26" i="49"/>
  <c r="BG44" i="52" l="1"/>
  <c r="BH30" i="50"/>
  <c r="BF31" i="49"/>
  <c r="BF32" i="49"/>
  <c r="BF38" i="49" s="1"/>
  <c r="BF40" i="49" s="1"/>
  <c r="BG27" i="49"/>
  <c r="BG34" i="49" s="1"/>
  <c r="BG35" i="49"/>
  <c r="BI23" i="50"/>
  <c r="BI24" i="50" s="1"/>
  <c r="BI26" i="50"/>
  <c r="BG47" i="50"/>
  <c r="BI23" i="51"/>
  <c r="BI24" i="51" s="1"/>
  <c r="BH31" i="52"/>
  <c r="BI26" i="51"/>
  <c r="BH30" i="51"/>
  <c r="BI23" i="52"/>
  <c r="BI24" i="52" s="1"/>
  <c r="BI26" i="52"/>
  <c r="BI22" i="48"/>
  <c r="BI26" i="48" s="1"/>
  <c r="BG40" i="51"/>
  <c r="BH39" i="51"/>
  <c r="BG40" i="48"/>
  <c r="BH39" i="48"/>
  <c r="BH32" i="52"/>
  <c r="BH28" i="48"/>
  <c r="BH30" i="48" s="1"/>
  <c r="BG39" i="49" l="1"/>
  <c r="BF45" i="49"/>
  <c r="BF41" i="49"/>
  <c r="BH31" i="50"/>
  <c r="BH32" i="50"/>
  <c r="BH38" i="50" s="1"/>
  <c r="BH40" i="50" s="1"/>
  <c r="BG28" i="49"/>
  <c r="BI27" i="52"/>
  <c r="BI34" i="52" s="1"/>
  <c r="BI35" i="52"/>
  <c r="BI27" i="51"/>
  <c r="BI34" i="51" s="1"/>
  <c r="BI35" i="51"/>
  <c r="BH38" i="52"/>
  <c r="BG41" i="48"/>
  <c r="BG45" i="48"/>
  <c r="BG41" i="51"/>
  <c r="BG45" i="51"/>
  <c r="BI27" i="50"/>
  <c r="BI34" i="50" s="1"/>
  <c r="BI35" i="50"/>
  <c r="BH31" i="51"/>
  <c r="BI23" i="48"/>
  <c r="BI24" i="48" s="1"/>
  <c r="BH32" i="48"/>
  <c r="BH32" i="51"/>
  <c r="BH22" i="49"/>
  <c r="BH26" i="49" s="1"/>
  <c r="BF46" i="49" l="1"/>
  <c r="BF47" i="49" s="1"/>
  <c r="BF44" i="49"/>
  <c r="BG30" i="49"/>
  <c r="BG32" i="49" s="1"/>
  <c r="BG38" i="49" s="1"/>
  <c r="BG40" i="49" s="1"/>
  <c r="BH45" i="50"/>
  <c r="BH41" i="50"/>
  <c r="BG46" i="51"/>
  <c r="BG47" i="51" s="1"/>
  <c r="BI28" i="52"/>
  <c r="BI30" i="52" s="1"/>
  <c r="BG44" i="51"/>
  <c r="BI27" i="48"/>
  <c r="BI34" i="48" s="1"/>
  <c r="BI35" i="48"/>
  <c r="BI28" i="50"/>
  <c r="BJ22" i="50"/>
  <c r="BH38" i="48"/>
  <c r="BH40" i="52"/>
  <c r="BI39" i="52"/>
  <c r="BG46" i="48"/>
  <c r="BG47" i="48" s="1"/>
  <c r="BJ22" i="52"/>
  <c r="BH38" i="51"/>
  <c r="BG44" i="48"/>
  <c r="BJ22" i="51"/>
  <c r="BI28" i="51"/>
  <c r="BH23" i="49"/>
  <c r="BH24" i="49" s="1"/>
  <c r="BI39" i="50"/>
  <c r="BH44" i="50" l="1"/>
  <c r="BG45" i="49"/>
  <c r="BG41" i="49"/>
  <c r="BI30" i="50"/>
  <c r="BI32" i="50" s="1"/>
  <c r="BI38" i="50" s="1"/>
  <c r="BI40" i="50" s="1"/>
  <c r="BH46" i="50"/>
  <c r="BH47" i="50" s="1"/>
  <c r="BG31" i="49"/>
  <c r="BH41" i="52"/>
  <c r="BH45" i="52"/>
  <c r="BH27" i="49"/>
  <c r="BH34" i="49" s="1"/>
  <c r="BH35" i="49"/>
  <c r="BJ23" i="50"/>
  <c r="BJ24" i="50" s="1"/>
  <c r="BJ22" i="48"/>
  <c r="BJ23" i="52"/>
  <c r="BJ24" i="52" s="1"/>
  <c r="BI28" i="48"/>
  <c r="BI30" i="48" s="1"/>
  <c r="BJ26" i="50"/>
  <c r="BJ23" i="51"/>
  <c r="BJ24" i="51" s="1"/>
  <c r="BG44" i="49"/>
  <c r="BH40" i="48"/>
  <c r="BI39" i="48"/>
  <c r="BJ26" i="52"/>
  <c r="BJ26" i="51"/>
  <c r="BH40" i="51"/>
  <c r="BI39" i="51"/>
  <c r="BI30" i="51"/>
  <c r="BI32" i="51" s="1"/>
  <c r="BI31" i="52"/>
  <c r="BI32" i="52"/>
  <c r="BG46" i="49" l="1"/>
  <c r="BG47" i="49" s="1"/>
  <c r="BH44" i="52"/>
  <c r="BH46" i="52"/>
  <c r="BH47" i="52" s="1"/>
  <c r="BI31" i="50"/>
  <c r="BJ27" i="51"/>
  <c r="BJ34" i="51" s="1"/>
  <c r="BJ35" i="51"/>
  <c r="BJ27" i="50"/>
  <c r="BJ34" i="50" s="1"/>
  <c r="BJ35" i="50"/>
  <c r="BJ27" i="52"/>
  <c r="BJ34" i="52" s="1"/>
  <c r="BJ35" i="52"/>
  <c r="BI38" i="51"/>
  <c r="BI40" i="51" s="1"/>
  <c r="BI41" i="50"/>
  <c r="BI45" i="50"/>
  <c r="BH41" i="48"/>
  <c r="BH45" i="48"/>
  <c r="BI22" i="49"/>
  <c r="BI26" i="49" s="1"/>
  <c r="BJ23" i="48"/>
  <c r="BJ24" i="48" s="1"/>
  <c r="BH39" i="49"/>
  <c r="BJ26" i="48"/>
  <c r="BH28" i="49"/>
  <c r="BI38" i="52"/>
  <c r="BI31" i="51"/>
  <c r="BI32" i="48"/>
  <c r="BH41" i="51"/>
  <c r="BH45" i="51"/>
  <c r="BH44" i="51" l="1"/>
  <c r="BI46" i="50"/>
  <c r="BI47" i="50" s="1"/>
  <c r="BH46" i="51"/>
  <c r="BH47" i="51" s="1"/>
  <c r="BJ39" i="51"/>
  <c r="BH30" i="49"/>
  <c r="BJ39" i="50"/>
  <c r="BI44" i="50"/>
  <c r="BJ28" i="50"/>
  <c r="BJ28" i="51"/>
  <c r="BJ30" i="51" s="1"/>
  <c r="BJ31" i="51" s="1"/>
  <c r="BJ27" i="48"/>
  <c r="BJ34" i="48" s="1"/>
  <c r="BJ35" i="48"/>
  <c r="BI40" i="52"/>
  <c r="BJ39" i="52"/>
  <c r="BJ28" i="52"/>
  <c r="BH46" i="48"/>
  <c r="BH47" i="48" s="1"/>
  <c r="BK22" i="52"/>
  <c r="BK26" i="52" s="1"/>
  <c r="BH44" i="48"/>
  <c r="BI45" i="51"/>
  <c r="BK22" i="51"/>
  <c r="BK26" i="51" s="1"/>
  <c r="BK22" i="50"/>
  <c r="BI38" i="48"/>
  <c r="BI23" i="49"/>
  <c r="BI24" i="49" s="1"/>
  <c r="BI41" i="51"/>
  <c r="BH31" i="49" l="1"/>
  <c r="BJ30" i="50"/>
  <c r="BH32" i="49"/>
  <c r="BH38" i="49" s="1"/>
  <c r="BH40" i="49" s="1"/>
  <c r="BH41" i="49" s="1"/>
  <c r="BJ32" i="51"/>
  <c r="BJ38" i="51" s="1"/>
  <c r="BI27" i="49"/>
  <c r="BI34" i="49" s="1"/>
  <c r="BI35" i="49"/>
  <c r="BJ30" i="52"/>
  <c r="BK23" i="52"/>
  <c r="BK24" i="52" s="1"/>
  <c r="BK23" i="50"/>
  <c r="BK24" i="50" s="1"/>
  <c r="BK26" i="50"/>
  <c r="BI40" i="48"/>
  <c r="BJ39" i="48"/>
  <c r="BK23" i="51"/>
  <c r="BK24" i="51" s="1"/>
  <c r="BK22" i="48"/>
  <c r="BK26" i="48" s="1"/>
  <c r="BJ28" i="48"/>
  <c r="BJ30" i="48" s="1"/>
  <c r="BI46" i="51"/>
  <c r="BI47" i="51" s="1"/>
  <c r="BI44" i="51"/>
  <c r="BI41" i="52"/>
  <c r="BI45" i="52"/>
  <c r="BI39" i="49" l="1"/>
  <c r="BH45" i="49"/>
  <c r="BH46" i="49" s="1"/>
  <c r="BH47" i="49" s="1"/>
  <c r="BJ31" i="50"/>
  <c r="BJ32" i="50"/>
  <c r="BJ38" i="50" s="1"/>
  <c r="BJ40" i="50" s="1"/>
  <c r="BI44" i="52"/>
  <c r="BI46" i="52"/>
  <c r="BI47" i="52" s="1"/>
  <c r="BK27" i="50"/>
  <c r="BK34" i="50" s="1"/>
  <c r="BK35" i="50"/>
  <c r="BK27" i="51"/>
  <c r="BK34" i="51" s="1"/>
  <c r="BK35" i="51"/>
  <c r="BK27" i="52"/>
  <c r="BK34" i="52" s="1"/>
  <c r="BK35" i="52"/>
  <c r="BJ40" i="51"/>
  <c r="BK23" i="48"/>
  <c r="BK24" i="48" s="1"/>
  <c r="BJ31" i="52"/>
  <c r="BI41" i="48"/>
  <c r="BI45" i="48"/>
  <c r="BJ32" i="48"/>
  <c r="BJ32" i="52"/>
  <c r="BJ22" i="49"/>
  <c r="BI28" i="49"/>
  <c r="BH44" i="49" l="1"/>
  <c r="BJ41" i="50"/>
  <c r="BJ45" i="50"/>
  <c r="BI30" i="49"/>
  <c r="BK28" i="50"/>
  <c r="BK39" i="50"/>
  <c r="BK28" i="51"/>
  <c r="BK30" i="51" s="1"/>
  <c r="BK32" i="51" s="1"/>
  <c r="BJ41" i="51"/>
  <c r="BL22" i="52"/>
  <c r="BL26" i="52" s="1"/>
  <c r="BJ38" i="48"/>
  <c r="BL22" i="51"/>
  <c r="BL26" i="51" s="1"/>
  <c r="BK27" i="48"/>
  <c r="BK34" i="48" s="1"/>
  <c r="BK35" i="48"/>
  <c r="BJ45" i="51"/>
  <c r="BJ38" i="52"/>
  <c r="BK28" i="52"/>
  <c r="BJ23" i="49"/>
  <c r="BJ24" i="49" s="1"/>
  <c r="BI44" i="48"/>
  <c r="BI46" i="48"/>
  <c r="BI47" i="48" s="1"/>
  <c r="BJ26" i="49"/>
  <c r="BK39" i="51"/>
  <c r="BL22" i="50"/>
  <c r="BL26" i="50" s="1"/>
  <c r="BJ44" i="50" l="1"/>
  <c r="BJ46" i="51"/>
  <c r="BJ47" i="51" s="1"/>
  <c r="BK30" i="50"/>
  <c r="BI31" i="49"/>
  <c r="BI32" i="49"/>
  <c r="BI38" i="49" s="1"/>
  <c r="BI40" i="49" s="1"/>
  <c r="BJ46" i="50"/>
  <c r="BJ47" i="50" s="1"/>
  <c r="BJ27" i="49"/>
  <c r="BJ34" i="49" s="1"/>
  <c r="BJ35" i="49"/>
  <c r="BK30" i="52"/>
  <c r="BJ40" i="52"/>
  <c r="BK39" i="52"/>
  <c r="BL23" i="52"/>
  <c r="BL24" i="52" s="1"/>
  <c r="BK38" i="51"/>
  <c r="BK40" i="51" s="1"/>
  <c r="BJ40" i="48"/>
  <c r="BK39" i="48"/>
  <c r="BL22" i="48"/>
  <c r="BL26" i="48" s="1"/>
  <c r="BL23" i="50"/>
  <c r="BL24" i="50" s="1"/>
  <c r="BJ44" i="51"/>
  <c r="BK28" i="48"/>
  <c r="BK30" i="48" s="1"/>
  <c r="BL23" i="51"/>
  <c r="BL24" i="51" s="1"/>
  <c r="BK31" i="51"/>
  <c r="BK45" i="51" l="1"/>
  <c r="BJ39" i="49"/>
  <c r="BK31" i="50"/>
  <c r="BK32" i="50"/>
  <c r="BK38" i="50" s="1"/>
  <c r="BK40" i="50" s="1"/>
  <c r="BK41" i="50" s="1"/>
  <c r="BL27" i="51"/>
  <c r="BL34" i="51" s="1"/>
  <c r="BL35" i="51"/>
  <c r="BL27" i="50"/>
  <c r="BL34" i="50" s="1"/>
  <c r="BL35" i="50"/>
  <c r="BL27" i="52"/>
  <c r="BL34" i="52" s="1"/>
  <c r="BL35" i="52"/>
  <c r="BJ41" i="48"/>
  <c r="BJ45" i="48"/>
  <c r="BK31" i="52"/>
  <c r="BJ41" i="52"/>
  <c r="BJ45" i="52"/>
  <c r="BK32" i="52"/>
  <c r="BK22" i="49"/>
  <c r="BK26" i="49" s="1"/>
  <c r="BK41" i="51"/>
  <c r="BI41" i="49"/>
  <c r="BI45" i="49"/>
  <c r="BK32" i="48"/>
  <c r="BL23" i="48"/>
  <c r="BL24" i="48" s="1"/>
  <c r="BJ28" i="49"/>
  <c r="BK46" i="51" l="1"/>
  <c r="BK47" i="51" s="1"/>
  <c r="BK45" i="50"/>
  <c r="BK44" i="50" s="1"/>
  <c r="BJ30" i="49"/>
  <c r="BJ32" i="49" s="1"/>
  <c r="BJ38" i="49" s="1"/>
  <c r="BL39" i="50"/>
  <c r="BJ44" i="52"/>
  <c r="BJ46" i="48"/>
  <c r="BJ47" i="48" s="1"/>
  <c r="BJ46" i="52"/>
  <c r="BJ47" i="52" s="1"/>
  <c r="BI44" i="49"/>
  <c r="BL27" i="48"/>
  <c r="BL34" i="48" s="1"/>
  <c r="BL35" i="48"/>
  <c r="BM22" i="52"/>
  <c r="BM26" i="52" s="1"/>
  <c r="BL28" i="52"/>
  <c r="BM22" i="51"/>
  <c r="BM22" i="50"/>
  <c r="BK44" i="51"/>
  <c r="BK23" i="49"/>
  <c r="BK24" i="49" s="1"/>
  <c r="BK38" i="48"/>
  <c r="BL28" i="51"/>
  <c r="BK38" i="52"/>
  <c r="BL28" i="50"/>
  <c r="BI46" i="49"/>
  <c r="BI47" i="49" s="1"/>
  <c r="BL39" i="51"/>
  <c r="BJ44" i="48"/>
  <c r="BK46" i="50" l="1"/>
  <c r="BK47" i="50" s="1"/>
  <c r="BL30" i="50"/>
  <c r="BJ31" i="49"/>
  <c r="BK40" i="52"/>
  <c r="BL39" i="52"/>
  <c r="BM23" i="51"/>
  <c r="BM24" i="51" s="1"/>
  <c r="BL30" i="51"/>
  <c r="BM22" i="48"/>
  <c r="BM26" i="48" s="1"/>
  <c r="BL30" i="52"/>
  <c r="BM23" i="52"/>
  <c r="BM24" i="52" s="1"/>
  <c r="BL28" i="48"/>
  <c r="BL30" i="48" s="1"/>
  <c r="BK40" i="48"/>
  <c r="BL39" i="48"/>
  <c r="BJ40" i="49"/>
  <c r="BM23" i="50"/>
  <c r="BM24" i="50" s="1"/>
  <c r="BM26" i="51"/>
  <c r="BK27" i="49"/>
  <c r="BK34" i="49" s="1"/>
  <c r="BK35" i="49"/>
  <c r="BM26" i="50"/>
  <c r="BL31" i="50" l="1"/>
  <c r="BL32" i="50"/>
  <c r="BL38" i="50" s="1"/>
  <c r="BL40" i="50" s="1"/>
  <c r="BK28" i="49"/>
  <c r="BM27" i="52"/>
  <c r="BM34" i="52" s="1"/>
  <c r="BM35" i="52"/>
  <c r="BM27" i="50"/>
  <c r="BM34" i="50" s="1"/>
  <c r="BM35" i="50"/>
  <c r="BM27" i="51"/>
  <c r="BM34" i="51" s="1"/>
  <c r="BM35" i="51"/>
  <c r="BL31" i="52"/>
  <c r="BL22" i="49"/>
  <c r="BL26" i="49" s="1"/>
  <c r="BK41" i="48"/>
  <c r="BK45" i="48"/>
  <c r="BL32" i="52"/>
  <c r="BL31" i="51"/>
  <c r="BL32" i="48"/>
  <c r="BJ41" i="49"/>
  <c r="BJ45" i="49"/>
  <c r="BM23" i="48"/>
  <c r="BM24" i="48" s="1"/>
  <c r="BL32" i="51"/>
  <c r="BK39" i="49"/>
  <c r="BK41" i="52"/>
  <c r="BK45" i="52"/>
  <c r="BK46" i="52" l="1"/>
  <c r="BK47" i="52" s="1"/>
  <c r="BK44" i="52"/>
  <c r="BK30" i="49"/>
  <c r="BK32" i="49" s="1"/>
  <c r="BK38" i="49" s="1"/>
  <c r="BK40" i="49" s="1"/>
  <c r="BK44" i="48"/>
  <c r="BM39" i="50"/>
  <c r="BM27" i="48"/>
  <c r="BM34" i="48" s="1"/>
  <c r="BM35" i="48"/>
  <c r="BM28" i="51"/>
  <c r="BL38" i="52"/>
  <c r="BL38" i="51"/>
  <c r="BN22" i="51"/>
  <c r="BL41" i="50"/>
  <c r="BL45" i="50"/>
  <c r="BN22" i="50"/>
  <c r="BN22" i="52"/>
  <c r="BN26" i="52" s="1"/>
  <c r="BM28" i="50"/>
  <c r="BM28" i="52"/>
  <c r="BJ46" i="49"/>
  <c r="BJ47" i="49" s="1"/>
  <c r="BJ44" i="49"/>
  <c r="BK46" i="48"/>
  <c r="BK47" i="48" s="1"/>
  <c r="BL38" i="48"/>
  <c r="BL23" i="49"/>
  <c r="BL24" i="49" s="1"/>
  <c r="BM30" i="50" l="1"/>
  <c r="BK31" i="49"/>
  <c r="BL46" i="50"/>
  <c r="BL47" i="50" s="1"/>
  <c r="BK45" i="49"/>
  <c r="BL44" i="50"/>
  <c r="BL27" i="49"/>
  <c r="BL34" i="49" s="1"/>
  <c r="BL35" i="49"/>
  <c r="BN23" i="50"/>
  <c r="BN24" i="50" s="1"/>
  <c r="BN23" i="52"/>
  <c r="BN24" i="52" s="1"/>
  <c r="BL40" i="48"/>
  <c r="BL45" i="48" s="1"/>
  <c r="BM39" i="48"/>
  <c r="BM30" i="51"/>
  <c r="BM28" i="48"/>
  <c r="BM30" i="48" s="1"/>
  <c r="BK41" i="49"/>
  <c r="BL40" i="52"/>
  <c r="BM39" i="52"/>
  <c r="BN26" i="50"/>
  <c r="BM30" i="52"/>
  <c r="BN23" i="51"/>
  <c r="BN24" i="51" s="1"/>
  <c r="BL40" i="51"/>
  <c r="BM39" i="51"/>
  <c r="BN22" i="48"/>
  <c r="BN26" i="51"/>
  <c r="BK46" i="49" l="1"/>
  <c r="BM31" i="50"/>
  <c r="BL39" i="49"/>
  <c r="BM32" i="50"/>
  <c r="BM38" i="50" s="1"/>
  <c r="BM40" i="50" s="1"/>
  <c r="BL28" i="49"/>
  <c r="BN27" i="52"/>
  <c r="BN34" i="52" s="1"/>
  <c r="BN35" i="52"/>
  <c r="BN27" i="51"/>
  <c r="BN34" i="51" s="1"/>
  <c r="BN35" i="51"/>
  <c r="BK47" i="49"/>
  <c r="BN27" i="50"/>
  <c r="BN34" i="50" s="1"/>
  <c r="BN35" i="50"/>
  <c r="BN23" i="48"/>
  <c r="BN24" i="48" s="1"/>
  <c r="BM32" i="48"/>
  <c r="BM31" i="52"/>
  <c r="BL41" i="51"/>
  <c r="BL45" i="51"/>
  <c r="BM31" i="51"/>
  <c r="BM32" i="51"/>
  <c r="BM32" i="52"/>
  <c r="BK44" i="49"/>
  <c r="BL41" i="48"/>
  <c r="BL46" i="48" s="1"/>
  <c r="BL47" i="48" s="1"/>
  <c r="BM22" i="49"/>
  <c r="BM26" i="49" s="1"/>
  <c r="BL41" i="52"/>
  <c r="BL45" i="52"/>
  <c r="BN26" i="48"/>
  <c r="BL30" i="49" l="1"/>
  <c r="BL32" i="49" s="1"/>
  <c r="BL38" i="49" s="1"/>
  <c r="BL40" i="49" s="1"/>
  <c r="BL44" i="51"/>
  <c r="BN28" i="51"/>
  <c r="BN30" i="51" s="1"/>
  <c r="BN31" i="51" s="1"/>
  <c r="BL44" i="48"/>
  <c r="BL46" i="51"/>
  <c r="BL47" i="51" s="1"/>
  <c r="BN39" i="50"/>
  <c r="BL44" i="52"/>
  <c r="BL46" i="52"/>
  <c r="BL47" i="52" s="1"/>
  <c r="BM38" i="52"/>
  <c r="BM41" i="50"/>
  <c r="BM45" i="50"/>
  <c r="BM38" i="48"/>
  <c r="BO22" i="52"/>
  <c r="BO26" i="52" s="1"/>
  <c r="BN27" i="48"/>
  <c r="BN34" i="48" s="1"/>
  <c r="BN35" i="48"/>
  <c r="BN28" i="52"/>
  <c r="BM38" i="51"/>
  <c r="BM23" i="49"/>
  <c r="BM24" i="49" s="1"/>
  <c r="BN28" i="50"/>
  <c r="BN30" i="50" s="1"/>
  <c r="BN31" i="50" s="1"/>
  <c r="BL41" i="49" l="1"/>
  <c r="BL45" i="49"/>
  <c r="BL31" i="49"/>
  <c r="BN32" i="51"/>
  <c r="BM44" i="50"/>
  <c r="BM40" i="52"/>
  <c r="BM45" i="52" s="1"/>
  <c r="BN39" i="52"/>
  <c r="BN32" i="50"/>
  <c r="BN30" i="52"/>
  <c r="BN28" i="48"/>
  <c r="BN30" i="48" s="1"/>
  <c r="BM40" i="51"/>
  <c r="BN39" i="51"/>
  <c r="BN38" i="51" s="1"/>
  <c r="BN40" i="51" s="1"/>
  <c r="BM27" i="49"/>
  <c r="BM28" i="49" s="1"/>
  <c r="BM35" i="49"/>
  <c r="BM46" i="50"/>
  <c r="BM47" i="50" s="1"/>
  <c r="BO23" i="52"/>
  <c r="BO24" i="52" s="1"/>
  <c r="BM40" i="48"/>
  <c r="BN39" i="48"/>
  <c r="BL46" i="49" l="1"/>
  <c r="BL47" i="49" s="1"/>
  <c r="BL44" i="49"/>
  <c r="BM30" i="49"/>
  <c r="BM31" i="49" s="1"/>
  <c r="BN41" i="51"/>
  <c r="BM41" i="48"/>
  <c r="BM45" i="48"/>
  <c r="BO27" i="52"/>
  <c r="BO34" i="52" s="1"/>
  <c r="BO35" i="52"/>
  <c r="BN31" i="52"/>
  <c r="BN38" i="50"/>
  <c r="BN40" i="50" s="1"/>
  <c r="BN45" i="50" s="1"/>
  <c r="BM41" i="51"/>
  <c r="BM45" i="51"/>
  <c r="BN32" i="52"/>
  <c r="BM34" i="49"/>
  <c r="BM39" i="49"/>
  <c r="BN32" i="48"/>
  <c r="BM41" i="52"/>
  <c r="BM44" i="52" s="1"/>
  <c r="BM32" i="49" l="1"/>
  <c r="BM38" i="49" s="1"/>
  <c r="BM40" i="49" s="1"/>
  <c r="BO28" i="52"/>
  <c r="BO30" i="52" s="1"/>
  <c r="BO31" i="52" s="1"/>
  <c r="BM46" i="48"/>
  <c r="BM47" i="48" s="1"/>
  <c r="BM46" i="51"/>
  <c r="BM47" i="51" s="1"/>
  <c r="BM44" i="48"/>
  <c r="BN41" i="50"/>
  <c r="BN46" i="50" s="1"/>
  <c r="BP22" i="52"/>
  <c r="BP26" i="52" s="1"/>
  <c r="BM46" i="52"/>
  <c r="BN22" i="49"/>
  <c r="BN26" i="49" s="1"/>
  <c r="BN38" i="48"/>
  <c r="BN40" i="48" s="1"/>
  <c r="BN38" i="52"/>
  <c r="BM44" i="51"/>
  <c r="BO32" i="52" l="1"/>
  <c r="BN45" i="51"/>
  <c r="BM45" i="49"/>
  <c r="BM41" i="49"/>
  <c r="BN44" i="50"/>
  <c r="BN47" i="50"/>
  <c r="B50" i="50"/>
  <c r="B49" i="50"/>
  <c r="BN59" i="50"/>
  <c r="BN41" i="48"/>
  <c r="BN23" i="49"/>
  <c r="BN24" i="49" s="1"/>
  <c r="BP23" i="52"/>
  <c r="BP24" i="52" s="1"/>
  <c r="BN45" i="48"/>
  <c r="BM44" i="49"/>
  <c r="BN44" i="51"/>
  <c r="BN46" i="51"/>
  <c r="BN40" i="52"/>
  <c r="BN45" i="52" s="1"/>
  <c r="BO39" i="52"/>
  <c r="BM47" i="52"/>
  <c r="BN46" i="48" l="1"/>
  <c r="BM46" i="49"/>
  <c r="BM47" i="49" s="1"/>
  <c r="BN44" i="48"/>
  <c r="BN27" i="49"/>
  <c r="BN34" i="49" s="1"/>
  <c r="BN35" i="49"/>
  <c r="BN47" i="51"/>
  <c r="BN59" i="51" s="1"/>
  <c r="B50" i="51"/>
  <c r="B49" i="51"/>
  <c r="P53" i="50"/>
  <c r="AJ53" i="50"/>
  <c r="BD53" i="50"/>
  <c r="Q53" i="50"/>
  <c r="AK53" i="50"/>
  <c r="BE53" i="50"/>
  <c r="R53" i="50"/>
  <c r="AL53" i="50"/>
  <c r="BF53" i="50"/>
  <c r="S53" i="50"/>
  <c r="AM53" i="50"/>
  <c r="BG53" i="50"/>
  <c r="T53" i="50"/>
  <c r="AN53" i="50"/>
  <c r="BH53" i="50"/>
  <c r="U53" i="50"/>
  <c r="AO53" i="50"/>
  <c r="BI53" i="50"/>
  <c r="V53" i="50"/>
  <c r="AP53" i="50"/>
  <c r="BJ53" i="50"/>
  <c r="W53" i="50"/>
  <c r="AQ53" i="50"/>
  <c r="BK53" i="50"/>
  <c r="D53" i="50"/>
  <c r="X53" i="50"/>
  <c r="AR53" i="50"/>
  <c r="BL53" i="50"/>
  <c r="F53" i="50"/>
  <c r="Z53" i="50"/>
  <c r="I53" i="50"/>
  <c r="AC53" i="50"/>
  <c r="AW53" i="50"/>
  <c r="J53" i="50"/>
  <c r="AD53" i="50"/>
  <c r="AX53" i="50"/>
  <c r="K53" i="50"/>
  <c r="AE53" i="50"/>
  <c r="AY53" i="50"/>
  <c r="L53" i="50"/>
  <c r="AF53" i="50"/>
  <c r="AZ53" i="50"/>
  <c r="M53" i="50"/>
  <c r="AG53" i="50"/>
  <c r="BA53" i="50"/>
  <c r="N53" i="50"/>
  <c r="AH53" i="50"/>
  <c r="BB53" i="50"/>
  <c r="O53" i="50"/>
  <c r="AI53" i="50"/>
  <c r="BC53" i="50"/>
  <c r="H53" i="50"/>
  <c r="Y53" i="50"/>
  <c r="AA53" i="50"/>
  <c r="AB53" i="50"/>
  <c r="AS53" i="50"/>
  <c r="AT53" i="50"/>
  <c r="AU53" i="50"/>
  <c r="AV53" i="50"/>
  <c r="BM53" i="50"/>
  <c r="BN53" i="50"/>
  <c r="E53" i="50"/>
  <c r="G53" i="50"/>
  <c r="BP27" i="52"/>
  <c r="BP34" i="52" s="1"/>
  <c r="BP35" i="52"/>
  <c r="BN41" i="52"/>
  <c r="BN44" i="52" s="1"/>
  <c r="BO38" i="52"/>
  <c r="BO40" i="52" s="1"/>
  <c r="B50" i="48" l="1"/>
  <c r="B49" i="48"/>
  <c r="V53" i="48" s="1"/>
  <c r="V54" i="48" s="1"/>
  <c r="V60" i="48" s="1"/>
  <c r="V61" i="48" s="1"/>
  <c r="V62" i="48" s="1"/>
  <c r="BN47" i="48"/>
  <c r="BN59" i="48" s="1"/>
  <c r="AN53" i="48"/>
  <c r="AN57" i="48" s="1"/>
  <c r="AL53" i="48"/>
  <c r="AL54" i="48" s="1"/>
  <c r="AL60" i="48" s="1"/>
  <c r="AL61" i="48" s="1"/>
  <c r="AL62" i="48" s="1"/>
  <c r="AB53" i="48"/>
  <c r="AB54" i="48" s="1"/>
  <c r="AB60" i="48" s="1"/>
  <c r="AB61" i="48" s="1"/>
  <c r="AB62" i="48" s="1"/>
  <c r="BN53" i="48"/>
  <c r="BN54" i="48" s="1"/>
  <c r="BN60" i="48" s="1"/>
  <c r="BN61" i="48" s="1"/>
  <c r="BN62" i="48" s="1"/>
  <c r="Z53" i="48"/>
  <c r="Z57" i="48" s="1"/>
  <c r="Y53" i="48"/>
  <c r="Y54" i="48" s="1"/>
  <c r="Y60" i="48" s="1"/>
  <c r="Y61" i="48" s="1"/>
  <c r="Y62" i="48" s="1"/>
  <c r="X53" i="48"/>
  <c r="X54" i="48" s="1"/>
  <c r="X60" i="48" s="1"/>
  <c r="X61" i="48" s="1"/>
  <c r="T53" i="48"/>
  <c r="T54" i="48" s="1"/>
  <c r="T60" i="48" s="1"/>
  <c r="T61" i="48" s="1"/>
  <c r="T62" i="48" s="1"/>
  <c r="AP53" i="48"/>
  <c r="AP54" i="48" s="1"/>
  <c r="AP60" i="48" s="1"/>
  <c r="AP61" i="48" s="1"/>
  <c r="AP62" i="48" s="1"/>
  <c r="BJ53" i="48"/>
  <c r="BJ57" i="48" s="1"/>
  <c r="U53" i="48"/>
  <c r="U57" i="48" s="1"/>
  <c r="BN39" i="49"/>
  <c r="BN46" i="52"/>
  <c r="BN47" i="52" s="1"/>
  <c r="AD53" i="48"/>
  <c r="AD54" i="48" s="1"/>
  <c r="AD60" i="48" s="1"/>
  <c r="AD61" i="48" s="1"/>
  <c r="AD62" i="48" s="1"/>
  <c r="BM53" i="48"/>
  <c r="BM57" i="48" s="1"/>
  <c r="Q54" i="50"/>
  <c r="Q60" i="50" s="1"/>
  <c r="Q61" i="50" s="1"/>
  <c r="Q62" i="50" s="1"/>
  <c r="Q57" i="50"/>
  <c r="G54" i="50"/>
  <c r="G60" i="50" s="1"/>
  <c r="G61" i="50" s="1"/>
  <c r="G57" i="50"/>
  <c r="M54" i="50"/>
  <c r="M60" i="50" s="1"/>
  <c r="M61" i="50" s="1"/>
  <c r="M62" i="50" s="1"/>
  <c r="M57" i="50"/>
  <c r="AQ54" i="50"/>
  <c r="AQ60" i="50" s="1"/>
  <c r="AQ61" i="50" s="1"/>
  <c r="AQ62" i="50" s="1"/>
  <c r="AQ57" i="50"/>
  <c r="BD54" i="50"/>
  <c r="BD60" i="50" s="1"/>
  <c r="BD61" i="50" s="1"/>
  <c r="BD62" i="50" s="1"/>
  <c r="BD57" i="50"/>
  <c r="AG54" i="50"/>
  <c r="AG60" i="50" s="1"/>
  <c r="AG61" i="50" s="1"/>
  <c r="AG62" i="50" s="1"/>
  <c r="AG57" i="50"/>
  <c r="BO41" i="52"/>
  <c r="E57" i="50"/>
  <c r="E54" i="50"/>
  <c r="AZ54" i="50"/>
  <c r="AZ60" i="50" s="1"/>
  <c r="AZ61" i="50" s="1"/>
  <c r="AZ62" i="50" s="1"/>
  <c r="AZ57" i="50"/>
  <c r="W57" i="50"/>
  <c r="W54" i="50"/>
  <c r="W60" i="50" s="1"/>
  <c r="W61" i="50" s="1"/>
  <c r="W62" i="50" s="1"/>
  <c r="AJ54" i="50"/>
  <c r="AJ60" i="50" s="1"/>
  <c r="AJ61" i="50" s="1"/>
  <c r="AJ62" i="50" s="1"/>
  <c r="AJ57" i="50"/>
  <c r="BN54" i="50"/>
  <c r="BN60" i="50" s="1"/>
  <c r="BN61" i="50" s="1"/>
  <c r="BN62" i="50" s="1"/>
  <c r="BN57" i="50"/>
  <c r="AF54" i="50"/>
  <c r="AF57" i="50"/>
  <c r="BJ54" i="50"/>
  <c r="BJ60" i="50" s="1"/>
  <c r="BJ61" i="50" s="1"/>
  <c r="BJ62" i="50" s="1"/>
  <c r="BJ57" i="50"/>
  <c r="P54" i="50"/>
  <c r="P57" i="50"/>
  <c r="BK54" i="50"/>
  <c r="BK60" i="50" s="1"/>
  <c r="BK61" i="50" s="1"/>
  <c r="BK62" i="50" s="1"/>
  <c r="BK57" i="50"/>
  <c r="BM54" i="50"/>
  <c r="BM60" i="50" s="1"/>
  <c r="BM61" i="50" s="1"/>
  <c r="BM57" i="50"/>
  <c r="L57" i="50"/>
  <c r="L54" i="50"/>
  <c r="L60" i="50" s="1"/>
  <c r="L61" i="50" s="1"/>
  <c r="L62" i="50" s="1"/>
  <c r="AP54" i="50"/>
  <c r="AP60" i="50" s="1"/>
  <c r="AP61" i="50" s="1"/>
  <c r="AP62" i="50" s="1"/>
  <c r="AP57" i="50"/>
  <c r="H53" i="51"/>
  <c r="AB53" i="51"/>
  <c r="AV53" i="51"/>
  <c r="I53" i="51"/>
  <c r="AC53" i="51"/>
  <c r="J53" i="51"/>
  <c r="AD53" i="51"/>
  <c r="AX53" i="51"/>
  <c r="P53" i="51"/>
  <c r="AM53" i="51"/>
  <c r="BI53" i="51"/>
  <c r="Q53" i="51"/>
  <c r="AN53" i="51"/>
  <c r="BJ53" i="51"/>
  <c r="R53" i="51"/>
  <c r="AO53" i="51"/>
  <c r="BK53" i="51"/>
  <c r="S53" i="51"/>
  <c r="AP53" i="51"/>
  <c r="BL53" i="51"/>
  <c r="T53" i="51"/>
  <c r="AQ53" i="51"/>
  <c r="BM53" i="51"/>
  <c r="U53" i="51"/>
  <c r="AR53" i="51"/>
  <c r="BN53" i="51"/>
  <c r="V53" i="51"/>
  <c r="AS53" i="51"/>
  <c r="W53" i="51"/>
  <c r="AT53" i="51"/>
  <c r="X53" i="51"/>
  <c r="AU53" i="51"/>
  <c r="Y53" i="51"/>
  <c r="AW53" i="51"/>
  <c r="Z53" i="51"/>
  <c r="AY53" i="51"/>
  <c r="D53" i="51"/>
  <c r="AA53" i="51"/>
  <c r="AZ53" i="51"/>
  <c r="E53" i="51"/>
  <c r="AE53" i="51"/>
  <c r="BA53" i="51"/>
  <c r="F53" i="51"/>
  <c r="AF53" i="51"/>
  <c r="BB53" i="51"/>
  <c r="G53" i="51"/>
  <c r="AG53" i="51"/>
  <c r="BC53" i="51"/>
  <c r="K53" i="51"/>
  <c r="AH53" i="51"/>
  <c r="BD53" i="51"/>
  <c r="L53" i="51"/>
  <c r="AI53" i="51"/>
  <c r="BE53" i="51"/>
  <c r="M53" i="51"/>
  <c r="AJ53" i="51"/>
  <c r="BF53" i="51"/>
  <c r="N53" i="51"/>
  <c r="AK53" i="51"/>
  <c r="BG53" i="51"/>
  <c r="O53" i="51"/>
  <c r="AL53" i="51"/>
  <c r="BH53" i="51"/>
  <c r="AV54" i="50"/>
  <c r="AV60" i="50" s="1"/>
  <c r="AV61" i="50" s="1"/>
  <c r="AV57" i="50"/>
  <c r="AY54" i="50"/>
  <c r="AY57" i="50"/>
  <c r="V57" i="50"/>
  <c r="V54" i="50"/>
  <c r="V60" i="50" s="1"/>
  <c r="V61" i="50" s="1"/>
  <c r="V62" i="50" s="1"/>
  <c r="AU54" i="50"/>
  <c r="AU57" i="50"/>
  <c r="AE54" i="50"/>
  <c r="AE60" i="50" s="1"/>
  <c r="AE61" i="50" s="1"/>
  <c r="AE62" i="50" s="1"/>
  <c r="AE57" i="50"/>
  <c r="BI54" i="50"/>
  <c r="BI57" i="50"/>
  <c r="U54" i="50"/>
  <c r="U60" i="50" s="1"/>
  <c r="U61" i="50" s="1"/>
  <c r="U62" i="50" s="1"/>
  <c r="U57" i="50"/>
  <c r="AT54" i="50"/>
  <c r="AT60" i="50" s="1"/>
  <c r="AT61" i="50" s="1"/>
  <c r="AT62" i="50" s="1"/>
  <c r="AT57" i="50"/>
  <c r="AB54" i="50"/>
  <c r="AB60" i="50" s="1"/>
  <c r="AB61" i="50" s="1"/>
  <c r="AB57" i="50"/>
  <c r="AD54" i="50"/>
  <c r="AD60" i="50" s="1"/>
  <c r="AD61" i="50" s="1"/>
  <c r="AD62" i="50" s="1"/>
  <c r="AD57" i="50"/>
  <c r="BH54" i="50"/>
  <c r="BH57" i="50"/>
  <c r="AN54" i="50"/>
  <c r="AN60" i="50" s="1"/>
  <c r="AN61" i="50" s="1"/>
  <c r="AN62" i="50" s="1"/>
  <c r="AN57" i="50"/>
  <c r="T54" i="50"/>
  <c r="T60" i="50" s="1"/>
  <c r="T61" i="50" s="1"/>
  <c r="T62" i="50" s="1"/>
  <c r="T57" i="50"/>
  <c r="BG54" i="50"/>
  <c r="BG57" i="50"/>
  <c r="AC54" i="50"/>
  <c r="AC60" i="50" s="1"/>
  <c r="AC61" i="50" s="1"/>
  <c r="AC62" i="50" s="1"/>
  <c r="AC57" i="50"/>
  <c r="AM54" i="50"/>
  <c r="AM60" i="50" s="1"/>
  <c r="AM61" i="50" s="1"/>
  <c r="AM62" i="50" s="1"/>
  <c r="AM57" i="50"/>
  <c r="O54" i="50"/>
  <c r="O57" i="50"/>
  <c r="F54" i="50"/>
  <c r="F60" i="50" s="1"/>
  <c r="F61" i="50" s="1"/>
  <c r="F57" i="50"/>
  <c r="BF54" i="50"/>
  <c r="BF60" i="50" s="1"/>
  <c r="BF61" i="50" s="1"/>
  <c r="BF57" i="50"/>
  <c r="AO54" i="50"/>
  <c r="AO60" i="50" s="1"/>
  <c r="AO61" i="50" s="1"/>
  <c r="AO62" i="50" s="1"/>
  <c r="AO57" i="50"/>
  <c r="AI54" i="50"/>
  <c r="AI60" i="50" s="1"/>
  <c r="AI61" i="50" s="1"/>
  <c r="AI62" i="50" s="1"/>
  <c r="AI57" i="50"/>
  <c r="BQ22" i="52"/>
  <c r="BQ26" i="52" s="1"/>
  <c r="BB54" i="50"/>
  <c r="BB57" i="50"/>
  <c r="BL54" i="50"/>
  <c r="BL60" i="50" s="1"/>
  <c r="BL61" i="50" s="1"/>
  <c r="BL62" i="50" s="1"/>
  <c r="BL57" i="50"/>
  <c r="AL54" i="50"/>
  <c r="AL60" i="50" s="1"/>
  <c r="AL61" i="50" s="1"/>
  <c r="AL62" i="50" s="1"/>
  <c r="AL57" i="50"/>
  <c r="BN28" i="49"/>
  <c r="BN30" i="49" s="1"/>
  <c r="BN31" i="49" s="1"/>
  <c r="K57" i="50"/>
  <c r="K54" i="50"/>
  <c r="K60" i="50" s="1"/>
  <c r="K61" i="50" s="1"/>
  <c r="K62" i="50" s="1"/>
  <c r="AS54" i="50"/>
  <c r="AS60" i="50" s="1"/>
  <c r="AS61" i="50" s="1"/>
  <c r="AS62" i="50" s="1"/>
  <c r="AS57" i="50"/>
  <c r="AW54" i="50"/>
  <c r="AW57" i="50"/>
  <c r="BP39" i="52"/>
  <c r="BP28" i="52"/>
  <c r="AH54" i="50"/>
  <c r="AH57" i="50"/>
  <c r="AR54" i="50"/>
  <c r="AR60" i="50" s="1"/>
  <c r="AR61" i="50" s="1"/>
  <c r="AR62" i="50" s="1"/>
  <c r="AR57" i="50"/>
  <c r="R54" i="50"/>
  <c r="R60" i="50" s="1"/>
  <c r="R61" i="50" s="1"/>
  <c r="R57" i="50"/>
  <c r="Y54" i="50"/>
  <c r="Y60" i="50" s="1"/>
  <c r="Y61" i="50" s="1"/>
  <c r="Y62" i="50" s="1"/>
  <c r="Y57" i="50"/>
  <c r="I57" i="50"/>
  <c r="I54" i="50"/>
  <c r="Z54" i="50"/>
  <c r="Z57" i="50"/>
  <c r="N54" i="50"/>
  <c r="N57" i="50"/>
  <c r="X54" i="50"/>
  <c r="X57" i="50"/>
  <c r="BE54" i="50"/>
  <c r="BE60" i="50" s="1"/>
  <c r="BE61" i="50" s="1"/>
  <c r="BE57" i="50"/>
  <c r="AX54" i="50"/>
  <c r="AX60" i="50" s="1"/>
  <c r="AX61" i="50" s="1"/>
  <c r="AX62" i="50" s="1"/>
  <c r="AX57" i="50"/>
  <c r="AA54" i="50"/>
  <c r="AA60" i="50" s="1"/>
  <c r="AA61" i="50" s="1"/>
  <c r="AA62" i="50" s="1"/>
  <c r="AA57" i="50"/>
  <c r="J57" i="50"/>
  <c r="J54" i="50"/>
  <c r="J60" i="50" s="1"/>
  <c r="J61" i="50" s="1"/>
  <c r="H57" i="50"/>
  <c r="H54" i="50"/>
  <c r="BC54" i="50"/>
  <c r="BC60" i="50" s="1"/>
  <c r="BC61" i="50" s="1"/>
  <c r="BC62" i="50" s="1"/>
  <c r="BC57" i="50"/>
  <c r="S54" i="50"/>
  <c r="S57" i="50"/>
  <c r="BA54" i="50"/>
  <c r="BA60" i="50" s="1"/>
  <c r="BA61" i="50" s="1"/>
  <c r="BA62" i="50" s="1"/>
  <c r="BA57" i="50"/>
  <c r="D57" i="50"/>
  <c r="D54" i="50"/>
  <c r="D60" i="50" s="1"/>
  <c r="D61" i="50" s="1"/>
  <c r="D62" i="50" s="1"/>
  <c r="B56" i="50"/>
  <c r="AK54" i="50"/>
  <c r="AK60" i="50" s="1"/>
  <c r="AK61" i="50" s="1"/>
  <c r="AK62" i="50" s="1"/>
  <c r="AK57" i="50"/>
  <c r="AA53" i="48" l="1"/>
  <c r="AA54" i="48" s="1"/>
  <c r="AA60" i="48" s="1"/>
  <c r="AA61" i="48" s="1"/>
  <c r="AA62" i="48" s="1"/>
  <c r="D53" i="48"/>
  <c r="D54" i="48" s="1"/>
  <c r="D60" i="48" s="1"/>
  <c r="D61" i="48" s="1"/>
  <c r="P53" i="48"/>
  <c r="P54" i="48" s="1"/>
  <c r="P60" i="48" s="1"/>
  <c r="P61" i="48" s="1"/>
  <c r="AO53" i="48"/>
  <c r="AO54" i="48" s="1"/>
  <c r="AO60" i="48" s="1"/>
  <c r="AO61" i="48" s="1"/>
  <c r="AO62" i="48" s="1"/>
  <c r="AQ53" i="48"/>
  <c r="AQ57" i="48" s="1"/>
  <c r="R53" i="48"/>
  <c r="R57" i="48" s="1"/>
  <c r="AR53" i="48"/>
  <c r="AR54" i="48" s="1"/>
  <c r="AR60" i="48" s="1"/>
  <c r="AR61" i="48" s="1"/>
  <c r="AR62" i="48" s="1"/>
  <c r="J53" i="48"/>
  <c r="J54" i="48" s="1"/>
  <c r="J60" i="48" s="1"/>
  <c r="J61" i="48" s="1"/>
  <c r="J62" i="48" s="1"/>
  <c r="S53" i="48"/>
  <c r="S57" i="48" s="1"/>
  <c r="AS53" i="48"/>
  <c r="AS57" i="48" s="1"/>
  <c r="AE53" i="48"/>
  <c r="AE54" i="48" s="1"/>
  <c r="E53" i="48"/>
  <c r="E54" i="48" s="1"/>
  <c r="L53" i="48"/>
  <c r="L54" i="48" s="1"/>
  <c r="L60" i="48" s="1"/>
  <c r="L61" i="48" s="1"/>
  <c r="L62" i="48" s="1"/>
  <c r="L66" i="48" s="1"/>
  <c r="L73" i="48" s="1"/>
  <c r="AZ53" i="48"/>
  <c r="AZ57" i="48" s="1"/>
  <c r="AV53" i="48"/>
  <c r="BK53" i="48"/>
  <c r="BK54" i="48" s="1"/>
  <c r="BK60" i="48" s="1"/>
  <c r="BK61" i="48" s="1"/>
  <c r="AG53" i="48"/>
  <c r="AG54" i="48" s="1"/>
  <c r="AG60" i="48" s="1"/>
  <c r="AG61" i="48" s="1"/>
  <c r="AG62" i="48" s="1"/>
  <c r="AG66" i="48" s="1"/>
  <c r="AG73" i="48" s="1"/>
  <c r="W53" i="48"/>
  <c r="W57" i="48" s="1"/>
  <c r="G53" i="48"/>
  <c r="G54" i="48" s="1"/>
  <c r="G60" i="48" s="1"/>
  <c r="G61" i="48" s="1"/>
  <c r="G62" i="48" s="1"/>
  <c r="BA53" i="48"/>
  <c r="BA54" i="48" s="1"/>
  <c r="BA60" i="48" s="1"/>
  <c r="BA61" i="48" s="1"/>
  <c r="BA62" i="48" s="1"/>
  <c r="AU53" i="48"/>
  <c r="AU57" i="48" s="1"/>
  <c r="BB53" i="48"/>
  <c r="BB54" i="48" s="1"/>
  <c r="BB60" i="48" s="1"/>
  <c r="BB61" i="48" s="1"/>
  <c r="BB62" i="48" s="1"/>
  <c r="O53" i="48"/>
  <c r="O57" i="48" s="1"/>
  <c r="AI53" i="48"/>
  <c r="AI54" i="48" s="1"/>
  <c r="BC53" i="48"/>
  <c r="BC54" i="48" s="1"/>
  <c r="BD53" i="48"/>
  <c r="BD57" i="48" s="1"/>
  <c r="K53" i="48"/>
  <c r="K54" i="48" s="1"/>
  <c r="K60" i="48" s="1"/>
  <c r="K61" i="48" s="1"/>
  <c r="K62" i="48" s="1"/>
  <c r="AJ53" i="48"/>
  <c r="AJ54" i="48" s="1"/>
  <c r="AJ60" i="48" s="1"/>
  <c r="AJ61" i="48" s="1"/>
  <c r="AJ62" i="48" s="1"/>
  <c r="AJ66" i="48" s="1"/>
  <c r="AJ73" i="48" s="1"/>
  <c r="F53" i="48"/>
  <c r="F57" i="48" s="1"/>
  <c r="AY53" i="48"/>
  <c r="AY57" i="48" s="1"/>
  <c r="Q53" i="48"/>
  <c r="Q57" i="48" s="1"/>
  <c r="AK53" i="48"/>
  <c r="AK54" i="48" s="1"/>
  <c r="AK60" i="48" s="1"/>
  <c r="AK61" i="48" s="1"/>
  <c r="AK62" i="48" s="1"/>
  <c r="AF53" i="48"/>
  <c r="AF54" i="48" s="1"/>
  <c r="BE53" i="48"/>
  <c r="BE54" i="48" s="1"/>
  <c r="BE60" i="48" s="1"/>
  <c r="BE61" i="48" s="1"/>
  <c r="BE62" i="48" s="1"/>
  <c r="H53" i="48"/>
  <c r="AM53" i="48"/>
  <c r="AM54" i="48" s="1"/>
  <c r="AM60" i="48" s="1"/>
  <c r="AM61" i="48" s="1"/>
  <c r="AM62" i="48" s="1"/>
  <c r="AM66" i="48" s="1"/>
  <c r="AM73" i="48" s="1"/>
  <c r="M53" i="48"/>
  <c r="M54" i="48" s="1"/>
  <c r="M60" i="48" s="1"/>
  <c r="M61" i="48" s="1"/>
  <c r="M62" i="48" s="1"/>
  <c r="BG53" i="48"/>
  <c r="BG54" i="48" s="1"/>
  <c r="BG60" i="48" s="1"/>
  <c r="BG61" i="48" s="1"/>
  <c r="BG62" i="48" s="1"/>
  <c r="BG66" i="48" s="1"/>
  <c r="BG73" i="48" s="1"/>
  <c r="AT53" i="48"/>
  <c r="AT54" i="48" s="1"/>
  <c r="AT60" i="48" s="1"/>
  <c r="AT61" i="48" s="1"/>
  <c r="AT62" i="48" s="1"/>
  <c r="BH53" i="48"/>
  <c r="BH54" i="48" s="1"/>
  <c r="BI53" i="48"/>
  <c r="BI57" i="48" s="1"/>
  <c r="BF53" i="48"/>
  <c r="AC53" i="48"/>
  <c r="I53" i="48"/>
  <c r="N53" i="48"/>
  <c r="N54" i="48" s="1"/>
  <c r="N60" i="48" s="1"/>
  <c r="N61" i="48" s="1"/>
  <c r="N62" i="48" s="1"/>
  <c r="AW53" i="48"/>
  <c r="AW54" i="48" s="1"/>
  <c r="AW60" i="48" s="1"/>
  <c r="AW61" i="48" s="1"/>
  <c r="AW62" i="48" s="1"/>
  <c r="AX53" i="48"/>
  <c r="AX54" i="48" s="1"/>
  <c r="AX60" i="48" s="1"/>
  <c r="AX61" i="48" s="1"/>
  <c r="AX62" i="48" s="1"/>
  <c r="AX66" i="48" s="1"/>
  <c r="AX73" i="48" s="1"/>
  <c r="AH53" i="48"/>
  <c r="AH57" i="48" s="1"/>
  <c r="BL53" i="48"/>
  <c r="BL57" i="48" s="1"/>
  <c r="AN54" i="48"/>
  <c r="AN60" i="48" s="1"/>
  <c r="AN61" i="48" s="1"/>
  <c r="AN62" i="48" s="1"/>
  <c r="AO57" i="48"/>
  <c r="BN57" i="48"/>
  <c r="D57" i="48"/>
  <c r="AQ54" i="48"/>
  <c r="AQ60" i="48" s="1"/>
  <c r="AQ61" i="48" s="1"/>
  <c r="AQ62" i="48" s="1"/>
  <c r="AQ66" i="48" s="1"/>
  <c r="AQ73" i="48" s="1"/>
  <c r="AA57" i="48"/>
  <c r="V57" i="48"/>
  <c r="Z54" i="48"/>
  <c r="Z60" i="48" s="1"/>
  <c r="Z61" i="48" s="1"/>
  <c r="Z62" i="48" s="1"/>
  <c r="Z66" i="48" s="1"/>
  <c r="Z73" i="48" s="1"/>
  <c r="Y57" i="48"/>
  <c r="AB57" i="48"/>
  <c r="AL57" i="48"/>
  <c r="AP57" i="48"/>
  <c r="X57" i="48"/>
  <c r="T57" i="48"/>
  <c r="BJ54" i="48"/>
  <c r="BJ60" i="48" s="1"/>
  <c r="BJ61" i="48" s="1"/>
  <c r="BJ65" i="48" s="1"/>
  <c r="U54" i="48"/>
  <c r="U60" i="48" s="1"/>
  <c r="U61" i="48" s="1"/>
  <c r="B50" i="52"/>
  <c r="BN59" i="52"/>
  <c r="P57" i="48"/>
  <c r="BM54" i="48"/>
  <c r="BM60" i="48" s="1"/>
  <c r="BM61" i="48" s="1"/>
  <c r="BM62" i="48" s="1"/>
  <c r="BO45" i="52"/>
  <c r="BO46" i="52" s="1"/>
  <c r="B49" i="52"/>
  <c r="J53" i="52" s="1"/>
  <c r="AD57" i="48"/>
  <c r="Q66" i="50"/>
  <c r="X62" i="48"/>
  <c r="X66" i="48" s="1"/>
  <c r="X73" i="48" s="1"/>
  <c r="AA66" i="50"/>
  <c r="AA73" i="50" s="1"/>
  <c r="AC66" i="50"/>
  <c r="AC73" i="50" s="1"/>
  <c r="AE66" i="50"/>
  <c r="AE73" i="50" s="1"/>
  <c r="AA65" i="50"/>
  <c r="AA70" i="50" s="1"/>
  <c r="G62" i="50"/>
  <c r="G66" i="50" s="1"/>
  <c r="G73" i="50" s="1"/>
  <c r="G65" i="50"/>
  <c r="BF62" i="50"/>
  <c r="BF66" i="50" s="1"/>
  <c r="BF73" i="50" s="1"/>
  <c r="D62" i="48"/>
  <c r="D66" i="48" s="1"/>
  <c r="D73" i="48" s="1"/>
  <c r="D65" i="48"/>
  <c r="D70" i="48" s="1"/>
  <c r="H60" i="50"/>
  <c r="H61" i="50" s="1"/>
  <c r="H62" i="50" s="1"/>
  <c r="K66" i="50"/>
  <c r="K73" i="50" s="1"/>
  <c r="V66" i="50"/>
  <c r="V73" i="50" s="1"/>
  <c r="AG66" i="50"/>
  <c r="AG73" i="50" s="1"/>
  <c r="AP66" i="48"/>
  <c r="AP73" i="48" s="1"/>
  <c r="AD66" i="48"/>
  <c r="AD73" i="48" s="1"/>
  <c r="AN65" i="50"/>
  <c r="AN70" i="50" s="1"/>
  <c r="BD66" i="50"/>
  <c r="BD73" i="50" s="1"/>
  <c r="AN66" i="50"/>
  <c r="AN73" i="50" s="1"/>
  <c r="AL65" i="48"/>
  <c r="AL70" i="48" s="1"/>
  <c r="BC66" i="50"/>
  <c r="BC73" i="50" s="1"/>
  <c r="AD65" i="50"/>
  <c r="AD70" i="50" s="1"/>
  <c r="M66" i="50"/>
  <c r="M73" i="50" s="1"/>
  <c r="X65" i="48"/>
  <c r="AA66" i="48"/>
  <c r="AA73" i="48" s="1"/>
  <c r="BC65" i="50"/>
  <c r="BC70" i="50" s="1"/>
  <c r="AL66" i="50"/>
  <c r="AL73" i="50" s="1"/>
  <c r="AO65" i="50"/>
  <c r="L66" i="50"/>
  <c r="L73" i="50" s="1"/>
  <c r="E60" i="50"/>
  <c r="E61" i="50" s="1"/>
  <c r="E62" i="50" s="1"/>
  <c r="AE65" i="50"/>
  <c r="AE70" i="50" s="1"/>
  <c r="AH60" i="50"/>
  <c r="AH61" i="50" s="1"/>
  <c r="BG60" i="50"/>
  <c r="BG61" i="50" s="1"/>
  <c r="BG62" i="50" s="1"/>
  <c r="BA66" i="50"/>
  <c r="BA73" i="50" s="1"/>
  <c r="AU60" i="50"/>
  <c r="AU61" i="50" s="1"/>
  <c r="AU62" i="50" s="1"/>
  <c r="F62" i="50"/>
  <c r="F66" i="50" s="1"/>
  <c r="F73" i="50" s="1"/>
  <c r="F65" i="50"/>
  <c r="P62" i="48"/>
  <c r="P66" i="48" s="1"/>
  <c r="P73" i="48" s="1"/>
  <c r="P65" i="48"/>
  <c r="J62" i="50"/>
  <c r="J66" i="50" s="1"/>
  <c r="J73" i="50" s="1"/>
  <c r="J65" i="50"/>
  <c r="AV62" i="50"/>
  <c r="AV66" i="50" s="1"/>
  <c r="AV73" i="50" s="1"/>
  <c r="AV65" i="50"/>
  <c r="AB62" i="50"/>
  <c r="AB66" i="50" s="1"/>
  <c r="AB73" i="50" s="1"/>
  <c r="AB65" i="50"/>
  <c r="R62" i="50"/>
  <c r="R66" i="50" s="1"/>
  <c r="R73" i="50" s="1"/>
  <c r="R65" i="50"/>
  <c r="BE62" i="50"/>
  <c r="BE66" i="50" s="1"/>
  <c r="BE73" i="50" s="1"/>
  <c r="BE65" i="50"/>
  <c r="BM62" i="50"/>
  <c r="BM66" i="50" s="1"/>
  <c r="BM73" i="50" s="1"/>
  <c r="BM65" i="50"/>
  <c r="I60" i="50"/>
  <c r="I61" i="50" s="1"/>
  <c r="AL65" i="50"/>
  <c r="AI65" i="50"/>
  <c r="AO66" i="50"/>
  <c r="AO73" i="50" s="1"/>
  <c r="O60" i="50"/>
  <c r="O61" i="50" s="1"/>
  <c r="BF54" i="51"/>
  <c r="BF57" i="51"/>
  <c r="D54" i="51"/>
  <c r="D60" i="51" s="1"/>
  <c r="D61" i="51" s="1"/>
  <c r="D57" i="51"/>
  <c r="B56" i="51"/>
  <c r="BK54" i="51"/>
  <c r="BK60" i="51" s="1"/>
  <c r="BK61" i="51" s="1"/>
  <c r="BK62" i="51" s="1"/>
  <c r="BK57" i="51"/>
  <c r="AP66" i="50"/>
  <c r="AP73" i="50" s="1"/>
  <c r="AI66" i="50"/>
  <c r="AI73" i="50" s="1"/>
  <c r="T66" i="50"/>
  <c r="T73" i="50" s="1"/>
  <c r="AJ54" i="51"/>
  <c r="AJ57" i="51"/>
  <c r="AY54" i="51"/>
  <c r="AY60" i="51" s="1"/>
  <c r="AY61" i="51" s="1"/>
  <c r="AY62" i="51" s="1"/>
  <c r="AY57" i="51"/>
  <c r="AO54" i="51"/>
  <c r="AO60" i="51" s="1"/>
  <c r="AO61" i="51" s="1"/>
  <c r="AO57" i="51"/>
  <c r="M65" i="50"/>
  <c r="BP30" i="52"/>
  <c r="AT66" i="50"/>
  <c r="AT73" i="50" s="1"/>
  <c r="M54" i="51"/>
  <c r="M60" i="51" s="1"/>
  <c r="M61" i="51" s="1"/>
  <c r="M62" i="51" s="1"/>
  <c r="M57" i="51"/>
  <c r="Z54" i="51"/>
  <c r="Z60" i="51" s="1"/>
  <c r="Z61" i="51" s="1"/>
  <c r="Z57" i="51"/>
  <c r="R57" i="51"/>
  <c r="R54" i="51"/>
  <c r="R60" i="51" s="1"/>
  <c r="R61" i="51" s="1"/>
  <c r="BE54" i="51"/>
  <c r="BE60" i="51" s="1"/>
  <c r="BE61" i="51" s="1"/>
  <c r="BE62" i="51" s="1"/>
  <c r="BE57" i="51"/>
  <c r="AW54" i="51"/>
  <c r="AW60" i="51" s="1"/>
  <c r="AW61" i="51" s="1"/>
  <c r="AW62" i="51" s="1"/>
  <c r="AW57" i="51"/>
  <c r="BJ54" i="51"/>
  <c r="BJ60" i="51" s="1"/>
  <c r="BJ61" i="51" s="1"/>
  <c r="BJ57" i="51"/>
  <c r="L65" i="50"/>
  <c r="BK65" i="50"/>
  <c r="BN65" i="50"/>
  <c r="AZ66" i="50"/>
  <c r="AZ73" i="50" s="1"/>
  <c r="Y65" i="50"/>
  <c r="AK65" i="50"/>
  <c r="BL66" i="50"/>
  <c r="BL73" i="50" s="1"/>
  <c r="AC65" i="50"/>
  <c r="BI60" i="50"/>
  <c r="BI61" i="50" s="1"/>
  <c r="AY60" i="50"/>
  <c r="AY61" i="50" s="1"/>
  <c r="AI54" i="51"/>
  <c r="AI60" i="51" s="1"/>
  <c r="AI61" i="51" s="1"/>
  <c r="AI57" i="51"/>
  <c r="Y54" i="51"/>
  <c r="Y60" i="51" s="1"/>
  <c r="Y61" i="51" s="1"/>
  <c r="Y57" i="51"/>
  <c r="AN54" i="51"/>
  <c r="AN60" i="51" s="1"/>
  <c r="AN61" i="51" s="1"/>
  <c r="AN62" i="51" s="1"/>
  <c r="AN57" i="51"/>
  <c r="AZ65" i="50"/>
  <c r="BL65" i="50"/>
  <c r="V65" i="48"/>
  <c r="T65" i="50"/>
  <c r="AT65" i="50"/>
  <c r="L57" i="51"/>
  <c r="L54" i="51"/>
  <c r="L60" i="51" s="1"/>
  <c r="L61" i="51" s="1"/>
  <c r="AU54" i="51"/>
  <c r="AU60" i="51" s="1"/>
  <c r="AU61" i="51" s="1"/>
  <c r="AU57" i="51"/>
  <c r="Q54" i="51"/>
  <c r="Q60" i="51" s="1"/>
  <c r="Q61" i="51" s="1"/>
  <c r="Q57" i="51"/>
  <c r="BK66" i="50"/>
  <c r="BK73" i="50" s="1"/>
  <c r="BN66" i="50"/>
  <c r="BN73" i="50" s="1"/>
  <c r="X60" i="50"/>
  <c r="X61" i="50" s="1"/>
  <c r="Z60" i="50"/>
  <c r="Z61" i="50" s="1"/>
  <c r="AD65" i="48"/>
  <c r="AS66" i="50"/>
  <c r="AS73" i="50" s="1"/>
  <c r="V66" i="48"/>
  <c r="V73" i="48" s="1"/>
  <c r="BH60" i="50"/>
  <c r="BH61" i="50" s="1"/>
  <c r="BD54" i="51"/>
  <c r="BD60" i="51" s="1"/>
  <c r="BD61" i="51" s="1"/>
  <c r="BD62" i="51" s="1"/>
  <c r="BD57" i="51"/>
  <c r="X54" i="51"/>
  <c r="X60" i="51" s="1"/>
  <c r="X61" i="51" s="1"/>
  <c r="X62" i="51" s="1"/>
  <c r="X57" i="51"/>
  <c r="BI54" i="51"/>
  <c r="BI60" i="51" s="1"/>
  <c r="BI61" i="51" s="1"/>
  <c r="BI62" i="51" s="1"/>
  <c r="BI57" i="51"/>
  <c r="BN66" i="48"/>
  <c r="BN73" i="48" s="1"/>
  <c r="AS65" i="50"/>
  <c r="BB60" i="50"/>
  <c r="BB61" i="50" s="1"/>
  <c r="AH54" i="51"/>
  <c r="AH60" i="51" s="1"/>
  <c r="AH61" i="51" s="1"/>
  <c r="AH62" i="51" s="1"/>
  <c r="AH57" i="51"/>
  <c r="AT54" i="51"/>
  <c r="AT60" i="51" s="1"/>
  <c r="AT61" i="51" s="1"/>
  <c r="AT57" i="51"/>
  <c r="AM54" i="51"/>
  <c r="AM60" i="51" s="1"/>
  <c r="AM61" i="51" s="1"/>
  <c r="AM62" i="51" s="1"/>
  <c r="AM57" i="51"/>
  <c r="P60" i="50"/>
  <c r="P61" i="50" s="1"/>
  <c r="AG65" i="50"/>
  <c r="AK66" i="50"/>
  <c r="AK73" i="50" s="1"/>
  <c r="AB66" i="48"/>
  <c r="AB73" i="48" s="1"/>
  <c r="AB65" i="48"/>
  <c r="AO66" i="48"/>
  <c r="AO73" i="48" s="1"/>
  <c r="BN65" i="48"/>
  <c r="U66" i="50"/>
  <c r="U73" i="50" s="1"/>
  <c r="K54" i="51"/>
  <c r="K60" i="51" s="1"/>
  <c r="K61" i="51" s="1"/>
  <c r="K62" i="51" s="1"/>
  <c r="K57" i="51"/>
  <c r="W54" i="51"/>
  <c r="W60" i="51" s="1"/>
  <c r="W61" i="51" s="1"/>
  <c r="W62" i="51" s="1"/>
  <c r="W57" i="51"/>
  <c r="P54" i="51"/>
  <c r="P60" i="51" s="1"/>
  <c r="P61" i="51" s="1"/>
  <c r="P62" i="51" s="1"/>
  <c r="P57" i="51"/>
  <c r="Y66" i="50"/>
  <c r="Y73" i="50" s="1"/>
  <c r="AO65" i="48"/>
  <c r="AL66" i="48"/>
  <c r="AL73" i="48" s="1"/>
  <c r="AW60" i="50"/>
  <c r="AW61" i="50" s="1"/>
  <c r="U65" i="50"/>
  <c r="BC54" i="51"/>
  <c r="BC60" i="51" s="1"/>
  <c r="BC61" i="51" s="1"/>
  <c r="BC62" i="51" s="1"/>
  <c r="BC57" i="51"/>
  <c r="AS54" i="51"/>
  <c r="AS60" i="51" s="1"/>
  <c r="AS61" i="51" s="1"/>
  <c r="AS62" i="51" s="1"/>
  <c r="AS57" i="51"/>
  <c r="AX54" i="51"/>
  <c r="AX57" i="51"/>
  <c r="AG54" i="51"/>
  <c r="AG60" i="51" s="1"/>
  <c r="AG61" i="51" s="1"/>
  <c r="AG62" i="51" s="1"/>
  <c r="AG57" i="51"/>
  <c r="V54" i="51"/>
  <c r="V60" i="51" s="1"/>
  <c r="V61" i="51" s="1"/>
  <c r="V57" i="51"/>
  <c r="AD54" i="51"/>
  <c r="AD60" i="51" s="1"/>
  <c r="AD61" i="51" s="1"/>
  <c r="AD57" i="51"/>
  <c r="D66" i="50"/>
  <c r="D73" i="50" s="1"/>
  <c r="D65" i="50"/>
  <c r="N60" i="50"/>
  <c r="N61" i="50" s="1"/>
  <c r="J54" i="51"/>
  <c r="J60" i="51" s="1"/>
  <c r="J61" i="51" s="1"/>
  <c r="J57" i="51"/>
  <c r="BD65" i="50"/>
  <c r="AX66" i="50"/>
  <c r="AX73" i="50" s="1"/>
  <c r="G54" i="51"/>
  <c r="G60" i="51" s="1"/>
  <c r="G61" i="51" s="1"/>
  <c r="G57" i="51"/>
  <c r="BN54" i="51"/>
  <c r="BN60" i="51" s="1"/>
  <c r="BN61" i="51" s="1"/>
  <c r="BN57" i="51"/>
  <c r="B57" i="50"/>
  <c r="AX65" i="50"/>
  <c r="BF65" i="50"/>
  <c r="AM66" i="50"/>
  <c r="AM73" i="50" s="1"/>
  <c r="AD66" i="50"/>
  <c r="AD73" i="50" s="1"/>
  <c r="BB54" i="51"/>
  <c r="BB60" i="51" s="1"/>
  <c r="BB61" i="51" s="1"/>
  <c r="BB57" i="51"/>
  <c r="AR54" i="51"/>
  <c r="AR60" i="51" s="1"/>
  <c r="AR61" i="51" s="1"/>
  <c r="AR57" i="51"/>
  <c r="AC54" i="51"/>
  <c r="AC60" i="51" s="1"/>
  <c r="AC61" i="51" s="1"/>
  <c r="AC62" i="51" s="1"/>
  <c r="AC57" i="51"/>
  <c r="K65" i="50"/>
  <c r="BQ23" i="52"/>
  <c r="BQ24" i="52" s="1"/>
  <c r="AM65" i="50"/>
  <c r="AF54" i="51"/>
  <c r="AF60" i="51" s="1"/>
  <c r="AF61" i="51" s="1"/>
  <c r="AF62" i="51" s="1"/>
  <c r="AF57" i="51"/>
  <c r="U54" i="51"/>
  <c r="U60" i="51" s="1"/>
  <c r="U61" i="51" s="1"/>
  <c r="U62" i="51" s="1"/>
  <c r="U57" i="51"/>
  <c r="I54" i="51"/>
  <c r="I60" i="51" s="1"/>
  <c r="I61" i="51" s="1"/>
  <c r="I62" i="51" s="1"/>
  <c r="I57" i="51"/>
  <c r="Y66" i="48"/>
  <c r="Y73" i="48" s="1"/>
  <c r="AJ66" i="50"/>
  <c r="AJ73" i="50" s="1"/>
  <c r="AA65" i="48"/>
  <c r="AR65" i="50"/>
  <c r="T65" i="48"/>
  <c r="BH54" i="51"/>
  <c r="BH60" i="51" s="1"/>
  <c r="BH61" i="51" s="1"/>
  <c r="BH62" i="51" s="1"/>
  <c r="BH57" i="51"/>
  <c r="F54" i="51"/>
  <c r="F60" i="51" s="1"/>
  <c r="F61" i="51" s="1"/>
  <c r="F57" i="51"/>
  <c r="BM54" i="51"/>
  <c r="BM60" i="51" s="1"/>
  <c r="BM61" i="51" s="1"/>
  <c r="BM62" i="51" s="1"/>
  <c r="BM57" i="51"/>
  <c r="AV54" i="51"/>
  <c r="AV60" i="51" s="1"/>
  <c r="AV61" i="51" s="1"/>
  <c r="AV62" i="51" s="1"/>
  <c r="AV57" i="51"/>
  <c r="BB65" i="48"/>
  <c r="Y65" i="48"/>
  <c r="BJ66" i="50"/>
  <c r="BJ73" i="50" s="1"/>
  <c r="AJ65" i="50"/>
  <c r="AL54" i="51"/>
  <c r="AL57" i="51"/>
  <c r="BA54" i="51"/>
  <c r="BA60" i="51" s="1"/>
  <c r="BA61" i="51" s="1"/>
  <c r="BA57" i="51"/>
  <c r="AQ54" i="51"/>
  <c r="AQ57" i="51"/>
  <c r="AB54" i="51"/>
  <c r="AB60" i="51" s="1"/>
  <c r="AB61" i="51" s="1"/>
  <c r="AB62" i="51" s="1"/>
  <c r="AB57" i="51"/>
  <c r="BJ65" i="50"/>
  <c r="BA65" i="50"/>
  <c r="S60" i="50"/>
  <c r="S61" i="50" s="1"/>
  <c r="AR66" i="50"/>
  <c r="AR73" i="50" s="1"/>
  <c r="T66" i="48"/>
  <c r="T73" i="48" s="1"/>
  <c r="BN32" i="49"/>
  <c r="O54" i="51"/>
  <c r="O60" i="51" s="1"/>
  <c r="O61" i="51" s="1"/>
  <c r="O62" i="51" s="1"/>
  <c r="O57" i="51"/>
  <c r="AE54" i="51"/>
  <c r="AE60" i="51" s="1"/>
  <c r="AE61" i="51" s="1"/>
  <c r="AE57" i="51"/>
  <c r="T57" i="51"/>
  <c r="T54" i="51"/>
  <c r="T60" i="51" s="1"/>
  <c r="T61" i="51" s="1"/>
  <c r="H54" i="51"/>
  <c r="H60" i="51" s="1"/>
  <c r="H61" i="51" s="1"/>
  <c r="H62" i="51" s="1"/>
  <c r="H57" i="51"/>
  <c r="AQ65" i="50"/>
  <c r="BG54" i="51"/>
  <c r="BG60" i="51" s="1"/>
  <c r="BG61" i="51" s="1"/>
  <c r="BG57" i="51"/>
  <c r="E54" i="51"/>
  <c r="E60" i="51" s="1"/>
  <c r="E61" i="51" s="1"/>
  <c r="E57" i="51"/>
  <c r="BL54" i="51"/>
  <c r="BL60" i="51" s="1"/>
  <c r="BL61" i="51" s="1"/>
  <c r="BL57" i="51"/>
  <c r="AF60" i="50"/>
  <c r="AF61" i="50" s="1"/>
  <c r="W65" i="50"/>
  <c r="AQ66" i="50"/>
  <c r="AQ73" i="50" s="1"/>
  <c r="AK54" i="51"/>
  <c r="AK60" i="51" s="1"/>
  <c r="AK61" i="51" s="1"/>
  <c r="AK62" i="51" s="1"/>
  <c r="AK57" i="51"/>
  <c r="AZ54" i="51"/>
  <c r="AZ60" i="51" s="1"/>
  <c r="AZ61" i="51" s="1"/>
  <c r="AZ62" i="51" s="1"/>
  <c r="AZ57" i="51"/>
  <c r="AP54" i="51"/>
  <c r="AP60" i="51" s="1"/>
  <c r="AP61" i="51" s="1"/>
  <c r="AP57" i="51"/>
  <c r="AP65" i="50"/>
  <c r="AP65" i="48"/>
  <c r="V65" i="50"/>
  <c r="N54" i="51"/>
  <c r="N60" i="51" s="1"/>
  <c r="N61" i="51" s="1"/>
  <c r="N57" i="51"/>
  <c r="AA54" i="51"/>
  <c r="AA60" i="51" s="1"/>
  <c r="AA61" i="51" s="1"/>
  <c r="AA57" i="51"/>
  <c r="S57" i="51"/>
  <c r="S54" i="51"/>
  <c r="S60" i="51" s="1"/>
  <c r="S61" i="51" s="1"/>
  <c r="W66" i="50"/>
  <c r="W73" i="50" s="1"/>
  <c r="Q65" i="50"/>
  <c r="Q70" i="50" s="1"/>
  <c r="J66" i="48" l="1"/>
  <c r="J73" i="48" s="1"/>
  <c r="J65" i="48"/>
  <c r="J57" i="48"/>
  <c r="AS54" i="48"/>
  <c r="AS60" i="48" s="1"/>
  <c r="AS61" i="48" s="1"/>
  <c r="AR66" i="48"/>
  <c r="AR73" i="48" s="1"/>
  <c r="AR57" i="48"/>
  <c r="AR65" i="48"/>
  <c r="AR70" i="48" s="1"/>
  <c r="R54" i="48"/>
  <c r="R60" i="48" s="1"/>
  <c r="R61" i="48" s="1"/>
  <c r="R62" i="48" s="1"/>
  <c r="R66" i="48" s="1"/>
  <c r="R73" i="48" s="1"/>
  <c r="AE57" i="48"/>
  <c r="AE60" i="48"/>
  <c r="AE61" i="48" s="1"/>
  <c r="AE62" i="48" s="1"/>
  <c r="AE66" i="48" s="1"/>
  <c r="AE73" i="48" s="1"/>
  <c r="E57" i="48"/>
  <c r="E60" i="48"/>
  <c r="E61" i="48" s="1"/>
  <c r="E65" i="48" s="1"/>
  <c r="S54" i="48"/>
  <c r="S60" i="48" s="1"/>
  <c r="S61" i="48" s="1"/>
  <c r="S62" i="48" s="1"/>
  <c r="S66" i="48" s="1"/>
  <c r="S73" i="48" s="1"/>
  <c r="L65" i="48"/>
  <c r="L57" i="48"/>
  <c r="BB66" i="48"/>
  <c r="BB73" i="48" s="1"/>
  <c r="G65" i="48"/>
  <c r="G70" i="48" s="1"/>
  <c r="AG65" i="48"/>
  <c r="AG70" i="48" s="1"/>
  <c r="AZ54" i="48"/>
  <c r="AZ60" i="48" s="1"/>
  <c r="AZ61" i="48" s="1"/>
  <c r="AZ62" i="48" s="1"/>
  <c r="AZ66" i="48" s="1"/>
  <c r="AZ73" i="48" s="1"/>
  <c r="AU54" i="48"/>
  <c r="AU60" i="48" s="1"/>
  <c r="AU61" i="48" s="1"/>
  <c r="AU62" i="48" s="1"/>
  <c r="O54" i="48"/>
  <c r="O60" i="48" s="1"/>
  <c r="O61" i="48" s="1"/>
  <c r="O62" i="48" s="1"/>
  <c r="BK57" i="48"/>
  <c r="AG57" i="48"/>
  <c r="BC60" i="48"/>
  <c r="BC61" i="48" s="1"/>
  <c r="BC62" i="48" s="1"/>
  <c r="BC66" i="48" s="1"/>
  <c r="BC73" i="48" s="1"/>
  <c r="W54" i="48"/>
  <c r="W60" i="48" s="1"/>
  <c r="W61" i="48" s="1"/>
  <c r="W62" i="48" s="1"/>
  <c r="BB57" i="48"/>
  <c r="BA57" i="48"/>
  <c r="BA66" i="48"/>
  <c r="BA73" i="48" s="1"/>
  <c r="AI60" i="48"/>
  <c r="AI61" i="48" s="1"/>
  <c r="AI62" i="48" s="1"/>
  <c r="AI57" i="48"/>
  <c r="BA65" i="48"/>
  <c r="BA70" i="48" s="1"/>
  <c r="G66" i="48"/>
  <c r="G73" i="48" s="1"/>
  <c r="G57" i="48"/>
  <c r="AK66" i="48"/>
  <c r="AK73" i="48" s="1"/>
  <c r="AJ57" i="48"/>
  <c r="AK65" i="48"/>
  <c r="AV57" i="48"/>
  <c r="AV54" i="48"/>
  <c r="AY54" i="48"/>
  <c r="AY60" i="48" s="1"/>
  <c r="AY61" i="48" s="1"/>
  <c r="AY65" i="48" s="1"/>
  <c r="BC57" i="48"/>
  <c r="F54" i="48"/>
  <c r="F60" i="48" s="1"/>
  <c r="F61" i="48" s="1"/>
  <c r="F62" i="48" s="1"/>
  <c r="AJ65" i="48"/>
  <c r="AJ70" i="48" s="1"/>
  <c r="K66" i="48"/>
  <c r="K73" i="48" s="1"/>
  <c r="K65" i="48"/>
  <c r="K70" i="48" s="1"/>
  <c r="BG65" i="48"/>
  <c r="BG67" i="48" s="1"/>
  <c r="BE66" i="48"/>
  <c r="BE73" i="48" s="1"/>
  <c r="K57" i="48"/>
  <c r="Q54" i="48"/>
  <c r="Q60" i="48" s="1"/>
  <c r="Q61" i="48" s="1"/>
  <c r="Q62" i="48" s="1"/>
  <c r="Q66" i="48" s="1"/>
  <c r="M65" i="48"/>
  <c r="M70" i="48" s="1"/>
  <c r="AT65" i="48"/>
  <c r="BD54" i="48"/>
  <c r="BD60" i="48" s="1"/>
  <c r="BD61" i="48" s="1"/>
  <c r="BD62" i="48" s="1"/>
  <c r="AM65" i="48"/>
  <c r="AM70" i="48" s="1"/>
  <c r="AT66" i="48"/>
  <c r="AT73" i="48" s="1"/>
  <c r="BE65" i="48"/>
  <c r="BE70" i="48" s="1"/>
  <c r="AF57" i="48"/>
  <c r="BE57" i="48"/>
  <c r="AF60" i="48"/>
  <c r="AF61" i="48" s="1"/>
  <c r="AF62" i="48" s="1"/>
  <c r="AF66" i="48" s="1"/>
  <c r="AF73" i="48" s="1"/>
  <c r="AK57" i="48"/>
  <c r="BH60" i="48"/>
  <c r="BH61" i="48" s="1"/>
  <c r="BH65" i="48" s="1"/>
  <c r="BH57" i="48"/>
  <c r="M57" i="48"/>
  <c r="AT57" i="48"/>
  <c r="AM57" i="48"/>
  <c r="BI54" i="48"/>
  <c r="BI60" i="48" s="1"/>
  <c r="BI61" i="48" s="1"/>
  <c r="BI62" i="48" s="1"/>
  <c r="M66" i="48"/>
  <c r="M73" i="48" s="1"/>
  <c r="AX65" i="48"/>
  <c r="AX67" i="48" s="1"/>
  <c r="AW65" i="48"/>
  <c r="AW70" i="48" s="1"/>
  <c r="N66" i="48"/>
  <c r="N73" i="48" s="1"/>
  <c r="BG57" i="48"/>
  <c r="H57" i="48"/>
  <c r="H54" i="48"/>
  <c r="H60" i="48" s="1"/>
  <c r="H61" i="48" s="1"/>
  <c r="H65" i="48" s="1"/>
  <c r="AN66" i="48"/>
  <c r="AN73" i="48" s="1"/>
  <c r="AW66" i="48"/>
  <c r="AW73" i="48" s="1"/>
  <c r="N65" i="48"/>
  <c r="N70" i="48" s="1"/>
  <c r="AH54" i="48"/>
  <c r="AH60" i="48" s="1"/>
  <c r="AH61" i="48" s="1"/>
  <c r="AH62" i="48" s="1"/>
  <c r="AH66" i="48" s="1"/>
  <c r="AH73" i="48" s="1"/>
  <c r="AW57" i="48"/>
  <c r="BF54" i="48"/>
  <c r="BF57" i="48"/>
  <c r="AX57" i="48"/>
  <c r="BL54" i="48"/>
  <c r="BL60" i="48" s="1"/>
  <c r="BL61" i="48" s="1"/>
  <c r="BL62" i="48" s="1"/>
  <c r="B56" i="48"/>
  <c r="N57" i="48"/>
  <c r="I54" i="48"/>
  <c r="I57" i="48"/>
  <c r="AC54" i="48"/>
  <c r="AC57" i="48"/>
  <c r="AN65" i="48"/>
  <c r="AN70" i="48" s="1"/>
  <c r="AQ65" i="48"/>
  <c r="AQ70" i="48" s="1"/>
  <c r="Z65" i="48"/>
  <c r="Z70" i="48" s="1"/>
  <c r="BJ62" i="48"/>
  <c r="BJ66" i="48" s="1"/>
  <c r="BJ73" i="48" s="1"/>
  <c r="BM65" i="48"/>
  <c r="BM70" i="48" s="1"/>
  <c r="BO44" i="52"/>
  <c r="BM66" i="48"/>
  <c r="BM73" i="48" s="1"/>
  <c r="AZ53" i="52"/>
  <c r="AZ57" i="52" s="1"/>
  <c r="BH53" i="52"/>
  <c r="BH54" i="52" s="1"/>
  <c r="U53" i="52"/>
  <c r="U57" i="52" s="1"/>
  <c r="BF53" i="52"/>
  <c r="BF54" i="52" s="1"/>
  <c r="BF60" i="52" s="1"/>
  <c r="BF61" i="52" s="1"/>
  <c r="BF62" i="52" s="1"/>
  <c r="I53" i="52"/>
  <c r="I57" i="52" s="1"/>
  <c r="AP53" i="52"/>
  <c r="AP54" i="52" s="1"/>
  <c r="AP60" i="52" s="1"/>
  <c r="AP61" i="52" s="1"/>
  <c r="AP62" i="52" s="1"/>
  <c r="V53" i="52"/>
  <c r="V57" i="52" s="1"/>
  <c r="T53" i="52"/>
  <c r="T57" i="52" s="1"/>
  <c r="AN53" i="52"/>
  <c r="AN57" i="52" s="1"/>
  <c r="AL53" i="52"/>
  <c r="AL57" i="52" s="1"/>
  <c r="O53" i="52"/>
  <c r="O57" i="52" s="1"/>
  <c r="AH53" i="52"/>
  <c r="AH57" i="52" s="1"/>
  <c r="AG53" i="52"/>
  <c r="AG54" i="52" s="1"/>
  <c r="AF53" i="52"/>
  <c r="AF54" i="52" s="1"/>
  <c r="AF60" i="52" s="1"/>
  <c r="AF61" i="52" s="1"/>
  <c r="AF62" i="52" s="1"/>
  <c r="H53" i="52"/>
  <c r="H57" i="52" s="1"/>
  <c r="AY53" i="52"/>
  <c r="AY54" i="52" s="1"/>
  <c r="AY60" i="52" s="1"/>
  <c r="AY61" i="52" s="1"/>
  <c r="AY62" i="52" s="1"/>
  <c r="G53" i="52"/>
  <c r="G57" i="52" s="1"/>
  <c r="AX53" i="52"/>
  <c r="AX54" i="52" s="1"/>
  <c r="AX60" i="52" s="1"/>
  <c r="AX61" i="52" s="1"/>
  <c r="AC53" i="52"/>
  <c r="AC57" i="52" s="1"/>
  <c r="BK53" i="52"/>
  <c r="BK54" i="52" s="1"/>
  <c r="BK60" i="52" s="1"/>
  <c r="BK61" i="52" s="1"/>
  <c r="AQ53" i="52"/>
  <c r="AQ54" i="52" s="1"/>
  <c r="AQ60" i="52" s="1"/>
  <c r="AQ61" i="52" s="1"/>
  <c r="AQ62" i="52" s="1"/>
  <c r="N53" i="52"/>
  <c r="N57" i="52" s="1"/>
  <c r="F53" i="52"/>
  <c r="F54" i="52" s="1"/>
  <c r="BJ53" i="52"/>
  <c r="BJ57" i="52" s="1"/>
  <c r="AA53" i="52"/>
  <c r="AA57" i="52" s="1"/>
  <c r="BI53" i="52"/>
  <c r="BI54" i="52" s="1"/>
  <c r="BI60" i="52" s="1"/>
  <c r="BI61" i="52" s="1"/>
  <c r="D53" i="52"/>
  <c r="D57" i="52" s="1"/>
  <c r="AO53" i="52"/>
  <c r="AO54" i="52" s="1"/>
  <c r="AO60" i="52" s="1"/>
  <c r="AO61" i="52" s="1"/>
  <c r="AU53" i="52"/>
  <c r="AU54" i="52" s="1"/>
  <c r="S53" i="52"/>
  <c r="S54" i="52" s="1"/>
  <c r="S60" i="52" s="1"/>
  <c r="S61" i="52" s="1"/>
  <c r="Z53" i="52"/>
  <c r="Z54" i="52" s="1"/>
  <c r="Z60" i="52" s="1"/>
  <c r="Z61" i="52" s="1"/>
  <c r="Z62" i="52" s="1"/>
  <c r="BG53" i="52"/>
  <c r="BG54" i="52" s="1"/>
  <c r="BN53" i="52"/>
  <c r="BN54" i="52" s="1"/>
  <c r="R53" i="52"/>
  <c r="R54" i="52" s="1"/>
  <c r="R60" i="52" s="1"/>
  <c r="R61" i="52" s="1"/>
  <c r="R62" i="52" s="1"/>
  <c r="AT53" i="52"/>
  <c r="AT54" i="52" s="1"/>
  <c r="Q53" i="52"/>
  <c r="Q54" i="52" s="1"/>
  <c r="Q60" i="52" s="1"/>
  <c r="Q61" i="52" s="1"/>
  <c r="Q62" i="52" s="1"/>
  <c r="Y53" i="52"/>
  <c r="Y57" i="52" s="1"/>
  <c r="AJ53" i="52"/>
  <c r="AJ54" i="52" s="1"/>
  <c r="BM53" i="52"/>
  <c r="BM54" i="52" s="1"/>
  <c r="L53" i="52"/>
  <c r="L57" i="52" s="1"/>
  <c r="AS53" i="52"/>
  <c r="AS57" i="52" s="1"/>
  <c r="BA53" i="52"/>
  <c r="BA57" i="52" s="1"/>
  <c r="W53" i="52"/>
  <c r="W54" i="52" s="1"/>
  <c r="W60" i="52" s="1"/>
  <c r="W61" i="52" s="1"/>
  <c r="X53" i="52"/>
  <c r="X57" i="52" s="1"/>
  <c r="AR67" i="48"/>
  <c r="BL53" i="52"/>
  <c r="BL57" i="52" s="1"/>
  <c r="AU65" i="50"/>
  <c r="AU70" i="50" s="1"/>
  <c r="AM53" i="52"/>
  <c r="AM54" i="52" s="1"/>
  <c r="AD53" i="52"/>
  <c r="AD57" i="52" s="1"/>
  <c r="AR53" i="52"/>
  <c r="AR54" i="52" s="1"/>
  <c r="AR60" i="52" s="1"/>
  <c r="AR61" i="52" s="1"/>
  <c r="BE53" i="52"/>
  <c r="BE57" i="52" s="1"/>
  <c r="AW53" i="52"/>
  <c r="AW54" i="52" s="1"/>
  <c r="AW60" i="52" s="1"/>
  <c r="AW61" i="52" s="1"/>
  <c r="AW62" i="52" s="1"/>
  <c r="M53" i="52"/>
  <c r="M57" i="52" s="1"/>
  <c r="BB53" i="52"/>
  <c r="BB54" i="52" s="1"/>
  <c r="BB60" i="52" s="1"/>
  <c r="BB61" i="52" s="1"/>
  <c r="P53" i="52"/>
  <c r="P54" i="52" s="1"/>
  <c r="P60" i="52" s="1"/>
  <c r="P61" i="52" s="1"/>
  <c r="E53" i="52"/>
  <c r="E57" i="52" s="1"/>
  <c r="K53" i="52"/>
  <c r="K57" i="52" s="1"/>
  <c r="BC53" i="52"/>
  <c r="BC57" i="52" s="1"/>
  <c r="AK53" i="52"/>
  <c r="AK54" i="52" s="1"/>
  <c r="AK60" i="52" s="1"/>
  <c r="AK61" i="52" s="1"/>
  <c r="AB53" i="52"/>
  <c r="AB54" i="52" s="1"/>
  <c r="AE53" i="52"/>
  <c r="AE54" i="52" s="1"/>
  <c r="AI53" i="52"/>
  <c r="AI57" i="52" s="1"/>
  <c r="BD53" i="52"/>
  <c r="BD54" i="52" s="1"/>
  <c r="BD60" i="52" s="1"/>
  <c r="BD61" i="52" s="1"/>
  <c r="BD62" i="52" s="1"/>
  <c r="AV53" i="52"/>
  <c r="AV54" i="52" s="1"/>
  <c r="H65" i="50"/>
  <c r="H70" i="50" s="1"/>
  <c r="AE67" i="50"/>
  <c r="G67" i="50"/>
  <c r="G70" i="50"/>
  <c r="X67" i="48"/>
  <c r="BG65" i="50"/>
  <c r="BG70" i="50" s="1"/>
  <c r="X70" i="48"/>
  <c r="AN67" i="50"/>
  <c r="E65" i="50"/>
  <c r="AA67" i="50"/>
  <c r="BC67" i="50"/>
  <c r="AU62" i="51"/>
  <c r="AU66" i="51" s="1"/>
  <c r="AU73" i="51" s="1"/>
  <c r="AU65" i="51"/>
  <c r="AA62" i="51"/>
  <c r="AA66" i="51" s="1"/>
  <c r="AA65" i="51"/>
  <c r="AA70" i="51" s="1"/>
  <c r="AR62" i="51"/>
  <c r="AR66" i="51" s="1"/>
  <c r="AR73" i="51" s="1"/>
  <c r="AR65" i="51"/>
  <c r="AR70" i="51" s="1"/>
  <c r="AO67" i="50"/>
  <c r="E66" i="50"/>
  <c r="E73" i="50" s="1"/>
  <c r="U66" i="51"/>
  <c r="U73" i="51" s="1"/>
  <c r="BN62" i="51"/>
  <c r="BN66" i="51" s="1"/>
  <c r="BN73" i="51" s="1"/>
  <c r="BN65" i="51"/>
  <c r="BN70" i="51" s="1"/>
  <c r="F62" i="51"/>
  <c r="F66" i="51" s="1"/>
  <c r="F73" i="51" s="1"/>
  <c r="F65" i="51"/>
  <c r="F70" i="51" s="1"/>
  <c r="E62" i="51"/>
  <c r="E66" i="51" s="1"/>
  <c r="E73" i="51" s="1"/>
  <c r="E65" i="51"/>
  <c r="BB62" i="51"/>
  <c r="BB66" i="51" s="1"/>
  <c r="BB73" i="51" s="1"/>
  <c r="J62" i="51"/>
  <c r="J66" i="51" s="1"/>
  <c r="J73" i="51" s="1"/>
  <c r="J65" i="51"/>
  <c r="J70" i="51" s="1"/>
  <c r="D62" i="51"/>
  <c r="D66" i="51" s="1"/>
  <c r="D65" i="51"/>
  <c r="D70" i="51" s="1"/>
  <c r="O66" i="51"/>
  <c r="O73" i="51" s="1"/>
  <c r="AS66" i="51"/>
  <c r="AS73" i="51" s="1"/>
  <c r="K66" i="51"/>
  <c r="K73" i="51" s="1"/>
  <c r="BK66" i="51"/>
  <c r="BK73" i="51" s="1"/>
  <c r="AU66" i="50"/>
  <c r="AU73" i="50" s="1"/>
  <c r="X66" i="51"/>
  <c r="X73" i="51" s="1"/>
  <c r="U65" i="51"/>
  <c r="U70" i="51" s="1"/>
  <c r="BM66" i="51"/>
  <c r="BM73" i="51" s="1"/>
  <c r="BD66" i="51"/>
  <c r="BD73" i="51" s="1"/>
  <c r="BI66" i="51"/>
  <c r="BI73" i="51" s="1"/>
  <c r="I66" i="51"/>
  <c r="I73" i="51" s="1"/>
  <c r="BD65" i="51"/>
  <c r="BD70" i="51" s="1"/>
  <c r="AG66" i="51"/>
  <c r="AG73" i="51" s="1"/>
  <c r="AH62" i="50"/>
  <c r="AH66" i="50" s="1"/>
  <c r="AH73" i="50" s="1"/>
  <c r="AH65" i="50"/>
  <c r="H66" i="50"/>
  <c r="H73" i="50" s="1"/>
  <c r="AZ66" i="51"/>
  <c r="AZ73" i="51" s="1"/>
  <c r="AL67" i="48"/>
  <c r="P66" i="51"/>
  <c r="P73" i="51" s="1"/>
  <c r="AO70" i="50"/>
  <c r="BG66" i="50"/>
  <c r="BG73" i="50" s="1"/>
  <c r="AK65" i="51"/>
  <c r="AK70" i="51" s="1"/>
  <c r="BC66" i="51"/>
  <c r="BC73" i="51" s="1"/>
  <c r="M66" i="51"/>
  <c r="M73" i="51" s="1"/>
  <c r="BJ62" i="51"/>
  <c r="BJ66" i="51" s="1"/>
  <c r="BJ73" i="51" s="1"/>
  <c r="BJ65" i="51"/>
  <c r="BL62" i="51"/>
  <c r="BL66" i="51" s="1"/>
  <c r="BL73" i="51" s="1"/>
  <c r="BL65" i="51"/>
  <c r="AI62" i="51"/>
  <c r="AI66" i="51" s="1"/>
  <c r="AI73" i="51" s="1"/>
  <c r="AI65" i="51"/>
  <c r="AO62" i="51"/>
  <c r="AO66" i="51" s="1"/>
  <c r="AO73" i="51" s="1"/>
  <c r="AO65" i="51"/>
  <c r="AT62" i="51"/>
  <c r="AT66" i="51" s="1"/>
  <c r="AT73" i="51" s="1"/>
  <c r="AT65" i="51"/>
  <c r="AD62" i="51"/>
  <c r="AD66" i="51" s="1"/>
  <c r="AD73" i="51" s="1"/>
  <c r="AD65" i="51"/>
  <c r="V62" i="51"/>
  <c r="V66" i="51" s="1"/>
  <c r="V73" i="51" s="1"/>
  <c r="V65" i="51"/>
  <c r="BG62" i="51"/>
  <c r="BG66" i="51" s="1"/>
  <c r="BG73" i="51" s="1"/>
  <c r="BG65" i="51"/>
  <c r="L62" i="51"/>
  <c r="L66" i="51" s="1"/>
  <c r="L73" i="51" s="1"/>
  <c r="L65" i="51"/>
  <c r="R62" i="51"/>
  <c r="R66" i="51" s="1"/>
  <c r="R73" i="51" s="1"/>
  <c r="R65" i="51"/>
  <c r="Y62" i="51"/>
  <c r="Y66" i="51" s="1"/>
  <c r="Y73" i="51" s="1"/>
  <c r="Y65" i="51"/>
  <c r="BA62" i="51"/>
  <c r="BA66" i="51" s="1"/>
  <c r="BA73" i="51" s="1"/>
  <c r="BA65" i="51"/>
  <c r="G62" i="51"/>
  <c r="G66" i="51" s="1"/>
  <c r="G73" i="51" s="1"/>
  <c r="G65" i="51"/>
  <c r="AP62" i="51"/>
  <c r="AP66" i="51" s="1"/>
  <c r="AP73" i="51" s="1"/>
  <c r="AP65" i="51"/>
  <c r="Q62" i="51"/>
  <c r="Q66" i="51" s="1"/>
  <c r="Q65" i="51"/>
  <c r="Q70" i="51" s="1"/>
  <c r="S62" i="51"/>
  <c r="S66" i="51" s="1"/>
  <c r="S73" i="51" s="1"/>
  <c r="S65" i="51"/>
  <c r="T62" i="51"/>
  <c r="T66" i="51" s="1"/>
  <c r="T73" i="51" s="1"/>
  <c r="T65" i="51"/>
  <c r="Z62" i="51"/>
  <c r="Z66" i="51" s="1"/>
  <c r="Z73" i="51" s="1"/>
  <c r="Z65" i="51"/>
  <c r="AE62" i="51"/>
  <c r="AE66" i="51" s="1"/>
  <c r="AE73" i="51" s="1"/>
  <c r="AE65" i="51"/>
  <c r="N62" i="51"/>
  <c r="N66" i="51" s="1"/>
  <c r="N73" i="51" s="1"/>
  <c r="N65" i="51"/>
  <c r="BQ27" i="52"/>
  <c r="BQ34" i="52" s="1"/>
  <c r="BQ35" i="52"/>
  <c r="AV66" i="51"/>
  <c r="AV73" i="51" s="1"/>
  <c r="T70" i="48"/>
  <c r="T67" i="48"/>
  <c r="AV65" i="51"/>
  <c r="AY62" i="48"/>
  <c r="AY66" i="48" s="1"/>
  <c r="AY73" i="48" s="1"/>
  <c r="AF65" i="51"/>
  <c r="AM70" i="50"/>
  <c r="AM67" i="50"/>
  <c r="BN70" i="50"/>
  <c r="BN67" i="50"/>
  <c r="J67" i="50"/>
  <c r="J70" i="50"/>
  <c r="AR67" i="50"/>
  <c r="AR70" i="50"/>
  <c r="BP31" i="52"/>
  <c r="BE70" i="50"/>
  <c r="BE67" i="50"/>
  <c r="AA67" i="48"/>
  <c r="AA70" i="48"/>
  <c r="P65" i="51"/>
  <c r="AB67" i="48"/>
  <c r="AB70" i="48"/>
  <c r="BI65" i="51"/>
  <c r="Z62" i="50"/>
  <c r="Z66" i="50" s="1"/>
  <c r="Z73" i="50" s="1"/>
  <c r="Z65" i="50"/>
  <c r="AZ65" i="51"/>
  <c r="BA67" i="50"/>
  <c r="BA70" i="50"/>
  <c r="K67" i="50"/>
  <c r="K70" i="50"/>
  <c r="X62" i="50"/>
  <c r="X66" i="50" s="1"/>
  <c r="X73" i="50" s="1"/>
  <c r="X65" i="50"/>
  <c r="BP32" i="52"/>
  <c r="O62" i="50"/>
  <c r="O66" i="50" s="1"/>
  <c r="O73" i="50" s="1"/>
  <c r="O65" i="50"/>
  <c r="AD67" i="48"/>
  <c r="AD70" i="48"/>
  <c r="BK70" i="50"/>
  <c r="BK67" i="50"/>
  <c r="AL60" i="51"/>
  <c r="AL61" i="51" s="1"/>
  <c r="BM65" i="51"/>
  <c r="AD67" i="50"/>
  <c r="AS65" i="51"/>
  <c r="AH65" i="51"/>
  <c r="L67" i="50"/>
  <c r="L70" i="50"/>
  <c r="R67" i="50"/>
  <c r="R70" i="50"/>
  <c r="AH66" i="51"/>
  <c r="AH73" i="51" s="1"/>
  <c r="AT70" i="50"/>
  <c r="AT67" i="50"/>
  <c r="M67" i="50"/>
  <c r="M70" i="50"/>
  <c r="AI70" i="50"/>
  <c r="AI67" i="50"/>
  <c r="BN67" i="48"/>
  <c r="BN70" i="48"/>
  <c r="BF70" i="50"/>
  <c r="BF67" i="50"/>
  <c r="W66" i="51"/>
  <c r="W73" i="51" s="1"/>
  <c r="AL70" i="50"/>
  <c r="AL67" i="50"/>
  <c r="V67" i="50"/>
  <c r="V70" i="50"/>
  <c r="AK66" i="51"/>
  <c r="AK73" i="51" s="1"/>
  <c r="BJ70" i="50"/>
  <c r="BJ67" i="50"/>
  <c r="BD70" i="50"/>
  <c r="BD67" i="50"/>
  <c r="W65" i="51"/>
  <c r="AG67" i="50"/>
  <c r="AG70" i="50"/>
  <c r="T67" i="50"/>
  <c r="T70" i="50"/>
  <c r="X65" i="51"/>
  <c r="V70" i="48"/>
  <c r="V67" i="48"/>
  <c r="BK65" i="51"/>
  <c r="I62" i="50"/>
  <c r="I66" i="50" s="1"/>
  <c r="I73" i="50" s="1"/>
  <c r="I65" i="50"/>
  <c r="P62" i="50"/>
  <c r="P66" i="50" s="1"/>
  <c r="P73" i="50" s="1"/>
  <c r="P65" i="50"/>
  <c r="BL70" i="50"/>
  <c r="BL67" i="50"/>
  <c r="AY62" i="50"/>
  <c r="AY66" i="50" s="1"/>
  <c r="AY73" i="50" s="1"/>
  <c r="AY65" i="50"/>
  <c r="BB62" i="50"/>
  <c r="BB66" i="50" s="1"/>
  <c r="BB73" i="50" s="1"/>
  <c r="BB65" i="50"/>
  <c r="BI62" i="50"/>
  <c r="BI66" i="50" s="1"/>
  <c r="BI73" i="50" s="1"/>
  <c r="BI65" i="50"/>
  <c r="BM70" i="50"/>
  <c r="BM67" i="50"/>
  <c r="P67" i="48"/>
  <c r="P70" i="48"/>
  <c r="AF66" i="51"/>
  <c r="AF73" i="51" s="1"/>
  <c r="AP70" i="48"/>
  <c r="AP67" i="48"/>
  <c r="BO47" i="52"/>
  <c r="BO59" i="52" s="1"/>
  <c r="AC65" i="51"/>
  <c r="AG65" i="51"/>
  <c r="AS70" i="50"/>
  <c r="AS67" i="50"/>
  <c r="AC70" i="50"/>
  <c r="AC67" i="50"/>
  <c r="AW65" i="51"/>
  <c r="S62" i="50"/>
  <c r="S66" i="50" s="1"/>
  <c r="S73" i="50" s="1"/>
  <c r="S65" i="50"/>
  <c r="AC66" i="51"/>
  <c r="AC73" i="51" s="1"/>
  <c r="AS62" i="48"/>
  <c r="AS66" i="48" s="1"/>
  <c r="AS73" i="48" s="1"/>
  <c r="AS65" i="48"/>
  <c r="AB65" i="51"/>
  <c r="W67" i="50"/>
  <c r="W70" i="50"/>
  <c r="AJ70" i="50"/>
  <c r="AJ67" i="50"/>
  <c r="I65" i="51"/>
  <c r="U67" i="50"/>
  <c r="U70" i="50"/>
  <c r="D67" i="48"/>
  <c r="AW66" i="51"/>
  <c r="AW73" i="51" s="1"/>
  <c r="AB70" i="50"/>
  <c r="AB67" i="50"/>
  <c r="BG70" i="48"/>
  <c r="AZ67" i="50"/>
  <c r="AZ70" i="50"/>
  <c r="AK70" i="50"/>
  <c r="AK67" i="50"/>
  <c r="AY65" i="51"/>
  <c r="O65" i="51"/>
  <c r="AF62" i="50"/>
  <c r="AF66" i="50" s="1"/>
  <c r="AF73" i="50" s="1"/>
  <c r="AF65" i="50"/>
  <c r="Y67" i="48"/>
  <c r="Y70" i="48"/>
  <c r="N62" i="50"/>
  <c r="N66" i="50" s="1"/>
  <c r="N73" i="50" s="1"/>
  <c r="N65" i="50"/>
  <c r="AW62" i="50"/>
  <c r="AW66" i="50" s="1"/>
  <c r="AW73" i="50" s="1"/>
  <c r="AW65" i="50"/>
  <c r="AM65" i="51"/>
  <c r="M65" i="51"/>
  <c r="AY66" i="51"/>
  <c r="AY73" i="51" s="1"/>
  <c r="B57" i="51"/>
  <c r="L67" i="48"/>
  <c r="L70" i="48"/>
  <c r="D70" i="50"/>
  <c r="D67" i="50"/>
  <c r="K65" i="51"/>
  <c r="AM66" i="51"/>
  <c r="AM73" i="51" s="1"/>
  <c r="AX67" i="50"/>
  <c r="AX70" i="50"/>
  <c r="AQ67" i="50"/>
  <c r="AQ70" i="50"/>
  <c r="BC65" i="51"/>
  <c r="AB66" i="51"/>
  <c r="AB73" i="51" s="1"/>
  <c r="BK62" i="48"/>
  <c r="BK66" i="48" s="1"/>
  <c r="BK73" i="48" s="1"/>
  <c r="BK65" i="48"/>
  <c r="H66" i="51"/>
  <c r="H73" i="51" s="1"/>
  <c r="AP67" i="50"/>
  <c r="AP70" i="50"/>
  <c r="H65" i="51"/>
  <c r="AQ60" i="51"/>
  <c r="AQ61" i="51" s="1"/>
  <c r="BH66" i="51"/>
  <c r="BH73" i="51" s="1"/>
  <c r="E62" i="48"/>
  <c r="E66" i="48" s="1"/>
  <c r="E73" i="48" s="1"/>
  <c r="BH65" i="51"/>
  <c r="AO70" i="48"/>
  <c r="AO67" i="48"/>
  <c r="BH62" i="50"/>
  <c r="BH66" i="50" s="1"/>
  <c r="BH73" i="50" s="1"/>
  <c r="BH65" i="50"/>
  <c r="AN65" i="51"/>
  <c r="Y70" i="50"/>
  <c r="Y67" i="50"/>
  <c r="BN38" i="49"/>
  <c r="BN40" i="49" s="1"/>
  <c r="BB70" i="48"/>
  <c r="J54" i="52"/>
  <c r="J60" i="52" s="1"/>
  <c r="J61" i="52" s="1"/>
  <c r="J57" i="52"/>
  <c r="AX60" i="51"/>
  <c r="AX61" i="51" s="1"/>
  <c r="AJ67" i="48"/>
  <c r="AN66" i="51"/>
  <c r="AN73" i="51" s="1"/>
  <c r="J67" i="48"/>
  <c r="J70" i="48"/>
  <c r="BE66" i="51"/>
  <c r="BE73" i="51" s="1"/>
  <c r="AJ60" i="51"/>
  <c r="AJ61" i="51" s="1"/>
  <c r="BF60" i="51"/>
  <c r="BF61" i="51" s="1"/>
  <c r="U62" i="48"/>
  <c r="U66" i="48" s="1"/>
  <c r="U73" i="48" s="1"/>
  <c r="U65" i="48"/>
  <c r="BE65" i="51"/>
  <c r="F70" i="50"/>
  <c r="F67" i="50"/>
  <c r="BO53" i="52"/>
  <c r="BB65" i="51"/>
  <c r="BJ70" i="48"/>
  <c r="AV70" i="50"/>
  <c r="AV67" i="50"/>
  <c r="AZ65" i="48" l="1"/>
  <c r="BB67" i="48"/>
  <c r="AE65" i="48"/>
  <c r="AE67" i="48" s="1"/>
  <c r="R65" i="48"/>
  <c r="R70" i="48" s="1"/>
  <c r="AG67" i="48"/>
  <c r="S65" i="48"/>
  <c r="S67" i="48" s="1"/>
  <c r="AU65" i="48"/>
  <c r="AU70" i="48" s="1"/>
  <c r="AU66" i="48"/>
  <c r="AU73" i="48" s="1"/>
  <c r="O66" i="48"/>
  <c r="O73" i="48" s="1"/>
  <c r="O65" i="48"/>
  <c r="G67" i="48"/>
  <c r="BC65" i="48"/>
  <c r="BC67" i="48" s="1"/>
  <c r="W66" i="48"/>
  <c r="W73" i="48" s="1"/>
  <c r="BA67" i="48"/>
  <c r="F65" i="48"/>
  <c r="F70" i="48" s="1"/>
  <c r="W65" i="48"/>
  <c r="W70" i="48" s="1"/>
  <c r="AK67" i="48"/>
  <c r="AT67" i="48"/>
  <c r="AK70" i="48"/>
  <c r="AI65" i="48"/>
  <c r="AI70" i="48" s="1"/>
  <c r="AI66" i="48"/>
  <c r="AI73" i="48" s="1"/>
  <c r="F66" i="48"/>
  <c r="AV60" i="48"/>
  <c r="AV61" i="48" s="1"/>
  <c r="K67" i="48"/>
  <c r="BE67" i="48"/>
  <c r="AX70" i="48"/>
  <c r="AT70" i="48"/>
  <c r="AM67" i="48"/>
  <c r="AF65" i="48"/>
  <c r="AF67" i="48" s="1"/>
  <c r="H62" i="48"/>
  <c r="H66" i="48" s="1"/>
  <c r="H73" i="48" s="1"/>
  <c r="BH62" i="48"/>
  <c r="BH66" i="48" s="1"/>
  <c r="BH73" i="48" s="1"/>
  <c r="Q65" i="48"/>
  <c r="Q70" i="48" s="1"/>
  <c r="M67" i="48"/>
  <c r="BD66" i="48"/>
  <c r="BD73" i="48" s="1"/>
  <c r="BD65" i="48"/>
  <c r="BD70" i="48" s="1"/>
  <c r="BI66" i="48"/>
  <c r="BI73" i="48" s="1"/>
  <c r="BI65" i="48"/>
  <c r="BI70" i="48" s="1"/>
  <c r="AW67" i="48"/>
  <c r="N67" i="48"/>
  <c r="AH65" i="48"/>
  <c r="AH67" i="48" s="1"/>
  <c r="BL65" i="48"/>
  <c r="BL70" i="48" s="1"/>
  <c r="B57" i="48"/>
  <c r="AQ67" i="48"/>
  <c r="BF60" i="48"/>
  <c r="BF61" i="48" s="1"/>
  <c r="BL66" i="48"/>
  <c r="BL73" i="48" s="1"/>
  <c r="AC60" i="48"/>
  <c r="AC61" i="48" s="1"/>
  <c r="I60" i="48"/>
  <c r="I61" i="48" s="1"/>
  <c r="AN67" i="48"/>
  <c r="Z67" i="48"/>
  <c r="AA54" i="52"/>
  <c r="AA60" i="52" s="1"/>
  <c r="AA61" i="52" s="1"/>
  <c r="AA62" i="52" s="1"/>
  <c r="AA66" i="52" s="1"/>
  <c r="AA73" i="52" s="1"/>
  <c r="X54" i="52"/>
  <c r="X60" i="52" s="1"/>
  <c r="X61" i="52" s="1"/>
  <c r="R57" i="52"/>
  <c r="S57" i="52"/>
  <c r="AR57" i="52"/>
  <c r="AN54" i="52"/>
  <c r="AN60" i="52" s="1"/>
  <c r="AN61" i="52" s="1"/>
  <c r="AN62" i="52" s="1"/>
  <c r="L54" i="52"/>
  <c r="L60" i="52" s="1"/>
  <c r="L61" i="52" s="1"/>
  <c r="L62" i="52" s="1"/>
  <c r="L66" i="52" s="1"/>
  <c r="L73" i="52" s="1"/>
  <c r="BH57" i="52"/>
  <c r="AB57" i="52"/>
  <c r="AE57" i="52"/>
  <c r="AF57" i="52"/>
  <c r="BM67" i="48"/>
  <c r="BA54" i="52"/>
  <c r="BA60" i="52" s="1"/>
  <c r="BA61" i="52" s="1"/>
  <c r="BA62" i="52" s="1"/>
  <c r="BA66" i="52" s="1"/>
  <c r="BA73" i="52" s="1"/>
  <c r="AL54" i="52"/>
  <c r="AL60" i="52" s="1"/>
  <c r="AL61" i="52" s="1"/>
  <c r="AL62" i="52" s="1"/>
  <c r="AQ57" i="52"/>
  <c r="AC54" i="52"/>
  <c r="AC60" i="52" s="1"/>
  <c r="AC61" i="52" s="1"/>
  <c r="AC62" i="52" s="1"/>
  <c r="BK57" i="52"/>
  <c r="U54" i="52"/>
  <c r="U60" i="52" s="1"/>
  <c r="U61" i="52" s="1"/>
  <c r="U62" i="52" s="1"/>
  <c r="U66" i="52" s="1"/>
  <c r="U73" i="52" s="1"/>
  <c r="W57" i="52"/>
  <c r="BJ54" i="52"/>
  <c r="BJ60" i="52" s="1"/>
  <c r="BJ61" i="52" s="1"/>
  <c r="BJ62" i="52" s="1"/>
  <c r="BJ66" i="52" s="1"/>
  <c r="BJ73" i="52" s="1"/>
  <c r="AP57" i="52"/>
  <c r="BL54" i="52"/>
  <c r="BL60" i="52" s="1"/>
  <c r="BL61" i="52" s="1"/>
  <c r="BL62" i="52" s="1"/>
  <c r="R67" i="48"/>
  <c r="BJ67" i="48"/>
  <c r="I54" i="52"/>
  <c r="I60" i="52" s="1"/>
  <c r="I61" i="52" s="1"/>
  <c r="I62" i="52" s="1"/>
  <c r="Z57" i="52"/>
  <c r="F57" i="52"/>
  <c r="BD57" i="52"/>
  <c r="AS54" i="52"/>
  <c r="AS60" i="52" s="1"/>
  <c r="AS61" i="52" s="1"/>
  <c r="V54" i="52"/>
  <c r="V60" i="52" s="1"/>
  <c r="V61" i="52" s="1"/>
  <c r="V62" i="52" s="1"/>
  <c r="BI57" i="52"/>
  <c r="AZ54" i="52"/>
  <c r="AZ60" i="52" s="1"/>
  <c r="AZ61" i="52" s="1"/>
  <c r="AZ62" i="52" s="1"/>
  <c r="N54" i="52"/>
  <c r="N60" i="52" s="1"/>
  <c r="N61" i="52" s="1"/>
  <c r="N62" i="52" s="1"/>
  <c r="E67" i="50"/>
  <c r="P57" i="52"/>
  <c r="AW57" i="52"/>
  <c r="T54" i="52"/>
  <c r="T60" i="52" s="1"/>
  <c r="T61" i="52" s="1"/>
  <c r="T62" i="52" s="1"/>
  <c r="Y54" i="52"/>
  <c r="Y60" i="52" s="1"/>
  <c r="Y61" i="52" s="1"/>
  <c r="Y62" i="52" s="1"/>
  <c r="AX57" i="52"/>
  <c r="AD54" i="52"/>
  <c r="AD60" i="52" s="1"/>
  <c r="AD61" i="52" s="1"/>
  <c r="K54" i="52"/>
  <c r="K60" i="52" s="1"/>
  <c r="K61" i="52" s="1"/>
  <c r="K62" i="52" s="1"/>
  <c r="E70" i="50"/>
  <c r="AM57" i="52"/>
  <c r="AV57" i="52"/>
  <c r="AO57" i="52"/>
  <c r="AJ57" i="52"/>
  <c r="BF57" i="52"/>
  <c r="D54" i="52"/>
  <c r="D60" i="52" s="1"/>
  <c r="D61" i="52" s="1"/>
  <c r="D62" i="52" s="1"/>
  <c r="D66" i="52" s="1"/>
  <c r="D73" i="52" s="1"/>
  <c r="AG57" i="52"/>
  <c r="O54" i="52"/>
  <c r="O60" i="52" s="1"/>
  <c r="O61" i="52" s="1"/>
  <c r="O62" i="52" s="1"/>
  <c r="AH54" i="52"/>
  <c r="AH60" i="52" s="1"/>
  <c r="AH61" i="52" s="1"/>
  <c r="AH62" i="52" s="1"/>
  <c r="AH66" i="52" s="1"/>
  <c r="AH73" i="52" s="1"/>
  <c r="BC54" i="52"/>
  <c r="BC60" i="52" s="1"/>
  <c r="BC61" i="52" s="1"/>
  <c r="BC62" i="52" s="1"/>
  <c r="AY57" i="52"/>
  <c r="E54" i="52"/>
  <c r="E60" i="52" s="1"/>
  <c r="E61" i="52" s="1"/>
  <c r="G54" i="52"/>
  <c r="G60" i="52" s="1"/>
  <c r="G61" i="52" s="1"/>
  <c r="G62" i="52" s="1"/>
  <c r="G66" i="52" s="1"/>
  <c r="G73" i="52" s="1"/>
  <c r="BE54" i="52"/>
  <c r="BE60" i="52" s="1"/>
  <c r="BE61" i="52" s="1"/>
  <c r="BN57" i="52"/>
  <c r="H54" i="52"/>
  <c r="H60" i="52" s="1"/>
  <c r="H61" i="52" s="1"/>
  <c r="H62" i="52" s="1"/>
  <c r="BG57" i="52"/>
  <c r="Q57" i="52"/>
  <c r="AT57" i="52"/>
  <c r="AU57" i="52"/>
  <c r="BM57" i="52"/>
  <c r="AI54" i="52"/>
  <c r="AI60" i="52" s="1"/>
  <c r="AI61" i="52" s="1"/>
  <c r="U67" i="51"/>
  <c r="M54" i="52"/>
  <c r="M60" i="52" s="1"/>
  <c r="M61" i="52" s="1"/>
  <c r="M62" i="52" s="1"/>
  <c r="M66" i="52" s="1"/>
  <c r="M73" i="52" s="1"/>
  <c r="BB57" i="52"/>
  <c r="BD67" i="51"/>
  <c r="AU67" i="50"/>
  <c r="B56" i="52"/>
  <c r="AK57" i="52"/>
  <c r="H67" i="50"/>
  <c r="AU67" i="51"/>
  <c r="AU70" i="51"/>
  <c r="BG67" i="50"/>
  <c r="AA73" i="51"/>
  <c r="AA67" i="51"/>
  <c r="J67" i="51"/>
  <c r="E67" i="51"/>
  <c r="BN67" i="51"/>
  <c r="AR67" i="51"/>
  <c r="BI62" i="52"/>
  <c r="BI66" i="52" s="1"/>
  <c r="BI73" i="52" s="1"/>
  <c r="BI65" i="52"/>
  <c r="BI70" i="52" s="1"/>
  <c r="E70" i="51"/>
  <c r="D73" i="51"/>
  <c r="D67" i="51"/>
  <c r="AJ60" i="52"/>
  <c r="AJ61" i="52" s="1"/>
  <c r="AY66" i="52"/>
  <c r="AY73" i="52" s="1"/>
  <c r="AH70" i="50"/>
  <c r="AH67" i="50"/>
  <c r="AM60" i="52"/>
  <c r="AM61" i="52" s="1"/>
  <c r="AM62" i="52" s="1"/>
  <c r="F60" i="52"/>
  <c r="F61" i="52" s="1"/>
  <c r="F62" i="52" s="1"/>
  <c r="AQ66" i="52"/>
  <c r="AQ73" i="52" s="1"/>
  <c r="BF66" i="52"/>
  <c r="BF73" i="52" s="1"/>
  <c r="J62" i="52"/>
  <c r="J66" i="52" s="1"/>
  <c r="J73" i="52" s="1"/>
  <c r="J65" i="52"/>
  <c r="BK62" i="52"/>
  <c r="BK66" i="52" s="1"/>
  <c r="BK73" i="52" s="1"/>
  <c r="BK65" i="52"/>
  <c r="BQ73" i="50"/>
  <c r="AX62" i="52"/>
  <c r="AX66" i="52" s="1"/>
  <c r="AX73" i="52" s="1"/>
  <c r="AX65" i="52"/>
  <c r="W62" i="52"/>
  <c r="W66" i="52" s="1"/>
  <c r="W73" i="52" s="1"/>
  <c r="W65" i="52"/>
  <c r="AR62" i="52"/>
  <c r="AR66" i="52" s="1"/>
  <c r="AR73" i="52" s="1"/>
  <c r="AR65" i="52"/>
  <c r="AK62" i="52"/>
  <c r="AK66" i="52" s="1"/>
  <c r="AK73" i="52" s="1"/>
  <c r="AK65" i="52"/>
  <c r="S62" i="52"/>
  <c r="S66" i="52" s="1"/>
  <c r="S73" i="52" s="1"/>
  <c r="S65" i="52"/>
  <c r="P62" i="52"/>
  <c r="P66" i="52" s="1"/>
  <c r="P73" i="52" s="1"/>
  <c r="P65" i="52"/>
  <c r="AO62" i="52"/>
  <c r="AO66" i="52" s="1"/>
  <c r="AO73" i="52" s="1"/>
  <c r="AO65" i="52"/>
  <c r="BB62" i="52"/>
  <c r="BB66" i="52" s="1"/>
  <c r="BB73" i="52" s="1"/>
  <c r="BB65" i="52"/>
  <c r="C75" i="50"/>
  <c r="H70" i="48"/>
  <c r="Q65" i="52"/>
  <c r="Q70" i="52" s="1"/>
  <c r="O67" i="50"/>
  <c r="O70" i="50"/>
  <c r="BF65" i="52"/>
  <c r="BG60" i="52"/>
  <c r="BG61" i="52" s="1"/>
  <c r="BA70" i="51"/>
  <c r="BA67" i="51"/>
  <c r="AW70" i="50"/>
  <c r="AW67" i="50"/>
  <c r="U70" i="48"/>
  <c r="U67" i="48"/>
  <c r="AZ70" i="51"/>
  <c r="AZ67" i="51"/>
  <c r="Z67" i="51"/>
  <c r="Z70" i="51"/>
  <c r="K70" i="51"/>
  <c r="K67" i="51"/>
  <c r="N67" i="50"/>
  <c r="N70" i="50"/>
  <c r="S67" i="50"/>
  <c r="S70" i="50"/>
  <c r="BM60" i="52"/>
  <c r="BM61" i="52" s="1"/>
  <c r="Q66" i="52"/>
  <c r="BP38" i="52"/>
  <c r="AY67" i="50"/>
  <c r="AY70" i="50"/>
  <c r="BB70" i="51"/>
  <c r="BB67" i="51"/>
  <c r="BH60" i="52"/>
  <c r="BH61" i="52" s="1"/>
  <c r="AV60" i="52"/>
  <c r="AV61" i="52" s="1"/>
  <c r="Z70" i="50"/>
  <c r="Z67" i="50"/>
  <c r="Y67" i="51"/>
  <c r="Y70" i="51"/>
  <c r="AO70" i="51"/>
  <c r="AO67" i="51"/>
  <c r="T70" i="51"/>
  <c r="T67" i="51"/>
  <c r="AS67" i="51"/>
  <c r="AS70" i="51"/>
  <c r="BM67" i="51"/>
  <c r="BM70" i="51"/>
  <c r="X67" i="50"/>
  <c r="X70" i="50"/>
  <c r="BI70" i="51"/>
  <c r="BI67" i="51"/>
  <c r="R70" i="51"/>
  <c r="R67" i="51"/>
  <c r="AG60" i="52"/>
  <c r="AG61" i="52" s="1"/>
  <c r="AN70" i="51"/>
  <c r="AN67" i="51"/>
  <c r="AE60" i="52"/>
  <c r="AE61" i="52" s="1"/>
  <c r="BD65" i="52"/>
  <c r="AF65" i="52"/>
  <c r="AL62" i="51"/>
  <c r="AL66" i="51" s="1"/>
  <c r="AL73" i="51" s="1"/>
  <c r="AL65" i="51"/>
  <c r="S70" i="51"/>
  <c r="S67" i="51"/>
  <c r="AI67" i="51"/>
  <c r="AI70" i="51"/>
  <c r="AQ62" i="51"/>
  <c r="AQ66" i="51" s="1"/>
  <c r="AQ73" i="51" s="1"/>
  <c r="AQ65" i="51"/>
  <c r="AW65" i="52"/>
  <c r="R66" i="52"/>
  <c r="R73" i="52" s="1"/>
  <c r="BQ28" i="52"/>
  <c r="AF66" i="52"/>
  <c r="AF73" i="52" s="1"/>
  <c r="AJ62" i="51"/>
  <c r="AJ66" i="51" s="1"/>
  <c r="AJ73" i="51" s="1"/>
  <c r="AJ65" i="51"/>
  <c r="AW67" i="51"/>
  <c r="AW70" i="51"/>
  <c r="BD66" i="52"/>
  <c r="BD73" i="52" s="1"/>
  <c r="P67" i="51"/>
  <c r="P70" i="51"/>
  <c r="BR22" i="52"/>
  <c r="BR26" i="52" s="1"/>
  <c r="L70" i="51"/>
  <c r="L67" i="51"/>
  <c r="BF62" i="51"/>
  <c r="BF66" i="51" s="1"/>
  <c r="BF73" i="51" s="1"/>
  <c r="BF65" i="51"/>
  <c r="BH70" i="50"/>
  <c r="BH67" i="50"/>
  <c r="AB67" i="51"/>
  <c r="AB70" i="51"/>
  <c r="AZ67" i="48"/>
  <c r="AZ70" i="48"/>
  <c r="AT60" i="52"/>
  <c r="AT61" i="52" s="1"/>
  <c r="BN60" i="52"/>
  <c r="BN61" i="52" s="1"/>
  <c r="BH70" i="48"/>
  <c r="BL67" i="51"/>
  <c r="BL70" i="51"/>
  <c r="P67" i="50"/>
  <c r="P70" i="50"/>
  <c r="W67" i="51"/>
  <c r="W70" i="51"/>
  <c r="R65" i="52"/>
  <c r="AF70" i="51"/>
  <c r="AF67" i="51"/>
  <c r="N67" i="51"/>
  <c r="N70" i="51"/>
  <c r="BG70" i="51"/>
  <c r="BG67" i="51"/>
  <c r="AY67" i="48"/>
  <c r="AY70" i="48"/>
  <c r="Z65" i="52"/>
  <c r="V67" i="51"/>
  <c r="V70" i="51"/>
  <c r="AS67" i="48"/>
  <c r="AS70" i="48"/>
  <c r="AP66" i="52"/>
  <c r="AP73" i="52" s="1"/>
  <c r="F67" i="51"/>
  <c r="AF67" i="50"/>
  <c r="AF70" i="50"/>
  <c r="AG70" i="51"/>
  <c r="AG67" i="51"/>
  <c r="AV67" i="51"/>
  <c r="AV70" i="51"/>
  <c r="AP67" i="51"/>
  <c r="AP70" i="51"/>
  <c r="AH70" i="51"/>
  <c r="AH67" i="51"/>
  <c r="BK67" i="48"/>
  <c r="BK70" i="48"/>
  <c r="BE70" i="51"/>
  <c r="BE67" i="51"/>
  <c r="BP73" i="50"/>
  <c r="M67" i="51"/>
  <c r="M70" i="51"/>
  <c r="BI70" i="50"/>
  <c r="BI67" i="50"/>
  <c r="I67" i="50"/>
  <c r="I70" i="50"/>
  <c r="AK67" i="51"/>
  <c r="Z66" i="52"/>
  <c r="Z73" i="52" s="1"/>
  <c r="AE70" i="51"/>
  <c r="AE67" i="51"/>
  <c r="X67" i="51"/>
  <c r="X70" i="51"/>
  <c r="AW66" i="52"/>
  <c r="AW73" i="52" s="1"/>
  <c r="AP65" i="52"/>
  <c r="H67" i="51"/>
  <c r="H70" i="51"/>
  <c r="AX62" i="51"/>
  <c r="AX66" i="51" s="1"/>
  <c r="AX73" i="51" s="1"/>
  <c r="AX65" i="51"/>
  <c r="AC70" i="51"/>
  <c r="AC67" i="51"/>
  <c r="AU60" i="52"/>
  <c r="AU61" i="52" s="1"/>
  <c r="AD70" i="51"/>
  <c r="AD67" i="51"/>
  <c r="BJ67" i="51"/>
  <c r="BJ70" i="51"/>
  <c r="BH70" i="51"/>
  <c r="BH67" i="51"/>
  <c r="AB60" i="52"/>
  <c r="AB61" i="52" s="1"/>
  <c r="BB67" i="50"/>
  <c r="BB70" i="50"/>
  <c r="BK67" i="51"/>
  <c r="BK70" i="51"/>
  <c r="AY65" i="52"/>
  <c r="G67" i="51"/>
  <c r="G70" i="51"/>
  <c r="BO54" i="52"/>
  <c r="BO60" i="52" s="1"/>
  <c r="BO61" i="52" s="1"/>
  <c r="BO62" i="52" s="1"/>
  <c r="BO57" i="52"/>
  <c r="AE70" i="48"/>
  <c r="BN41" i="49"/>
  <c r="BN45" i="49"/>
  <c r="E67" i="48"/>
  <c r="E70" i="48"/>
  <c r="BC67" i="51"/>
  <c r="BC70" i="51"/>
  <c r="AM70" i="51"/>
  <c r="AM67" i="51"/>
  <c r="O67" i="51"/>
  <c r="O70" i="51"/>
  <c r="AY70" i="51"/>
  <c r="AY67" i="51"/>
  <c r="AQ65" i="52"/>
  <c r="I67" i="51"/>
  <c r="I70" i="51"/>
  <c r="AT67" i="51"/>
  <c r="AT70" i="51"/>
  <c r="S70" i="48" l="1"/>
  <c r="AU67" i="48"/>
  <c r="O67" i="48"/>
  <c r="O70" i="48"/>
  <c r="W67" i="48"/>
  <c r="BC70" i="48"/>
  <c r="AI67" i="48"/>
  <c r="H67" i="48"/>
  <c r="AF70" i="48"/>
  <c r="BH67" i="48"/>
  <c r="F73" i="48"/>
  <c r="F67" i="48"/>
  <c r="AV62" i="48"/>
  <c r="AV66" i="48" s="1"/>
  <c r="AV73" i="48" s="1"/>
  <c r="AV65" i="48"/>
  <c r="BD67" i="48"/>
  <c r="BI67" i="48"/>
  <c r="AH70" i="48"/>
  <c r="BL67" i="48"/>
  <c r="BF62" i="48"/>
  <c r="BF66" i="48" s="1"/>
  <c r="BF73" i="48" s="1"/>
  <c r="BF65" i="48"/>
  <c r="I62" i="48"/>
  <c r="I66" i="48" s="1"/>
  <c r="I73" i="48" s="1"/>
  <c r="I65" i="48"/>
  <c r="AC62" i="48"/>
  <c r="AC66" i="48" s="1"/>
  <c r="AC73" i="48" s="1"/>
  <c r="AC65" i="48"/>
  <c r="AA65" i="52"/>
  <c r="AA67" i="52" s="1"/>
  <c r="AN65" i="52"/>
  <c r="AN70" i="52" s="1"/>
  <c r="AN66" i="52"/>
  <c r="AN73" i="52" s="1"/>
  <c r="AL65" i="52"/>
  <c r="AL70" i="52" s="1"/>
  <c r="AL66" i="52"/>
  <c r="AL73" i="52" s="1"/>
  <c r="L65" i="52"/>
  <c r="L70" i="52" s="1"/>
  <c r="AC65" i="52"/>
  <c r="AC70" i="52" s="1"/>
  <c r="BA65" i="52"/>
  <c r="BA67" i="52" s="1"/>
  <c r="U65" i="52"/>
  <c r="U70" i="52" s="1"/>
  <c r="AC66" i="52"/>
  <c r="AC73" i="52" s="1"/>
  <c r="BL66" i="52"/>
  <c r="BL73" i="52" s="1"/>
  <c r="BL65" i="52"/>
  <c r="BL70" i="52" s="1"/>
  <c r="BJ65" i="52"/>
  <c r="BJ70" i="52" s="1"/>
  <c r="V65" i="52"/>
  <c r="V70" i="52" s="1"/>
  <c r="K65" i="52"/>
  <c r="K70" i="52" s="1"/>
  <c r="N66" i="52"/>
  <c r="N73" i="52" s="1"/>
  <c r="D65" i="52"/>
  <c r="D67" i="52" s="1"/>
  <c r="N65" i="52"/>
  <c r="N70" i="52" s="1"/>
  <c r="V66" i="52"/>
  <c r="V73" i="52" s="1"/>
  <c r="O66" i="52"/>
  <c r="O73" i="52" s="1"/>
  <c r="K66" i="52"/>
  <c r="K73" i="52" s="1"/>
  <c r="O65" i="52"/>
  <c r="O70" i="52" s="1"/>
  <c r="T65" i="52"/>
  <c r="T66" i="52"/>
  <c r="T73" i="52" s="1"/>
  <c r="BC66" i="52"/>
  <c r="BC73" i="52" s="1"/>
  <c r="AH65" i="52"/>
  <c r="AH70" i="52" s="1"/>
  <c r="H66" i="52"/>
  <c r="H73" i="52" s="1"/>
  <c r="BC65" i="52"/>
  <c r="BC70" i="52" s="1"/>
  <c r="M65" i="52"/>
  <c r="M70" i="52" s="1"/>
  <c r="H65" i="52"/>
  <c r="H70" i="52" s="1"/>
  <c r="G65" i="52"/>
  <c r="G67" i="52" s="1"/>
  <c r="B57" i="52"/>
  <c r="AM65" i="52"/>
  <c r="AM70" i="52" s="1"/>
  <c r="BI67" i="52"/>
  <c r="F65" i="52"/>
  <c r="F70" i="52" s="1"/>
  <c r="AM66" i="52"/>
  <c r="AM73" i="52" s="1"/>
  <c r="I65" i="52"/>
  <c r="I70" i="52" s="1"/>
  <c r="BQ70" i="50"/>
  <c r="K7" i="46" s="1"/>
  <c r="Q65" i="1" s="1"/>
  <c r="L10" i="55" s="1"/>
  <c r="AZ65" i="52"/>
  <c r="AZ66" i="52"/>
  <c r="AZ73" i="52" s="1"/>
  <c r="BP67" i="50"/>
  <c r="E7" i="46" s="1"/>
  <c r="I65" i="1" s="1"/>
  <c r="F10" i="55" s="1"/>
  <c r="AJ62" i="52"/>
  <c r="AJ66" i="52" s="1"/>
  <c r="AJ73" i="52" s="1"/>
  <c r="AJ65" i="52"/>
  <c r="BP70" i="50"/>
  <c r="I7" i="46" s="1"/>
  <c r="N65" i="1" s="1"/>
  <c r="K159" i="1" s="1"/>
  <c r="BN46" i="49"/>
  <c r="B50" i="49" s="1"/>
  <c r="I66" i="52"/>
  <c r="I73" i="52" s="1"/>
  <c r="Y65" i="52"/>
  <c r="Y70" i="52" s="1"/>
  <c r="F66" i="52"/>
  <c r="F73" i="52" s="1"/>
  <c r="Y66" i="52"/>
  <c r="Y73" i="52" s="1"/>
  <c r="BP73" i="51"/>
  <c r="BQ73" i="51"/>
  <c r="AI62" i="52"/>
  <c r="AI66" i="52" s="1"/>
  <c r="AI73" i="52" s="1"/>
  <c r="AI65" i="52"/>
  <c r="AO67" i="52"/>
  <c r="AO70" i="52"/>
  <c r="L18" i="55"/>
  <c r="O7" i="46"/>
  <c r="BD70" i="52"/>
  <c r="BD67" i="52"/>
  <c r="BM62" i="52"/>
  <c r="BM66" i="52" s="1"/>
  <c r="BM73" i="52" s="1"/>
  <c r="BM65" i="52"/>
  <c r="AY67" i="52"/>
  <c r="AY70" i="52"/>
  <c r="AF70" i="52"/>
  <c r="AF67" i="52"/>
  <c r="AE62" i="52"/>
  <c r="AE66" i="52" s="1"/>
  <c r="AE73" i="52" s="1"/>
  <c r="AE65" i="52"/>
  <c r="BG62" i="52"/>
  <c r="BG66" i="52" s="1"/>
  <c r="BG73" i="52" s="1"/>
  <c r="BG65" i="52"/>
  <c r="BQ67" i="50"/>
  <c r="G7" i="46" s="1"/>
  <c r="L65" i="1" s="1"/>
  <c r="H10" i="55" s="1"/>
  <c r="P70" i="52"/>
  <c r="P67" i="52"/>
  <c r="AX70" i="51"/>
  <c r="AX67" i="51"/>
  <c r="X62" i="52"/>
  <c r="X66" i="52" s="1"/>
  <c r="X73" i="52" s="1"/>
  <c r="X65" i="52"/>
  <c r="Z70" i="52"/>
  <c r="Z67" i="52"/>
  <c r="BF70" i="52"/>
  <c r="BF67" i="52"/>
  <c r="AQ67" i="52"/>
  <c r="AQ70" i="52"/>
  <c r="BF70" i="51"/>
  <c r="BF67" i="51"/>
  <c r="BQ30" i="52"/>
  <c r="BQ32" i="52" s="1"/>
  <c r="AG62" i="52"/>
  <c r="AG66" i="52" s="1"/>
  <c r="AG73" i="52" s="1"/>
  <c r="AG65" i="52"/>
  <c r="R67" i="52"/>
  <c r="R70" i="52"/>
  <c r="AJ67" i="51"/>
  <c r="AJ70" i="51"/>
  <c r="BN44" i="49"/>
  <c r="AB62" i="52"/>
  <c r="AB66" i="52" s="1"/>
  <c r="AB73" i="52" s="1"/>
  <c r="AB65" i="52"/>
  <c r="AV62" i="52"/>
  <c r="AV66" i="52" s="1"/>
  <c r="AV73" i="52" s="1"/>
  <c r="AV65" i="52"/>
  <c r="AD62" i="52"/>
  <c r="AD66" i="52" s="1"/>
  <c r="AD73" i="52" s="1"/>
  <c r="AD65" i="52"/>
  <c r="BH62" i="52"/>
  <c r="BH66" i="52" s="1"/>
  <c r="BH73" i="52" s="1"/>
  <c r="BH65" i="52"/>
  <c r="AW67" i="52"/>
  <c r="AW70" i="52"/>
  <c r="BR23" i="52"/>
  <c r="BR24" i="52" s="1"/>
  <c r="AQ67" i="51"/>
  <c r="AQ70" i="51"/>
  <c r="S67" i="52"/>
  <c r="S70" i="52"/>
  <c r="AX67" i="52"/>
  <c r="AX70" i="52"/>
  <c r="J18" i="55"/>
  <c r="M7" i="46"/>
  <c r="AK70" i="52"/>
  <c r="AK67" i="52"/>
  <c r="BK70" i="52"/>
  <c r="BK67" i="52"/>
  <c r="AS62" i="52"/>
  <c r="AS66" i="52" s="1"/>
  <c r="AS73" i="52" s="1"/>
  <c r="AS65" i="52"/>
  <c r="AP67" i="52"/>
  <c r="AP70" i="52"/>
  <c r="BN62" i="52"/>
  <c r="BN66" i="52" s="1"/>
  <c r="BN73" i="52" s="1"/>
  <c r="BN65" i="52"/>
  <c r="BB70" i="52"/>
  <c r="BB67" i="52"/>
  <c r="AT62" i="52"/>
  <c r="AT66" i="52" s="1"/>
  <c r="AT73" i="52" s="1"/>
  <c r="AT65" i="52"/>
  <c r="BO66" i="52"/>
  <c r="BO73" i="52" s="1"/>
  <c r="AR67" i="52"/>
  <c r="AR70" i="52"/>
  <c r="J67" i="52"/>
  <c r="J70" i="52"/>
  <c r="AL70" i="51"/>
  <c r="AL67" i="51"/>
  <c r="BP40" i="52"/>
  <c r="BQ39" i="52"/>
  <c r="C75" i="51"/>
  <c r="AU62" i="52"/>
  <c r="AU66" i="52" s="1"/>
  <c r="AU73" i="52" s="1"/>
  <c r="AU65" i="52"/>
  <c r="BO65" i="52"/>
  <c r="E62" i="52"/>
  <c r="E66" i="52" s="1"/>
  <c r="E73" i="52" s="1"/>
  <c r="E65" i="52"/>
  <c r="BE62" i="52"/>
  <c r="BE66" i="52" s="1"/>
  <c r="BE73" i="52" s="1"/>
  <c r="BE65" i="52"/>
  <c r="W70" i="52"/>
  <c r="W67" i="52"/>
  <c r="AV70" i="48" l="1"/>
  <c r="AV67" i="48"/>
  <c r="BF67" i="48"/>
  <c r="BF70" i="48"/>
  <c r="AC67" i="48"/>
  <c r="AC70" i="48"/>
  <c r="I67" i="48"/>
  <c r="I70" i="48"/>
  <c r="C75" i="48"/>
  <c r="BP73" i="48"/>
  <c r="BQ73" i="48"/>
  <c r="AA70" i="52"/>
  <c r="AN67" i="52"/>
  <c r="L67" i="52"/>
  <c r="AL67" i="52"/>
  <c r="BA70" i="52"/>
  <c r="U67" i="52"/>
  <c r="AC67" i="52"/>
  <c r="BL67" i="52"/>
  <c r="BJ67" i="52"/>
  <c r="N67" i="52"/>
  <c r="D70" i="52"/>
  <c r="V67" i="52"/>
  <c r="AH67" i="52"/>
  <c r="M67" i="52"/>
  <c r="K67" i="52"/>
  <c r="T67" i="52"/>
  <c r="T70" i="52"/>
  <c r="O67" i="52"/>
  <c r="H67" i="52"/>
  <c r="G70" i="52"/>
  <c r="BC67" i="52"/>
  <c r="AM67" i="52"/>
  <c r="BN47" i="49"/>
  <c r="BN59" i="49" s="1"/>
  <c r="B49" i="49"/>
  <c r="AI53" i="49" s="1"/>
  <c r="I67" i="52"/>
  <c r="AZ67" i="52"/>
  <c r="AZ70" i="52"/>
  <c r="J10" i="55"/>
  <c r="BQ67" i="51"/>
  <c r="G8" i="46" s="1"/>
  <c r="L66" i="1" s="1"/>
  <c r="H11" i="55" s="1"/>
  <c r="F67" i="52"/>
  <c r="BP67" i="51"/>
  <c r="E8" i="46" s="1"/>
  <c r="I66" i="1" s="1"/>
  <c r="F11" i="55" s="1"/>
  <c r="BQ70" i="51"/>
  <c r="K8" i="46" s="1"/>
  <c r="Q66" i="1" s="1"/>
  <c r="L11" i="55" s="1"/>
  <c r="AJ70" i="52"/>
  <c r="AJ67" i="52"/>
  <c r="Y67" i="52"/>
  <c r="BR27" i="52"/>
  <c r="BR34" i="52" s="1"/>
  <c r="BR35" i="52"/>
  <c r="C75" i="52"/>
  <c r="L19" i="55"/>
  <c r="O8" i="46"/>
  <c r="BP41" i="52"/>
  <c r="BP45" i="52"/>
  <c r="BH70" i="52"/>
  <c r="BH67" i="52"/>
  <c r="BQ31" i="52"/>
  <c r="BP70" i="51"/>
  <c r="I8" i="46" s="1"/>
  <c r="N66" i="1" s="1"/>
  <c r="AG70" i="52"/>
  <c r="AG67" i="52"/>
  <c r="J19" i="55"/>
  <c r="M8" i="46"/>
  <c r="BN70" i="52"/>
  <c r="BN67" i="52"/>
  <c r="AB70" i="52"/>
  <c r="AB67" i="52"/>
  <c r="BG70" i="52"/>
  <c r="BG67" i="52"/>
  <c r="BQ38" i="52"/>
  <c r="BQ40" i="52" s="1"/>
  <c r="BM70" i="52"/>
  <c r="BM67" i="52"/>
  <c r="AE67" i="52"/>
  <c r="AE70" i="52"/>
  <c r="AI70" i="52"/>
  <c r="AI67" i="52"/>
  <c r="AD67" i="52"/>
  <c r="AD70" i="52"/>
  <c r="AU67" i="52"/>
  <c r="AU70" i="52"/>
  <c r="BE70" i="52"/>
  <c r="BE67" i="52"/>
  <c r="X70" i="52"/>
  <c r="X67" i="52"/>
  <c r="AV70" i="52"/>
  <c r="AV67" i="52"/>
  <c r="AS67" i="52"/>
  <c r="AS70" i="52"/>
  <c r="E70" i="52"/>
  <c r="E67" i="52"/>
  <c r="BO67" i="52"/>
  <c r="BO70" i="52"/>
  <c r="AT67" i="52"/>
  <c r="AT70" i="52"/>
  <c r="L16" i="55" l="1"/>
  <c r="O5" i="46"/>
  <c r="BQ67" i="48"/>
  <c r="G5" i="46" s="1"/>
  <c r="L63" i="1" s="1"/>
  <c r="H8" i="55" s="1"/>
  <c r="BP67" i="48"/>
  <c r="E5" i="46" s="1"/>
  <c r="I63" i="1" s="1"/>
  <c r="F8" i="55" s="1"/>
  <c r="M5" i="46"/>
  <c r="J16" i="55"/>
  <c r="BP70" i="48"/>
  <c r="I5" i="46" s="1"/>
  <c r="N63" i="1" s="1"/>
  <c r="J8" i="55" s="1"/>
  <c r="BQ70" i="48"/>
  <c r="K5" i="46" s="1"/>
  <c r="Q63" i="1" s="1"/>
  <c r="L8" i="55" s="1"/>
  <c r="BD53" i="49"/>
  <c r="BD57" i="49" s="1"/>
  <c r="AY53" i="49"/>
  <c r="AY54" i="49" s="1"/>
  <c r="H53" i="49"/>
  <c r="H54" i="49" s="1"/>
  <c r="H60" i="49" s="1"/>
  <c r="H61" i="49" s="1"/>
  <c r="H62" i="49" s="1"/>
  <c r="AH53" i="49"/>
  <c r="AH57" i="49" s="1"/>
  <c r="L53" i="49"/>
  <c r="L54" i="49" s="1"/>
  <c r="L60" i="49" s="1"/>
  <c r="L61" i="49" s="1"/>
  <c r="AE53" i="49"/>
  <c r="AE54" i="49" s="1"/>
  <c r="AE60" i="49" s="1"/>
  <c r="AE61" i="49" s="1"/>
  <c r="AE62" i="49" s="1"/>
  <c r="K53" i="49"/>
  <c r="K57" i="49" s="1"/>
  <c r="AV53" i="49"/>
  <c r="AV57" i="49" s="1"/>
  <c r="AB53" i="49"/>
  <c r="AB54" i="49" s="1"/>
  <c r="AB60" i="49" s="1"/>
  <c r="AB61" i="49" s="1"/>
  <c r="G53" i="49"/>
  <c r="G54" i="49" s="1"/>
  <c r="G60" i="49" s="1"/>
  <c r="G61" i="49" s="1"/>
  <c r="G62" i="49" s="1"/>
  <c r="AA53" i="49"/>
  <c r="AA57" i="49" s="1"/>
  <c r="T53" i="49"/>
  <c r="T57" i="49" s="1"/>
  <c r="W53" i="49"/>
  <c r="W57" i="49" s="1"/>
  <c r="BL53" i="49"/>
  <c r="BL54" i="49" s="1"/>
  <c r="BL60" i="49" s="1"/>
  <c r="BL61" i="49" s="1"/>
  <c r="BL62" i="49" s="1"/>
  <c r="BC53" i="49"/>
  <c r="BC54" i="49" s="1"/>
  <c r="I53" i="49"/>
  <c r="I54" i="49" s="1"/>
  <c r="I60" i="49" s="1"/>
  <c r="I61" i="49" s="1"/>
  <c r="I62" i="49" s="1"/>
  <c r="BA53" i="49"/>
  <c r="BA54" i="49" s="1"/>
  <c r="BA60" i="49" s="1"/>
  <c r="BA61" i="49" s="1"/>
  <c r="D53" i="49"/>
  <c r="D57" i="49" s="1"/>
  <c r="AT53" i="49"/>
  <c r="AT54" i="49" s="1"/>
  <c r="AT60" i="49" s="1"/>
  <c r="AT61" i="49" s="1"/>
  <c r="AT62" i="49" s="1"/>
  <c r="AS53" i="49"/>
  <c r="AS54" i="49" s="1"/>
  <c r="AO53" i="49"/>
  <c r="AO54" i="49" s="1"/>
  <c r="AO60" i="49" s="1"/>
  <c r="AO61" i="49" s="1"/>
  <c r="AO62" i="49" s="1"/>
  <c r="AG53" i="49"/>
  <c r="AG57" i="49" s="1"/>
  <c r="Z53" i="49"/>
  <c r="Z54" i="49" s="1"/>
  <c r="Z60" i="49" s="1"/>
  <c r="Z61" i="49" s="1"/>
  <c r="Z62" i="49" s="1"/>
  <c r="Y53" i="49"/>
  <c r="Y54" i="49" s="1"/>
  <c r="Y60" i="49" s="1"/>
  <c r="Y61" i="49" s="1"/>
  <c r="Y62" i="49" s="1"/>
  <c r="AR53" i="49"/>
  <c r="AR57" i="49" s="1"/>
  <c r="BJ53" i="49"/>
  <c r="BJ57" i="49" s="1"/>
  <c r="AN53" i="49"/>
  <c r="AN57" i="49" s="1"/>
  <c r="R53" i="49"/>
  <c r="R57" i="49" s="1"/>
  <c r="BI53" i="49"/>
  <c r="BI54" i="49" s="1"/>
  <c r="BI60" i="49" s="1"/>
  <c r="BI61" i="49" s="1"/>
  <c r="AC53" i="49"/>
  <c r="AC54" i="49" s="1"/>
  <c r="AC60" i="49" s="1"/>
  <c r="AC61" i="49" s="1"/>
  <c r="Q53" i="49"/>
  <c r="Q57" i="49" s="1"/>
  <c r="V53" i="49"/>
  <c r="V54" i="49" s="1"/>
  <c r="V60" i="49" s="1"/>
  <c r="V61" i="49" s="1"/>
  <c r="V62" i="49" s="1"/>
  <c r="X53" i="49"/>
  <c r="X57" i="49" s="1"/>
  <c r="AM53" i="49"/>
  <c r="AM54" i="49" s="1"/>
  <c r="AM60" i="49" s="1"/>
  <c r="AM61" i="49" s="1"/>
  <c r="S53" i="49"/>
  <c r="S57" i="49" s="1"/>
  <c r="BH53" i="49"/>
  <c r="BH57" i="49" s="1"/>
  <c r="J53" i="49"/>
  <c r="J57" i="49" s="1"/>
  <c r="AL53" i="49"/>
  <c r="AL54" i="49" s="1"/>
  <c r="AL60" i="49" s="1"/>
  <c r="AL61" i="49" s="1"/>
  <c r="AL62" i="49" s="1"/>
  <c r="BB53" i="49"/>
  <c r="BB57" i="49" s="1"/>
  <c r="P53" i="49"/>
  <c r="P54" i="49" s="1"/>
  <c r="E53" i="49"/>
  <c r="E54" i="49" s="1"/>
  <c r="BG53" i="49"/>
  <c r="BG57" i="49" s="1"/>
  <c r="AZ53" i="49"/>
  <c r="AZ54" i="49" s="1"/>
  <c r="AZ60" i="49" s="1"/>
  <c r="AZ61" i="49" s="1"/>
  <c r="AZ62" i="49" s="1"/>
  <c r="AK53" i="49"/>
  <c r="AK54" i="49" s="1"/>
  <c r="AK60" i="49" s="1"/>
  <c r="AK61" i="49" s="1"/>
  <c r="AX53" i="49"/>
  <c r="AX57" i="49" s="1"/>
  <c r="O53" i="49"/>
  <c r="O57" i="49" s="1"/>
  <c r="AJ53" i="49"/>
  <c r="AJ54" i="49" s="1"/>
  <c r="AJ60" i="49" s="1"/>
  <c r="AJ61" i="49" s="1"/>
  <c r="AJ62" i="49" s="1"/>
  <c r="AQ53" i="49"/>
  <c r="AQ54" i="49" s="1"/>
  <c r="AQ60" i="49" s="1"/>
  <c r="AQ61" i="49" s="1"/>
  <c r="AQ62" i="49" s="1"/>
  <c r="AF53" i="49"/>
  <c r="AF54" i="49" s="1"/>
  <c r="AF60" i="49" s="1"/>
  <c r="AF61" i="49" s="1"/>
  <c r="AF62" i="49" s="1"/>
  <c r="AP53" i="49"/>
  <c r="AP57" i="49" s="1"/>
  <c r="N53" i="49"/>
  <c r="N54" i="49" s="1"/>
  <c r="N60" i="49" s="1"/>
  <c r="N61" i="49" s="1"/>
  <c r="BE53" i="49"/>
  <c r="BE54" i="49" s="1"/>
  <c r="BE60" i="49" s="1"/>
  <c r="BE61" i="49" s="1"/>
  <c r="BN53" i="49"/>
  <c r="BN54" i="49" s="1"/>
  <c r="BN60" i="49" s="1"/>
  <c r="BN61" i="49" s="1"/>
  <c r="BN62" i="49" s="1"/>
  <c r="F53" i="49"/>
  <c r="F57" i="49" s="1"/>
  <c r="U53" i="49"/>
  <c r="U57" i="49" s="1"/>
  <c r="AW53" i="49"/>
  <c r="AW57" i="49" s="1"/>
  <c r="M53" i="49"/>
  <c r="M57" i="49" s="1"/>
  <c r="BM53" i="49"/>
  <c r="BM54" i="49" s="1"/>
  <c r="BM60" i="49" s="1"/>
  <c r="BM61" i="49" s="1"/>
  <c r="BM62" i="49" s="1"/>
  <c r="AD53" i="49"/>
  <c r="AD54" i="49" s="1"/>
  <c r="BF53" i="49"/>
  <c r="BF54" i="49" s="1"/>
  <c r="BF60" i="49" s="1"/>
  <c r="BF61" i="49" s="1"/>
  <c r="BF62" i="49" s="1"/>
  <c r="BK53" i="49"/>
  <c r="BK54" i="49" s="1"/>
  <c r="BK60" i="49" s="1"/>
  <c r="BK61" i="49" s="1"/>
  <c r="BK62" i="49" s="1"/>
  <c r="AU53" i="49"/>
  <c r="AU57" i="49" s="1"/>
  <c r="BP46" i="52"/>
  <c r="BP47" i="52" s="1"/>
  <c r="BP59" i="52" s="1"/>
  <c r="BP44" i="52"/>
  <c r="BQ41" i="52"/>
  <c r="AI54" i="49"/>
  <c r="AI60" i="49" s="1"/>
  <c r="AI61" i="49" s="1"/>
  <c r="AI57" i="49"/>
  <c r="K171" i="1"/>
  <c r="J11" i="55"/>
  <c r="BS22" i="52"/>
  <c r="BS26" i="52" s="1"/>
  <c r="BR28" i="52"/>
  <c r="BR39" i="52"/>
  <c r="BD54" i="49" l="1"/>
  <c r="BD60" i="49" s="1"/>
  <c r="BD61" i="49" s="1"/>
  <c r="BD62" i="49" s="1"/>
  <c r="BD66" i="49" s="1"/>
  <c r="BD73" i="49" s="1"/>
  <c r="G57" i="49"/>
  <c r="AY57" i="49"/>
  <c r="BC57" i="49"/>
  <c r="W54" i="49"/>
  <c r="W60" i="49" s="1"/>
  <c r="W61" i="49" s="1"/>
  <c r="W62" i="49" s="1"/>
  <c r="AB57" i="49"/>
  <c r="AV54" i="49"/>
  <c r="AV60" i="49" s="1"/>
  <c r="AV61" i="49" s="1"/>
  <c r="AV62" i="49" s="1"/>
  <c r="AH54" i="49"/>
  <c r="AH60" i="49" s="1"/>
  <c r="AH61" i="49" s="1"/>
  <c r="H57" i="49"/>
  <c r="L57" i="49"/>
  <c r="T54" i="49"/>
  <c r="T60" i="49" s="1"/>
  <c r="T61" i="49" s="1"/>
  <c r="BC60" i="49"/>
  <c r="BC61" i="49" s="1"/>
  <c r="BC62" i="49" s="1"/>
  <c r="K54" i="49"/>
  <c r="K60" i="49" s="1"/>
  <c r="K61" i="49" s="1"/>
  <c r="AE57" i="49"/>
  <c r="AT57" i="49"/>
  <c r="AR54" i="49"/>
  <c r="AR60" i="49" s="1"/>
  <c r="AR61" i="49" s="1"/>
  <c r="AR65" i="49" s="1"/>
  <c r="D54" i="49"/>
  <c r="D60" i="49" s="1"/>
  <c r="D61" i="49" s="1"/>
  <c r="D62" i="49" s="1"/>
  <c r="BL57" i="49"/>
  <c r="I57" i="49"/>
  <c r="BI57" i="49"/>
  <c r="AA54" i="49"/>
  <c r="AA60" i="49" s="1"/>
  <c r="AA61" i="49" s="1"/>
  <c r="BA57" i="49"/>
  <c r="AO57" i="49"/>
  <c r="Y57" i="49"/>
  <c r="AG54" i="49"/>
  <c r="AG60" i="49" s="1"/>
  <c r="AG61" i="49" s="1"/>
  <c r="AG62" i="49" s="1"/>
  <c r="Z57" i="49"/>
  <c r="AS57" i="49"/>
  <c r="BJ54" i="49"/>
  <c r="BJ60" i="49" s="1"/>
  <c r="BJ61" i="49" s="1"/>
  <c r="BJ62" i="49" s="1"/>
  <c r="AM57" i="49"/>
  <c r="Q54" i="49"/>
  <c r="Q60" i="49" s="1"/>
  <c r="Q61" i="49" s="1"/>
  <c r="Q62" i="49" s="1"/>
  <c r="V57" i="49"/>
  <c r="AC57" i="49"/>
  <c r="R54" i="49"/>
  <c r="R60" i="49" s="1"/>
  <c r="R61" i="49" s="1"/>
  <c r="R62" i="49" s="1"/>
  <c r="AN54" i="49"/>
  <c r="AN60" i="49" s="1"/>
  <c r="AN61" i="49" s="1"/>
  <c r="AN62" i="49" s="1"/>
  <c r="X54" i="49"/>
  <c r="X60" i="49" s="1"/>
  <c r="X61" i="49" s="1"/>
  <c r="X62" i="49" s="1"/>
  <c r="AX54" i="49"/>
  <c r="AX60" i="49" s="1"/>
  <c r="AX61" i="49" s="1"/>
  <c r="AX62" i="49" s="1"/>
  <c r="O54" i="49"/>
  <c r="O60" i="49" s="1"/>
  <c r="O61" i="49" s="1"/>
  <c r="O62" i="49" s="1"/>
  <c r="O66" i="49" s="1"/>
  <c r="O73" i="49" s="1"/>
  <c r="AZ57" i="49"/>
  <c r="P57" i="49"/>
  <c r="E57" i="49"/>
  <c r="E60" i="49"/>
  <c r="E61" i="49" s="1"/>
  <c r="E62" i="49" s="1"/>
  <c r="AQ57" i="49"/>
  <c r="BG54" i="49"/>
  <c r="BG60" i="49" s="1"/>
  <c r="BG61" i="49" s="1"/>
  <c r="BG62" i="49" s="1"/>
  <c r="AK57" i="49"/>
  <c r="AL57" i="49"/>
  <c r="BH54" i="49"/>
  <c r="BH60" i="49" s="1"/>
  <c r="BH61" i="49" s="1"/>
  <c r="BH62" i="49" s="1"/>
  <c r="BH66" i="49" s="1"/>
  <c r="BH73" i="49" s="1"/>
  <c r="BB54" i="49"/>
  <c r="BB60" i="49" s="1"/>
  <c r="BB61" i="49" s="1"/>
  <c r="BB62" i="49" s="1"/>
  <c r="BB66" i="49" s="1"/>
  <c r="BB73" i="49" s="1"/>
  <c r="S54" i="49"/>
  <c r="S60" i="49" s="1"/>
  <c r="S61" i="49" s="1"/>
  <c r="S65" i="49" s="1"/>
  <c r="J54" i="49"/>
  <c r="J60" i="49" s="1"/>
  <c r="J61" i="49" s="1"/>
  <c r="AJ57" i="49"/>
  <c r="AF57" i="49"/>
  <c r="N57" i="49"/>
  <c r="AU54" i="49"/>
  <c r="AU60" i="49" s="1"/>
  <c r="AU61" i="49" s="1"/>
  <c r="AU62" i="49" s="1"/>
  <c r="AU66" i="49" s="1"/>
  <c r="AU73" i="49" s="1"/>
  <c r="AD57" i="49"/>
  <c r="AP54" i="49"/>
  <c r="AP60" i="49" s="1"/>
  <c r="AP61" i="49" s="1"/>
  <c r="AP62" i="49" s="1"/>
  <c r="BM57" i="49"/>
  <c r="M54" i="49"/>
  <c r="M60" i="49" s="1"/>
  <c r="M61" i="49" s="1"/>
  <c r="M62" i="49" s="1"/>
  <c r="BK57" i="49"/>
  <c r="BF57" i="49"/>
  <c r="AW54" i="49"/>
  <c r="AW60" i="49" s="1"/>
  <c r="AW61" i="49" s="1"/>
  <c r="AW62" i="49" s="1"/>
  <c r="U54" i="49"/>
  <c r="U60" i="49" s="1"/>
  <c r="U61" i="49" s="1"/>
  <c r="U62" i="49" s="1"/>
  <c r="BN57" i="49"/>
  <c r="BE57" i="49"/>
  <c r="B56" i="49"/>
  <c r="F54" i="49"/>
  <c r="F60" i="49" s="1"/>
  <c r="F61" i="49" s="1"/>
  <c r="AT66" i="49"/>
  <c r="AT73" i="49" s="1"/>
  <c r="BP53" i="52"/>
  <c r="BP57" i="52" s="1"/>
  <c r="BQ45" i="52"/>
  <c r="BQ46" i="52" s="1"/>
  <c r="AO66" i="49"/>
  <c r="AO73" i="49" s="1"/>
  <c r="Y66" i="49"/>
  <c r="Y73" i="49" s="1"/>
  <c r="AL66" i="49"/>
  <c r="AL73" i="49" s="1"/>
  <c r="AS60" i="49"/>
  <c r="AS61" i="49" s="1"/>
  <c r="BM66" i="49"/>
  <c r="BM73" i="49" s="1"/>
  <c r="N62" i="49"/>
  <c r="N66" i="49" s="1"/>
  <c r="N73" i="49" s="1"/>
  <c r="AK62" i="49"/>
  <c r="AK66" i="49" s="1"/>
  <c r="AK73" i="49" s="1"/>
  <c r="AK65" i="49"/>
  <c r="AK70" i="49" s="1"/>
  <c r="BE62" i="49"/>
  <c r="BE66" i="49" s="1"/>
  <c r="BE73" i="49" s="1"/>
  <c r="AC62" i="49"/>
  <c r="AC66" i="49" s="1"/>
  <c r="AC73" i="49" s="1"/>
  <c r="G66" i="49"/>
  <c r="G73" i="49" s="1"/>
  <c r="H66" i="49"/>
  <c r="H73" i="49" s="1"/>
  <c r="AF65" i="49"/>
  <c r="AF70" i="49" s="1"/>
  <c r="AL65" i="49"/>
  <c r="AO65" i="49"/>
  <c r="AO70" i="49" s="1"/>
  <c r="AM62" i="49"/>
  <c r="AM66" i="49" s="1"/>
  <c r="AM73" i="49" s="1"/>
  <c r="AM65" i="49"/>
  <c r="BI62" i="49"/>
  <c r="BI66" i="49" s="1"/>
  <c r="BI73" i="49" s="1"/>
  <c r="BI65" i="49"/>
  <c r="AI62" i="49"/>
  <c r="AI66" i="49" s="1"/>
  <c r="AI73" i="49" s="1"/>
  <c r="AI65" i="49"/>
  <c r="AB62" i="49"/>
  <c r="AB66" i="49" s="1"/>
  <c r="AB73" i="49" s="1"/>
  <c r="AB65" i="49"/>
  <c r="L62" i="49"/>
  <c r="L66" i="49" s="1"/>
  <c r="L73" i="49" s="1"/>
  <c r="L65" i="49"/>
  <c r="BA62" i="49"/>
  <c r="BA66" i="49" s="1"/>
  <c r="BA73" i="49" s="1"/>
  <c r="BA65" i="49"/>
  <c r="AH62" i="49"/>
  <c r="AH66" i="49" s="1"/>
  <c r="AH73" i="49" s="1"/>
  <c r="AH65" i="49"/>
  <c r="V65" i="49"/>
  <c r="P60" i="49"/>
  <c r="P61" i="49" s="1"/>
  <c r="G65" i="49"/>
  <c r="BN65" i="49"/>
  <c r="AJ66" i="49"/>
  <c r="AJ73" i="49" s="1"/>
  <c r="AY60" i="49"/>
  <c r="AY61" i="49" s="1"/>
  <c r="BL66" i="49"/>
  <c r="BL73" i="49" s="1"/>
  <c r="BN66" i="49"/>
  <c r="BN73" i="49" s="1"/>
  <c r="BM65" i="49"/>
  <c r="AQ65" i="49"/>
  <c r="BK65" i="49"/>
  <c r="BL65" i="49"/>
  <c r="AJ65" i="49"/>
  <c r="AT65" i="49"/>
  <c r="AQ66" i="49"/>
  <c r="AQ73" i="49" s="1"/>
  <c r="V66" i="49"/>
  <c r="V73" i="49" s="1"/>
  <c r="Z66" i="49"/>
  <c r="Z73" i="49" s="1"/>
  <c r="AE65" i="49"/>
  <c r="AZ66" i="49"/>
  <c r="AZ73" i="49" s="1"/>
  <c r="AC65" i="49"/>
  <c r="BS23" i="52"/>
  <c r="BS24" i="52" s="1"/>
  <c r="AZ65" i="49"/>
  <c r="Z65" i="49"/>
  <c r="I66" i="49"/>
  <c r="I73" i="49" s="1"/>
  <c r="BF65" i="49"/>
  <c r="BR30" i="52"/>
  <c r="I65" i="49"/>
  <c r="AE66" i="49"/>
  <c r="AE73" i="49" s="1"/>
  <c r="BE65" i="49"/>
  <c r="BF66" i="49"/>
  <c r="BF73" i="49" s="1"/>
  <c r="BK66" i="49"/>
  <c r="BK73" i="49" s="1"/>
  <c r="Y65" i="49"/>
  <c r="AF66" i="49"/>
  <c r="AF73" i="49" s="1"/>
  <c r="N65" i="49"/>
  <c r="H65" i="49"/>
  <c r="AD60" i="49"/>
  <c r="AD61" i="49" s="1"/>
  <c r="W65" i="49" l="1"/>
  <c r="W70" i="49" s="1"/>
  <c r="BD65" i="49"/>
  <c r="BD70" i="49" s="1"/>
  <c r="BC65" i="49"/>
  <c r="W66" i="49"/>
  <c r="W73" i="49" s="1"/>
  <c r="D66" i="49"/>
  <c r="D73" i="49" s="1"/>
  <c r="AV66" i="49"/>
  <c r="AV73" i="49" s="1"/>
  <c r="AV65" i="49"/>
  <c r="AV70" i="49" s="1"/>
  <c r="AG65" i="49"/>
  <c r="AG70" i="49" s="1"/>
  <c r="AR62" i="49"/>
  <c r="AR66" i="49" s="1"/>
  <c r="AR73" i="49" s="1"/>
  <c r="D65" i="49"/>
  <c r="D70" i="49" s="1"/>
  <c r="BC66" i="49"/>
  <c r="BC73" i="49" s="1"/>
  <c r="Q65" i="49"/>
  <c r="Q70" i="49" s="1"/>
  <c r="BJ66" i="49"/>
  <c r="BJ73" i="49" s="1"/>
  <c r="Q66" i="49"/>
  <c r="AX66" i="49"/>
  <c r="AX73" i="49" s="1"/>
  <c r="X65" i="49"/>
  <c r="X70" i="49" s="1"/>
  <c r="BJ65" i="49"/>
  <c r="BJ70" i="49" s="1"/>
  <c r="R65" i="49"/>
  <c r="R70" i="49" s="1"/>
  <c r="AG66" i="49"/>
  <c r="AG73" i="49" s="1"/>
  <c r="X66" i="49"/>
  <c r="X73" i="49" s="1"/>
  <c r="AX65" i="49"/>
  <c r="AX70" i="49" s="1"/>
  <c r="O65" i="49"/>
  <c r="O67" i="49" s="1"/>
  <c r="R66" i="49"/>
  <c r="R73" i="49" s="1"/>
  <c r="AN65" i="49"/>
  <c r="AN70" i="49" s="1"/>
  <c r="AN66" i="49"/>
  <c r="AN73" i="49" s="1"/>
  <c r="B57" i="49"/>
  <c r="S62" i="49"/>
  <c r="S66" i="49" s="1"/>
  <c r="S73" i="49" s="1"/>
  <c r="E65" i="49"/>
  <c r="BG66" i="49"/>
  <c r="BG73" i="49" s="1"/>
  <c r="BG65" i="49"/>
  <c r="BG70" i="49" s="1"/>
  <c r="BB65" i="49"/>
  <c r="BB67" i="49" s="1"/>
  <c r="BH65" i="49"/>
  <c r="BH70" i="49" s="1"/>
  <c r="E66" i="49"/>
  <c r="E73" i="49" s="1"/>
  <c r="AU65" i="49"/>
  <c r="AU70" i="49" s="1"/>
  <c r="AW65" i="49"/>
  <c r="AW70" i="49" s="1"/>
  <c r="AP65" i="49"/>
  <c r="AP70" i="49" s="1"/>
  <c r="AP66" i="49"/>
  <c r="AP73" i="49" s="1"/>
  <c r="U66" i="49"/>
  <c r="U73" i="49" s="1"/>
  <c r="AW66" i="49"/>
  <c r="AW73" i="49" s="1"/>
  <c r="M66" i="49"/>
  <c r="M73" i="49" s="1"/>
  <c r="AL67" i="49"/>
  <c r="M65" i="49"/>
  <c r="U65" i="49"/>
  <c r="U70" i="49" s="1"/>
  <c r="BP54" i="52"/>
  <c r="BP60" i="52" s="1"/>
  <c r="BP61" i="52" s="1"/>
  <c r="BP62" i="52" s="1"/>
  <c r="BQ44" i="52"/>
  <c r="AL70" i="49"/>
  <c r="AO67" i="49"/>
  <c r="AS62" i="49"/>
  <c r="AS66" i="49" s="1"/>
  <c r="AS73" i="49" s="1"/>
  <c r="AS65" i="49"/>
  <c r="BD67" i="49"/>
  <c r="BS27" i="52"/>
  <c r="BS34" i="52" s="1"/>
  <c r="BS35" i="52"/>
  <c r="BR31" i="52"/>
  <c r="AI67" i="49"/>
  <c r="AI70" i="49"/>
  <c r="K62" i="49"/>
  <c r="K66" i="49" s="1"/>
  <c r="K73" i="49" s="1"/>
  <c r="K65" i="49"/>
  <c r="AH67" i="49"/>
  <c r="AH70" i="49"/>
  <c r="I67" i="49"/>
  <c r="I70" i="49"/>
  <c r="N70" i="49"/>
  <c r="N67" i="49"/>
  <c r="AK67" i="49"/>
  <c r="BM67" i="49"/>
  <c r="BM70" i="49"/>
  <c r="BA67" i="49"/>
  <c r="BA70" i="49"/>
  <c r="L67" i="49"/>
  <c r="L70" i="49"/>
  <c r="BN67" i="49"/>
  <c r="BN70" i="49"/>
  <c r="P62" i="49"/>
  <c r="P66" i="49" s="1"/>
  <c r="P73" i="49" s="1"/>
  <c r="P65" i="49"/>
  <c r="BE70" i="49"/>
  <c r="BE67" i="49"/>
  <c r="S70" i="49"/>
  <c r="AR67" i="49"/>
  <c r="AR70" i="49"/>
  <c r="Z67" i="49"/>
  <c r="Z70" i="49"/>
  <c r="AZ70" i="49"/>
  <c r="AZ67" i="49"/>
  <c r="BQ47" i="52"/>
  <c r="BQ59" i="52" s="1"/>
  <c r="BQ53" i="52"/>
  <c r="AE67" i="49"/>
  <c r="AE70" i="49"/>
  <c r="AA62" i="49"/>
  <c r="AA66" i="49" s="1"/>
  <c r="AA73" i="49" s="1"/>
  <c r="AA65" i="49"/>
  <c r="AY62" i="49"/>
  <c r="AY66" i="49" s="1"/>
  <c r="AY73" i="49" s="1"/>
  <c r="AY65" i="49"/>
  <c r="Y67" i="49"/>
  <c r="Y70" i="49"/>
  <c r="G67" i="49"/>
  <c r="G70" i="49"/>
  <c r="F62" i="49"/>
  <c r="F66" i="49" s="1"/>
  <c r="F73" i="49" s="1"/>
  <c r="F65" i="49"/>
  <c r="AD62" i="49"/>
  <c r="AD66" i="49" s="1"/>
  <c r="AD73" i="49" s="1"/>
  <c r="AD65" i="49"/>
  <c r="AT67" i="49"/>
  <c r="AT70" i="49"/>
  <c r="BL70" i="49"/>
  <c r="BL67" i="49"/>
  <c r="AF67" i="49"/>
  <c r="H67" i="49"/>
  <c r="H70" i="49"/>
  <c r="BK70" i="49"/>
  <c r="BK67" i="49"/>
  <c r="T62" i="49"/>
  <c r="T66" i="49" s="1"/>
  <c r="T73" i="49" s="1"/>
  <c r="T65" i="49"/>
  <c r="AM67" i="49"/>
  <c r="AM70" i="49"/>
  <c r="BR32" i="52"/>
  <c r="BF67" i="49"/>
  <c r="BF70" i="49"/>
  <c r="BI67" i="49"/>
  <c r="BI70" i="49"/>
  <c r="AC67" i="49"/>
  <c r="AC70" i="49"/>
  <c r="AB67" i="49"/>
  <c r="AB70" i="49"/>
  <c r="AJ67" i="49"/>
  <c r="AJ70" i="49"/>
  <c r="J62" i="49"/>
  <c r="J66" i="49" s="1"/>
  <c r="J73" i="49" s="1"/>
  <c r="J65" i="49"/>
  <c r="BC70" i="49"/>
  <c r="AQ70" i="49"/>
  <c r="AQ67" i="49"/>
  <c r="V67" i="49"/>
  <c r="V70" i="49"/>
  <c r="AV67" i="49" l="1"/>
  <c r="W67" i="49"/>
  <c r="D67" i="49"/>
  <c r="BC67" i="49"/>
  <c r="BJ67" i="49"/>
  <c r="AX67" i="49"/>
  <c r="R67" i="49"/>
  <c r="E67" i="49"/>
  <c r="O70" i="49"/>
  <c r="AG67" i="49"/>
  <c r="BH67" i="49"/>
  <c r="S67" i="49"/>
  <c r="AN67" i="49"/>
  <c r="BG67" i="49"/>
  <c r="E70" i="49"/>
  <c r="X67" i="49"/>
  <c r="AP67" i="49"/>
  <c r="M67" i="49"/>
  <c r="BB70" i="49"/>
  <c r="AU67" i="49"/>
  <c r="M70" i="49"/>
  <c r="AW67" i="49"/>
  <c r="BP65" i="52"/>
  <c r="U67" i="49"/>
  <c r="BP66" i="52"/>
  <c r="BP73" i="52" s="1"/>
  <c r="BS28" i="52"/>
  <c r="BS30" i="52" s="1"/>
  <c r="BS31" i="52" s="1"/>
  <c r="AS70" i="49"/>
  <c r="AS67" i="49"/>
  <c r="BP73" i="49"/>
  <c r="J17" i="55" s="1"/>
  <c r="C75" i="49"/>
  <c r="BQ73" i="49"/>
  <c r="AD67" i="49"/>
  <c r="AD70" i="49"/>
  <c r="BQ54" i="52"/>
  <c r="BQ60" i="52" s="1"/>
  <c r="BQ61" i="52" s="1"/>
  <c r="BQ62" i="52" s="1"/>
  <c r="BQ57" i="52"/>
  <c r="BR38" i="52"/>
  <c r="BT22" i="52"/>
  <c r="AA67" i="49"/>
  <c r="AA70" i="49"/>
  <c r="K67" i="49"/>
  <c r="K70" i="49"/>
  <c r="F67" i="49"/>
  <c r="F70" i="49"/>
  <c r="P70" i="49"/>
  <c r="P67" i="49"/>
  <c r="AY70" i="49"/>
  <c r="AY67" i="49"/>
  <c r="J67" i="49"/>
  <c r="J70" i="49"/>
  <c r="T70" i="49"/>
  <c r="T67" i="49"/>
  <c r="BP67" i="52" l="1"/>
  <c r="BS32" i="52"/>
  <c r="BP70" i="52"/>
  <c r="BQ67" i="49"/>
  <c r="G6" i="46" s="1"/>
  <c r="L64" i="1" s="1"/>
  <c r="H9" i="55" s="1"/>
  <c r="M6" i="46"/>
  <c r="BQ70" i="49"/>
  <c r="K6" i="46" s="1"/>
  <c r="Q64" i="1" s="1"/>
  <c r="L9" i="55" s="1"/>
  <c r="BP70" i="49"/>
  <c r="I6" i="46" s="1"/>
  <c r="N64" i="1" s="1"/>
  <c r="J9" i="55" s="1"/>
  <c r="BR40" i="52"/>
  <c r="BS39" i="52"/>
  <c r="L17" i="55"/>
  <c r="O6" i="46"/>
  <c r="BQ66" i="52"/>
  <c r="BQ73" i="52" s="1"/>
  <c r="BP67" i="49"/>
  <c r="E6" i="46" s="1"/>
  <c r="I64" i="1" s="1"/>
  <c r="F9" i="55" s="1"/>
  <c r="BQ65" i="52"/>
  <c r="BT23" i="52"/>
  <c r="BT24" i="52" s="1"/>
  <c r="BT26" i="52"/>
  <c r="BS38" i="52" l="1"/>
  <c r="BS40" i="52" s="1"/>
  <c r="BS41" i="52" s="1"/>
  <c r="BT27" i="52"/>
  <c r="BT34" i="52" s="1"/>
  <c r="BT35" i="52"/>
  <c r="BQ67" i="52"/>
  <c r="BQ70" i="52"/>
  <c r="BR41" i="52"/>
  <c r="BR45" i="52"/>
  <c r="BT39" i="52" l="1"/>
  <c r="BT28" i="52"/>
  <c r="BT30" i="52" s="1"/>
  <c r="BR44" i="52"/>
  <c r="BR46" i="52"/>
  <c r="BU22" i="52"/>
  <c r="BU23" i="52" l="1"/>
  <c r="BU24" i="52" s="1"/>
  <c r="BU26" i="52"/>
  <c r="BT31" i="52"/>
  <c r="BT32" i="52"/>
  <c r="BR47" i="52"/>
  <c r="BR59" i="52" s="1"/>
  <c r="BR53" i="52"/>
  <c r="BS45" i="52"/>
  <c r="BU27" i="52" l="1"/>
  <c r="BU34" i="52" s="1"/>
  <c r="BU35" i="52"/>
  <c r="BR54" i="52"/>
  <c r="BR60" i="52" s="1"/>
  <c r="BR61" i="52" s="1"/>
  <c r="BR62" i="52" s="1"/>
  <c r="BR57" i="52"/>
  <c r="BT38" i="52"/>
  <c r="BS46" i="52"/>
  <c r="BS44" i="52"/>
  <c r="BU28" i="52" l="1"/>
  <c r="BU30" i="52" s="1"/>
  <c r="BU32" i="52" s="1"/>
  <c r="BS47" i="52"/>
  <c r="BS59" i="52" s="1"/>
  <c r="BS53" i="52"/>
  <c r="BT40" i="52"/>
  <c r="BT45" i="52" s="1"/>
  <c r="BU39" i="52"/>
  <c r="BR65" i="52"/>
  <c r="BR66" i="52"/>
  <c r="BR73" i="52" s="1"/>
  <c r="BV22" i="52"/>
  <c r="BV26" i="52" s="1"/>
  <c r="BU38" i="52" l="1"/>
  <c r="BU40" i="52" s="1"/>
  <c r="BR67" i="52"/>
  <c r="BR70" i="52"/>
  <c r="BT41" i="52"/>
  <c r="BT44" i="52" s="1"/>
  <c r="BV23" i="52"/>
  <c r="BV24" i="52" s="1"/>
  <c r="BU31" i="52"/>
  <c r="BS54" i="52"/>
  <c r="BS60" i="52" s="1"/>
  <c r="BS61" i="52" s="1"/>
  <c r="BS62" i="52" s="1"/>
  <c r="BS57" i="52"/>
  <c r="BT46" i="52" l="1"/>
  <c r="BT47" i="52" s="1"/>
  <c r="BT59" i="52" s="1"/>
  <c r="BV27" i="52"/>
  <c r="BV34" i="52" s="1"/>
  <c r="BV35" i="52"/>
  <c r="BS66" i="52"/>
  <c r="BS73" i="52" s="1"/>
  <c r="BS65" i="52"/>
  <c r="BU41" i="52"/>
  <c r="BU45" i="52" l="1"/>
  <c r="BU46" i="52" s="1"/>
  <c r="BT53" i="52"/>
  <c r="BT54" i="52" s="1"/>
  <c r="BT60" i="52" s="1"/>
  <c r="BT61" i="52" s="1"/>
  <c r="BT62" i="52" s="1"/>
  <c r="BV39" i="52"/>
  <c r="BV28" i="52"/>
  <c r="BV30" i="52" s="1"/>
  <c r="BS67" i="52"/>
  <c r="BS70" i="52"/>
  <c r="BW22" i="52"/>
  <c r="BT57" i="52" l="1"/>
  <c r="BU44" i="52"/>
  <c r="BT65" i="52"/>
  <c r="BW23" i="52"/>
  <c r="BW24" i="52" s="1"/>
  <c r="BW26" i="52"/>
  <c r="BT70" i="52"/>
  <c r="BV31" i="52"/>
  <c r="BV32" i="52"/>
  <c r="BT66" i="52"/>
  <c r="BT73" i="52" s="1"/>
  <c r="BU47" i="52"/>
  <c r="BU59" i="52" s="1"/>
  <c r="BU53" i="52"/>
  <c r="BW27" i="52" l="1"/>
  <c r="BW34" i="52" s="1"/>
  <c r="BW35" i="52"/>
  <c r="BU54" i="52"/>
  <c r="BU60" i="52" s="1"/>
  <c r="BU61" i="52" s="1"/>
  <c r="BU62" i="52" s="1"/>
  <c r="BU57" i="52"/>
  <c r="BV38" i="52"/>
  <c r="BT67" i="52"/>
  <c r="BW28" i="52" l="1"/>
  <c r="BW30" i="52" s="1"/>
  <c r="BW32" i="52" s="1"/>
  <c r="BV40" i="52"/>
  <c r="BW39" i="52"/>
  <c r="BU65" i="52"/>
  <c r="BU66" i="52"/>
  <c r="BU73" i="52" s="1"/>
  <c r="BX22" i="52"/>
  <c r="BX26" i="52" s="1"/>
  <c r="BW38" i="52" l="1"/>
  <c r="BW40" i="52" s="1"/>
  <c r="BX23" i="52"/>
  <c r="BX24" i="52" s="1"/>
  <c r="BW31" i="52"/>
  <c r="BU70" i="52"/>
  <c r="BU67" i="52"/>
  <c r="BV41" i="52"/>
  <c r="BV45" i="52"/>
  <c r="BX27" i="52" l="1"/>
  <c r="BX34" i="52" s="1"/>
  <c r="BX35" i="52"/>
  <c r="BV46" i="52"/>
  <c r="BV44" i="52"/>
  <c r="BW41" i="52"/>
  <c r="BX39" i="52" l="1"/>
  <c r="BX28" i="52"/>
  <c r="BV47" i="52"/>
  <c r="BV53" i="52"/>
  <c r="BV59" i="52"/>
  <c r="BW45" i="52"/>
  <c r="BW46" i="52" s="1"/>
  <c r="BX30" i="52"/>
  <c r="BY22" i="52"/>
  <c r="BY26" i="52" s="1"/>
  <c r="BW47" i="52" l="1"/>
  <c r="BW59" i="52" s="1"/>
  <c r="BW53" i="52"/>
  <c r="BX31" i="52"/>
  <c r="BX32" i="52"/>
  <c r="BY23" i="52"/>
  <c r="BY24" i="52" s="1"/>
  <c r="BV54" i="52"/>
  <c r="BV60" i="52" s="1"/>
  <c r="BV61" i="52" s="1"/>
  <c r="BV62" i="52" s="1"/>
  <c r="BV57" i="52"/>
  <c r="BW44" i="52"/>
  <c r="BV65" i="52" l="1"/>
  <c r="BV70" i="52" s="1"/>
  <c r="BV66" i="52"/>
  <c r="BV73" i="52" s="1"/>
  <c r="BY27" i="52"/>
  <c r="BY34" i="52" s="1"/>
  <c r="BY35" i="52"/>
  <c r="BX38" i="52"/>
  <c r="BW54" i="52"/>
  <c r="BW60" i="52" s="1"/>
  <c r="BW61" i="52" s="1"/>
  <c r="BW62" i="52" s="1"/>
  <c r="BW57" i="52"/>
  <c r="BY28" i="52" l="1"/>
  <c r="BW65" i="52"/>
  <c r="BX40" i="52"/>
  <c r="BY39" i="52"/>
  <c r="BY30" i="52"/>
  <c r="BW66" i="52"/>
  <c r="BW73" i="52" s="1"/>
  <c r="BZ22" i="52"/>
  <c r="BZ26" i="52" s="1"/>
  <c r="BV67" i="52"/>
  <c r="BY31" i="52" l="1"/>
  <c r="BY32" i="52"/>
  <c r="BZ23" i="52"/>
  <c r="BZ24" i="52" s="1"/>
  <c r="BX41" i="52"/>
  <c r="BX45" i="52"/>
  <c r="BX44" i="52" s="1"/>
  <c r="BW70" i="52"/>
  <c r="BW67" i="52"/>
  <c r="BZ27" i="52" l="1"/>
  <c r="BZ34" i="52" s="1"/>
  <c r="BZ35" i="52"/>
  <c r="BX46" i="52"/>
  <c r="BY38" i="52"/>
  <c r="BZ28" i="52" l="1"/>
  <c r="BX47" i="52"/>
  <c r="BX59" i="52" s="1"/>
  <c r="BX53" i="52"/>
  <c r="BY40" i="52"/>
  <c r="BY45" i="52" s="1"/>
  <c r="BZ39" i="52"/>
  <c r="BZ30" i="52"/>
  <c r="BZ31" i="52" s="1"/>
  <c r="BZ32" i="52" l="1"/>
  <c r="BY41" i="52"/>
  <c r="BY44" i="52" s="1"/>
  <c r="BX54" i="52"/>
  <c r="BX60" i="52" s="1"/>
  <c r="BX61" i="52" s="1"/>
  <c r="BX62" i="52" s="1"/>
  <c r="BX57" i="52"/>
  <c r="BY46" i="52" l="1"/>
  <c r="BX66" i="52"/>
  <c r="BX73" i="52" s="1"/>
  <c r="BX65" i="52"/>
  <c r="BY47" i="52"/>
  <c r="BY53" i="52"/>
  <c r="BY59" i="52"/>
  <c r="BZ38" i="52"/>
  <c r="BZ40" i="52" s="1"/>
  <c r="BZ41" i="52" l="1"/>
  <c r="BZ45" i="52"/>
  <c r="BY54" i="52"/>
  <c r="BY60" i="52" s="1"/>
  <c r="BY61" i="52" s="1"/>
  <c r="BY62" i="52" s="1"/>
  <c r="BY57" i="52"/>
  <c r="BX70" i="52"/>
  <c r="BX67" i="52"/>
  <c r="BZ46" i="52" l="1"/>
  <c r="BZ47" i="52" s="1"/>
  <c r="BZ59" i="52" s="1"/>
  <c r="BZ44" i="52"/>
  <c r="BY66" i="52"/>
  <c r="BY73" i="52" s="1"/>
  <c r="BY65" i="52"/>
  <c r="BZ53" i="52" l="1"/>
  <c r="BZ57" i="52" s="1"/>
  <c r="BY70" i="52"/>
  <c r="BY67" i="52"/>
  <c r="BZ54" i="52" l="1"/>
  <c r="BZ60" i="52" s="1"/>
  <c r="BZ61" i="52" s="1"/>
  <c r="BZ62" i="52" l="1"/>
  <c r="BZ66" i="52" s="1"/>
  <c r="BZ73" i="52" s="1"/>
  <c r="BZ65" i="52"/>
  <c r="BZ67" i="52" s="1"/>
  <c r="BZ70" i="52"/>
  <c r="CC73" i="52" l="1"/>
  <c r="O9" i="46" s="1"/>
  <c r="CB73" i="52"/>
  <c r="M9" i="46" s="1"/>
  <c r="CC70" i="52"/>
  <c r="K9" i="46" s="1"/>
  <c r="Q67" i="1" s="1"/>
  <c r="CB70" i="52"/>
  <c r="I9" i="46" s="1"/>
  <c r="N67" i="1" s="1"/>
  <c r="K183" i="1" s="1"/>
  <c r="CB67" i="52"/>
  <c r="E9" i="46" s="1"/>
  <c r="I67" i="1" s="1"/>
  <c r="CC67" i="52"/>
  <c r="G9" i="46" s="1"/>
  <c r="L6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Jonathan Mendoza</author>
    <author>Christopher Semper</author>
    <author>Christopher Kott</author>
  </authors>
  <commentList>
    <comment ref="E12" authorId="0" shapeId="0" xr:uid="{00000000-0006-0000-0000-000001000000}">
      <text>
        <r>
          <rPr>
            <b/>
            <sz val="10"/>
            <color indexed="81"/>
            <rFont val="Tahoma"/>
            <family val="2"/>
          </rPr>
          <t>Christopher Semper:</t>
        </r>
        <r>
          <rPr>
            <sz val="10"/>
            <color indexed="81"/>
            <rFont val="Tahoma"/>
            <family val="2"/>
          </rPr>
          <t xml:space="preserve">
For hurdle adjustments, visit 1.5 year waterfall.  Adjusting in 1.5 year waterfall, will automatically change remaining waterfalls.</t>
        </r>
      </text>
    </comment>
    <comment ref="C25" authorId="1" shapeId="0" xr:uid="{21B0FF59-4533-4F5B-AE55-FDC7F0236B2E}">
      <text>
        <r>
          <rPr>
            <b/>
            <sz val="9"/>
            <color indexed="81"/>
            <rFont val="Tahoma"/>
            <charset val="1"/>
          </rPr>
          <t>Christopher Semper:</t>
        </r>
        <r>
          <rPr>
            <sz val="9"/>
            <color indexed="81"/>
            <rFont val="Tahoma"/>
            <charset val="1"/>
          </rPr>
          <t xml:space="preserve">
Assuming $6.50 for the multifamily land</t>
        </r>
      </text>
    </comment>
    <comment ref="I55" authorId="2" shapeId="0" xr:uid="{00000000-0006-0000-0000-000002000000}">
      <text>
        <r>
          <rPr>
            <b/>
            <sz val="9"/>
            <color indexed="81"/>
            <rFont val="Tahoma"/>
            <family val="2"/>
          </rPr>
          <t>Christopher Semper:</t>
        </r>
        <r>
          <rPr>
            <sz val="9"/>
            <color indexed="81"/>
            <rFont val="Tahoma"/>
            <family val="2"/>
          </rPr>
          <t xml:space="preserve">
Added in additional 35% tax base not included in NOI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Christopher Kott</author>
  </authors>
  <commentList>
    <comment ref="O9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Christopher Semper:</t>
        </r>
        <r>
          <rPr>
            <sz val="9"/>
            <color indexed="81"/>
            <rFont val="Tahoma"/>
            <family val="2"/>
          </rPr>
          <t xml:space="preserve">
does not include parking garage
</t>
        </r>
      </text>
    </comment>
    <comment ref="C2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Christopher Semper:</t>
        </r>
        <r>
          <rPr>
            <sz val="9"/>
            <color indexed="81"/>
            <rFont val="Tahoma"/>
            <family val="2"/>
          </rPr>
          <t xml:space="preserve">
roughly 3.5% of hard costs</t>
        </r>
      </text>
    </comment>
    <comment ref="O3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Christopher Kott:</t>
        </r>
        <r>
          <rPr>
            <sz val="9"/>
            <color indexed="81"/>
            <rFont val="Tahoma"/>
            <family val="2"/>
          </rPr>
          <t xml:space="preserve">
Does not include structual parking costs</t>
        </r>
      </text>
    </comment>
    <comment ref="I6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Christopher Semper:</t>
        </r>
        <r>
          <rPr>
            <sz val="9"/>
            <color indexed="81"/>
            <rFont val="Tahoma"/>
            <family val="2"/>
          </rPr>
          <t xml:space="preserve">
will be adjusted once tax analysis done by Ryan</t>
        </r>
      </text>
    </comment>
    <comment ref="I61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Christopher Semper:</t>
        </r>
        <r>
          <rPr>
            <sz val="9"/>
            <color indexed="81"/>
            <rFont val="Tahoma"/>
            <family val="2"/>
          </rPr>
          <t xml:space="preserve">
based on when construction starts and draws on debt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Christopher Kott</author>
  </authors>
  <commentList>
    <comment ref="C2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Christopher Semper:</t>
        </r>
        <r>
          <rPr>
            <sz val="9"/>
            <color indexed="81"/>
            <rFont val="Tahoma"/>
            <family val="2"/>
          </rPr>
          <t xml:space="preserve">
RS Means data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Christopher Semper</author>
  </authors>
  <commentList>
    <comment ref="B10" authorId="0" shapeId="0" xr:uid="{18676FFB-00A3-41E3-89DD-47A2037A0316}">
      <text>
        <r>
          <rPr>
            <b/>
            <sz val="9"/>
            <color indexed="81"/>
            <rFont val="Tahoma"/>
            <family val="2"/>
          </rPr>
          <t xml:space="preserve">Christopher Semper: </t>
        </r>
        <r>
          <rPr>
            <sz val="9"/>
            <color indexed="81"/>
            <rFont val="Tahoma"/>
            <family val="2"/>
          </rPr>
          <t xml:space="preserve">This scenario assumes the property is sold instead of being refinanced.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Christopher Semper</author>
  </authors>
  <commentList>
    <comment ref="B10" authorId="0" shapeId="0" xr:uid="{7D558557-E114-4964-9F15-FA8CDAA109B0}">
      <text>
        <r>
          <rPr>
            <b/>
            <sz val="9"/>
            <color indexed="81"/>
            <rFont val="Tahoma"/>
            <family val="2"/>
          </rPr>
          <t>Christopher Semper:</t>
        </r>
        <r>
          <rPr>
            <sz val="9"/>
            <color indexed="81"/>
            <rFont val="Tahoma"/>
            <family val="2"/>
          </rPr>
          <t xml:space="preserve">
Christopher Semper: This scenario assumes the property is sold instead of being refinanced.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Terry Turner</author>
  </authors>
  <commentList>
    <comment ref="F3" authorId="0" shapeId="0" xr:uid="{00000000-0006-0000-1C00-000001000000}">
      <text>
        <r>
          <rPr>
            <b/>
            <sz val="9"/>
            <color indexed="81"/>
            <rFont val="Tahoma"/>
            <family val="2"/>
          </rPr>
          <t>Chris Semper:</t>
        </r>
        <r>
          <rPr>
            <sz val="9"/>
            <color indexed="81"/>
            <rFont val="Tahoma"/>
            <family val="2"/>
          </rPr>
          <t xml:space="preserve">
Used to adjust forecasted changes in interest rates if it's a floating rate loan.</t>
        </r>
      </text>
    </comment>
  </commentList>
</comments>
</file>

<file path=xl/sharedStrings.xml><?xml version="1.0" encoding="utf-8"?>
<sst xmlns="http://schemas.openxmlformats.org/spreadsheetml/2006/main" count="1199" uniqueCount="400">
  <si>
    <t>Property Summary</t>
  </si>
  <si>
    <t>Number of Units</t>
  </si>
  <si>
    <t>Number of Beds</t>
  </si>
  <si>
    <t>Net Rentable SF</t>
  </si>
  <si>
    <t>Land Size (Acres)</t>
  </si>
  <si>
    <t>Property Type</t>
  </si>
  <si>
    <t>Pedestrian (Y/N)</t>
  </si>
  <si>
    <t>Start Construction</t>
  </si>
  <si>
    <t>Initial Equity Investment</t>
  </si>
  <si>
    <t>Project Delivered</t>
  </si>
  <si>
    <t>Financing</t>
  </si>
  <si>
    <t>Construction Loan</t>
  </si>
  <si>
    <t>Loan-to-Cost</t>
  </si>
  <si>
    <t>Interest Rate</t>
  </si>
  <si>
    <t>Loan Amount</t>
  </si>
  <si>
    <t>DEAL OVERVIEW</t>
  </si>
  <si>
    <t>DEVELOPMENT BUDGET</t>
  </si>
  <si>
    <t>Cost</t>
  </si>
  <si>
    <t>$/Bed</t>
  </si>
  <si>
    <t>$/Unit</t>
  </si>
  <si>
    <t>Hard Costs</t>
  </si>
  <si>
    <t>Land</t>
  </si>
  <si>
    <t>Total</t>
  </si>
  <si>
    <t>Soft Costs</t>
  </si>
  <si>
    <t>Total Project Costs</t>
  </si>
  <si>
    <t>Construction Costs</t>
  </si>
  <si>
    <t>Developer's Fee</t>
  </si>
  <si>
    <t>GC Fee</t>
  </si>
  <si>
    <t>Total Hard Costs</t>
  </si>
  <si>
    <t>Contingency</t>
  </si>
  <si>
    <t>Financing Costs</t>
  </si>
  <si>
    <t>Interest Carry</t>
  </si>
  <si>
    <t>Total Soft Costs</t>
  </si>
  <si>
    <t>Total Financing Costs</t>
  </si>
  <si>
    <t>FINANCING</t>
  </si>
  <si>
    <t>Permanent Loan</t>
  </si>
  <si>
    <t>Loan to Value</t>
  </si>
  <si>
    <t>Interest Only Period</t>
  </si>
  <si>
    <t>Amortization Period</t>
  </si>
  <si>
    <t>Financing Fee</t>
  </si>
  <si>
    <t>JV / DEAL STRUCTURE</t>
  </si>
  <si>
    <t>Equity</t>
  </si>
  <si>
    <t>Debt</t>
  </si>
  <si>
    <t>Total Funding</t>
  </si>
  <si>
    <t>Joint Venture Terms</t>
  </si>
  <si>
    <t>1st Priority - Preferred Return</t>
  </si>
  <si>
    <t>2nd Priority - Return of Capital</t>
  </si>
  <si>
    <t>IRR Threshold</t>
  </si>
  <si>
    <t>Equity Cash Flow % / Promote</t>
  </si>
  <si>
    <t>N/Ap</t>
  </si>
  <si>
    <t>MILESTONE DATES</t>
  </si>
  <si>
    <t>% of Total</t>
  </si>
  <si>
    <t>UNIT MIX</t>
  </si>
  <si>
    <t>Floor Plan</t>
  </si>
  <si>
    <t># Units</t>
  </si>
  <si>
    <t># Beds</t>
  </si>
  <si>
    <t>$/SF</t>
  </si>
  <si>
    <t>SF/Unit</t>
  </si>
  <si>
    <t>Mo GPR</t>
  </si>
  <si>
    <t>UNDERWRITING ASSUMPTIONS</t>
  </si>
  <si>
    <t>Other Income</t>
  </si>
  <si>
    <t>Escalation Assumptions</t>
  </si>
  <si>
    <t>Gross Potential Rent</t>
  </si>
  <si>
    <t>Expenses</t>
  </si>
  <si>
    <t>Vacancy Loss</t>
  </si>
  <si>
    <t>Rent Concessions</t>
  </si>
  <si>
    <t>Credit Loss / Bad Debt</t>
  </si>
  <si>
    <t>Non-Revenue Units</t>
  </si>
  <si>
    <t>Annual Assumptions</t>
  </si>
  <si>
    <t>Ann GPR</t>
  </si>
  <si>
    <t>Year of Operations</t>
  </si>
  <si>
    <t xml:space="preserve">PROJECTED CASH FLOWS </t>
  </si>
  <si>
    <t>Rental Revenue</t>
  </si>
  <si>
    <t>Total Rental Revenue</t>
  </si>
  <si>
    <t>Total Revenue</t>
  </si>
  <si>
    <t>Revenue Growth</t>
  </si>
  <si>
    <t>NOI</t>
  </si>
  <si>
    <t>Debt Service</t>
  </si>
  <si>
    <t>Net Cash Flow</t>
  </si>
  <si>
    <t>EXIT ASSUMPTIONS</t>
  </si>
  <si>
    <t>Sale Date</t>
  </si>
  <si>
    <t>Hold Period</t>
  </si>
  <si>
    <t>Residual Value</t>
  </si>
  <si>
    <t>Debt Retirement</t>
  </si>
  <si>
    <t>Net Sale Proceeds</t>
  </si>
  <si>
    <t>Exit Cap Rate</t>
  </si>
  <si>
    <t>Unlevered Yield</t>
  </si>
  <si>
    <t>Levered Yield</t>
  </si>
  <si>
    <t>FINANCIAL RETURNS SUMMARY</t>
  </si>
  <si>
    <t>Disposition Date</t>
  </si>
  <si>
    <t>Property Level Returns</t>
  </si>
  <si>
    <t>IRR</t>
  </si>
  <si>
    <t>Multiple</t>
  </si>
  <si>
    <t>CONSTRUCTION BUDGET</t>
  </si>
  <si>
    <t>Rent Increase</t>
  </si>
  <si>
    <t>Rent Adjustment**</t>
  </si>
  <si>
    <t>Year-1 GPR*</t>
  </si>
  <si>
    <t>Total / Wtd. Avg</t>
  </si>
  <si>
    <t>RENT GROWTH PROJECTIONS</t>
  </si>
  <si>
    <t>YEAR-1 PROFORMA</t>
  </si>
  <si>
    <t>Total Other Income</t>
  </si>
  <si>
    <t>Annual</t>
  </si>
  <si>
    <t>Utilities</t>
  </si>
  <si>
    <t>Controllable</t>
  </si>
  <si>
    <t>Repairs &amp; Maintenance</t>
  </si>
  <si>
    <t>Turnover / Make Ready</t>
  </si>
  <si>
    <t>Payroll &amp; Benefits</t>
  </si>
  <si>
    <t>General &amp; Administrative</t>
  </si>
  <si>
    <t>Leasing &amp; Marketing</t>
  </si>
  <si>
    <t>Real Estate Taxes</t>
  </si>
  <si>
    <t>Insurance</t>
  </si>
  <si>
    <t>Total Expenses</t>
  </si>
  <si>
    <t>Loan Term</t>
  </si>
  <si>
    <t>Projected Loan Duration</t>
  </si>
  <si>
    <t>FF&amp;E</t>
  </si>
  <si>
    <t>Month</t>
  </si>
  <si>
    <t>Physical Occupancy</t>
  </si>
  <si>
    <t>Year 1</t>
  </si>
  <si>
    <t>Market Cap Rate</t>
  </si>
  <si>
    <t>Yield-to-Cost Spread</t>
  </si>
  <si>
    <t>Yield-to-Cost</t>
  </si>
  <si>
    <t>Annual IR Adjustment (Floating)</t>
  </si>
  <si>
    <t>No.</t>
  </si>
  <si>
    <t>Interest</t>
  </si>
  <si>
    <t>Principal</t>
  </si>
  <si>
    <t>First Payment Due</t>
  </si>
  <si>
    <t>PERMANENT LOAN ASSUMPTIONS</t>
  </si>
  <si>
    <t>Payment Date</t>
  </si>
  <si>
    <t>Beginning Balance</t>
  </si>
  <si>
    <t>Ending Balance</t>
  </si>
  <si>
    <t>Annual Interest Rate</t>
  </si>
  <si>
    <t>Year 2</t>
  </si>
  <si>
    <t>Year 3</t>
  </si>
  <si>
    <t>Year 4</t>
  </si>
  <si>
    <t>Year 5</t>
  </si>
  <si>
    <t>CONSTRUCTION LOAN ASSUMPTIONS</t>
  </si>
  <si>
    <t>Annual Rate Adjustment</t>
  </si>
  <si>
    <t>Loan Balance</t>
  </si>
  <si>
    <t>Available Funds</t>
  </si>
  <si>
    <t>Loan Draw</t>
  </si>
  <si>
    <t>Capitalized Interest Reserve</t>
  </si>
  <si>
    <t>Interest Reserve (Capitalized)</t>
  </si>
  <si>
    <t>Cumulative Draws</t>
  </si>
  <si>
    <t>Replacement Reserves</t>
  </si>
  <si>
    <t>Net Income After Debt Service</t>
  </si>
  <si>
    <t>Interest Reserve Balance</t>
  </si>
  <si>
    <t>DSCR</t>
  </si>
  <si>
    <t>Equity Balance</t>
  </si>
  <si>
    <t>Unlevered Yield (Annualized)</t>
  </si>
  <si>
    <t>Levered Yield (Annualized)</t>
  </si>
  <si>
    <t>Sponsor</t>
  </si>
  <si>
    <t>Total Equity</t>
  </si>
  <si>
    <t>Year Ending</t>
  </si>
  <si>
    <t>Calendar Year</t>
  </si>
  <si>
    <t>Cash Activity Summary</t>
  </si>
  <si>
    <t>Net Property Cash Flows</t>
  </si>
  <si>
    <t>Net Refi Proceeds</t>
  </si>
  <si>
    <t>Total Cash Flows</t>
  </si>
  <si>
    <t>Cash Flows</t>
  </si>
  <si>
    <t>Equity Balance*</t>
  </si>
  <si>
    <t>*Reflects the equity balance as of the fiscal year end.</t>
  </si>
  <si>
    <t>*Reflects the equity balance as of the calendar year end.</t>
  </si>
  <si>
    <t>Cash Outflows</t>
  </si>
  <si>
    <t>Cash Inflows</t>
  </si>
  <si>
    <t>Initial Equity</t>
  </si>
  <si>
    <t>Net Cash Flows</t>
  </si>
  <si>
    <t>Sale Proceeds</t>
  </si>
  <si>
    <t>Total Cash Flow</t>
  </si>
  <si>
    <t>Equity Multiple</t>
  </si>
  <si>
    <t>Total Cash To Distribute</t>
  </si>
  <si>
    <t>EQUITY</t>
  </si>
  <si>
    <t>Split</t>
  </si>
  <si>
    <t>Sponsor Equity</t>
  </si>
  <si>
    <t>PREFERRED RETURN / CASH FLOW SPLITS</t>
  </si>
  <si>
    <t>Cash Flow Splits for 1st Priority and 2nd Priority</t>
  </si>
  <si>
    <t>Cash Flow - Equity Preferred Returns</t>
  </si>
  <si>
    <t>Cash Flow - Equity Preferred Returns Accrued</t>
  </si>
  <si>
    <t>Cash Flow - Equity Return of Capital</t>
  </si>
  <si>
    <t>Cash Flow - Remaining for 3rd, 4rth, and 5th Priority</t>
  </si>
  <si>
    <t>Balance of Equity</t>
  </si>
  <si>
    <t>Cash Flow - Remaining for 4th, 5th and 6th Priority</t>
  </si>
  <si>
    <t>Cash Flow - Remaining for Waterfalls Split due to Equity</t>
  </si>
  <si>
    <t>Cash Flow needed to achieve IRR (After Pref and Return of Capital)</t>
  </si>
  <si>
    <t>TOTAL EQUITY CASH FLOWS</t>
  </si>
  <si>
    <t>Total Sponsor Cash Flow</t>
  </si>
  <si>
    <t>ROI</t>
  </si>
  <si>
    <t>SPONSOR EQUITY</t>
  </si>
  <si>
    <t>TOTAL CASH DISTRIBUTED</t>
  </si>
  <si>
    <t>WATERFALL</t>
  </si>
  <si>
    <t>JV RETURN STRUCTURE</t>
  </si>
  <si>
    <t>Equity CF (%)</t>
  </si>
  <si>
    <t>Promote (%)</t>
  </si>
  <si>
    <t>Yr-1 Pref Calc</t>
  </si>
  <si>
    <t>Total Land Costs</t>
  </si>
  <si>
    <t>Pre-Development</t>
  </si>
  <si>
    <t>Land Acquisition Date</t>
  </si>
  <si>
    <t>Non-Controllable</t>
  </si>
  <si>
    <t>SCENARIOS</t>
  </si>
  <si>
    <t>Upside</t>
  </si>
  <si>
    <t>Base</t>
  </si>
  <si>
    <t>Downside</t>
  </si>
  <si>
    <t>Toggle</t>
  </si>
  <si>
    <t>Returns to Sponsor</t>
  </si>
  <si>
    <t>Monthly Calc</t>
  </si>
  <si>
    <t>Cash Flow - Equity Preferred Returns Accrued (Current Period)</t>
  </si>
  <si>
    <t>Cash Flow - Remaining for 3rd, 4th, and 5th Priority</t>
  </si>
  <si>
    <t>Minimum ROI</t>
  </si>
  <si>
    <t>Daily Calc</t>
  </si>
  <si>
    <t>Cash Flow - Equity Preferred Returns (Current Period)</t>
  </si>
  <si>
    <t>Cash Flow - Equity Preferred Returns (Paydown of Accrued)</t>
  </si>
  <si>
    <t>Cash Flow - Total Preferred Returns</t>
  </si>
  <si>
    <t>Cumulative Preferred Returns Accrued</t>
  </si>
  <si>
    <t>Cash Flow needed to achieve 20% IRR (After Pref and Return of Capital)</t>
  </si>
  <si>
    <t>Adjusted Cash Flow</t>
  </si>
  <si>
    <t>3rd Priority Split (60/40)</t>
  </si>
  <si>
    <t>4th Priority Split (50/50)</t>
  </si>
  <si>
    <t>5th Priority Split (40/60)</t>
  </si>
  <si>
    <t>Time Since Equity Deployment</t>
  </si>
  <si>
    <t>Rent Per Bed</t>
  </si>
  <si>
    <t>Performance:</t>
  </si>
  <si>
    <t>Total / Average</t>
  </si>
  <si>
    <t>Rent Growth: YR 2: 3.60%, YR 3: 3.53%, YR 4-5: 3.35%</t>
  </si>
  <si>
    <t>Toggle List</t>
  </si>
  <si>
    <t>Concessions: YR 1: 0.00%, YR 2-5: 0.25%</t>
  </si>
  <si>
    <t>Concessions: YR 1: 0.00%, YR 2-5: 0.75%</t>
  </si>
  <si>
    <t xml:space="preserve">  IRR</t>
  </si>
  <si>
    <t xml:space="preserve"> Multiple</t>
  </si>
  <si>
    <t>Loan-to-Value (Stabilized)</t>
  </si>
  <si>
    <t>Pre-Lease Start Date</t>
  </si>
  <si>
    <t>Move-In Date</t>
  </si>
  <si>
    <t>Exit Cap Rate: 1.6 Yrs: 7.00%, 2.6 Yrs: 7.00%, 3.6 Yrs: 7.25%, 4.6 Yrs: 7.50%, 5 Yr: 7.50%</t>
  </si>
  <si>
    <t>Exit Cap Rate: 1.6 Yrs: 6.50%, 2.6 Yrs: 6.75%, 3.6 Yrs: 6.75%, 4.6 Yrs: 7.00%, 5 Yr: 7.00%</t>
  </si>
  <si>
    <t>Total Cost</t>
  </si>
  <si>
    <t>Reversion Price</t>
  </si>
  <si>
    <t>Refinance Date</t>
  </si>
  <si>
    <t>Market Cap Rate @ Refinance</t>
  </si>
  <si>
    <t>MISCELLANEOUS</t>
  </si>
  <si>
    <t>Cash Flow - Remaining for 3rd, 4th, and 5th Priority After Deferred Fee</t>
  </si>
  <si>
    <t>Physical Vacancy: YR 1-2: 4.50%, YR 3-5: 5.00%</t>
  </si>
  <si>
    <t>Physical Vacancy: YR 1-2: 2.50%, YR 3-5: 5.00%</t>
  </si>
  <si>
    <t>Concessions: YR 2: 2.50%, YR 3: 2.00%, YR 4: 1.50%, YR 5%: 1.25%</t>
  </si>
  <si>
    <t>Price Per Square Foot</t>
  </si>
  <si>
    <t>REVERSIONARY VALUES</t>
  </si>
  <si>
    <t>Rent Growth:  YR 2: 2.44%, YR 3: 2.68%, YR 4: 2.70%, YR 5: 2.50%</t>
  </si>
  <si>
    <t>Rent Growth: YR 2-3: 0.00%, YR 4-5: 1.50%</t>
  </si>
  <si>
    <t xml:space="preserve">Physical Vacancy: YR 1: 8.00%, YR 2: 15.00%, YR 3: 12.00%, YR 4+: 10.00% </t>
  </si>
  <si>
    <t>Delta</t>
  </si>
  <si>
    <t>Exit Cap Rate: 1.6 Yrs: 6.25%, 2.6 Yrs: 6.50%, 3.6 Yrs: 6.50%, 4.6 Yrs: 6.50%, 5 Yr: 6.50%</t>
  </si>
  <si>
    <t>Physical Vacancy</t>
  </si>
  <si>
    <t>Excess Cash Flow</t>
  </si>
  <si>
    <t>Hard Cost Contingency</t>
  </si>
  <si>
    <t>Design Costs</t>
  </si>
  <si>
    <t>Finance</t>
  </si>
  <si>
    <t>Legal</t>
  </si>
  <si>
    <t>Marketing/Advertising</t>
  </si>
  <si>
    <t>Fee to Developer</t>
  </si>
  <si>
    <t>Interest Reserve</t>
  </si>
  <si>
    <t>Management Fee</t>
  </si>
  <si>
    <t>Partnership Loan</t>
  </si>
  <si>
    <t>Civil Engineering</t>
  </si>
  <si>
    <t>Landscape Architect</t>
  </si>
  <si>
    <t>Garden</t>
  </si>
  <si>
    <t>1BR/1BA</t>
  </si>
  <si>
    <t xml:space="preserve">Low Voltage </t>
  </si>
  <si>
    <t>Architectural &amp; Engineering</t>
  </si>
  <si>
    <t>Architects Blueprints incl reimbursables</t>
  </si>
  <si>
    <t>Interior Design</t>
  </si>
  <si>
    <t>Renderings</t>
  </si>
  <si>
    <t>Low Voltage Engineer</t>
  </si>
  <si>
    <t>Misc. A&amp;E</t>
  </si>
  <si>
    <t>Unit Furniture &amp; TV's</t>
  </si>
  <si>
    <t>Fitness Equipment</t>
  </si>
  <si>
    <t>Pool Furniture &amp; Decks</t>
  </si>
  <si>
    <t>Clubhouse &amp; Amenity Furnishings</t>
  </si>
  <si>
    <t>Signage</t>
  </si>
  <si>
    <t xml:space="preserve">Construction </t>
  </si>
  <si>
    <t>Base Construction Budget</t>
  </si>
  <si>
    <t>Lender Legal</t>
  </si>
  <si>
    <t>Accounting Services</t>
  </si>
  <si>
    <t>Title Insurance &amp; Closing Costs</t>
  </si>
  <si>
    <t>Market Study &amp; Appraisal</t>
  </si>
  <si>
    <t>Geotechnical Study</t>
  </si>
  <si>
    <t>Environmental Study</t>
  </si>
  <si>
    <t>Meyers Research Report</t>
  </si>
  <si>
    <t>Sound Study</t>
  </si>
  <si>
    <t>Boundary &amp; Topographical Survey</t>
  </si>
  <si>
    <t>Tree Survey</t>
  </si>
  <si>
    <t>Final Alta Survey</t>
  </si>
  <si>
    <t>Misc.</t>
  </si>
  <si>
    <t>Total of Permit, Fee &amp; Meter Costs</t>
  </si>
  <si>
    <t>Start-up</t>
  </si>
  <si>
    <t>Taxes During Construction</t>
  </si>
  <si>
    <t>Builder's Risk Insurance, % of Total Cost</t>
  </si>
  <si>
    <t>Owner's GL Insurance</t>
  </si>
  <si>
    <t>Monthly Bank/Quality Control Inspections</t>
  </si>
  <si>
    <t>Travel Expenses</t>
  </si>
  <si>
    <t>Materials Testing</t>
  </si>
  <si>
    <t xml:space="preserve">PM Fee </t>
  </si>
  <si>
    <t>Fee &amp; Penalty Income</t>
  </si>
  <si>
    <t>Parking Income</t>
  </si>
  <si>
    <t>NPV from Tax Abatement Savings</t>
  </si>
  <si>
    <t>Tax Abatement Savings</t>
  </si>
  <si>
    <t>5-YEAR TAX ESTIMATE (Unabated Tax Amount)</t>
  </si>
  <si>
    <t>5-YEAR TAX ESTIMATE (Tax Savings from Abatement)</t>
  </si>
  <si>
    <t>YTC SPREAD (No Tax Abatement)</t>
  </si>
  <si>
    <t>YTC SPREAD (Includes Tax Abatement)</t>
  </si>
  <si>
    <t>$/PSF</t>
  </si>
  <si>
    <t>General Overhead</t>
  </si>
  <si>
    <t>Offsite Improvements</t>
  </si>
  <si>
    <t>Structured Parking</t>
  </si>
  <si>
    <t>Calc Financing Costs</t>
  </si>
  <si>
    <t>Misc Closing Costs</t>
  </si>
  <si>
    <t>Total Project Costs minus Struc Park</t>
  </si>
  <si>
    <t>Conceptual Design</t>
  </si>
  <si>
    <t>Environmental</t>
  </si>
  <si>
    <t>Geo Tech</t>
  </si>
  <si>
    <t>Platting</t>
  </si>
  <si>
    <t>Surveys</t>
  </si>
  <si>
    <t>Preliminary Due Diligence</t>
  </si>
  <si>
    <t>Pre-Dev - Overhead (includes travel)</t>
  </si>
  <si>
    <t>Infinisys Low Voltage</t>
  </si>
  <si>
    <t>MEP</t>
  </si>
  <si>
    <t>Structural</t>
  </si>
  <si>
    <t>Landscape Arch.</t>
  </si>
  <si>
    <t>Interior Designer</t>
  </si>
  <si>
    <t>Design Cost - Arch.</t>
  </si>
  <si>
    <t>Design - Civil</t>
  </si>
  <si>
    <t>Construction Administration - Consultants</t>
  </si>
  <si>
    <t>Architect</t>
  </si>
  <si>
    <t>Civil</t>
  </si>
  <si>
    <t>Sidewalks, Trees, Lighting on Cullen</t>
  </si>
  <si>
    <t>IH-45 Pavers and Lighting</t>
  </si>
  <si>
    <t>B-Cycle Station</t>
  </si>
  <si>
    <t>Sewer Improvements in Cullen</t>
  </si>
  <si>
    <t>Electric</t>
  </si>
  <si>
    <t>Unit Televisions</t>
  </si>
  <si>
    <t>Unit Furniture</t>
  </si>
  <si>
    <t>Clubhouse/Amenity FF&amp;E</t>
  </si>
  <si>
    <t>Proj -  Struc Park + Land Adj</t>
  </si>
  <si>
    <t>Contract Services</t>
  </si>
  <si>
    <t xml:space="preserve">Development Fee </t>
  </si>
  <si>
    <t>Discount Rate</t>
  </si>
  <si>
    <t>Efficiency</t>
  </si>
  <si>
    <t>2BR/2BA</t>
  </si>
  <si>
    <t>4BR/4BA</t>
  </si>
  <si>
    <t xml:space="preserve">Property Level Returns </t>
  </si>
  <si>
    <t>Unlevered Returns</t>
  </si>
  <si>
    <t>Cash Collateral</t>
  </si>
  <si>
    <t>Initial Investment</t>
  </si>
  <si>
    <t>5-YEAR TAX ESTIMATE (Abated Tax Amount)</t>
  </si>
  <si>
    <t>% of Annual Real Estate Taxes Paid</t>
  </si>
  <si>
    <t>Real Estate Taxes Growth Rate</t>
  </si>
  <si>
    <t>Unabated Annual Real Estate Taxes</t>
  </si>
  <si>
    <t>Annual Real Estate Taxes</t>
  </si>
  <si>
    <t>Real Estate Tax Abatement Adjustment</t>
  </si>
  <si>
    <t>Adjusted Annual Real Estate Taxes</t>
  </si>
  <si>
    <t>Difference in Real Estate Taxes</t>
  </si>
  <si>
    <t>Total Taxes</t>
  </si>
  <si>
    <t>Abated % to Tax Rate</t>
  </si>
  <si>
    <t>NPV at 7.5% Discount Rate</t>
  </si>
  <si>
    <t>Admin &amp; App Income</t>
  </si>
  <si>
    <t>Year 1 (2016)</t>
  </si>
  <si>
    <t>Year 2 (2017)</t>
  </si>
  <si>
    <t>Year 3 (2018)</t>
  </si>
  <si>
    <t>Year 4 (2019)</t>
  </si>
  <si>
    <t>Year 5 (2020)</t>
  </si>
  <si>
    <t>Exit Cap</t>
  </si>
  <si>
    <t>Old Underwriting</t>
  </si>
  <si>
    <t>Company Project Fee</t>
  </si>
  <si>
    <t>Returns to Company</t>
  </si>
  <si>
    <t>Company Levered IRR</t>
  </si>
  <si>
    <t>Company Fee (1%)</t>
  </si>
  <si>
    <t>Company</t>
  </si>
  <si>
    <t>Company Equity</t>
  </si>
  <si>
    <t>Company Forecasted Market Occupancy</t>
  </si>
  <si>
    <t>Total Company Cash Flow</t>
  </si>
  <si>
    <t>Company EQUITY</t>
  </si>
  <si>
    <t>Balance of Deferred Development Fee</t>
  </si>
  <si>
    <t>Multifamily Development Proforma</t>
  </si>
  <si>
    <t>Y</t>
  </si>
  <si>
    <t>Lease Year Starting</t>
  </si>
  <si>
    <t>Location Summary</t>
  </si>
  <si>
    <t>Submarket</t>
  </si>
  <si>
    <t>Northeast San Antonio</t>
  </si>
  <si>
    <t>Address</t>
  </si>
  <si>
    <t>Class</t>
  </si>
  <si>
    <t>B+</t>
  </si>
  <si>
    <t>Acres</t>
  </si>
  <si>
    <t>Note: Based Tax Consulting projections.</t>
  </si>
  <si>
    <t>3BR/3BA</t>
  </si>
  <si>
    <t>1 Bedroom/ 1 Bath</t>
  </si>
  <si>
    <t>2 Bedroom/ 2 Bath</t>
  </si>
  <si>
    <t>3 Bedroom/ 3 Bath</t>
  </si>
  <si>
    <t>2026 Assessed Value</t>
  </si>
  <si>
    <t>2026 Ad Valorem Tax Rate</t>
  </si>
  <si>
    <t>2025 Tax Rate</t>
  </si>
  <si>
    <t>2025 Abated Tax Rate</t>
  </si>
  <si>
    <t>5-Mile 2024 Households</t>
  </si>
  <si>
    <t>* All Cost Assumptions Based on RS Means, CBRE, ULI, and other proprietary sources; * All Financial Projection Assumptions based on Market Study prepared by Development Team</t>
  </si>
  <si>
    <t>Eisenhaur 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</si>
</sst>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6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0\ &quot;months&quot;"/>
    <numFmt numFmtId="166" formatCode="&quot;$&quot;#,##0"/>
    <numFmt numFmtId="167" formatCode="&quot;$&quot;#,##0.00"/>
    <numFmt numFmtId="168" formatCode="0\ &quot;years&quot;"/>
    <numFmt numFmtId="169" formatCode="[$-409]mmm\-yy;@"/>
    <numFmt numFmtId="170" formatCode="&quot;Year &quot;0"/>
    <numFmt numFmtId="171" formatCode="0.0\ &quot;Years&quot;"/>
    <numFmt numFmtId="172" formatCode="0.0\ &quot;Years &quot;"/>
    <numFmt numFmtId="173" formatCode="&quot;+ &quot;0.00%"/>
    <numFmt numFmtId="174" formatCode="&quot;$&quot;#,##0&quot;/bed&quot;"/>
    <numFmt numFmtId="175" formatCode="0.00_);[Red]\(0.00\)"/>
    <numFmt numFmtId="176" formatCode="0_);\(0\)"/>
    <numFmt numFmtId="177" formatCode="_(&quot;$&quot;* #,##0_);_(&quot;$&quot;* \(#,##0\);_(&quot;$&quot;* &quot;-&quot;??_);_(@_)"/>
    <numFmt numFmtId="178" formatCode="0.000000"/>
    <numFmt numFmtId="179" formatCode="0.0%"/>
    <numFmt numFmtId="180" formatCode="&quot;Virtus Equity @&quot;\ 00%"/>
    <numFmt numFmtId="181" formatCode="&quot;Sponsor Equity @ &quot;0%"/>
    <numFmt numFmtId="182" formatCode="&quot;FY&quot;\ 0"/>
    <numFmt numFmtId="183" formatCode="General_)"/>
    <numFmt numFmtId="184" formatCode="_ * #,##0.00_)&quot;F&quot;_ ;_ * \(#,##0.00\)&quot;F&quot;_ ;_ * &quot;-&quot;??_)&quot;F&quot;_ ;_ @_ "/>
    <numFmt numFmtId="185" formatCode="_ * #,##0.00_)_F_ ;_ * \(#,##0.00\)_F_ ;_ * &quot;-&quot;??_)_F_ ;_ @_ "/>
    <numFmt numFmtId="186" formatCode="0.00000_)"/>
    <numFmt numFmtId="187" formatCode="0.0_)"/>
    <numFmt numFmtId="188" formatCode="\$0.00"/>
    <numFmt numFmtId="189" formatCode="&quot;IR£&quot;#,##0;\-&quot;IR£&quot;#,##0"/>
    <numFmt numFmtId="190" formatCode="#,##0.0"/>
    <numFmt numFmtId="191" formatCode="#.##\:\1"/>
    <numFmt numFmtId="192" formatCode="m/d/yyyy\ \ h:mm\ AM/PM"/>
    <numFmt numFmtId="193" formatCode="_-* #,##0_-;\-* #,##0_-;_-* &quot;-&quot;_-;_-@_-"/>
    <numFmt numFmtId="194" formatCode="_-* #,##0.00_-;\-* #,##0.00_-;_-* &quot;-&quot;??_-;_-@_-"/>
    <numFmt numFmtId="195" formatCode="[$$-409]#,##0_);[Red]\([$$-409]#,##0\)"/>
    <numFmt numFmtId="196" formatCode="_([$€-2]* #,##0.00_);_([$€-2]* \(#,##0.00\);_([$€-2]* &quot;-&quot;??_)"/>
    <numFmt numFmtId="197" formatCode="_-* #,##0_-;_-* #,##0\-;_-* &quot;-&quot;_-;_-@_-"/>
    <numFmt numFmtId="198" formatCode="_-* #,##0.00_-;_-* #,##0.00\-;_-* &quot;-&quot;??_-;_-@_-"/>
    <numFmt numFmtId="199" formatCode="mm/yyyy"/>
    <numFmt numFmtId="200" formatCode="#,##0.0\x_);\(#,##0.0\x\);#,##0.0\x_);@_)"/>
    <numFmt numFmtId="201" formatCode="0.00_)"/>
    <numFmt numFmtId="202" formatCode="&quot;Sale&quot;\ \(0.0%\)"/>
    <numFmt numFmtId="203" formatCode="&quot;CHF&quot;\ #,##0.00;&quot;CHF&quot;\ \-#,##0.00"/>
    <numFmt numFmtId="204" formatCode="[&lt;=9999999]###\-####;\(###\)\ ###\-####"/>
    <numFmt numFmtId="205" formatCode="&quot;£&quot;#,##0;\-&quot;£&quot;#,##0"/>
    <numFmt numFmtId="206" formatCode="#,##0.0\%_);\(#,##0.0\%\);#,##0.0\%_);@_)"/>
    <numFmt numFmtId="207" formatCode="#,###,;\(#,###,\)"/>
    <numFmt numFmtId="208" formatCode="&quot;IR£&quot;#,##0;[Red]\-&quot;IR£&quot;#,##0"/>
    <numFmt numFmtId="209" formatCode="&quot;IR£&quot;#,##0.00;\-&quot;IR£&quot;#,##0.00"/>
    <numFmt numFmtId="210" formatCode="_-&quot;F&quot;\ * #,##0_-;_-&quot;F&quot;\ * #,##0\-;_-&quot;F&quot;\ * &quot;-&quot;_-;_-@_-"/>
    <numFmt numFmtId="211" formatCode="_-&quot;F&quot;\ * #,##0.00_-;_-&quot;F&quot;\ * #,##0.00\-;_-&quot;F&quot;\ * &quot;-&quot;??_-;_-@_-"/>
    <numFmt numFmtId="212" formatCode="_-&quot;£&quot;* #,##0_-;\-&quot;£&quot;* #,##0_-;_-&quot;£&quot;* &quot;-&quot;_-;_-@_-"/>
    <numFmt numFmtId="213" formatCode="_-&quot;£&quot;* #,##0.00_-;\-&quot;£&quot;* #,##0.00_-;_-&quot;£&quot;* &quot;-&quot;??_-;_-@_-"/>
    <numFmt numFmtId="214" formatCode="&quot;Sponsor Equity @&quot;\ 00%"/>
    <numFmt numFmtId="215" formatCode="0.0000"/>
    <numFmt numFmtId="216" formatCode="_([$€-2]* #,##0_);_([$€-2]* \(#,##0\);_([$€-2]* &quot;-&quot;??_)"/>
    <numFmt numFmtId="217" formatCode="0.000"/>
    <numFmt numFmtId="218" formatCode="0.00000000"/>
    <numFmt numFmtId="219" formatCode="&quot;ROI based on 30% IRR Hurdle = &quot;0.00"/>
    <numFmt numFmtId="220" formatCode="&quot;Cash Shortfall: &quot;&quot;$&quot;#,##0"/>
    <numFmt numFmtId="221" formatCode="&quot;Adjusted ROI = &quot;0.00"/>
    <numFmt numFmtId="222" formatCode="&quot;Implied IRR Hurdle: &quot;0.00%"/>
    <numFmt numFmtId="223" formatCode="0\ &quot;Case&quot;"/>
    <numFmt numFmtId="224" formatCode="&quot;1st Priority - Preferred Return:&quot;\ \ 0%"/>
    <numFmt numFmtId="225" formatCode="&quot;3rd Priority Split:&quot;\ \ 0%"/>
    <numFmt numFmtId="226" formatCode="&quot;Partner Promote:&quot;\ \ 0%"/>
    <numFmt numFmtId="227" formatCode="&quot;4th Priority Split:&quot;\ \ 0%"/>
    <numFmt numFmtId="228" formatCode="&quot;5th Priority Split:&quot;\ \ 0%"/>
    <numFmt numFmtId="229" formatCode="&quot;Assumed Sale Date:&quot;\ mm/dd/yyyy"/>
    <numFmt numFmtId="230" formatCode="&quot;Hold Period:&quot;\ 0.0\ &quot;Years&quot;"/>
    <numFmt numFmtId="231" formatCode="#,##0.0%_);\(#,##0.0%\)"/>
    <numFmt numFmtId="232" formatCode="#,##0.00%_);\(#,##0.00%\)"/>
    <numFmt numFmtId="233" formatCode="&quot;$&quot;#,##0.0_);\(&quot;$&quot;#,##0.0\)"/>
    <numFmt numFmtId="234" formatCode="&quot;Cost of Sale (&quot;0.00%&quot;)&quot;"/>
    <numFmt numFmtId="235" formatCode="0.000%"/>
    <numFmt numFmtId="236" formatCode="0.000000%"/>
    <numFmt numFmtId="237" formatCode="&quot;LP (&quot;0%&quot;)&quot;"/>
    <numFmt numFmtId="238" formatCode="&quot;GP  (&quot;0%&quot;)&quot;"/>
    <numFmt numFmtId="239" formatCode="&quot;LP Equity @&quot;\ 00%"/>
    <numFmt numFmtId="240" formatCode="&quot;Deferred Development Fee:&quot;\ &quot;$&quot;0,000"/>
    <numFmt numFmtId="241" formatCode=";;;"/>
  </numFmts>
  <fonts count="129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D4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rgb="FF0000D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Times New Roman"/>
      <family val="1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9"/>
      <name val="Tahoma"/>
      <family val="2"/>
    </font>
    <font>
      <b/>
      <sz val="10"/>
      <name val="Times New Roman"/>
      <family val="1"/>
    </font>
    <font>
      <sz val="11"/>
      <color indexed="20"/>
      <name val="Calibri"/>
      <family val="2"/>
    </font>
    <font>
      <sz val="8"/>
      <name val="Times New Roman"/>
      <family val="1"/>
    </font>
    <font>
      <sz val="12"/>
      <name val="Arial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9"/>
      <name val="Tahoma"/>
      <family val="2"/>
    </font>
    <font>
      <sz val="11"/>
      <name val="Arial"/>
      <family val="2"/>
    </font>
    <font>
      <sz val="10"/>
      <name val="Tms Rmn"/>
    </font>
    <font>
      <sz val="12"/>
      <name val="Bank Gothic"/>
    </font>
    <font>
      <sz val="10"/>
      <name val="Tahoma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10"/>
      <name val="MS Sans Serif"/>
      <family val="2"/>
    </font>
    <font>
      <sz val="10"/>
      <name val="Comic Sans MS"/>
      <family val="4"/>
    </font>
    <font>
      <sz val="10"/>
      <name val="dutch801 bt"/>
    </font>
    <font>
      <i/>
      <sz val="11"/>
      <color indexed="23"/>
      <name val="Calibri"/>
      <family val="2"/>
    </font>
    <font>
      <sz val="12"/>
      <name val="Times New Roman"/>
      <family val="1"/>
    </font>
    <font>
      <sz val="18"/>
      <name val="Arial"/>
      <family val="2"/>
    </font>
    <font>
      <sz val="8"/>
      <name val="Arial"/>
      <family val="2"/>
    </font>
    <font>
      <i/>
      <sz val="12"/>
      <name val="Arial"/>
      <family val="2"/>
    </font>
    <font>
      <sz val="18"/>
      <name val="Times New Roman"/>
      <family val="1"/>
    </font>
    <font>
      <i/>
      <sz val="12"/>
      <name val="Times New Roman"/>
      <family val="1"/>
    </font>
    <font>
      <sz val="11"/>
      <color indexed="17"/>
      <name val="Calibri"/>
      <family val="2"/>
    </font>
    <font>
      <b/>
      <sz val="10"/>
      <name val="Tahoma"/>
      <family val="2"/>
    </font>
    <font>
      <u/>
      <sz val="12"/>
      <name val="Tahoma"/>
      <family val="2"/>
    </font>
    <font>
      <i/>
      <u/>
      <sz val="11"/>
      <name val="Tahoma"/>
      <family val="2"/>
    </font>
    <font>
      <u/>
      <sz val="11"/>
      <name val="Tahoma"/>
      <family val="2"/>
    </font>
    <font>
      <i/>
      <u/>
      <sz val="10"/>
      <name val="Tahoma"/>
      <family val="2"/>
    </font>
    <font>
      <u/>
      <sz val="10"/>
      <name val="Tahoma"/>
      <family val="2"/>
    </font>
    <font>
      <i/>
      <u/>
      <sz val="9"/>
      <name val="Tahoma"/>
      <family val="2"/>
    </font>
    <font>
      <u/>
      <sz val="9"/>
      <name val="Tahoma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name val="TimesNewRomanPS"/>
    </font>
    <font>
      <b/>
      <sz val="11"/>
      <color indexed="56"/>
      <name val="Calibri"/>
      <family val="2"/>
    </font>
    <font>
      <b/>
      <sz val="12"/>
      <name val="Dutch801 BT"/>
    </font>
    <font>
      <b/>
      <sz val="9"/>
      <name val="Times New Roman"/>
      <family val="1"/>
    </font>
    <font>
      <sz val="9"/>
      <name val="Times New Roman"/>
      <family val="1"/>
    </font>
    <font>
      <sz val="11"/>
      <color indexed="62"/>
      <name val="Calibri"/>
      <family val="2"/>
    </font>
    <font>
      <sz val="10"/>
      <name val="Courier"/>
      <family val="3"/>
    </font>
    <font>
      <sz val="11"/>
      <color indexed="52"/>
      <name val="Calibri"/>
      <family val="2"/>
    </font>
    <font>
      <b/>
      <sz val="22"/>
      <color indexed="18"/>
      <name val="Times New Roman"/>
      <family val="1"/>
    </font>
    <font>
      <sz val="8"/>
      <name val="Palatino"/>
      <family val="1"/>
    </font>
    <font>
      <sz val="11"/>
      <color indexed="60"/>
      <name val="Calibri"/>
      <family val="2"/>
    </font>
    <font>
      <b/>
      <i/>
      <sz val="16"/>
      <name val="Helv"/>
    </font>
    <font>
      <i/>
      <sz val="9"/>
      <name val="Arial"/>
      <family val="2"/>
    </font>
    <font>
      <b/>
      <sz val="11"/>
      <color indexed="63"/>
      <name val="Calibri"/>
      <family val="2"/>
    </font>
    <font>
      <b/>
      <sz val="26"/>
      <name val="Times New Roman"/>
      <family val="1"/>
    </font>
    <font>
      <b/>
      <sz val="18"/>
      <name val="Times New Roman"/>
      <family val="1"/>
    </font>
    <font>
      <sz val="10"/>
      <color indexed="39"/>
      <name val="Arial"/>
      <family val="2"/>
    </font>
    <font>
      <sz val="10"/>
      <color indexed="8"/>
      <name val="MS Sans Serif"/>
      <family val="2"/>
    </font>
    <font>
      <b/>
      <sz val="10"/>
      <name val="MS Sans Serif"/>
      <family val="2"/>
    </font>
    <font>
      <b/>
      <sz val="10"/>
      <color indexed="9"/>
      <name val="Univers"/>
      <family val="2"/>
    </font>
    <font>
      <sz val="9"/>
      <color indexed="8"/>
      <name val="Times New Roman"/>
      <family val="1"/>
    </font>
    <font>
      <sz val="10"/>
      <name val="Arial MT"/>
    </font>
    <font>
      <b/>
      <u/>
      <sz val="10"/>
      <name val="Tahoma"/>
      <family val="2"/>
    </font>
    <font>
      <b/>
      <sz val="9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b/>
      <sz val="10"/>
      <name val="Helv"/>
    </font>
    <font>
      <b/>
      <sz val="11"/>
      <name val="Tahoma"/>
      <family val="2"/>
    </font>
    <font>
      <sz val="12"/>
      <name val="Tahoma"/>
      <family val="2"/>
    </font>
    <font>
      <i/>
      <sz val="11"/>
      <name val="Tahoma"/>
      <family val="2"/>
    </font>
    <font>
      <sz val="11"/>
      <name val="Tahoma"/>
      <family val="2"/>
    </font>
    <font>
      <i/>
      <sz val="10"/>
      <name val="Tahoma"/>
      <family val="2"/>
    </font>
    <font>
      <i/>
      <sz val="9"/>
      <name val="Tahoma"/>
      <family val="2"/>
    </font>
    <font>
      <sz val="11"/>
      <color indexed="10"/>
      <name val="Calibri"/>
      <family val="2"/>
    </font>
    <font>
      <b/>
      <u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name val="Calibri"/>
      <family val="2"/>
      <scheme val="minor"/>
    </font>
    <font>
      <i/>
      <sz val="11"/>
      <color theme="3"/>
      <name val="Calibri"/>
      <family val="2"/>
      <scheme val="minor"/>
    </font>
    <font>
      <sz val="11"/>
      <color theme="3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rgb="FF0000D4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u/>
      <sz val="11"/>
      <color rgb="FF0000D4"/>
      <name val="Calibri"/>
      <family val="2"/>
      <scheme val="minor"/>
    </font>
    <font>
      <b/>
      <sz val="16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FF"/>
      <name val="Arial"/>
      <family val="2"/>
    </font>
    <font>
      <sz val="18"/>
      <name val="Arial"/>
      <family val="2"/>
    </font>
    <font>
      <b/>
      <sz val="14"/>
      <color rgb="FFFFFFFF"/>
      <name val="Calibri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5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8"/>
        <bgColor indexed="9"/>
      </patternFill>
    </fill>
    <fill>
      <patternFill patternType="solid">
        <fgColor indexed="63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0503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/>
      <bottom style="thin">
        <color indexed="64"/>
      </bottom>
      <diagonal/>
    </border>
    <border>
      <left/>
      <right/>
      <top style="double">
        <color auto="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hair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hair">
        <color indexed="22"/>
      </bottom>
      <diagonal/>
    </border>
    <border>
      <left/>
      <right/>
      <top style="double">
        <color indexed="64"/>
      </top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auto="1"/>
      </right>
      <top style="thin">
        <color indexed="64"/>
      </top>
      <bottom style="double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auto="1"/>
      </left>
      <right/>
      <top style="dashed">
        <color auto="1"/>
      </top>
      <bottom style="dashed">
        <color auto="1"/>
      </bottom>
      <diagonal/>
    </border>
    <border>
      <left/>
      <right style="dashed">
        <color auto="1"/>
      </right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auto="1"/>
      </top>
      <bottom/>
      <diagonal/>
    </border>
  </borders>
  <cellStyleXfs count="3271">
    <xf numFmtId="0" fontId="0" fillId="0" borderId="0"/>
    <xf numFmtId="0" fontId="8" fillId="0" borderId="0"/>
    <xf numFmtId="9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22" fillId="0" borderId="0"/>
    <xf numFmtId="0" fontId="24" fillId="0" borderId="0"/>
    <xf numFmtId="0" fontId="8" fillId="0" borderId="0"/>
    <xf numFmtId="9" fontId="24" fillId="0" borderId="0" applyFont="0" applyFill="0" applyBorder="0" applyAlignment="0" applyProtection="0"/>
    <xf numFmtId="0" fontId="24" fillId="0" borderId="0"/>
    <xf numFmtId="0" fontId="24" fillId="0" borderId="0"/>
    <xf numFmtId="9" fontId="22" fillId="0" borderId="0" applyFont="0" applyFill="0" applyBorder="0" applyAlignment="0" applyProtection="0"/>
    <xf numFmtId="0" fontId="24" fillId="0" borderId="0"/>
    <xf numFmtId="0" fontId="24" fillId="0" borderId="0"/>
    <xf numFmtId="0" fontId="8" fillId="0" borderId="0"/>
    <xf numFmtId="0" fontId="8" fillId="0" borderId="0"/>
    <xf numFmtId="10" fontId="27" fillId="0" borderId="0"/>
    <xf numFmtId="0" fontId="28" fillId="13" borderId="0" applyNumberFormat="0" applyBorder="0" applyAlignment="0" applyProtection="0"/>
    <xf numFmtId="0" fontId="28" fillId="13" borderId="0" applyNumberFormat="0" applyBorder="0" applyAlignment="0" applyProtection="0"/>
    <xf numFmtId="0" fontId="28" fillId="13" borderId="0" applyNumberFormat="0" applyBorder="0" applyAlignment="0" applyProtection="0"/>
    <xf numFmtId="0" fontId="28" fillId="14" borderId="0" applyNumberFormat="0" applyBorder="0" applyAlignment="0" applyProtection="0"/>
    <xf numFmtId="0" fontId="28" fillId="14" borderId="0" applyNumberFormat="0" applyBorder="0" applyAlignment="0" applyProtection="0"/>
    <xf numFmtId="0" fontId="28" fillId="14" borderId="0" applyNumberFormat="0" applyBorder="0" applyAlignment="0" applyProtection="0"/>
    <xf numFmtId="0" fontId="28" fillId="15" borderId="0" applyNumberFormat="0" applyBorder="0" applyAlignment="0" applyProtection="0"/>
    <xf numFmtId="0" fontId="28" fillId="15" borderId="0" applyNumberFormat="0" applyBorder="0" applyAlignment="0" applyProtection="0"/>
    <xf numFmtId="0" fontId="28" fillId="15" borderId="0" applyNumberFormat="0" applyBorder="0" applyAlignment="0" applyProtection="0"/>
    <xf numFmtId="0" fontId="28" fillId="16" borderId="0" applyNumberFormat="0" applyBorder="0" applyAlignment="0" applyProtection="0"/>
    <xf numFmtId="0" fontId="28" fillId="16" borderId="0" applyNumberFormat="0" applyBorder="0" applyAlignment="0" applyProtection="0"/>
    <xf numFmtId="0" fontId="28" fillId="16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28" fillId="18" borderId="0" applyNumberFormat="0" applyBorder="0" applyAlignment="0" applyProtection="0"/>
    <xf numFmtId="0" fontId="28" fillId="18" borderId="0" applyNumberFormat="0" applyBorder="0" applyAlignment="0" applyProtection="0"/>
    <xf numFmtId="0" fontId="28" fillId="18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20" borderId="0" applyNumberFormat="0" applyBorder="0" applyAlignment="0" applyProtection="0"/>
    <xf numFmtId="0" fontId="28" fillId="20" borderId="0" applyNumberFormat="0" applyBorder="0" applyAlignment="0" applyProtection="0"/>
    <xf numFmtId="0" fontId="28" fillId="20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28" fillId="16" borderId="0" applyNumberFormat="0" applyBorder="0" applyAlignment="0" applyProtection="0"/>
    <xf numFmtId="0" fontId="28" fillId="16" borderId="0" applyNumberFormat="0" applyBorder="0" applyAlignment="0" applyProtection="0"/>
    <xf numFmtId="0" fontId="28" fillId="16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29" fillId="23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29" fillId="26" borderId="0" applyNumberFormat="0" applyBorder="0" applyAlignment="0" applyProtection="0"/>
    <xf numFmtId="14" fontId="30" fillId="0" borderId="0"/>
    <xf numFmtId="0" fontId="29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29" fillId="30" borderId="0" applyNumberFormat="0" applyBorder="0" applyAlignment="0" applyProtection="0"/>
    <xf numFmtId="183" fontId="31" fillId="0" borderId="0" applyNumberFormat="0" applyFont="0" applyAlignment="0">
      <alignment horizontal="left" indent="1"/>
    </xf>
    <xf numFmtId="0" fontId="32" fillId="14" borderId="0" applyNumberFormat="0" applyBorder="0" applyAlignment="0" applyProtection="0"/>
    <xf numFmtId="0" fontId="33" fillId="0" borderId="6" applyNumberFormat="0" applyFont="0" applyFill="0" applyAlignment="0" applyProtection="0"/>
    <xf numFmtId="183" fontId="24" fillId="0" borderId="59" applyNumberFormat="0" applyFont="0" applyAlignment="0" applyProtection="0"/>
    <xf numFmtId="184" fontId="34" fillId="0" borderId="0" applyFill="0" applyBorder="0" applyAlignment="0"/>
    <xf numFmtId="185" fontId="34" fillId="0" borderId="0" applyFill="0" applyBorder="0" applyAlignment="0"/>
    <xf numFmtId="186" fontId="34" fillId="0" borderId="0" applyFill="0" applyBorder="0" applyAlignment="0"/>
    <xf numFmtId="187" fontId="34" fillId="0" borderId="0" applyFill="0" applyBorder="0" applyAlignment="0"/>
    <xf numFmtId="188" fontId="34" fillId="0" borderId="0" applyFill="0" applyBorder="0" applyAlignment="0"/>
    <xf numFmtId="184" fontId="34" fillId="0" borderId="0" applyFill="0" applyBorder="0" applyAlignment="0"/>
    <xf numFmtId="189" fontId="34" fillId="0" borderId="0" applyFill="0" applyBorder="0" applyAlignment="0"/>
    <xf numFmtId="185" fontId="34" fillId="0" borderId="0" applyFill="0" applyBorder="0" applyAlignment="0"/>
    <xf numFmtId="0" fontId="35" fillId="31" borderId="60" applyNumberFormat="0" applyAlignment="0" applyProtection="0"/>
    <xf numFmtId="0" fontId="36" fillId="32" borderId="61" applyNumberFormat="0" applyAlignment="0" applyProtection="0"/>
    <xf numFmtId="0" fontId="37" fillId="33" borderId="0" applyNumberFormat="0">
      <alignment horizontal="center"/>
    </xf>
    <xf numFmtId="40" fontId="38" fillId="0" borderId="0" applyFont="0"/>
    <xf numFmtId="184" fontId="34" fillId="0" borderId="0" applyFont="0" applyFill="0" applyBorder="0" applyAlignment="0" applyProtection="0"/>
    <xf numFmtId="40" fontId="8" fillId="0" borderId="0">
      <protection locked="0"/>
    </xf>
    <xf numFmtId="3" fontId="39" fillId="0" borderId="0" applyFont="0" applyFill="0" applyBorder="0" applyAlignment="0" applyProtection="0"/>
    <xf numFmtId="4" fontId="3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190" fontId="24" fillId="0" borderId="0">
      <protection locked="0"/>
    </xf>
    <xf numFmtId="8" fontId="8" fillId="0" borderId="0">
      <protection locked="0"/>
    </xf>
    <xf numFmtId="185" fontId="34" fillId="0" borderId="0" applyFont="0" applyFill="0" applyBorder="0" applyAlignment="0" applyProtection="0"/>
    <xf numFmtId="6" fontId="39" fillId="0" borderId="0" applyFont="0" applyFill="0" applyBorder="0" applyAlignment="0" applyProtection="0"/>
    <xf numFmtId="8" fontId="39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4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8" fillId="0" borderId="0" applyFont="0" applyFill="0" applyBorder="0" applyAlignment="0" applyProtection="0"/>
    <xf numFmtId="190" fontId="24" fillId="0" borderId="0">
      <protection locked="0"/>
    </xf>
    <xf numFmtId="39" fontId="30" fillId="0" borderId="0">
      <alignment horizontal="right"/>
    </xf>
    <xf numFmtId="191" fontId="39" fillId="0" borderId="0" applyFont="0" applyFill="0" applyBorder="0" applyAlignment="0" applyProtection="0"/>
    <xf numFmtId="190" fontId="24" fillId="0" borderId="0">
      <protection locked="0"/>
    </xf>
    <xf numFmtId="14" fontId="42" fillId="0" borderId="0" applyFill="0" applyBorder="0" applyAlignment="0"/>
    <xf numFmtId="14" fontId="27" fillId="0" borderId="0">
      <alignment horizontal="center"/>
    </xf>
    <xf numFmtId="192" fontId="43" fillId="0" borderId="0" applyFill="0" applyProtection="0">
      <alignment vertical="center"/>
    </xf>
    <xf numFmtId="38" fontId="44" fillId="0" borderId="62">
      <alignment vertical="center"/>
    </xf>
    <xf numFmtId="193" fontId="8" fillId="0" borderId="0" applyFont="0" applyFill="0" applyBorder="0" applyAlignment="0" applyProtection="0"/>
    <xf numFmtId="194" fontId="8" fillId="0" borderId="0" applyFont="0" applyFill="0" applyBorder="0" applyAlignment="0" applyProtection="0"/>
    <xf numFmtId="195" fontId="45" fillId="0" borderId="63"/>
    <xf numFmtId="195" fontId="45" fillId="0" borderId="63"/>
    <xf numFmtId="38" fontId="46" fillId="0" borderId="64" applyNumberFormat="0" applyFont="0" applyFill="0" applyAlignment="0"/>
    <xf numFmtId="184" fontId="34" fillId="0" borderId="0" applyFill="0" applyBorder="0" applyAlignment="0"/>
    <xf numFmtId="185" fontId="34" fillId="0" borderId="0" applyFill="0" applyBorder="0" applyAlignment="0"/>
    <xf numFmtId="184" fontId="34" fillId="0" borderId="0" applyFill="0" applyBorder="0" applyAlignment="0"/>
    <xf numFmtId="189" fontId="34" fillId="0" borderId="0" applyFill="0" applyBorder="0" applyAlignment="0"/>
    <xf numFmtId="185" fontId="34" fillId="0" borderId="0" applyFill="0" applyBorder="0" applyAlignment="0"/>
    <xf numFmtId="196" fontId="24" fillId="0" borderId="0" applyFont="0" applyFill="0" applyBorder="0" applyAlignment="0" applyProtection="0"/>
    <xf numFmtId="0" fontId="8" fillId="0" borderId="65" applyNumberFormat="0" applyFont="0" applyFill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179" fontId="30" fillId="0" borderId="0" applyBorder="0"/>
    <xf numFmtId="0" fontId="49" fillId="0" borderId="0" applyProtection="0"/>
    <xf numFmtId="0" fontId="50" fillId="0" borderId="0" applyProtection="0"/>
    <xf numFmtId="0" fontId="51" fillId="0" borderId="0" applyProtection="0"/>
    <xf numFmtId="0" fontId="48" fillId="0" borderId="0" applyProtection="0"/>
    <xf numFmtId="0" fontId="52" fillId="0" borderId="0" applyProtection="0"/>
    <xf numFmtId="0" fontId="33" fillId="0" borderId="0" applyProtection="0"/>
    <xf numFmtId="0" fontId="53" fillId="0" borderId="0" applyProtection="0"/>
    <xf numFmtId="1" fontId="39" fillId="0" borderId="0" applyFont="0" applyFill="0" applyBorder="0" applyAlignment="0" applyProtection="0"/>
    <xf numFmtId="164" fontId="39" fillId="0" borderId="0" applyFont="0" applyFill="0" applyBorder="0" applyAlignment="0" applyProtection="0"/>
    <xf numFmtId="2" fontId="39" fillId="0" borderId="0" applyFont="0" applyFill="0" applyBorder="0" applyAlignment="0" applyProtection="0"/>
    <xf numFmtId="190" fontId="24" fillId="0" borderId="0">
      <protection locked="0"/>
    </xf>
    <xf numFmtId="0" fontId="33" fillId="0" borderId="0" applyFill="0" applyBorder="0" applyProtection="0">
      <alignment horizontal="left"/>
    </xf>
    <xf numFmtId="0" fontId="54" fillId="15" borderId="0" applyNumberFormat="0" applyBorder="0" applyAlignment="0" applyProtection="0"/>
    <xf numFmtId="0" fontId="55" fillId="0" borderId="0">
      <alignment horizontal="left" indent="2"/>
    </xf>
    <xf numFmtId="38" fontId="50" fillId="34" borderId="0" applyNumberFormat="0" applyBorder="0" applyAlignment="0" applyProtection="0"/>
    <xf numFmtId="0" fontId="8" fillId="0" borderId="0"/>
    <xf numFmtId="0" fontId="56" fillId="0" borderId="0" applyNumberFormat="0" applyFill="0" applyBorder="0" applyAlignment="0" applyProtection="0">
      <alignment horizontal="left"/>
    </xf>
    <xf numFmtId="0" fontId="57" fillId="0" borderId="0" applyNumberFormat="0" applyFill="0" applyBorder="0" applyAlignment="0" applyProtection="0">
      <alignment horizontal="left"/>
    </xf>
    <xf numFmtId="0" fontId="58" fillId="0" borderId="0" applyNumberFormat="0" applyFill="0" applyBorder="0" applyAlignment="0" applyProtection="0">
      <alignment horizontal="left"/>
    </xf>
    <xf numFmtId="0" fontId="59" fillId="0" borderId="0" applyNumberFormat="0" applyFill="0" applyBorder="0" applyAlignment="0" applyProtection="0">
      <alignment horizontal="left"/>
    </xf>
    <xf numFmtId="0" fontId="60" fillId="0" borderId="0" applyNumberFormat="0" applyFill="0" applyAlignment="0" applyProtection="0">
      <alignment horizontal="left"/>
    </xf>
    <xf numFmtId="0" fontId="59" fillId="0" borderId="0" applyNumberFormat="0" applyFill="0" applyBorder="0" applyAlignment="0" applyProtection="0">
      <alignment horizontal="left"/>
    </xf>
    <xf numFmtId="0" fontId="60" fillId="0" borderId="0" applyNumberFormat="0" applyFill="0" applyBorder="0" applyAlignment="0" applyProtection="0">
      <alignment horizontal="left"/>
    </xf>
    <xf numFmtId="0" fontId="61" fillId="0" borderId="0" applyNumberFormat="0" applyFill="0" applyBorder="0" applyAlignment="0" applyProtection="0">
      <alignment horizontal="left"/>
    </xf>
    <xf numFmtId="0" fontId="62" fillId="0" borderId="0" applyNumberFormat="0" applyFill="0" applyBorder="0" applyAlignment="0" applyProtection="0">
      <alignment horizontal="left"/>
    </xf>
    <xf numFmtId="0" fontId="63" fillId="0" borderId="0" applyFont="0" applyAlignment="0"/>
    <xf numFmtId="0" fontId="64" fillId="0" borderId="57" applyNumberFormat="0" applyAlignment="0" applyProtection="0">
      <alignment horizontal="left"/>
    </xf>
    <xf numFmtId="0" fontId="64" fillId="0" borderId="57" applyNumberFormat="0" applyAlignment="0" applyProtection="0">
      <alignment horizontal="left" vertical="center"/>
    </xf>
    <xf numFmtId="0" fontId="64" fillId="0" borderId="57" applyNumberFormat="0" applyAlignment="0" applyProtection="0">
      <alignment horizontal="left" vertical="center"/>
    </xf>
    <xf numFmtId="0" fontId="64" fillId="0" borderId="2">
      <alignment horizontal="left"/>
    </xf>
    <xf numFmtId="0" fontId="64" fillId="0" borderId="2">
      <alignment horizontal="left" vertical="center"/>
    </xf>
    <xf numFmtId="37" fontId="65" fillId="1" borderId="0"/>
    <xf numFmtId="190" fontId="24" fillId="0" borderId="0">
      <protection locked="0"/>
    </xf>
    <xf numFmtId="190" fontId="24" fillId="0" borderId="0">
      <protection locked="0"/>
    </xf>
    <xf numFmtId="0" fontId="66" fillId="0" borderId="66" applyNumberFormat="0" applyFill="0" applyAlignment="0" applyProtection="0"/>
    <xf numFmtId="0" fontId="66" fillId="0" borderId="0" applyNumberFormat="0" applyFill="0" applyBorder="0" applyAlignment="0" applyProtection="0"/>
    <xf numFmtId="0" fontId="63" fillId="0" borderId="0"/>
    <xf numFmtId="37" fontId="65" fillId="1" borderId="0"/>
    <xf numFmtId="37" fontId="67" fillId="0" borderId="67" applyNumberFormat="0" applyFill="0">
      <alignment horizontal="left"/>
    </xf>
    <xf numFmtId="0" fontId="68" fillId="0" borderId="0"/>
    <xf numFmtId="0" fontId="69" fillId="0" borderId="0"/>
    <xf numFmtId="0" fontId="8" fillId="33" borderId="30" applyNumberFormat="0" applyFont="0" applyBorder="0" applyAlignment="0" applyProtection="0"/>
    <xf numFmtId="37" fontId="30" fillId="0" borderId="0" applyBorder="0"/>
    <xf numFmtId="10" fontId="50" fillId="35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10" fontId="50" fillId="36" borderId="63" applyNumberFormat="0" applyBorder="0" applyAlignment="0" applyProtection="0"/>
    <xf numFmtId="0" fontId="70" fillId="18" borderId="60" applyNumberFormat="0" applyAlignment="0" applyProtection="0"/>
    <xf numFmtId="197" fontId="71" fillId="0" borderId="0" applyFont="0" applyFill="0" applyBorder="0" applyAlignment="0" applyProtection="0"/>
    <xf numFmtId="198" fontId="71" fillId="0" borderId="0" applyFont="0" applyFill="0" applyBorder="0" applyAlignment="0" applyProtection="0"/>
    <xf numFmtId="184" fontId="34" fillId="0" borderId="0" applyFill="0" applyBorder="0" applyAlignment="0"/>
    <xf numFmtId="185" fontId="34" fillId="0" borderId="0" applyFill="0" applyBorder="0" applyAlignment="0"/>
    <xf numFmtId="184" fontId="34" fillId="0" borderId="0" applyFill="0" applyBorder="0" applyAlignment="0"/>
    <xf numFmtId="189" fontId="34" fillId="0" borderId="0" applyFill="0" applyBorder="0" applyAlignment="0"/>
    <xf numFmtId="185" fontId="34" fillId="0" borderId="0" applyFill="0" applyBorder="0" applyAlignment="0"/>
    <xf numFmtId="0" fontId="72" fillId="0" borderId="68" applyNumberFormat="0" applyFill="0" applyAlignment="0" applyProtection="0"/>
    <xf numFmtId="199" fontId="30" fillId="0" borderId="0"/>
    <xf numFmtId="37" fontId="73" fillId="0" borderId="0">
      <alignment horizontal="center"/>
    </xf>
    <xf numFmtId="41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200" fontId="74" fillId="0" borderId="0" applyFont="0" applyFill="0" applyBorder="0" applyProtection="0">
      <alignment horizontal="right"/>
    </xf>
    <xf numFmtId="0" fontId="75" fillId="37" borderId="0" applyNumberFormat="0" applyBorder="0" applyAlignment="0" applyProtection="0"/>
    <xf numFmtId="201" fontId="76" fillId="0" borderId="0"/>
    <xf numFmtId="202" fontId="24" fillId="0" borderId="0"/>
    <xf numFmtId="203" fontId="43" fillId="0" borderId="0"/>
    <xf numFmtId="0" fontId="8" fillId="0" borderId="0"/>
    <xf numFmtId="0" fontId="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8" fillId="0" borderId="0"/>
    <xf numFmtId="0" fontId="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8" fillId="0" borderId="0"/>
    <xf numFmtId="0" fontId="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8" fillId="0" borderId="0"/>
    <xf numFmtId="0" fontId="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8" fillId="0" borderId="0"/>
    <xf numFmtId="0" fontId="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/>
    <xf numFmtId="0" fontId="8" fillId="0" borderId="0"/>
    <xf numFmtId="0" fontId="8" fillId="0" borderId="0"/>
    <xf numFmtId="0" fontId="24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/>
    <xf numFmtId="0" fontId="8" fillId="0" borderId="0"/>
    <xf numFmtId="0" fontId="8" fillId="0" borderId="0"/>
    <xf numFmtId="0" fontId="24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/>
    <xf numFmtId="0" fontId="8" fillId="0" borderId="0"/>
    <xf numFmtId="0" fontId="8" fillId="0" borderId="0"/>
    <xf numFmtId="0" fontId="24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/>
    <xf numFmtId="0" fontId="2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8" fillId="0" borderId="0"/>
    <xf numFmtId="0" fontId="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8" fillId="0" borderId="0"/>
    <xf numFmtId="0" fontId="24" fillId="0" borderId="0"/>
    <xf numFmtId="0" fontId="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8" fillId="0" borderId="0"/>
    <xf numFmtId="0" fontId="8" fillId="0" borderId="0"/>
    <xf numFmtId="0" fontId="8" fillId="0" borderId="0"/>
    <xf numFmtId="0" fontId="24" fillId="0" borderId="0"/>
    <xf numFmtId="0" fontId="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8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2" fillId="0" borderId="0"/>
    <xf numFmtId="0" fontId="8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8" fillId="0" borderId="0"/>
    <xf numFmtId="0" fontId="8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8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/>
    <xf numFmtId="0" fontId="24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/>
    <xf numFmtId="0" fontId="24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/>
    <xf numFmtId="0" fontId="24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/>
    <xf numFmtId="0" fontId="24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/>
    <xf numFmtId="0" fontId="24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/>
    <xf numFmtId="0" fontId="24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/>
    <xf numFmtId="0" fontId="24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/>
    <xf numFmtId="0" fontId="22" fillId="0" borderId="0"/>
    <xf numFmtId="0" fontId="8" fillId="0" borderId="0"/>
    <xf numFmtId="0" fontId="24" fillId="0" borderId="0"/>
    <xf numFmtId="0" fontId="24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/>
    <xf numFmtId="0" fontId="22" fillId="0" borderId="0"/>
    <xf numFmtId="0" fontId="2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8" fillId="0" borderId="0"/>
    <xf numFmtId="0" fontId="8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8" fillId="0" borderId="0"/>
    <xf numFmtId="0" fontId="8" fillId="0" borderId="0"/>
    <xf numFmtId="0" fontId="22" fillId="0" borderId="0"/>
    <xf numFmtId="0" fontId="22" fillId="0" borderId="0"/>
    <xf numFmtId="0" fontId="8" fillId="0" borderId="0"/>
    <xf numFmtId="0" fontId="8" fillId="0" borderId="0"/>
    <xf numFmtId="0" fontId="2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/>
    <xf numFmtId="0" fontId="24" fillId="0" borderId="0"/>
    <xf numFmtId="0" fontId="8" fillId="0" borderId="0"/>
    <xf numFmtId="0" fontId="8" fillId="0" borderId="0">
      <alignment wrapText="1"/>
    </xf>
    <xf numFmtId="0" fontId="24" fillId="0" borderId="0"/>
    <xf numFmtId="0" fontId="24" fillId="0" borderId="0"/>
    <xf numFmtId="0" fontId="24" fillId="0" borderId="0"/>
    <xf numFmtId="0" fontId="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2" fillId="0" borderId="0"/>
    <xf numFmtId="0" fontId="8" fillId="0" borderId="0"/>
    <xf numFmtId="0" fontId="8" fillId="0" borderId="0"/>
    <xf numFmtId="0" fontId="8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8" fillId="0" borderId="0"/>
    <xf numFmtId="0" fontId="8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8" fillId="0" borderId="0"/>
    <xf numFmtId="0" fontId="8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8" fillId="0" borderId="0"/>
    <xf numFmtId="0" fontId="8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8" fillId="0" borderId="0"/>
    <xf numFmtId="0" fontId="8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8" fillId="0" borderId="0"/>
    <xf numFmtId="0" fontId="8" fillId="0" borderId="0"/>
    <xf numFmtId="0" fontId="22" fillId="0" borderId="0"/>
    <xf numFmtId="0" fontId="22" fillId="0" borderId="0"/>
    <xf numFmtId="0" fontId="8" fillId="0" borderId="0"/>
    <xf numFmtId="0" fontId="8" fillId="0" borderId="0"/>
    <xf numFmtId="0" fontId="22" fillId="0" borderId="0"/>
    <xf numFmtId="0" fontId="8" fillId="0" borderId="0"/>
    <xf numFmtId="0" fontId="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8" fillId="0" borderId="0"/>
    <xf numFmtId="0" fontId="8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/>
    <xf numFmtId="0" fontId="8" fillId="0" borderId="0"/>
    <xf numFmtId="0" fontId="8" fillId="0" borderId="0"/>
    <xf numFmtId="0" fontId="24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8" fillId="0" borderId="0"/>
    <xf numFmtId="0" fontId="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77" fillId="0" borderId="0"/>
    <xf numFmtId="0" fontId="22" fillId="9" borderId="56" applyNumberFormat="0" applyFont="0" applyAlignment="0" applyProtection="0"/>
    <xf numFmtId="0" fontId="8" fillId="38" borderId="69" applyNumberFormat="0" applyFont="0" applyAlignment="0" applyProtection="0"/>
    <xf numFmtId="0" fontId="8" fillId="0" borderId="65" applyNumberFormat="0" applyFont="0" applyFill="0" applyAlignment="0" applyProtection="0"/>
    <xf numFmtId="0" fontId="78" fillId="31" borderId="70" applyNumberFormat="0" applyAlignment="0" applyProtection="0"/>
    <xf numFmtId="0" fontId="8" fillId="0" borderId="71" applyNumberFormat="0" applyFont="0" applyFill="0" applyAlignment="0" applyProtection="0"/>
    <xf numFmtId="0" fontId="8" fillId="0" borderId="8" applyNumberFormat="0" applyFont="0" applyFill="0" applyAlignment="0" applyProtection="0"/>
    <xf numFmtId="204" fontId="30" fillId="0" borderId="6" applyBorder="0"/>
    <xf numFmtId="0" fontId="79" fillId="0" borderId="0" applyFill="0" applyBorder="0" applyProtection="0">
      <alignment horizontal="left"/>
    </xf>
    <xf numFmtId="0" fontId="80" fillId="0" borderId="0" applyFill="0" applyBorder="0" applyProtection="0">
      <alignment horizontal="left"/>
    </xf>
    <xf numFmtId="39" fontId="81" fillId="0" borderId="0" applyBorder="0"/>
    <xf numFmtId="9" fontId="8" fillId="0" borderId="0">
      <protection locked="0"/>
    </xf>
    <xf numFmtId="10" fontId="8" fillId="0" borderId="0">
      <protection locked="0"/>
    </xf>
    <xf numFmtId="9" fontId="24" fillId="0" borderId="0" applyFont="0" applyFill="0" applyBorder="0" applyAlignment="0" applyProtection="0"/>
    <xf numFmtId="10" fontId="24" fillId="0" borderId="0" applyFont="0" applyFill="0" applyBorder="0" applyAlignment="0" applyProtection="0"/>
    <xf numFmtId="188" fontId="34" fillId="0" borderId="0" applyFont="0" applyFill="0" applyBorder="0" applyAlignment="0" applyProtection="0"/>
    <xf numFmtId="205" fontId="34" fillId="0" borderId="0" applyFont="0" applyFill="0" applyBorder="0" applyAlignment="0" applyProtection="0"/>
    <xf numFmtId="10" fontId="8" fillId="0" borderId="0" applyFont="0" applyFill="0" applyBorder="0" applyAlignment="0" applyProtection="0"/>
    <xf numFmtId="9" fontId="39" fillId="0" borderId="0" applyFont="0" applyFill="0" applyBorder="0" applyAlignment="0" applyProtection="0"/>
    <xf numFmtId="179" fontId="39" fillId="0" borderId="0" applyFont="0" applyFill="0" applyBorder="0" applyAlignment="0" applyProtection="0"/>
    <xf numFmtId="10" fontId="39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206" fontId="33" fillId="0" borderId="0" applyFont="0" applyFill="0" applyBorder="0" applyProtection="0">
      <alignment horizontal="right"/>
    </xf>
    <xf numFmtId="184" fontId="34" fillId="0" borderId="0" applyFill="0" applyBorder="0" applyAlignment="0"/>
    <xf numFmtId="185" fontId="34" fillId="0" borderId="0" applyFill="0" applyBorder="0" applyAlignment="0"/>
    <xf numFmtId="184" fontId="34" fillId="0" borderId="0" applyFill="0" applyBorder="0" applyAlignment="0"/>
    <xf numFmtId="189" fontId="34" fillId="0" borderId="0" applyFill="0" applyBorder="0" applyAlignment="0"/>
    <xf numFmtId="185" fontId="34" fillId="0" borderId="0" applyFill="0" applyBorder="0" applyAlignment="0"/>
    <xf numFmtId="9" fontId="82" fillId="0" borderId="0" applyFont="0" applyFill="0" applyProtection="0"/>
    <xf numFmtId="0" fontId="44" fillId="0" borderId="0" applyNumberFormat="0" applyFont="0" applyFill="0" applyBorder="0" applyAlignment="0" applyProtection="0">
      <alignment horizontal="left"/>
    </xf>
    <xf numFmtId="15" fontId="44" fillId="0" borderId="0" applyFont="0" applyFill="0" applyBorder="0" applyAlignment="0" applyProtection="0"/>
    <xf numFmtId="4" fontId="44" fillId="0" borderId="0" applyFont="0" applyFill="0" applyBorder="0" applyAlignment="0" applyProtection="0"/>
    <xf numFmtId="0" fontId="83" fillId="0" borderId="6">
      <alignment horizontal="center"/>
    </xf>
    <xf numFmtId="3" fontId="44" fillId="0" borderId="0" applyFont="0" applyFill="0" applyBorder="0" applyAlignment="0" applyProtection="0"/>
    <xf numFmtId="0" fontId="44" fillId="39" borderId="0" applyNumberFormat="0" applyFont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4" fillId="40" borderId="0">
      <alignment horizontal="center"/>
    </xf>
    <xf numFmtId="0" fontId="24" fillId="41" borderId="0" applyNumberFormat="0" applyFont="0" applyBorder="0" applyAlignment="0" applyProtection="0"/>
    <xf numFmtId="207" fontId="85" fillId="0" borderId="0" applyFont="0" applyFill="0" applyBorder="0" applyAlignment="0" applyProtection="0"/>
    <xf numFmtId="0" fontId="8" fillId="33" borderId="0" applyNumberFormat="0" applyBorder="0" applyProtection="0">
      <alignment horizontal="center"/>
    </xf>
    <xf numFmtId="0" fontId="82" fillId="0" borderId="0"/>
    <xf numFmtId="0" fontId="8" fillId="42" borderId="0"/>
    <xf numFmtId="38" fontId="45" fillId="0" borderId="63"/>
    <xf numFmtId="38" fontId="45" fillId="0" borderId="63"/>
    <xf numFmtId="0" fontId="86" fillId="0" borderId="0"/>
    <xf numFmtId="37" fontId="71" fillId="0" borderId="0"/>
    <xf numFmtId="0" fontId="87" fillId="0" borderId="0">
      <alignment horizontal="left"/>
    </xf>
    <xf numFmtId="0" fontId="37" fillId="0" borderId="0">
      <alignment horizontal="left" indent="1"/>
    </xf>
    <xf numFmtId="49" fontId="30" fillId="0" borderId="0"/>
    <xf numFmtId="0" fontId="88" fillId="0" borderId="0" applyFill="0" applyBorder="0" applyProtection="0">
      <alignment horizontal="center" vertical="center"/>
    </xf>
    <xf numFmtId="0" fontId="89" fillId="0" borderId="0" applyBorder="0" applyProtection="0">
      <alignment horizontal="left"/>
    </xf>
    <xf numFmtId="0" fontId="88" fillId="0" borderId="0" applyFill="0" applyBorder="0" applyProtection="0"/>
    <xf numFmtId="0" fontId="88" fillId="0" borderId="0" applyFill="0" applyBorder="0" applyProtection="0">
      <alignment horizontal="left"/>
    </xf>
    <xf numFmtId="0" fontId="50" fillId="0" borderId="4" applyFill="0" applyBorder="0" applyProtection="0">
      <alignment horizontal="left" vertical="top"/>
    </xf>
    <xf numFmtId="49" fontId="8" fillId="0" borderId="0" applyFont="0" applyFill="0" applyBorder="0" applyAlignment="0" applyProtection="0"/>
    <xf numFmtId="49" fontId="42" fillId="0" borderId="0" applyFill="0" applyBorder="0" applyAlignment="0"/>
    <xf numFmtId="208" fontId="34" fillId="0" borderId="0" applyFill="0" applyBorder="0" applyAlignment="0"/>
    <xf numFmtId="209" fontId="34" fillId="0" borderId="0" applyFill="0" applyBorder="0" applyAlignment="0"/>
    <xf numFmtId="18" fontId="30" fillId="0" borderId="0" applyFill="0" applyProtection="0">
      <alignment horizontal="center"/>
    </xf>
    <xf numFmtId="40" fontId="90" fillId="0" borderId="0"/>
    <xf numFmtId="0" fontId="91" fillId="0" borderId="0" applyFill="0" applyBorder="0" applyProtection="0">
      <alignment horizontal="center"/>
    </xf>
    <xf numFmtId="0" fontId="92" fillId="0" borderId="0">
      <alignment horizontal="center"/>
    </xf>
    <xf numFmtId="0" fontId="55" fillId="0" borderId="0">
      <alignment horizontal="center"/>
    </xf>
    <xf numFmtId="190" fontId="24" fillId="0" borderId="72">
      <protection locked="0"/>
    </xf>
    <xf numFmtId="0" fontId="93" fillId="0" borderId="0" applyNumberFormat="0" applyFill="0" applyBorder="0" applyAlignment="0" applyProtection="0">
      <alignment horizontal="left"/>
    </xf>
    <xf numFmtId="0" fontId="94" fillId="0" borderId="0" applyNumberFormat="0" applyFill="0" applyBorder="0" applyAlignment="0" applyProtection="0">
      <alignment horizontal="left"/>
    </xf>
    <xf numFmtId="0" fontId="95" fillId="0" borderId="0" applyNumberFormat="0" applyFill="0" applyBorder="0" applyAlignment="0" applyProtection="0">
      <alignment horizontal="left"/>
    </xf>
    <xf numFmtId="0" fontId="96" fillId="0" borderId="0" applyNumberFormat="0" applyFill="0" applyBorder="0" applyAlignment="0" applyProtection="0">
      <alignment horizontal="left"/>
    </xf>
    <xf numFmtId="0" fontId="41" fillId="0" borderId="0" applyNumberFormat="0" applyFill="0" applyBorder="0" applyAlignment="0" applyProtection="0">
      <alignment horizontal="left"/>
    </xf>
    <xf numFmtId="0" fontId="96" fillId="0" borderId="0" applyNumberFormat="0" applyFill="0" applyBorder="0" applyAlignment="0" applyProtection="0">
      <alignment horizontal="left"/>
    </xf>
    <xf numFmtId="0" fontId="41" fillId="0" borderId="0" applyNumberFormat="0" applyFill="0" applyBorder="0" applyAlignment="0" applyProtection="0">
      <alignment horizontal="left"/>
    </xf>
    <xf numFmtId="0" fontId="97" fillId="0" borderId="0">
      <alignment horizontal="left"/>
    </xf>
    <xf numFmtId="0" fontId="30" fillId="0" borderId="0" applyNumberFormat="0" applyFill="0" applyBorder="0" applyAlignment="0" applyProtection="0">
      <alignment horizontal="left"/>
    </xf>
    <xf numFmtId="0" fontId="8" fillId="33" borderId="0" applyNumberFormat="0" applyFont="0" applyBorder="0" applyAlignment="0" applyProtection="0"/>
    <xf numFmtId="38" fontId="46" fillId="0" borderId="67" applyNumberFormat="0" applyFont="0" applyFill="0" applyAlignment="0"/>
    <xf numFmtId="0" fontId="8" fillId="0" borderId="6" applyNumberFormat="0" applyFont="0" applyFill="0" applyAlignment="0" applyProtection="0"/>
    <xf numFmtId="210" fontId="71" fillId="0" borderId="0" applyFont="0" applyFill="0" applyBorder="0" applyAlignment="0" applyProtection="0"/>
    <xf numFmtId="211" fontId="71" fillId="0" borderId="0" applyFont="0" applyFill="0" applyBorder="0" applyAlignment="0" applyProtection="0"/>
    <xf numFmtId="212" fontId="8" fillId="0" borderId="0" applyFont="0" applyFill="0" applyBorder="0" applyAlignment="0" applyProtection="0"/>
    <xf numFmtId="213" fontId="8" fillId="0" borderId="0" applyFont="0" applyFill="0" applyBorder="0" applyAlignment="0" applyProtection="0"/>
    <xf numFmtId="0" fontId="98" fillId="0" borderId="0" applyNumberFormat="0" applyFill="0" applyBorder="0" applyAlignment="0" applyProtection="0"/>
    <xf numFmtId="183" fontId="33" fillId="0" borderId="0" applyFont="0" applyFill="0" applyBorder="0" applyProtection="0">
      <alignment horizontal="right"/>
    </xf>
    <xf numFmtId="9" fontId="22" fillId="0" borderId="0" applyFont="0" applyFill="0" applyBorder="0" applyAlignment="0" applyProtection="0"/>
    <xf numFmtId="216" fontId="22" fillId="0" borderId="0"/>
    <xf numFmtId="44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2" fillId="0" borderId="0"/>
  </cellStyleXfs>
  <cellXfs count="1164">
    <xf numFmtId="0" fontId="0" fillId="0" borderId="0" xfId="0"/>
    <xf numFmtId="0" fontId="2" fillId="0" borderId="7" xfId="0" applyFont="1" applyBorder="1"/>
    <xf numFmtId="0" fontId="0" fillId="0" borderId="0" xfId="0" applyAlignment="1">
      <alignment horizontal="center"/>
    </xf>
    <xf numFmtId="0" fontId="0" fillId="0" borderId="8" xfId="0" applyBorder="1"/>
    <xf numFmtId="0" fontId="0" fillId="0" borderId="7" xfId="0" applyBorder="1"/>
    <xf numFmtId="0" fontId="0" fillId="0" borderId="0" xfId="0" applyAlignment="1">
      <alignment horizontal="left" indent="1"/>
    </xf>
    <xf numFmtId="0" fontId="2" fillId="0" borderId="25" xfId="0" applyFont="1" applyBorder="1"/>
    <xf numFmtId="0" fontId="0" fillId="0" borderId="25" xfId="0" applyBorder="1"/>
    <xf numFmtId="0" fontId="2" fillId="0" borderId="8" xfId="0" applyFont="1" applyBorder="1"/>
    <xf numFmtId="0" fontId="10" fillId="4" borderId="24" xfId="0" applyFont="1" applyFill="1" applyBorder="1" applyAlignment="1">
      <alignment horizontal="left" vertical="center" indent="1"/>
    </xf>
    <xf numFmtId="0" fontId="10" fillId="4" borderId="24" xfId="0" applyFont="1" applyFill="1" applyBorder="1" applyAlignment="1">
      <alignment vertical="center"/>
    </xf>
    <xf numFmtId="0" fontId="2" fillId="4" borderId="24" xfId="0" applyFont="1" applyFill="1" applyBorder="1"/>
    <xf numFmtId="0" fontId="2" fillId="0" borderId="2" xfId="0" applyFont="1" applyBorder="1"/>
    <xf numFmtId="0" fontId="1" fillId="2" borderId="26" xfId="0" applyFont="1" applyFill="1" applyBorder="1"/>
    <xf numFmtId="0" fontId="3" fillId="2" borderId="27" xfId="0" applyFont="1" applyFill="1" applyBorder="1"/>
    <xf numFmtId="0" fontId="1" fillId="2" borderId="27" xfId="0" applyFont="1" applyFill="1" applyBorder="1"/>
    <xf numFmtId="0" fontId="4" fillId="0" borderId="29" xfId="0" applyFont="1" applyBorder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30" xfId="0" applyFont="1" applyBorder="1" applyAlignment="1">
      <alignment horizontal="center"/>
    </xf>
    <xf numFmtId="0" fontId="0" fillId="0" borderId="29" xfId="0" applyBorder="1" applyAlignment="1">
      <alignment horizontal="left" indent="1"/>
    </xf>
    <xf numFmtId="0" fontId="5" fillId="0" borderId="0" xfId="0" applyFont="1" applyAlignment="1">
      <alignment horizontal="center"/>
    </xf>
    <xf numFmtId="9" fontId="0" fillId="0" borderId="0" xfId="0" applyNumberFormat="1" applyAlignment="1">
      <alignment horizontal="center"/>
    </xf>
    <xf numFmtId="166" fontId="5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6" fontId="0" fillId="0" borderId="30" xfId="0" applyNumberFormat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2" fillId="4" borderId="0" xfId="0" applyFont="1" applyFill="1"/>
    <xf numFmtId="0" fontId="4" fillId="0" borderId="0" xfId="0" applyFont="1" applyAlignment="1">
      <alignment horizontal="left"/>
    </xf>
    <xf numFmtId="0" fontId="2" fillId="0" borderId="0" xfId="0" applyFont="1" applyAlignment="1">
      <alignment horizontal="left" indent="1"/>
    </xf>
    <xf numFmtId="0" fontId="11" fillId="0" borderId="0" xfId="0" applyFont="1" applyAlignment="1">
      <alignment horizontal="left" vertical="center" indent="1"/>
    </xf>
    <xf numFmtId="0" fontId="0" fillId="4" borderId="0" xfId="0" applyFill="1"/>
    <xf numFmtId="0" fontId="0" fillId="0" borderId="33" xfId="0" applyBorder="1"/>
    <xf numFmtId="0" fontId="0" fillId="0" borderId="6" xfId="0" applyBorder="1"/>
    <xf numFmtId="0" fontId="2" fillId="0" borderId="23" xfId="0" applyFont="1" applyBorder="1"/>
    <xf numFmtId="0" fontId="3" fillId="2" borderId="28" xfId="0" applyFont="1" applyFill="1" applyBorder="1"/>
    <xf numFmtId="0" fontId="5" fillId="0" borderId="30" xfId="0" applyFont="1" applyBorder="1"/>
    <xf numFmtId="3" fontId="5" fillId="0" borderId="30" xfId="0" applyNumberFormat="1" applyFont="1" applyBorder="1" applyAlignment="1">
      <alignment horizontal="left"/>
    </xf>
    <xf numFmtId="164" fontId="5" fillId="0" borderId="30" xfId="0" applyNumberFormat="1" applyFont="1" applyBorder="1" applyAlignment="1">
      <alignment horizontal="left"/>
    </xf>
    <xf numFmtId="0" fontId="0" fillId="0" borderId="35" xfId="0" applyBorder="1"/>
    <xf numFmtId="0" fontId="11" fillId="0" borderId="0" xfId="0" applyFont="1"/>
    <xf numFmtId="0" fontId="0" fillId="0" borderId="0" xfId="0" applyAlignment="1">
      <alignment horizontal="right"/>
    </xf>
    <xf numFmtId="0" fontId="2" fillId="4" borderId="2" xfId="0" applyFont="1" applyFill="1" applyBorder="1" applyAlignment="1">
      <alignment horizontal="center"/>
    </xf>
    <xf numFmtId="3" fontId="5" fillId="0" borderId="0" xfId="0" applyNumberFormat="1" applyFont="1" applyAlignment="1">
      <alignment horizontal="center"/>
    </xf>
    <xf numFmtId="0" fontId="14" fillId="0" borderId="0" xfId="0" applyFont="1" applyAlignment="1">
      <alignment horizontal="left" indent="1"/>
    </xf>
    <xf numFmtId="0" fontId="2" fillId="0" borderId="7" xfId="0" applyFont="1" applyBorder="1" applyAlignment="1">
      <alignment horizontal="left" indent="1"/>
    </xf>
    <xf numFmtId="0" fontId="11" fillId="0" borderId="0" xfId="0" applyFont="1" applyAlignment="1">
      <alignment vertical="center"/>
    </xf>
    <xf numFmtId="0" fontId="2" fillId="6" borderId="8" xfId="0" applyFont="1" applyFill="1" applyBorder="1"/>
    <xf numFmtId="0" fontId="16" fillId="0" borderId="32" xfId="0" applyFont="1" applyBorder="1"/>
    <xf numFmtId="0" fontId="1" fillId="2" borderId="28" xfId="0" applyFont="1" applyFill="1" applyBorder="1"/>
    <xf numFmtId="0" fontId="4" fillId="0" borderId="29" xfId="0" applyFont="1" applyBorder="1"/>
    <xf numFmtId="0" fontId="5" fillId="0" borderId="29" xfId="0" applyFont="1" applyBorder="1" applyAlignment="1">
      <alignment horizontal="left" indent="1"/>
    </xf>
    <xf numFmtId="166" fontId="5" fillId="0" borderId="0" xfId="0" applyNumberFormat="1" applyFont="1" applyAlignment="1">
      <alignment horizontal="right" indent="1"/>
    </xf>
    <xf numFmtId="166" fontId="14" fillId="0" borderId="0" xfId="0" applyNumberFormat="1" applyFont="1" applyAlignment="1">
      <alignment horizontal="right" indent="1"/>
    </xf>
    <xf numFmtId="166" fontId="14" fillId="0" borderId="30" xfId="0" applyNumberFormat="1" applyFont="1" applyBorder="1" applyAlignment="1">
      <alignment horizontal="right" indent="1"/>
    </xf>
    <xf numFmtId="0" fontId="2" fillId="6" borderId="43" xfId="0" applyFont="1" applyFill="1" applyBorder="1"/>
    <xf numFmtId="0" fontId="1" fillId="0" borderId="0" xfId="0" applyFont="1"/>
    <xf numFmtId="0" fontId="14" fillId="0" borderId="0" xfId="0" applyFont="1" applyAlignment="1">
      <alignment horizontal="center"/>
    </xf>
    <xf numFmtId="0" fontId="14" fillId="0" borderId="29" xfId="0" applyFont="1" applyBorder="1"/>
    <xf numFmtId="0" fontId="2" fillId="6" borderId="40" xfId="0" applyFont="1" applyFill="1" applyBorder="1"/>
    <xf numFmtId="0" fontId="1" fillId="2" borderId="9" xfId="0" applyFont="1" applyFill="1" applyBorder="1"/>
    <xf numFmtId="0" fontId="0" fillId="0" borderId="32" xfId="0" applyBorder="1"/>
    <xf numFmtId="0" fontId="2" fillId="4" borderId="39" xfId="0" applyFont="1" applyFill="1" applyBorder="1"/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right" indent="3"/>
    </xf>
    <xf numFmtId="166" fontId="0" fillId="0" borderId="4" xfId="0" applyNumberFormat="1" applyBorder="1" applyAlignment="1">
      <alignment horizontal="right" indent="3"/>
    </xf>
    <xf numFmtId="166" fontId="0" fillId="0" borderId="5" xfId="0" applyNumberFormat="1" applyBorder="1" applyAlignment="1">
      <alignment horizontal="right" indent="4"/>
    </xf>
    <xf numFmtId="166" fontId="2" fillId="6" borderId="22" xfId="0" applyNumberFormat="1" applyFont="1" applyFill="1" applyBorder="1" applyAlignment="1">
      <alignment horizontal="right" indent="4"/>
    </xf>
    <xf numFmtId="166" fontId="2" fillId="6" borderId="41" xfId="0" applyNumberFormat="1" applyFont="1" applyFill="1" applyBorder="1" applyAlignment="1">
      <alignment horizontal="right" indent="3"/>
    </xf>
    <xf numFmtId="10" fontId="2" fillId="6" borderId="23" xfId="0" applyNumberFormat="1" applyFont="1" applyFill="1" applyBorder="1" applyAlignment="1">
      <alignment horizontal="center"/>
    </xf>
    <xf numFmtId="10" fontId="2" fillId="6" borderId="41" xfId="0" applyNumberFormat="1" applyFont="1" applyFill="1" applyBorder="1" applyAlignment="1">
      <alignment horizontal="center"/>
    </xf>
    <xf numFmtId="0" fontId="17" fillId="3" borderId="26" xfId="0" applyFont="1" applyFill="1" applyBorder="1"/>
    <xf numFmtId="166" fontId="0" fillId="0" borderId="30" xfId="0" applyNumberFormat="1" applyBorder="1" applyAlignment="1">
      <alignment horizontal="right" indent="4"/>
    </xf>
    <xf numFmtId="0" fontId="0" fillId="0" borderId="0" xfId="0" applyAlignment="1">
      <alignment horizontal="left" indent="2"/>
    </xf>
    <xf numFmtId="5" fontId="2" fillId="0" borderId="7" xfId="0" applyNumberFormat="1" applyFont="1" applyBorder="1" applyAlignment="1">
      <alignment horizontal="right" indent="1"/>
    </xf>
    <xf numFmtId="5" fontId="0" fillId="0" borderId="0" xfId="0" applyNumberFormat="1"/>
    <xf numFmtId="0" fontId="2" fillId="4" borderId="2" xfId="0" applyFont="1" applyFill="1" applyBorder="1"/>
    <xf numFmtId="5" fontId="2" fillId="6" borderId="8" xfId="0" applyNumberFormat="1" applyFont="1" applyFill="1" applyBorder="1"/>
    <xf numFmtId="0" fontId="2" fillId="0" borderId="32" xfId="0" applyFont="1" applyBorder="1" applyAlignment="1">
      <alignment horizontal="left" indent="1"/>
    </xf>
    <xf numFmtId="5" fontId="2" fillId="0" borderId="15" xfId="0" applyNumberFormat="1" applyFont="1" applyBorder="1" applyAlignment="1">
      <alignment horizontal="right" indent="1"/>
    </xf>
    <xf numFmtId="166" fontId="0" fillId="0" borderId="0" xfId="0" applyNumberFormat="1" applyAlignment="1">
      <alignment horizontal="right" indent="1"/>
    </xf>
    <xf numFmtId="5" fontId="2" fillId="6" borderId="31" xfId="0" applyNumberFormat="1" applyFont="1" applyFill="1" applyBorder="1"/>
    <xf numFmtId="9" fontId="5" fillId="0" borderId="30" xfId="0" applyNumberFormat="1" applyFont="1" applyBorder="1" applyAlignment="1">
      <alignment horizontal="right" indent="1"/>
    </xf>
    <xf numFmtId="165" fontId="0" fillId="0" borderId="30" xfId="0" applyNumberFormat="1" applyBorder="1" applyAlignment="1">
      <alignment horizontal="right" indent="1"/>
    </xf>
    <xf numFmtId="14" fontId="5" fillId="0" borderId="30" xfId="0" applyNumberFormat="1" applyFont="1" applyBorder="1" applyAlignment="1">
      <alignment horizontal="right" indent="1"/>
    </xf>
    <xf numFmtId="10" fontId="5" fillId="0" borderId="30" xfId="0" applyNumberFormat="1" applyFont="1" applyBorder="1" applyAlignment="1">
      <alignment horizontal="right" indent="1"/>
    </xf>
    <xf numFmtId="165" fontId="5" fillId="0" borderId="30" xfId="0" applyNumberFormat="1" applyFont="1" applyBorder="1" applyAlignment="1">
      <alignment horizontal="right" indent="1"/>
    </xf>
    <xf numFmtId="168" fontId="5" fillId="0" borderId="30" xfId="0" applyNumberFormat="1" applyFont="1" applyBorder="1" applyAlignment="1">
      <alignment horizontal="right" indent="1"/>
    </xf>
    <xf numFmtId="0" fontId="1" fillId="2" borderId="39" xfId="0" applyFont="1" applyFill="1" applyBorder="1"/>
    <xf numFmtId="0" fontId="3" fillId="2" borderId="2" xfId="0" applyFont="1" applyFill="1" applyBorder="1"/>
    <xf numFmtId="0" fontId="3" fillId="2" borderId="12" xfId="0" applyFont="1" applyFill="1" applyBorder="1"/>
    <xf numFmtId="0" fontId="3" fillId="2" borderId="13" xfId="0" applyFont="1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2" xfId="0" applyFill="1" applyBorder="1"/>
    <xf numFmtId="0" fontId="2" fillId="0" borderId="7" xfId="0" applyFont="1" applyBorder="1" applyAlignment="1">
      <alignment horizontal="right" indent="1"/>
    </xf>
    <xf numFmtId="0" fontId="17" fillId="0" borderId="15" xfId="0" applyFont="1" applyBorder="1" applyAlignment="1">
      <alignment horizontal="right" indent="1"/>
    </xf>
    <xf numFmtId="6" fontId="14" fillId="0" borderId="30" xfId="0" applyNumberFormat="1" applyFont="1" applyBorder="1"/>
    <xf numFmtId="166" fontId="16" fillId="0" borderId="7" xfId="0" applyNumberFormat="1" applyFont="1" applyBorder="1" applyAlignment="1">
      <alignment horizontal="right" indent="1"/>
    </xf>
    <xf numFmtId="166" fontId="18" fillId="0" borderId="15" xfId="0" applyNumberFormat="1" applyFont="1" applyBorder="1" applyAlignment="1">
      <alignment horizontal="right" indent="1"/>
    </xf>
    <xf numFmtId="167" fontId="14" fillId="0" borderId="30" xfId="0" applyNumberFormat="1" applyFont="1" applyBorder="1" applyAlignment="1">
      <alignment horizontal="right" indent="1"/>
    </xf>
    <xf numFmtId="169" fontId="0" fillId="0" borderId="0" xfId="0" applyNumberFormat="1"/>
    <xf numFmtId="10" fontId="18" fillId="0" borderId="0" xfId="0" applyNumberFormat="1" applyFont="1"/>
    <xf numFmtId="10" fontId="19" fillId="0" borderId="0" xfId="0" applyNumberFormat="1" applyFont="1"/>
    <xf numFmtId="5" fontId="0" fillId="0" borderId="0" xfId="0" applyNumberFormat="1" applyAlignment="1">
      <alignment horizontal="right"/>
    </xf>
    <xf numFmtId="5" fontId="2" fillId="0" borderId="7" xfId="0" applyNumberFormat="1" applyFont="1" applyBorder="1" applyAlignment="1">
      <alignment horizontal="right"/>
    </xf>
    <xf numFmtId="0" fontId="2" fillId="5" borderId="2" xfId="0" applyFont="1" applyFill="1" applyBorder="1"/>
    <xf numFmtId="5" fontId="2" fillId="5" borderId="2" xfId="0" applyNumberFormat="1" applyFont="1" applyFill="1" applyBorder="1" applyAlignment="1">
      <alignment horizontal="right"/>
    </xf>
    <xf numFmtId="5" fontId="2" fillId="0" borderId="30" xfId="0" applyNumberFormat="1" applyFont="1" applyBorder="1" applyAlignment="1">
      <alignment horizontal="right" indent="1"/>
    </xf>
    <xf numFmtId="0" fontId="2" fillId="0" borderId="43" xfId="0" applyFont="1" applyBorder="1"/>
    <xf numFmtId="166" fontId="2" fillId="0" borderId="8" xfId="0" applyNumberFormat="1" applyFont="1" applyBorder="1" applyAlignment="1">
      <alignment horizontal="right" indent="1"/>
    </xf>
    <xf numFmtId="166" fontId="17" fillId="0" borderId="31" xfId="0" applyNumberFormat="1" applyFont="1" applyBorder="1" applyAlignment="1">
      <alignment horizontal="right" indent="1"/>
    </xf>
    <xf numFmtId="167" fontId="0" fillId="0" borderId="30" xfId="0" applyNumberFormat="1" applyBorder="1"/>
    <xf numFmtId="173" fontId="5" fillId="0" borderId="30" xfId="0" applyNumberFormat="1" applyFont="1" applyBorder="1" applyAlignment="1">
      <alignment horizontal="right" indent="1"/>
    </xf>
    <xf numFmtId="5" fontId="0" fillId="0" borderId="7" xfId="0" applyNumberFormat="1" applyBorder="1" applyAlignment="1">
      <alignment horizontal="right" vertical="center"/>
    </xf>
    <xf numFmtId="0" fontId="0" fillId="0" borderId="7" xfId="0" applyBorder="1" applyAlignment="1">
      <alignment vertical="center"/>
    </xf>
    <xf numFmtId="10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right" vertical="center"/>
    </xf>
    <xf numFmtId="165" fontId="14" fillId="0" borderId="0" xfId="0" applyNumberFormat="1" applyFont="1" applyAlignment="1">
      <alignment horizontal="right" vertical="center"/>
    </xf>
    <xf numFmtId="0" fontId="0" fillId="0" borderId="4" xfId="0" applyBorder="1" applyAlignment="1">
      <alignment horizontal="left" vertical="center" indent="3"/>
    </xf>
    <xf numFmtId="0" fontId="0" fillId="0" borderId="37" xfId="0" applyBorder="1" applyAlignment="1">
      <alignment horizontal="left" vertical="center" indent="3"/>
    </xf>
    <xf numFmtId="0" fontId="0" fillId="0" borderId="17" xfId="0" applyBorder="1" applyAlignment="1">
      <alignment horizontal="center"/>
    </xf>
    <xf numFmtId="14" fontId="0" fillId="0" borderId="42" xfId="0" applyNumberFormat="1" applyBorder="1" applyAlignment="1">
      <alignment horizontal="center"/>
    </xf>
    <xf numFmtId="5" fontId="0" fillId="0" borderId="42" xfId="0" applyNumberFormat="1" applyBorder="1" applyAlignment="1">
      <alignment horizontal="center"/>
    </xf>
    <xf numFmtId="166" fontId="0" fillId="0" borderId="42" xfId="0" applyNumberFormat="1" applyBorder="1" applyAlignment="1">
      <alignment horizontal="center"/>
    </xf>
    <xf numFmtId="5" fontId="0" fillId="0" borderId="44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14" fontId="0" fillId="0" borderId="20" xfId="0" applyNumberFormat="1" applyBorder="1" applyAlignment="1">
      <alignment horizontal="center"/>
    </xf>
    <xf numFmtId="5" fontId="0" fillId="0" borderId="20" xfId="0" applyNumberFormat="1" applyBorder="1" applyAlignment="1">
      <alignment horizontal="center"/>
    </xf>
    <xf numFmtId="166" fontId="0" fillId="0" borderId="20" xfId="0" applyNumberFormat="1" applyBorder="1" applyAlignment="1">
      <alignment horizontal="center"/>
    </xf>
    <xf numFmtId="5" fontId="0" fillId="0" borderId="21" xfId="0" applyNumberFormat="1" applyBorder="1" applyAlignment="1">
      <alignment horizontal="center"/>
    </xf>
    <xf numFmtId="0" fontId="0" fillId="0" borderId="47" xfId="0" applyBorder="1" applyAlignment="1">
      <alignment horizontal="center"/>
    </xf>
    <xf numFmtId="14" fontId="0" fillId="0" borderId="48" xfId="0" applyNumberFormat="1" applyBorder="1" applyAlignment="1">
      <alignment horizontal="center"/>
    </xf>
    <xf numFmtId="5" fontId="0" fillId="0" borderId="48" xfId="0" applyNumberFormat="1" applyBorder="1" applyAlignment="1">
      <alignment horizontal="center"/>
    </xf>
    <xf numFmtId="166" fontId="0" fillId="0" borderId="48" xfId="0" applyNumberFormat="1" applyBorder="1" applyAlignment="1">
      <alignment horizontal="center"/>
    </xf>
    <xf numFmtId="5" fontId="0" fillId="0" borderId="49" xfId="0" applyNumberFormat="1" applyBorder="1" applyAlignment="1">
      <alignment horizontal="center"/>
    </xf>
    <xf numFmtId="0" fontId="1" fillId="2" borderId="50" xfId="0" applyFont="1" applyFill="1" applyBorder="1" applyAlignment="1">
      <alignment horizontal="center" vertical="center"/>
    </xf>
    <xf numFmtId="0" fontId="1" fillId="2" borderId="51" xfId="0" applyFont="1" applyFill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168" fontId="14" fillId="0" borderId="0" xfId="0" applyNumberFormat="1" applyFont="1" applyAlignment="1">
      <alignment horizontal="right" vertical="center"/>
    </xf>
    <xf numFmtId="0" fontId="0" fillId="0" borderId="24" xfId="0" applyBorder="1" applyAlignment="1">
      <alignment horizontal="left" vertical="center" indent="3"/>
    </xf>
    <xf numFmtId="0" fontId="0" fillId="0" borderId="19" xfId="0" applyBorder="1" applyAlignment="1">
      <alignment vertical="center"/>
    </xf>
    <xf numFmtId="10" fontId="0" fillId="0" borderId="24" xfId="0" applyNumberFormat="1" applyBorder="1" applyAlignment="1">
      <alignment horizontal="right" vertical="center"/>
    </xf>
    <xf numFmtId="0" fontId="1" fillId="2" borderId="38" xfId="0" applyFont="1" applyFill="1" applyBorder="1" applyAlignment="1">
      <alignment vertical="center"/>
    </xf>
    <xf numFmtId="0" fontId="1" fillId="2" borderId="7" xfId="0" applyFont="1" applyFill="1" applyBorder="1" applyAlignment="1">
      <alignment vertical="center"/>
    </xf>
    <xf numFmtId="0" fontId="1" fillId="2" borderId="14" xfId="0" applyFont="1" applyFill="1" applyBorder="1" applyAlignment="1">
      <alignment vertical="center"/>
    </xf>
    <xf numFmtId="173" fontId="14" fillId="0" borderId="0" xfId="0" applyNumberFormat="1" applyFont="1" applyAlignment="1">
      <alignment horizontal="right" vertical="center" indent="1"/>
    </xf>
    <xf numFmtId="166" fontId="5" fillId="0" borderId="30" xfId="0" applyNumberFormat="1" applyFont="1" applyBorder="1" applyAlignment="1">
      <alignment horizontal="right" indent="1"/>
    </xf>
    <xf numFmtId="5" fontId="2" fillId="6" borderId="8" xfId="0" applyNumberFormat="1" applyFont="1" applyFill="1" applyBorder="1" applyAlignment="1">
      <alignment horizontal="right"/>
    </xf>
    <xf numFmtId="5" fontId="2" fillId="0" borderId="0" xfId="0" applyNumberFormat="1" applyFont="1" applyAlignment="1">
      <alignment horizontal="right"/>
    </xf>
    <xf numFmtId="0" fontId="2" fillId="3" borderId="8" xfId="0" applyFont="1" applyFill="1" applyBorder="1"/>
    <xf numFmtId="5" fontId="2" fillId="3" borderId="8" xfId="0" applyNumberFormat="1" applyFont="1" applyFill="1" applyBorder="1" applyAlignment="1">
      <alignment horizontal="right"/>
    </xf>
    <xf numFmtId="5" fontId="2" fillId="4" borderId="2" xfId="0" applyNumberFormat="1" applyFont="1" applyFill="1" applyBorder="1" applyAlignment="1">
      <alignment horizontal="right"/>
    </xf>
    <xf numFmtId="0" fontId="1" fillId="2" borderId="50" xfId="0" applyFont="1" applyFill="1" applyBorder="1" applyAlignment="1">
      <alignment horizontal="center" vertical="center" wrapText="1"/>
    </xf>
    <xf numFmtId="0" fontId="1" fillId="2" borderId="51" xfId="0" applyFont="1" applyFill="1" applyBorder="1" applyAlignment="1">
      <alignment horizontal="center" vertical="center" wrapText="1"/>
    </xf>
    <xf numFmtId="0" fontId="1" fillId="2" borderId="52" xfId="0" applyFont="1" applyFill="1" applyBorder="1" applyAlignment="1">
      <alignment horizontal="center" vertical="center" wrapText="1"/>
    </xf>
    <xf numFmtId="0" fontId="17" fillId="3" borderId="53" xfId="0" applyFont="1" applyFill="1" applyBorder="1" applyAlignment="1">
      <alignment horizontal="center" vertical="center" wrapText="1"/>
    </xf>
    <xf numFmtId="166" fontId="0" fillId="0" borderId="54" xfId="0" applyNumberFormat="1" applyBorder="1" applyAlignment="1">
      <alignment horizontal="center"/>
    </xf>
    <xf numFmtId="166" fontId="0" fillId="0" borderId="35" xfId="0" applyNumberFormat="1" applyBorder="1" applyAlignment="1">
      <alignment horizontal="center"/>
    </xf>
    <xf numFmtId="0" fontId="10" fillId="0" borderId="0" xfId="0" applyFont="1" applyAlignment="1">
      <alignment horizontal="left" indent="2"/>
    </xf>
    <xf numFmtId="175" fontId="10" fillId="0" borderId="0" xfId="0" applyNumberFormat="1" applyFont="1" applyAlignment="1">
      <alignment horizontal="right"/>
    </xf>
    <xf numFmtId="10" fontId="0" fillId="0" borderId="0" xfId="0" applyNumberFormat="1" applyAlignment="1">
      <alignment horizontal="right"/>
    </xf>
    <xf numFmtId="0" fontId="16" fillId="0" borderId="0" xfId="0" applyFont="1"/>
    <xf numFmtId="0" fontId="0" fillId="0" borderId="6" xfId="0" applyBorder="1" applyAlignment="1">
      <alignment horizontal="right"/>
    </xf>
    <xf numFmtId="0" fontId="1" fillId="2" borderId="27" xfId="0" applyFont="1" applyFill="1" applyBorder="1" applyAlignment="1">
      <alignment vertical="center"/>
    </xf>
    <xf numFmtId="169" fontId="1" fillId="2" borderId="27" xfId="0" applyNumberFormat="1" applyFont="1" applyFill="1" applyBorder="1" applyAlignment="1">
      <alignment horizontal="right" vertical="center" indent="1"/>
    </xf>
    <xf numFmtId="0" fontId="0" fillId="0" borderId="4" xfId="0" applyBorder="1" applyAlignment="1">
      <alignment horizontal="left" indent="1"/>
    </xf>
    <xf numFmtId="5" fontId="0" fillId="0" borderId="5" xfId="0" applyNumberFormat="1" applyBorder="1" applyAlignment="1">
      <alignment horizontal="right"/>
    </xf>
    <xf numFmtId="0" fontId="1" fillId="8" borderId="38" xfId="0" applyFont="1" applyFill="1" applyBorder="1"/>
    <xf numFmtId="10" fontId="16" fillId="0" borderId="0" xfId="0" applyNumberFormat="1" applyFont="1" applyAlignment="1">
      <alignment horizontal="right"/>
    </xf>
    <xf numFmtId="0" fontId="1" fillId="2" borderId="27" xfId="0" applyFont="1" applyFill="1" applyBorder="1" applyAlignment="1">
      <alignment horizontal="right" vertical="center" indent="1"/>
    </xf>
    <xf numFmtId="14" fontId="16" fillId="4" borderId="24" xfId="0" applyNumberFormat="1" applyFont="1" applyFill="1" applyBorder="1" applyAlignment="1">
      <alignment horizontal="right" vertical="center" indent="1"/>
    </xf>
    <xf numFmtId="0" fontId="3" fillId="0" borderId="7" xfId="0" applyFont="1" applyBorder="1" applyAlignment="1">
      <alignment horizontal="right"/>
    </xf>
    <xf numFmtId="0" fontId="3" fillId="0" borderId="14" xfId="0" applyFont="1" applyBorder="1" applyAlignment="1">
      <alignment horizontal="right"/>
    </xf>
    <xf numFmtId="0" fontId="1" fillId="0" borderId="4" xfId="0" applyFont="1" applyBorder="1"/>
    <xf numFmtId="0" fontId="3" fillId="0" borderId="0" xfId="0" applyFont="1" applyAlignment="1">
      <alignment horizontal="right"/>
    </xf>
    <xf numFmtId="0" fontId="3" fillId="0" borderId="5" xfId="0" applyFont="1" applyBorder="1" applyAlignment="1">
      <alignment horizontal="right"/>
    </xf>
    <xf numFmtId="0" fontId="17" fillId="0" borderId="38" xfId="0" applyFont="1" applyBorder="1"/>
    <xf numFmtId="5" fontId="2" fillId="0" borderId="5" xfId="0" applyNumberFormat="1" applyFont="1" applyBorder="1" applyAlignment="1">
      <alignment horizontal="right"/>
    </xf>
    <xf numFmtId="5" fontId="2" fillId="0" borderId="14" xfId="0" applyNumberFormat="1" applyFont="1" applyBorder="1" applyAlignment="1">
      <alignment horizontal="right"/>
    </xf>
    <xf numFmtId="169" fontId="1" fillId="8" borderId="7" xfId="0" applyNumberFormat="1" applyFont="1" applyFill="1" applyBorder="1" applyAlignment="1">
      <alignment horizontal="right" vertical="center" indent="1"/>
    </xf>
    <xf numFmtId="169" fontId="1" fillId="8" borderId="14" xfId="0" applyNumberFormat="1" applyFont="1" applyFill="1" applyBorder="1" applyAlignment="1">
      <alignment horizontal="right" vertical="center" indent="1"/>
    </xf>
    <xf numFmtId="0" fontId="4" fillId="0" borderId="38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2" fillId="4" borderId="1" xfId="0" applyFont="1" applyFill="1" applyBorder="1" applyAlignment="1">
      <alignment horizontal="left"/>
    </xf>
    <xf numFmtId="5" fontId="2" fillId="4" borderId="3" xfId="0" applyNumberFormat="1" applyFont="1" applyFill="1" applyBorder="1" applyAlignment="1">
      <alignment horizontal="right"/>
    </xf>
    <xf numFmtId="0" fontId="17" fillId="0" borderId="4" xfId="0" applyFont="1" applyBorder="1"/>
    <xf numFmtId="0" fontId="17" fillId="4" borderId="1" xfId="0" applyFont="1" applyFill="1" applyBorder="1"/>
    <xf numFmtId="0" fontId="14" fillId="0" borderId="4" xfId="0" applyFont="1" applyBorder="1" applyAlignment="1">
      <alignment horizontal="left" indent="1"/>
    </xf>
    <xf numFmtId="10" fontId="16" fillId="0" borderId="6" xfId="0" applyNumberFormat="1" applyFont="1" applyBorder="1" applyAlignment="1">
      <alignment horizontal="right"/>
    </xf>
    <xf numFmtId="0" fontId="1" fillId="8" borderId="1" xfId="0" applyFont="1" applyFill="1" applyBorder="1"/>
    <xf numFmtId="176" fontId="1" fillId="8" borderId="7" xfId="0" applyNumberFormat="1" applyFont="1" applyFill="1" applyBorder="1" applyAlignment="1">
      <alignment horizontal="right"/>
    </xf>
    <xf numFmtId="176" fontId="1" fillId="8" borderId="3" xfId="0" applyNumberFormat="1" applyFont="1" applyFill="1" applyBorder="1" applyAlignment="1">
      <alignment horizontal="right"/>
    </xf>
    <xf numFmtId="14" fontId="1" fillId="8" borderId="2" xfId="0" applyNumberFormat="1" applyFont="1" applyFill="1" applyBorder="1" applyAlignment="1">
      <alignment horizontal="right" vertical="center" indent="1"/>
    </xf>
    <xf numFmtId="14" fontId="1" fillId="8" borderId="3" xfId="0" applyNumberFormat="1" applyFont="1" applyFill="1" applyBorder="1" applyAlignment="1">
      <alignment horizontal="right" vertical="center" indent="1"/>
    </xf>
    <xf numFmtId="0" fontId="1" fillId="2" borderId="2" xfId="0" applyFont="1" applyFill="1" applyBorder="1" applyAlignment="1">
      <alignment vertical="center"/>
    </xf>
    <xf numFmtId="0" fontId="2" fillId="4" borderId="2" xfId="0" applyFont="1" applyFill="1" applyBorder="1" applyAlignment="1">
      <alignment horizontal="left"/>
    </xf>
    <xf numFmtId="5" fontId="0" fillId="0" borderId="19" xfId="0" applyNumberFormat="1" applyBorder="1" applyAlignment="1">
      <alignment horizontal="right"/>
    </xf>
    <xf numFmtId="14" fontId="0" fillId="0" borderId="0" xfId="0" applyNumberFormat="1" applyAlignment="1">
      <alignment horizontal="right"/>
    </xf>
    <xf numFmtId="172" fontId="0" fillId="0" borderId="24" xfId="0" applyNumberFormat="1" applyBorder="1" applyAlignment="1">
      <alignment vertical="center"/>
    </xf>
    <xf numFmtId="0" fontId="20" fillId="3" borderId="1" xfId="0" applyFont="1" applyFill="1" applyBorder="1" applyAlignment="1">
      <alignment vertical="center"/>
    </xf>
    <xf numFmtId="172" fontId="21" fillId="4" borderId="3" xfId="0" applyNumberFormat="1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vertical="center"/>
    </xf>
    <xf numFmtId="14" fontId="20" fillId="3" borderId="3" xfId="0" applyNumberFormat="1" applyFont="1" applyFill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2" fontId="2" fillId="0" borderId="19" xfId="0" applyNumberFormat="1" applyFont="1" applyBorder="1" applyAlignment="1">
      <alignment horizontal="center"/>
    </xf>
    <xf numFmtId="0" fontId="22" fillId="11" borderId="0" xfId="5" applyFill="1"/>
    <xf numFmtId="0" fontId="9" fillId="0" borderId="0" xfId="5" applyFont="1"/>
    <xf numFmtId="0" fontId="22" fillId="0" borderId="0" xfId="5"/>
    <xf numFmtId="0" fontId="22" fillId="0" borderId="0" xfId="5" applyAlignment="1">
      <alignment horizontal="right"/>
    </xf>
    <xf numFmtId="9" fontId="22" fillId="0" borderId="0" xfId="5" applyNumberFormat="1"/>
    <xf numFmtId="0" fontId="2" fillId="11" borderId="0" xfId="5" applyFont="1" applyFill="1"/>
    <xf numFmtId="0" fontId="2" fillId="0" borderId="0" xfId="5" applyFont="1"/>
    <xf numFmtId="0" fontId="2" fillId="0" borderId="30" xfId="5" applyFont="1" applyBorder="1"/>
    <xf numFmtId="5" fontId="13" fillId="0" borderId="0" xfId="5" applyNumberFormat="1" applyFont="1"/>
    <xf numFmtId="0" fontId="2" fillId="0" borderId="0" xfId="5" applyFont="1" applyAlignment="1">
      <alignment horizontal="right"/>
    </xf>
    <xf numFmtId="178" fontId="22" fillId="0" borderId="0" xfId="5" applyNumberFormat="1" applyAlignment="1">
      <alignment horizontal="right"/>
    </xf>
    <xf numFmtId="10" fontId="22" fillId="0" borderId="0" xfId="5" applyNumberFormat="1"/>
    <xf numFmtId="10" fontId="2" fillId="0" borderId="0" xfId="5" applyNumberFormat="1" applyFont="1"/>
    <xf numFmtId="37" fontId="2" fillId="0" borderId="0" xfId="5" applyNumberFormat="1" applyFont="1"/>
    <xf numFmtId="5" fontId="2" fillId="0" borderId="0" xfId="5" applyNumberFormat="1" applyFont="1"/>
    <xf numFmtId="179" fontId="2" fillId="0" borderId="0" xfId="5" applyNumberFormat="1" applyFont="1"/>
    <xf numFmtId="0" fontId="2" fillId="0" borderId="29" xfId="5" applyFont="1" applyBorder="1"/>
    <xf numFmtId="5" fontId="25" fillId="0" borderId="0" xfId="14" applyNumberFormat="1" applyFont="1" applyAlignment="1">
      <alignment horizontal="right"/>
    </xf>
    <xf numFmtId="0" fontId="2" fillId="11" borderId="30" xfId="5" applyFont="1" applyFill="1" applyBorder="1"/>
    <xf numFmtId="0" fontId="22" fillId="11" borderId="30" xfId="5" applyFill="1" applyBorder="1"/>
    <xf numFmtId="0" fontId="26" fillId="0" borderId="0" xfId="14" applyFont="1" applyAlignment="1">
      <alignment horizontal="left"/>
    </xf>
    <xf numFmtId="5" fontId="26" fillId="12" borderId="0" xfId="14" applyNumberFormat="1" applyFont="1" applyFill="1" applyAlignment="1">
      <alignment horizontal="right"/>
    </xf>
    <xf numFmtId="0" fontId="2" fillId="0" borderId="27" xfId="5" applyFont="1" applyBorder="1"/>
    <xf numFmtId="5" fontId="26" fillId="12" borderId="0" xfId="14" applyNumberFormat="1" applyFont="1" applyFill="1" applyAlignment="1">
      <alignment horizontal="left"/>
    </xf>
    <xf numFmtId="0" fontId="2" fillId="12" borderId="0" xfId="5" applyFont="1" applyFill="1"/>
    <xf numFmtId="5" fontId="26" fillId="0" borderId="0" xfId="14" applyNumberFormat="1" applyFont="1" applyAlignment="1">
      <alignment horizontal="left"/>
    </xf>
    <xf numFmtId="5" fontId="26" fillId="0" borderId="0" xfId="14" applyNumberFormat="1" applyFont="1" applyAlignment="1">
      <alignment horizontal="right"/>
    </xf>
    <xf numFmtId="5" fontId="26" fillId="0" borderId="0" xfId="14" applyNumberFormat="1" applyFont="1"/>
    <xf numFmtId="0" fontId="13" fillId="0" borderId="0" xfId="5" applyFont="1"/>
    <xf numFmtId="0" fontId="25" fillId="0" borderId="0" xfId="15" applyFont="1"/>
    <xf numFmtId="5" fontId="25" fillId="0" borderId="0" xfId="15" applyNumberFormat="1" applyFont="1" applyAlignment="1">
      <alignment horizontal="right"/>
    </xf>
    <xf numFmtId="0" fontId="4" fillId="0" borderId="0" xfId="5" applyFont="1"/>
    <xf numFmtId="0" fontId="4" fillId="0" borderId="29" xfId="5" applyFont="1" applyBorder="1"/>
    <xf numFmtId="49" fontId="100" fillId="12" borderId="0" xfId="7" applyNumberFormat="1" applyFont="1" applyFill="1"/>
    <xf numFmtId="37" fontId="100" fillId="0" borderId="0" xfId="7" applyNumberFormat="1" applyFont="1"/>
    <xf numFmtId="49" fontId="99" fillId="12" borderId="29" xfId="7" applyNumberFormat="1" applyFont="1" applyFill="1" applyBorder="1"/>
    <xf numFmtId="14" fontId="102" fillId="12" borderId="0" xfId="9" applyNumberFormat="1" applyFont="1" applyFill="1" applyAlignment="1">
      <alignment horizontal="right" vertical="center" wrapText="1" shrinkToFit="1"/>
    </xf>
    <xf numFmtId="14" fontId="102" fillId="12" borderId="30" xfId="9" applyNumberFormat="1" applyFont="1" applyFill="1" applyBorder="1" applyAlignment="1">
      <alignment horizontal="right" vertical="center" wrapText="1" shrinkToFit="1"/>
    </xf>
    <xf numFmtId="0" fontId="22" fillId="0" borderId="29" xfId="5" applyBorder="1"/>
    <xf numFmtId="37" fontId="22" fillId="0" borderId="0" xfId="5" applyNumberFormat="1" applyAlignment="1">
      <alignment horizontal="right"/>
    </xf>
    <xf numFmtId="37" fontId="22" fillId="0" borderId="30" xfId="5" applyNumberFormat="1" applyBorder="1" applyAlignment="1">
      <alignment horizontal="right"/>
    </xf>
    <xf numFmtId="0" fontId="14" fillId="0" borderId="29" xfId="6" applyFont="1" applyBorder="1"/>
    <xf numFmtId="37" fontId="14" fillId="12" borderId="30" xfId="10" applyNumberFormat="1" applyFont="1" applyFill="1" applyBorder="1" applyAlignment="1">
      <alignment horizontal="right" vertical="center" shrinkToFit="1"/>
    </xf>
    <xf numFmtId="37" fontId="14" fillId="12" borderId="0" xfId="10" applyNumberFormat="1" applyFont="1" applyFill="1" applyAlignment="1">
      <alignment horizontal="right" vertical="center" shrinkToFit="1"/>
    </xf>
    <xf numFmtId="0" fontId="17" fillId="0" borderId="0" xfId="6" applyFont="1" applyAlignment="1">
      <alignment horizontal="right" indent="2"/>
    </xf>
    <xf numFmtId="0" fontId="103" fillId="0" borderId="29" xfId="5" applyFont="1" applyBorder="1"/>
    <xf numFmtId="37" fontId="2" fillId="0" borderId="7" xfId="5" applyNumberFormat="1" applyFont="1" applyBorder="1" applyAlignment="1">
      <alignment horizontal="right"/>
    </xf>
    <xf numFmtId="37" fontId="2" fillId="0" borderId="15" xfId="5" applyNumberFormat="1" applyFont="1" applyBorder="1" applyAlignment="1">
      <alignment horizontal="right"/>
    </xf>
    <xf numFmtId="37" fontId="2" fillId="0" borderId="0" xfId="5" applyNumberFormat="1" applyFont="1" applyAlignment="1">
      <alignment horizontal="right"/>
    </xf>
    <xf numFmtId="10" fontId="2" fillId="0" borderId="30" xfId="11" applyNumberFormat="1" applyFont="1" applyFill="1" applyBorder="1" applyAlignment="1">
      <alignment horizontal="right"/>
    </xf>
    <xf numFmtId="0" fontId="104" fillId="0" borderId="0" xfId="6" applyFont="1"/>
    <xf numFmtId="10" fontId="14" fillId="0" borderId="0" xfId="8" applyNumberFormat="1" applyFont="1" applyBorder="1" applyAlignment="1" applyProtection="1">
      <alignment horizontal="right" indent="2"/>
    </xf>
    <xf numFmtId="166" fontId="104" fillId="0" borderId="0" xfId="8" applyNumberFormat="1" applyFont="1" applyBorder="1" applyAlignment="1" applyProtection="1">
      <alignment horizontal="right" indent="2"/>
    </xf>
    <xf numFmtId="2" fontId="2" fillId="12" borderId="30" xfId="5" applyNumberFormat="1" applyFont="1" applyFill="1" applyBorder="1" applyAlignment="1">
      <alignment horizontal="right"/>
    </xf>
    <xf numFmtId="0" fontId="17" fillId="0" borderId="0" xfId="6" applyFont="1"/>
    <xf numFmtId="166" fontId="17" fillId="0" borderId="0" xfId="8" applyNumberFormat="1" applyFont="1" applyBorder="1" applyAlignment="1" applyProtection="1">
      <alignment horizontal="right" indent="2"/>
    </xf>
    <xf numFmtId="0" fontId="14" fillId="0" borderId="0" xfId="6" applyFont="1"/>
    <xf numFmtId="166" fontId="14" fillId="0" borderId="0" xfId="8" applyNumberFormat="1" applyFont="1" applyBorder="1" applyAlignment="1" applyProtection="1">
      <alignment horizontal="right" indent="2"/>
    </xf>
    <xf numFmtId="0" fontId="4" fillId="0" borderId="26" xfId="5" applyFont="1" applyBorder="1"/>
    <xf numFmtId="38" fontId="102" fillId="0" borderId="27" xfId="12" applyNumberFormat="1" applyFont="1" applyBorder="1" applyAlignment="1">
      <alignment horizontal="right" vertical="center"/>
    </xf>
    <xf numFmtId="5" fontId="2" fillId="0" borderId="30" xfId="5" applyNumberFormat="1" applyFont="1" applyBorder="1"/>
    <xf numFmtId="5" fontId="22" fillId="12" borderId="0" xfId="5" applyNumberFormat="1" applyFill="1"/>
    <xf numFmtId="0" fontId="22" fillId="12" borderId="0" xfId="5" applyFill="1"/>
    <xf numFmtId="0" fontId="2" fillId="0" borderId="33" xfId="5" applyFont="1" applyBorder="1"/>
    <xf numFmtId="5" fontId="2" fillId="0" borderId="6" xfId="5" applyNumberFormat="1" applyFont="1" applyBorder="1"/>
    <xf numFmtId="5" fontId="2" fillId="0" borderId="35" xfId="5" applyNumberFormat="1" applyFont="1" applyBorder="1"/>
    <xf numFmtId="5" fontId="2" fillId="0" borderId="29" xfId="5" applyNumberFormat="1" applyFont="1" applyBorder="1"/>
    <xf numFmtId="5" fontId="2" fillId="0" borderId="27" xfId="5" applyNumberFormat="1" applyFont="1" applyBorder="1"/>
    <xf numFmtId="6" fontId="17" fillId="0" borderId="0" xfId="13" applyNumberFormat="1" applyFont="1" applyAlignment="1">
      <alignment horizontal="left"/>
    </xf>
    <xf numFmtId="6" fontId="17" fillId="0" borderId="29" xfId="13" applyNumberFormat="1" applyFont="1" applyBorder="1" applyAlignment="1">
      <alignment horizontal="left"/>
    </xf>
    <xf numFmtId="5" fontId="2" fillId="12" borderId="0" xfId="5" applyNumberFormat="1" applyFont="1" applyFill="1"/>
    <xf numFmtId="6" fontId="14" fillId="0" borderId="29" xfId="13" applyNumberFormat="1" applyFont="1" applyBorder="1" applyAlignment="1">
      <alignment horizontal="left"/>
    </xf>
    <xf numFmtId="37" fontId="22" fillId="0" borderId="0" xfId="5" applyNumberFormat="1"/>
    <xf numFmtId="37" fontId="22" fillId="0" borderId="29" xfId="5" applyNumberFormat="1" applyBorder="1"/>
    <xf numFmtId="6" fontId="104" fillId="0" borderId="29" xfId="13" applyNumberFormat="1" applyFont="1" applyBorder="1" applyAlignment="1">
      <alignment horizontal="left"/>
    </xf>
    <xf numFmtId="37" fontId="103" fillId="0" borderId="0" xfId="5" applyNumberFormat="1" applyFont="1"/>
    <xf numFmtId="37" fontId="103" fillId="0" borderId="29" xfId="5" applyNumberFormat="1" applyFont="1" applyBorder="1"/>
    <xf numFmtId="37" fontId="2" fillId="0" borderId="29" xfId="5" applyNumberFormat="1" applyFont="1" applyBorder="1"/>
    <xf numFmtId="6" fontId="105" fillId="0" borderId="29" xfId="13" applyNumberFormat="1" applyFont="1" applyBorder="1" applyAlignment="1">
      <alignment horizontal="left"/>
    </xf>
    <xf numFmtId="37" fontId="105" fillId="0" borderId="0" xfId="5" applyNumberFormat="1" applyFont="1"/>
    <xf numFmtId="37" fontId="105" fillId="0" borderId="29" xfId="5" applyNumberFormat="1" applyFont="1" applyBorder="1"/>
    <xf numFmtId="6" fontId="106" fillId="0" borderId="29" xfId="12" applyNumberFormat="1" applyFont="1" applyBorder="1" applyAlignment="1">
      <alignment horizontal="left"/>
    </xf>
    <xf numFmtId="38" fontId="102" fillId="0" borderId="0" xfId="12" applyNumberFormat="1" applyFont="1" applyAlignment="1">
      <alignment horizontal="right" vertical="center"/>
    </xf>
    <xf numFmtId="5" fontId="22" fillId="0" borderId="0" xfId="5" applyNumberFormat="1"/>
    <xf numFmtId="5" fontId="22" fillId="0" borderId="29" xfId="5" applyNumberFormat="1" applyBorder="1"/>
    <xf numFmtId="166" fontId="102" fillId="0" borderId="0" xfId="5" applyNumberFormat="1" applyFont="1"/>
    <xf numFmtId="166" fontId="102" fillId="0" borderId="29" xfId="5" applyNumberFormat="1" applyFont="1" applyBorder="1"/>
    <xf numFmtId="5" fontId="22" fillId="12" borderId="29" xfId="5" applyNumberFormat="1" applyFill="1" applyBorder="1"/>
    <xf numFmtId="0" fontId="22" fillId="0" borderId="33" xfId="5" applyBorder="1"/>
    <xf numFmtId="9" fontId="22" fillId="0" borderId="6" xfId="5" applyNumberFormat="1" applyBorder="1"/>
    <xf numFmtId="6" fontId="102" fillId="0" borderId="0" xfId="12" applyNumberFormat="1" applyFont="1" applyAlignment="1">
      <alignment horizontal="right"/>
    </xf>
    <xf numFmtId="0" fontId="2" fillId="0" borderId="26" xfId="5" applyFont="1" applyBorder="1"/>
    <xf numFmtId="5" fontId="2" fillId="12" borderId="29" xfId="5" applyNumberFormat="1" applyFont="1" applyFill="1" applyBorder="1"/>
    <xf numFmtId="5" fontId="14" fillId="0" borderId="0" xfId="14" applyNumberFormat="1" applyFont="1" applyAlignment="1">
      <alignment horizontal="right"/>
    </xf>
    <xf numFmtId="37" fontId="14" fillId="12" borderId="29" xfId="14" applyNumberFormat="1" applyFont="1" applyFill="1" applyBorder="1" applyAlignment="1">
      <alignment horizontal="right"/>
    </xf>
    <xf numFmtId="0" fontId="17" fillId="0" borderId="29" xfId="14" applyFont="1" applyBorder="1" applyAlignment="1">
      <alignment horizontal="left"/>
    </xf>
    <xf numFmtId="37" fontId="17" fillId="0" borderId="0" xfId="14" applyNumberFormat="1" applyFont="1" applyAlignment="1">
      <alignment horizontal="left"/>
    </xf>
    <xf numFmtId="37" fontId="17" fillId="0" borderId="30" xfId="14" applyNumberFormat="1" applyFont="1" applyBorder="1" applyAlignment="1">
      <alignment horizontal="right"/>
    </xf>
    <xf numFmtId="0" fontId="22" fillId="12" borderId="29" xfId="5" applyFill="1" applyBorder="1"/>
    <xf numFmtId="37" fontId="17" fillId="12" borderId="0" xfId="14" applyNumberFormat="1" applyFont="1" applyFill="1" applyAlignment="1">
      <alignment horizontal="right"/>
    </xf>
    <xf numFmtId="37" fontId="17" fillId="12" borderId="30" xfId="14" applyNumberFormat="1" applyFont="1" applyFill="1" applyBorder="1" applyAlignment="1">
      <alignment horizontal="right"/>
    </xf>
    <xf numFmtId="0" fontId="17" fillId="0" borderId="0" xfId="14" applyFont="1" applyAlignment="1">
      <alignment horizontal="left"/>
    </xf>
    <xf numFmtId="5" fontId="17" fillId="0" borderId="30" xfId="14" applyNumberFormat="1" applyFont="1" applyBorder="1" applyAlignment="1">
      <alignment horizontal="right"/>
    </xf>
    <xf numFmtId="5" fontId="17" fillId="12" borderId="0" xfId="14" applyNumberFormat="1" applyFont="1" applyFill="1" applyAlignment="1">
      <alignment horizontal="right"/>
    </xf>
    <xf numFmtId="0" fontId="4" fillId="2" borderId="27" xfId="5" applyFont="1" applyFill="1" applyBorder="1"/>
    <xf numFmtId="0" fontId="1" fillId="2" borderId="26" xfId="5" applyFont="1" applyFill="1" applyBorder="1"/>
    <xf numFmtId="4" fontId="101" fillId="12" borderId="29" xfId="7" applyNumberFormat="1" applyFont="1" applyFill="1" applyBorder="1"/>
    <xf numFmtId="0" fontId="14" fillId="0" borderId="33" xfId="6" applyFont="1" applyBorder="1"/>
    <xf numFmtId="0" fontId="4" fillId="12" borderId="29" xfId="5" applyFont="1" applyFill="1" applyBorder="1"/>
    <xf numFmtId="37" fontId="100" fillId="12" borderId="29" xfId="7" applyNumberFormat="1" applyFont="1" applyFill="1" applyBorder="1"/>
    <xf numFmtId="14" fontId="102" fillId="12" borderId="29" xfId="9" applyNumberFormat="1" applyFont="1" applyFill="1" applyBorder="1" applyAlignment="1">
      <alignment horizontal="right" vertical="center" wrapText="1" shrinkToFit="1"/>
    </xf>
    <xf numFmtId="37" fontId="22" fillId="12" borderId="29" xfId="5" applyNumberFormat="1" applyFill="1" applyBorder="1" applyAlignment="1">
      <alignment horizontal="right"/>
    </xf>
    <xf numFmtId="37" fontId="14" fillId="12" borderId="29" xfId="10" applyNumberFormat="1" applyFont="1" applyFill="1" applyBorder="1" applyAlignment="1">
      <alignment horizontal="right" vertical="center" shrinkToFit="1"/>
    </xf>
    <xf numFmtId="37" fontId="2" fillId="12" borderId="29" xfId="5" applyNumberFormat="1" applyFont="1" applyFill="1" applyBorder="1" applyAlignment="1">
      <alignment horizontal="right"/>
    </xf>
    <xf numFmtId="5" fontId="2" fillId="0" borderId="0" xfId="5" applyNumberFormat="1" applyFont="1" applyAlignment="1">
      <alignment horizontal="right"/>
    </xf>
    <xf numFmtId="5" fontId="2" fillId="12" borderId="29" xfId="5" applyNumberFormat="1" applyFont="1" applyFill="1" applyBorder="1" applyAlignment="1">
      <alignment horizontal="right"/>
    </xf>
    <xf numFmtId="5" fontId="22" fillId="0" borderId="0" xfId="5" applyNumberFormat="1" applyAlignment="1">
      <alignment horizontal="right"/>
    </xf>
    <xf numFmtId="10" fontId="2" fillId="0" borderId="0" xfId="11" applyNumberFormat="1" applyFont="1" applyFill="1" applyBorder="1" applyAlignment="1">
      <alignment horizontal="right"/>
    </xf>
    <xf numFmtId="5" fontId="22" fillId="12" borderId="29" xfId="5" applyNumberFormat="1" applyFill="1" applyBorder="1" applyAlignment="1">
      <alignment horizontal="right"/>
    </xf>
    <xf numFmtId="2" fontId="2" fillId="12" borderId="0" xfId="5" applyNumberFormat="1" applyFont="1" applyFill="1" applyAlignment="1">
      <alignment horizontal="right"/>
    </xf>
    <xf numFmtId="5" fontId="22" fillId="0" borderId="27" xfId="5" applyNumberFormat="1" applyBorder="1"/>
    <xf numFmtId="5" fontId="2" fillId="0" borderId="28" xfId="5" applyNumberFormat="1" applyFont="1" applyBorder="1"/>
    <xf numFmtId="37" fontId="22" fillId="0" borderId="30" xfId="5" applyNumberFormat="1" applyBorder="1"/>
    <xf numFmtId="37" fontId="103" fillId="0" borderId="30" xfId="5" applyNumberFormat="1" applyFont="1" applyBorder="1"/>
    <xf numFmtId="37" fontId="2" fillId="0" borderId="30" xfId="5" applyNumberFormat="1" applyFont="1" applyBorder="1"/>
    <xf numFmtId="37" fontId="105" fillId="0" borderId="30" xfId="5" applyNumberFormat="1" applyFont="1" applyBorder="1"/>
    <xf numFmtId="5" fontId="22" fillId="0" borderId="30" xfId="5" applyNumberFormat="1" applyBorder="1"/>
    <xf numFmtId="5" fontId="22" fillId="0" borderId="6" xfId="5" applyNumberFormat="1" applyBorder="1"/>
    <xf numFmtId="5" fontId="22" fillId="0" borderId="35" xfId="5" applyNumberFormat="1" applyBorder="1"/>
    <xf numFmtId="5" fontId="14" fillId="0" borderId="29" xfId="14" applyNumberFormat="1" applyFont="1" applyBorder="1" applyAlignment="1">
      <alignment horizontal="right"/>
    </xf>
    <xf numFmtId="37" fontId="14" fillId="12" borderId="0" xfId="14" applyNumberFormat="1" applyFont="1" applyFill="1" applyAlignment="1">
      <alignment horizontal="right"/>
    </xf>
    <xf numFmtId="37" fontId="17" fillId="0" borderId="0" xfId="14" applyNumberFormat="1" applyFont="1" applyAlignment="1">
      <alignment horizontal="right"/>
    </xf>
    <xf numFmtId="5" fontId="17" fillId="0" borderId="0" xfId="14" applyNumberFormat="1" applyFont="1" applyAlignment="1">
      <alignment horizontal="right"/>
    </xf>
    <xf numFmtId="5" fontId="17" fillId="12" borderId="29" xfId="14" applyNumberFormat="1" applyFont="1" applyFill="1" applyBorder="1" applyAlignment="1">
      <alignment horizontal="right"/>
    </xf>
    <xf numFmtId="5" fontId="17" fillId="12" borderId="29" xfId="14" applyNumberFormat="1" applyFont="1" applyFill="1" applyBorder="1" applyAlignment="1">
      <alignment horizontal="left"/>
    </xf>
    <xf numFmtId="182" fontId="102" fillId="12" borderId="29" xfId="9" applyNumberFormat="1" applyFont="1" applyFill="1" applyBorder="1" applyAlignment="1">
      <alignment horizontal="right" vertical="center" wrapText="1" shrinkToFit="1"/>
    </xf>
    <xf numFmtId="37" fontId="22" fillId="0" borderId="29" xfId="5" applyNumberFormat="1" applyBorder="1" applyAlignment="1">
      <alignment horizontal="right"/>
    </xf>
    <xf numFmtId="0" fontId="22" fillId="0" borderId="29" xfId="5" applyBorder="1" applyAlignment="1">
      <alignment horizontal="right"/>
    </xf>
    <xf numFmtId="37" fontId="103" fillId="12" borderId="29" xfId="5" applyNumberFormat="1" applyFont="1" applyFill="1" applyBorder="1" applyAlignment="1">
      <alignment horizontal="right"/>
    </xf>
    <xf numFmtId="37" fontId="2" fillId="0" borderId="29" xfId="5" applyNumberFormat="1" applyFont="1" applyBorder="1" applyAlignment="1">
      <alignment horizontal="right"/>
    </xf>
    <xf numFmtId="6" fontId="102" fillId="0" borderId="29" xfId="12" applyNumberFormat="1" applyFont="1" applyBorder="1" applyAlignment="1">
      <alignment horizontal="right"/>
    </xf>
    <xf numFmtId="0" fontId="1" fillId="2" borderId="74" xfId="5" applyFont="1" applyFill="1" applyBorder="1"/>
    <xf numFmtId="0" fontId="107" fillId="2" borderId="57" xfId="5" applyFont="1" applyFill="1" applyBorder="1"/>
    <xf numFmtId="0" fontId="107" fillId="2" borderId="58" xfId="5" applyFont="1" applyFill="1" applyBorder="1"/>
    <xf numFmtId="14" fontId="1" fillId="2" borderId="2" xfId="0" applyNumberFormat="1" applyFont="1" applyFill="1" applyBorder="1" applyAlignment="1">
      <alignment horizontal="right" vertical="center" indent="1"/>
    </xf>
    <xf numFmtId="9" fontId="14" fillId="0" borderId="0" xfId="5" applyNumberFormat="1" applyFont="1"/>
    <xf numFmtId="0" fontId="17" fillId="0" borderId="7" xfId="6" applyFont="1" applyBorder="1" applyAlignment="1">
      <alignment horizontal="center"/>
    </xf>
    <xf numFmtId="9" fontId="14" fillId="0" borderId="0" xfId="8" applyFont="1" applyBorder="1" applyAlignment="1" applyProtection="1">
      <alignment horizontal="center"/>
    </xf>
    <xf numFmtId="9" fontId="14" fillId="0" borderId="0" xfId="8" applyFont="1" applyBorder="1" applyAlignment="1" applyProtection="1"/>
    <xf numFmtId="0" fontId="1" fillId="2" borderId="26" xfId="5" applyFont="1" applyFill="1" applyBorder="1" applyAlignment="1">
      <alignment horizontal="left"/>
    </xf>
    <xf numFmtId="0" fontId="22" fillId="2" borderId="27" xfId="5" applyFill="1" applyBorder="1" applyAlignment="1">
      <alignment horizontal="left"/>
    </xf>
    <xf numFmtId="0" fontId="22" fillId="2" borderId="28" xfId="5" applyFill="1" applyBorder="1"/>
    <xf numFmtId="0" fontId="14" fillId="0" borderId="75" xfId="6" applyFont="1" applyBorder="1"/>
    <xf numFmtId="0" fontId="17" fillId="0" borderId="30" xfId="6" applyFont="1" applyBorder="1" applyAlignment="1">
      <alignment horizontal="center"/>
    </xf>
    <xf numFmtId="0" fontId="14" fillId="11" borderId="29" xfId="6" applyFont="1" applyFill="1" applyBorder="1"/>
    <xf numFmtId="0" fontId="17" fillId="11" borderId="30" xfId="6" applyFont="1" applyFill="1" applyBorder="1" applyAlignment="1">
      <alignment horizontal="center"/>
    </xf>
    <xf numFmtId="9" fontId="14" fillId="0" borderId="6" xfId="8" applyFont="1" applyBorder="1" applyAlignment="1" applyProtection="1">
      <alignment horizontal="center"/>
    </xf>
    <xf numFmtId="9" fontId="22" fillId="0" borderId="0" xfId="5" applyNumberFormat="1" applyAlignment="1">
      <alignment horizontal="center"/>
    </xf>
    <xf numFmtId="0" fontId="22" fillId="11" borderId="0" xfId="5" applyFill="1" applyAlignment="1">
      <alignment horizontal="center"/>
    </xf>
    <xf numFmtId="9" fontId="5" fillId="0" borderId="0" xfId="8" applyFont="1" applyBorder="1" applyAlignment="1" applyProtection="1">
      <alignment horizontal="center"/>
    </xf>
    <xf numFmtId="9" fontId="5" fillId="0" borderId="6" xfId="8" applyFont="1" applyBorder="1" applyAlignment="1" applyProtection="1">
      <alignment horizontal="center"/>
    </xf>
    <xf numFmtId="9" fontId="5" fillId="0" borderId="30" xfId="8" applyFont="1" applyBorder="1" applyAlignment="1" applyProtection="1">
      <alignment horizontal="center"/>
    </xf>
    <xf numFmtId="9" fontId="5" fillId="0" borderId="35" xfId="8" applyFont="1" applyBorder="1" applyAlignment="1" applyProtection="1">
      <alignment horizontal="center"/>
    </xf>
    <xf numFmtId="5" fontId="1" fillId="2" borderId="27" xfId="5" applyNumberFormat="1" applyFont="1" applyFill="1" applyBorder="1"/>
    <xf numFmtId="49" fontId="101" fillId="4" borderId="39" xfId="7" applyNumberFormat="1" applyFont="1" applyFill="1" applyBorder="1"/>
    <xf numFmtId="49" fontId="100" fillId="4" borderId="2" xfId="7" applyNumberFormat="1" applyFont="1" applyFill="1" applyBorder="1"/>
    <xf numFmtId="5" fontId="14" fillId="12" borderId="0" xfId="14" applyNumberFormat="1" applyFont="1" applyFill="1" applyAlignment="1">
      <alignment horizontal="right"/>
    </xf>
    <xf numFmtId="0" fontId="1" fillId="2" borderId="1" xfId="5" applyFont="1" applyFill="1" applyBorder="1"/>
    <xf numFmtId="5" fontId="1" fillId="2" borderId="2" xfId="5" applyNumberFormat="1" applyFont="1" applyFill="1" applyBorder="1"/>
    <xf numFmtId="5" fontId="1" fillId="2" borderId="3" xfId="5" applyNumberFormat="1" applyFont="1" applyFill="1" applyBorder="1"/>
    <xf numFmtId="0" fontId="14" fillId="12" borderId="29" xfId="14" applyFont="1" applyFill="1" applyBorder="1" applyAlignment="1">
      <alignment horizontal="left"/>
    </xf>
    <xf numFmtId="0" fontId="14" fillId="12" borderId="36" xfId="14" applyFont="1" applyFill="1" applyBorder="1" applyAlignment="1">
      <alignment horizontal="left"/>
    </xf>
    <xf numFmtId="37" fontId="104" fillId="12" borderId="67" xfId="14" applyNumberFormat="1" applyFont="1" applyFill="1" applyBorder="1" applyAlignment="1">
      <alignment horizontal="right"/>
    </xf>
    <xf numFmtId="37" fontId="104" fillId="12" borderId="73" xfId="14" applyNumberFormat="1" applyFont="1" applyFill="1" applyBorder="1" applyAlignment="1">
      <alignment horizontal="right"/>
    </xf>
    <xf numFmtId="6" fontId="17" fillId="4" borderId="39" xfId="12" applyNumberFormat="1" applyFont="1" applyFill="1" applyBorder="1" applyAlignment="1">
      <alignment horizontal="left"/>
    </xf>
    <xf numFmtId="0" fontId="2" fillId="4" borderId="2" xfId="5" applyFont="1" applyFill="1" applyBorder="1"/>
    <xf numFmtId="0" fontId="2" fillId="4" borderId="16" xfId="5" applyFont="1" applyFill="1" applyBorder="1"/>
    <xf numFmtId="38" fontId="102" fillId="4" borderId="2" xfId="12" applyNumberFormat="1" applyFont="1" applyFill="1" applyBorder="1" applyAlignment="1">
      <alignment horizontal="right" vertical="center"/>
    </xf>
    <xf numFmtId="166" fontId="102" fillId="4" borderId="16" xfId="5" applyNumberFormat="1" applyFont="1" applyFill="1" applyBorder="1"/>
    <xf numFmtId="0" fontId="2" fillId="3" borderId="39" xfId="5" applyFont="1" applyFill="1" applyBorder="1"/>
    <xf numFmtId="0" fontId="2" fillId="0" borderId="0" xfId="5" applyFont="1" applyAlignment="1">
      <alignment horizontal="center"/>
    </xf>
    <xf numFmtId="10" fontId="2" fillId="3" borderId="3" xfId="5" applyNumberFormat="1" applyFont="1" applyFill="1" applyBorder="1" applyAlignment="1">
      <alignment horizontal="center"/>
    </xf>
    <xf numFmtId="2" fontId="2" fillId="3" borderId="3" xfId="5" applyNumberFormat="1" applyFont="1" applyFill="1" applyBorder="1" applyAlignment="1">
      <alignment horizontal="center"/>
    </xf>
    <xf numFmtId="2" fontId="2" fillId="0" borderId="0" xfId="5" applyNumberFormat="1" applyFont="1" applyAlignment="1">
      <alignment horizontal="center"/>
    </xf>
    <xf numFmtId="0" fontId="22" fillId="0" borderId="0" xfId="5" applyAlignment="1">
      <alignment horizontal="center"/>
    </xf>
    <xf numFmtId="0" fontId="17" fillId="12" borderId="36" xfId="14" applyFont="1" applyFill="1" applyBorder="1" applyAlignment="1">
      <alignment horizontal="left"/>
    </xf>
    <xf numFmtId="37" fontId="17" fillId="12" borderId="67" xfId="14" applyNumberFormat="1" applyFont="1" applyFill="1" applyBorder="1" applyAlignment="1">
      <alignment horizontal="left"/>
    </xf>
    <xf numFmtId="37" fontId="17" fillId="12" borderId="73" xfId="14" applyNumberFormat="1" applyFont="1" applyFill="1" applyBorder="1" applyAlignment="1">
      <alignment horizontal="right"/>
    </xf>
    <xf numFmtId="9" fontId="14" fillId="0" borderId="30" xfId="8" applyFont="1" applyBorder="1" applyAlignment="1" applyProtection="1">
      <alignment horizontal="center"/>
    </xf>
    <xf numFmtId="9" fontId="14" fillId="0" borderId="35" xfId="8" applyFont="1" applyBorder="1" applyAlignment="1" applyProtection="1">
      <alignment horizontal="center"/>
    </xf>
    <xf numFmtId="5" fontId="2" fillId="4" borderId="77" xfId="5" applyNumberFormat="1" applyFont="1" applyFill="1" applyBorder="1"/>
    <xf numFmtId="49" fontId="101" fillId="4" borderId="78" xfId="7" applyNumberFormat="1" applyFont="1" applyFill="1" applyBorder="1"/>
    <xf numFmtId="49" fontId="100" fillId="4" borderId="76" xfId="7" applyNumberFormat="1" applyFont="1" applyFill="1" applyBorder="1"/>
    <xf numFmtId="37" fontId="100" fillId="4" borderId="76" xfId="7" applyNumberFormat="1" applyFont="1" applyFill="1" applyBorder="1"/>
    <xf numFmtId="0" fontId="0" fillId="0" borderId="29" xfId="5" applyFont="1" applyBorder="1"/>
    <xf numFmtId="14" fontId="1" fillId="10" borderId="2" xfId="0" applyNumberFormat="1" applyFont="1" applyFill="1" applyBorder="1" applyAlignment="1">
      <alignment horizontal="right" vertical="center" indent="1"/>
    </xf>
    <xf numFmtId="177" fontId="2" fillId="0" borderId="30" xfId="5" applyNumberFormat="1" applyFont="1" applyBorder="1"/>
    <xf numFmtId="5" fontId="2" fillId="0" borderId="82" xfId="5" applyNumberFormat="1" applyFont="1" applyBorder="1"/>
    <xf numFmtId="5" fontId="22" fillId="0" borderId="82" xfId="5" applyNumberFormat="1" applyBorder="1"/>
    <xf numFmtId="0" fontId="2" fillId="6" borderId="43" xfId="5" applyFont="1" applyFill="1" applyBorder="1"/>
    <xf numFmtId="5" fontId="22" fillId="6" borderId="8" xfId="5" applyNumberFormat="1" applyFill="1" applyBorder="1"/>
    <xf numFmtId="5" fontId="2" fillId="6" borderId="31" xfId="5" applyNumberFormat="1" applyFont="1" applyFill="1" applyBorder="1"/>
    <xf numFmtId="0" fontId="2" fillId="6" borderId="39" xfId="5" applyFont="1" applyFill="1" applyBorder="1"/>
    <xf numFmtId="10" fontId="2" fillId="6" borderId="3" xfId="5" applyNumberFormat="1" applyFont="1" applyFill="1" applyBorder="1" applyAlignment="1">
      <alignment horizontal="center"/>
    </xf>
    <xf numFmtId="2" fontId="2" fillId="6" borderId="3" xfId="5" applyNumberFormat="1" applyFont="1" applyFill="1" applyBorder="1" applyAlignment="1">
      <alignment horizontal="center"/>
    </xf>
    <xf numFmtId="0" fontId="17" fillId="6" borderId="40" xfId="14" applyFont="1" applyFill="1" applyBorder="1" applyAlignment="1">
      <alignment horizontal="left"/>
    </xf>
    <xf numFmtId="5" fontId="17" fillId="6" borderId="23" xfId="14" applyNumberFormat="1" applyFont="1" applyFill="1" applyBorder="1" applyAlignment="1">
      <alignment horizontal="left"/>
    </xf>
    <xf numFmtId="5" fontId="17" fillId="6" borderId="34" xfId="14" applyNumberFormat="1" applyFont="1" applyFill="1" applyBorder="1"/>
    <xf numFmtId="37" fontId="14" fillId="3" borderId="8" xfId="14" applyNumberFormat="1" applyFont="1" applyFill="1" applyBorder="1" applyAlignment="1">
      <alignment horizontal="right"/>
    </xf>
    <xf numFmtId="37" fontId="17" fillId="3" borderId="31" xfId="14" applyNumberFormat="1" applyFont="1" applyFill="1" applyBorder="1" applyAlignment="1">
      <alignment horizontal="right"/>
    </xf>
    <xf numFmtId="214" fontId="17" fillId="43" borderId="43" xfId="14" applyNumberFormat="1" applyFont="1" applyFill="1" applyBorder="1" applyAlignment="1">
      <alignment horizontal="left"/>
    </xf>
    <xf numFmtId="37" fontId="14" fillId="43" borderId="8" xfId="14" applyNumberFormat="1" applyFont="1" applyFill="1" applyBorder="1" applyAlignment="1">
      <alignment horizontal="right"/>
    </xf>
    <xf numFmtId="37" fontId="17" fillId="43" borderId="31" xfId="14" applyNumberFormat="1" applyFont="1" applyFill="1" applyBorder="1" applyAlignment="1">
      <alignment horizontal="right"/>
    </xf>
    <xf numFmtId="0" fontId="2" fillId="43" borderId="39" xfId="5" applyFont="1" applyFill="1" applyBorder="1"/>
    <xf numFmtId="10" fontId="2" fillId="43" borderId="3" xfId="5" applyNumberFormat="1" applyFont="1" applyFill="1" applyBorder="1" applyAlignment="1">
      <alignment horizontal="center"/>
    </xf>
    <xf numFmtId="2" fontId="2" fillId="43" borderId="3" xfId="5" applyNumberFormat="1" applyFont="1" applyFill="1" applyBorder="1" applyAlignment="1">
      <alignment horizontal="center"/>
    </xf>
    <xf numFmtId="37" fontId="14" fillId="6" borderId="8" xfId="14" applyNumberFormat="1" applyFont="1" applyFill="1" applyBorder="1" applyAlignment="1">
      <alignment horizontal="right"/>
    </xf>
    <xf numFmtId="37" fontId="17" fillId="6" borderId="31" xfId="14" applyNumberFormat="1" applyFont="1" applyFill="1" applyBorder="1" applyAlignment="1">
      <alignment horizontal="right"/>
    </xf>
    <xf numFmtId="0" fontId="2" fillId="6" borderId="40" xfId="5" applyFont="1" applyFill="1" applyBorder="1"/>
    <xf numFmtId="5" fontId="22" fillId="6" borderId="23" xfId="5" applyNumberFormat="1" applyFill="1" applyBorder="1"/>
    <xf numFmtId="5" fontId="2" fillId="6" borderId="34" xfId="5" applyNumberFormat="1" applyFont="1" applyFill="1" applyBorder="1"/>
    <xf numFmtId="0" fontId="1" fillId="2" borderId="9" xfId="5" applyFont="1" applyFill="1" applyBorder="1"/>
    <xf numFmtId="5" fontId="1" fillId="2" borderId="12" xfId="5" applyNumberFormat="1" applyFont="1" applyFill="1" applyBorder="1"/>
    <xf numFmtId="5" fontId="1" fillId="2" borderId="13" xfId="5" applyNumberFormat="1" applyFont="1" applyFill="1" applyBorder="1"/>
    <xf numFmtId="6" fontId="17" fillId="4" borderId="78" xfId="13" applyNumberFormat="1" applyFont="1" applyFill="1" applyBorder="1" applyAlignment="1">
      <alignment horizontal="left"/>
    </xf>
    <xf numFmtId="6" fontId="17" fillId="4" borderId="76" xfId="13" applyNumberFormat="1" applyFont="1" applyFill="1" applyBorder="1" applyAlignment="1">
      <alignment horizontal="left"/>
    </xf>
    <xf numFmtId="6" fontId="17" fillId="4" borderId="77" xfId="13" applyNumberFormat="1" applyFont="1" applyFill="1" applyBorder="1" applyAlignment="1">
      <alignment horizontal="left"/>
    </xf>
    <xf numFmtId="6" fontId="17" fillId="4" borderId="78" xfId="12" applyNumberFormat="1" applyFont="1" applyFill="1" applyBorder="1" applyAlignment="1">
      <alignment horizontal="left"/>
    </xf>
    <xf numFmtId="38" fontId="102" fillId="4" borderId="76" xfId="12" applyNumberFormat="1" applyFont="1" applyFill="1" applyBorder="1" applyAlignment="1">
      <alignment horizontal="right" vertical="center"/>
    </xf>
    <xf numFmtId="37" fontId="105" fillId="4" borderId="76" xfId="5" applyNumberFormat="1" applyFont="1" applyFill="1" applyBorder="1"/>
    <xf numFmtId="166" fontId="102" fillId="4" borderId="77" xfId="5" applyNumberFormat="1" applyFont="1" applyFill="1" applyBorder="1"/>
    <xf numFmtId="0" fontId="1" fillId="2" borderId="29" xfId="14" applyFont="1" applyFill="1" applyBorder="1" applyAlignment="1">
      <alignment horizontal="left"/>
    </xf>
    <xf numFmtId="0" fontId="3" fillId="2" borderId="0" xfId="14" applyFont="1" applyFill="1" applyAlignment="1">
      <alignment horizontal="left"/>
    </xf>
    <xf numFmtId="5" fontId="3" fillId="2" borderId="0" xfId="14" applyNumberFormat="1" applyFont="1" applyFill="1" applyAlignment="1">
      <alignment horizontal="right"/>
    </xf>
    <xf numFmtId="5" fontId="3" fillId="2" borderId="30" xfId="14" applyNumberFormat="1" applyFont="1" applyFill="1" applyBorder="1" applyAlignment="1">
      <alignment horizontal="right"/>
    </xf>
    <xf numFmtId="0" fontId="17" fillId="6" borderId="83" xfId="14" applyFont="1" applyFill="1" applyBorder="1" applyAlignment="1">
      <alignment horizontal="left"/>
    </xf>
    <xf numFmtId="37" fontId="17" fillId="6" borderId="84" xfId="14" applyNumberFormat="1" applyFont="1" applyFill="1" applyBorder="1" applyAlignment="1">
      <alignment horizontal="right"/>
    </xf>
    <xf numFmtId="37" fontId="17" fillId="6" borderId="85" xfId="14" applyNumberFormat="1" applyFont="1" applyFill="1" applyBorder="1" applyAlignment="1">
      <alignment horizontal="right"/>
    </xf>
    <xf numFmtId="37" fontId="14" fillId="12" borderId="30" xfId="14" applyNumberFormat="1" applyFont="1" applyFill="1" applyBorder="1" applyAlignment="1">
      <alignment horizontal="right"/>
    </xf>
    <xf numFmtId="37" fontId="14" fillId="3" borderId="84" xfId="14" applyNumberFormat="1" applyFont="1" applyFill="1" applyBorder="1" applyAlignment="1">
      <alignment horizontal="right"/>
    </xf>
    <xf numFmtId="37" fontId="14" fillId="3" borderId="85" xfId="14" applyNumberFormat="1" applyFont="1" applyFill="1" applyBorder="1" applyAlignment="1">
      <alignment horizontal="right"/>
    </xf>
    <xf numFmtId="180" fontId="17" fillId="43" borderId="83" xfId="14" applyNumberFormat="1" applyFont="1" applyFill="1" applyBorder="1" applyAlignment="1">
      <alignment horizontal="left"/>
    </xf>
    <xf numFmtId="37" fontId="14" fillId="43" borderId="84" xfId="14" applyNumberFormat="1" applyFont="1" applyFill="1" applyBorder="1" applyAlignment="1">
      <alignment horizontal="right"/>
    </xf>
    <xf numFmtId="37" fontId="14" fillId="43" borderId="85" xfId="14" applyNumberFormat="1" applyFont="1" applyFill="1" applyBorder="1" applyAlignment="1">
      <alignment horizontal="right"/>
    </xf>
    <xf numFmtId="0" fontId="17" fillId="6" borderId="86" xfId="14" applyFont="1" applyFill="1" applyBorder="1" applyAlignment="1">
      <alignment horizontal="left"/>
    </xf>
    <xf numFmtId="5" fontId="17" fillId="6" borderId="87" xfId="14" applyNumberFormat="1" applyFont="1" applyFill="1" applyBorder="1" applyAlignment="1">
      <alignment horizontal="left"/>
    </xf>
    <xf numFmtId="5" fontId="17" fillId="6" borderId="88" xfId="14" applyNumberFormat="1" applyFont="1" applyFill="1" applyBorder="1"/>
    <xf numFmtId="0" fontId="1" fillId="2" borderId="78" xfId="14" applyFont="1" applyFill="1" applyBorder="1" applyAlignment="1">
      <alignment horizontal="left"/>
    </xf>
    <xf numFmtId="0" fontId="3" fillId="2" borderId="76" xfId="14" applyFont="1" applyFill="1" applyBorder="1" applyAlignment="1">
      <alignment horizontal="left"/>
    </xf>
    <xf numFmtId="5" fontId="3" fillId="2" borderId="76" xfId="14" applyNumberFormat="1" applyFont="1" applyFill="1" applyBorder="1" applyAlignment="1">
      <alignment horizontal="right"/>
    </xf>
    <xf numFmtId="5" fontId="3" fillId="2" borderId="77" xfId="14" applyNumberFormat="1" applyFont="1" applyFill="1" applyBorder="1" applyAlignment="1">
      <alignment horizontal="right"/>
    </xf>
    <xf numFmtId="0" fontId="14" fillId="0" borderId="0" xfId="6" applyFont="1" applyAlignment="1">
      <alignment horizontal="right" indent="2"/>
    </xf>
    <xf numFmtId="0" fontId="2" fillId="0" borderId="80" xfId="5" applyFont="1" applyBorder="1"/>
    <xf numFmtId="5" fontId="2" fillId="0" borderId="81" xfId="5" applyNumberFormat="1" applyFont="1" applyBorder="1"/>
    <xf numFmtId="0" fontId="22" fillId="0" borderId="80" xfId="5" applyBorder="1"/>
    <xf numFmtId="9" fontId="22" fillId="0" borderId="82" xfId="5" applyNumberFormat="1" applyBorder="1"/>
    <xf numFmtId="49" fontId="101" fillId="11" borderId="78" xfId="7" applyNumberFormat="1" applyFont="1" applyFill="1" applyBorder="1"/>
    <xf numFmtId="49" fontId="100" fillId="11" borderId="76" xfId="7" applyNumberFormat="1" applyFont="1" applyFill="1" applyBorder="1"/>
    <xf numFmtId="37" fontId="100" fillId="11" borderId="76" xfId="7" applyNumberFormat="1" applyFont="1" applyFill="1" applyBorder="1"/>
    <xf numFmtId="177" fontId="2" fillId="11" borderId="77" xfId="5" applyNumberFormat="1" applyFont="1" applyFill="1" applyBorder="1" applyAlignment="1">
      <alignment horizontal="right"/>
    </xf>
    <xf numFmtId="0" fontId="2" fillId="6" borderId="83" xfId="5" applyFont="1" applyFill="1" applyBorder="1"/>
    <xf numFmtId="5" fontId="22" fillId="6" borderId="84" xfId="5" applyNumberFormat="1" applyFill="1" applyBorder="1"/>
    <xf numFmtId="5" fontId="2" fillId="6" borderId="85" xfId="5" applyNumberFormat="1" applyFont="1" applyFill="1" applyBorder="1"/>
    <xf numFmtId="37" fontId="14" fillId="3" borderId="76" xfId="14" applyNumberFormat="1" applyFont="1" applyFill="1" applyBorder="1" applyAlignment="1">
      <alignment horizontal="right"/>
    </xf>
    <xf numFmtId="37" fontId="14" fillId="3" borderId="77" xfId="14" applyNumberFormat="1" applyFont="1" applyFill="1" applyBorder="1" applyAlignment="1">
      <alignment horizontal="right"/>
    </xf>
    <xf numFmtId="181" fontId="17" fillId="43" borderId="78" xfId="14" applyNumberFormat="1" applyFont="1" applyFill="1" applyBorder="1" applyAlignment="1">
      <alignment horizontal="left"/>
    </xf>
    <xf numFmtId="37" fontId="17" fillId="43" borderId="76" xfId="14" applyNumberFormat="1" applyFont="1" applyFill="1" applyBorder="1" applyAlignment="1">
      <alignment horizontal="right"/>
    </xf>
    <xf numFmtId="37" fontId="17" fillId="43" borderId="77" xfId="14" applyNumberFormat="1" applyFont="1" applyFill="1" applyBorder="1" applyAlignment="1">
      <alignment horizontal="right"/>
    </xf>
    <xf numFmtId="0" fontId="17" fillId="6" borderId="39" xfId="5" applyFont="1" applyFill="1" applyBorder="1"/>
    <xf numFmtId="0" fontId="17" fillId="6" borderId="3" xfId="5" applyFont="1" applyFill="1" applyBorder="1" applyAlignment="1">
      <alignment horizontal="center"/>
    </xf>
    <xf numFmtId="0" fontId="17" fillId="3" borderId="39" xfId="5" applyFont="1" applyFill="1" applyBorder="1"/>
    <xf numFmtId="0" fontId="17" fillId="3" borderId="3" xfId="5" applyFont="1" applyFill="1" applyBorder="1" applyAlignment="1">
      <alignment horizontal="center"/>
    </xf>
    <xf numFmtId="0" fontId="17" fillId="43" borderId="39" xfId="5" applyFont="1" applyFill="1" applyBorder="1"/>
    <xf numFmtId="0" fontId="17" fillId="43" borderId="3" xfId="5" applyFont="1" applyFill="1" applyBorder="1" applyAlignment="1">
      <alignment horizontal="center"/>
    </xf>
    <xf numFmtId="2" fontId="2" fillId="0" borderId="0" xfId="5" applyNumberFormat="1" applyFont="1"/>
    <xf numFmtId="10" fontId="22" fillId="0" borderId="0" xfId="5" applyNumberFormat="1" applyAlignment="1">
      <alignment horizontal="right"/>
    </xf>
    <xf numFmtId="215" fontId="14" fillId="0" borderId="0" xfId="8" applyNumberFormat="1" applyFont="1" applyBorder="1" applyAlignment="1" applyProtection="1">
      <alignment horizontal="right" indent="2"/>
    </xf>
    <xf numFmtId="10" fontId="22" fillId="0" borderId="0" xfId="3266" applyNumberFormat="1" applyFont="1" applyAlignment="1">
      <alignment horizontal="center"/>
    </xf>
    <xf numFmtId="37" fontId="22" fillId="12" borderId="0" xfId="5" applyNumberFormat="1" applyFill="1"/>
    <xf numFmtId="37" fontId="105" fillId="12" borderId="0" xfId="5" applyNumberFormat="1" applyFont="1" applyFill="1"/>
    <xf numFmtId="10" fontId="109" fillId="0" borderId="0" xfId="0" applyNumberFormat="1" applyFont="1" applyAlignment="1">
      <alignment horizontal="center"/>
    </xf>
    <xf numFmtId="10" fontId="110" fillId="0" borderId="0" xfId="0" applyNumberFormat="1" applyFont="1" applyAlignment="1">
      <alignment horizontal="right"/>
    </xf>
    <xf numFmtId="0" fontId="2" fillId="4" borderId="89" xfId="0" applyFont="1" applyFill="1" applyBorder="1" applyAlignment="1">
      <alignment horizontal="left"/>
    </xf>
    <xf numFmtId="5" fontId="2" fillId="4" borderId="76" xfId="0" applyNumberFormat="1" applyFont="1" applyFill="1" applyBorder="1" applyAlignment="1">
      <alignment horizontal="right"/>
    </xf>
    <xf numFmtId="5" fontId="2" fillId="4" borderId="79" xfId="0" applyNumberFormat="1" applyFont="1" applyFill="1" applyBorder="1" applyAlignment="1">
      <alignment horizontal="right"/>
    </xf>
    <xf numFmtId="0" fontId="111" fillId="0" borderId="0" xfId="0" applyFont="1" applyAlignment="1">
      <alignment horizontal="center"/>
    </xf>
    <xf numFmtId="10" fontId="109" fillId="0" borderId="5" xfId="0" applyNumberFormat="1" applyFont="1" applyBorder="1" applyAlignment="1">
      <alignment horizontal="center" vertical="center"/>
    </xf>
    <xf numFmtId="6" fontId="0" fillId="0" borderId="0" xfId="0" applyNumberFormat="1"/>
    <xf numFmtId="10" fontId="109" fillId="0" borderId="19" xfId="0" applyNumberFormat="1" applyFont="1" applyBorder="1" applyAlignment="1">
      <alignment horizontal="center" vertical="center"/>
    </xf>
    <xf numFmtId="0" fontId="0" fillId="0" borderId="0" xfId="5" applyFont="1" applyAlignment="1">
      <alignment horizontal="center"/>
    </xf>
    <xf numFmtId="37" fontId="105" fillId="12" borderId="29" xfId="5" applyNumberFormat="1" applyFont="1" applyFill="1" applyBorder="1"/>
    <xf numFmtId="10" fontId="0" fillId="0" borderId="0" xfId="0" applyNumberFormat="1"/>
    <xf numFmtId="0" fontId="8" fillId="0" borderId="0" xfId="0" applyFont="1" applyProtection="1">
      <protection locked="0"/>
    </xf>
    <xf numFmtId="166" fontId="0" fillId="0" borderId="0" xfId="0" applyNumberFormat="1"/>
    <xf numFmtId="14" fontId="5" fillId="0" borderId="30" xfId="0" applyNumberFormat="1" applyFont="1" applyBorder="1" applyAlignment="1">
      <alignment horizontal="center"/>
    </xf>
    <xf numFmtId="14" fontId="5" fillId="0" borderId="15" xfId="0" applyNumberFormat="1" applyFont="1" applyBorder="1" applyAlignment="1">
      <alignment horizontal="center"/>
    </xf>
    <xf numFmtId="0" fontId="2" fillId="0" borderId="29" xfId="0" applyFont="1" applyBorder="1" applyAlignment="1">
      <alignment horizontal="left" indent="2"/>
    </xf>
    <xf numFmtId="166" fontId="108" fillId="0" borderId="0" xfId="0" applyNumberFormat="1" applyFont="1" applyAlignment="1">
      <alignment horizontal="right" indent="1"/>
    </xf>
    <xf numFmtId="166" fontId="2" fillId="0" borderId="0" xfId="0" applyNumberFormat="1" applyFont="1" applyAlignment="1">
      <alignment horizontal="right" indent="1"/>
    </xf>
    <xf numFmtId="166" fontId="2" fillId="0" borderId="30" xfId="0" applyNumberFormat="1" applyFont="1" applyBorder="1" applyAlignment="1">
      <alignment horizontal="right" indent="1"/>
    </xf>
    <xf numFmtId="166" fontId="0" fillId="0" borderId="30" xfId="0" applyNumberFormat="1" applyBorder="1" applyAlignment="1">
      <alignment horizontal="right" indent="1"/>
    </xf>
    <xf numFmtId="0" fontId="0" fillId="4" borderId="78" xfId="0" applyFill="1" applyBorder="1"/>
    <xf numFmtId="0" fontId="2" fillId="4" borderId="76" xfId="0" applyFont="1" applyFill="1" applyBorder="1" applyAlignment="1">
      <alignment horizontal="right" indent="1"/>
    </xf>
    <xf numFmtId="0" fontId="2" fillId="4" borderId="77" xfId="0" applyFont="1" applyFill="1" applyBorder="1" applyAlignment="1">
      <alignment horizontal="right" indent="1"/>
    </xf>
    <xf numFmtId="0" fontId="108" fillId="0" borderId="29" xfId="0" applyFont="1" applyBorder="1" applyAlignment="1">
      <alignment horizontal="left" indent="1"/>
    </xf>
    <xf numFmtId="166" fontId="17" fillId="0" borderId="0" xfId="0" applyNumberFormat="1" applyFont="1" applyAlignment="1">
      <alignment horizontal="right" indent="1"/>
    </xf>
    <xf numFmtId="0" fontId="2" fillId="6" borderId="83" xfId="0" applyFont="1" applyFill="1" applyBorder="1"/>
    <xf numFmtId="166" fontId="2" fillId="6" borderId="84" xfId="0" applyNumberFormat="1" applyFont="1" applyFill="1" applyBorder="1" applyAlignment="1">
      <alignment horizontal="right" indent="1"/>
    </xf>
    <xf numFmtId="0" fontId="0" fillId="0" borderId="80" xfId="0" applyBorder="1"/>
    <xf numFmtId="0" fontId="0" fillId="0" borderId="82" xfId="0" applyBorder="1"/>
    <xf numFmtId="0" fontId="0" fillId="0" borderId="75" xfId="0" applyBorder="1"/>
    <xf numFmtId="0" fontId="14" fillId="0" borderId="29" xfId="0" applyFont="1" applyBorder="1" applyAlignment="1">
      <alignment horizontal="left" indent="6"/>
    </xf>
    <xf numFmtId="0" fontId="8" fillId="0" borderId="0" xfId="0" quotePrefix="1" applyFont="1" applyProtection="1">
      <protection locked="0"/>
    </xf>
    <xf numFmtId="0" fontId="16" fillId="0" borderId="78" xfId="0" applyFont="1" applyBorder="1"/>
    <xf numFmtId="5" fontId="2" fillId="0" borderId="76" xfId="0" applyNumberFormat="1" applyFont="1" applyBorder="1"/>
    <xf numFmtId="5" fontId="2" fillId="0" borderId="77" xfId="0" applyNumberFormat="1" applyFont="1" applyBorder="1"/>
    <xf numFmtId="5" fontId="0" fillId="0" borderId="0" xfId="0" applyNumberFormat="1" applyAlignment="1">
      <alignment horizontal="right" indent="1"/>
    </xf>
    <xf numFmtId="5" fontId="0" fillId="0" borderId="30" xfId="0" applyNumberFormat="1" applyBorder="1" applyAlignment="1">
      <alignment horizontal="right" indent="1"/>
    </xf>
    <xf numFmtId="0" fontId="0" fillId="0" borderId="67" xfId="0" applyBorder="1"/>
    <xf numFmtId="0" fontId="2" fillId="0" borderId="30" xfId="0" applyFont="1" applyBorder="1"/>
    <xf numFmtId="0" fontId="10" fillId="0" borderId="30" xfId="0" applyFont="1" applyBorder="1"/>
    <xf numFmtId="0" fontId="0" fillId="0" borderId="81" xfId="0" applyBorder="1"/>
    <xf numFmtId="0" fontId="2" fillId="4" borderId="78" xfId="0" applyFont="1" applyFill="1" applyBorder="1" applyAlignment="1">
      <alignment horizontal="right" indent="1"/>
    </xf>
    <xf numFmtId="0" fontId="2" fillId="5" borderId="76" xfId="0" applyFont="1" applyFill="1" applyBorder="1"/>
    <xf numFmtId="0" fontId="2" fillId="4" borderId="76" xfId="0" applyFont="1" applyFill="1" applyBorder="1"/>
    <xf numFmtId="0" fontId="2" fillId="3" borderId="84" xfId="0" applyFont="1" applyFill="1" applyBorder="1"/>
    <xf numFmtId="0" fontId="2" fillId="6" borderId="84" xfId="0" applyFont="1" applyFill="1" applyBorder="1"/>
    <xf numFmtId="0" fontId="1" fillId="8" borderId="7" xfId="0" applyFont="1" applyFill="1" applyBorder="1"/>
    <xf numFmtId="0" fontId="4" fillId="0" borderId="7" xfId="0" applyFont="1" applyBorder="1" applyAlignment="1">
      <alignment horizontal="left"/>
    </xf>
    <xf numFmtId="0" fontId="2" fillId="4" borderId="76" xfId="0" applyFont="1" applyFill="1" applyBorder="1" applyAlignment="1">
      <alignment horizontal="left"/>
    </xf>
    <xf numFmtId="169" fontId="1" fillId="44" borderId="27" xfId="0" applyNumberFormat="1" applyFont="1" applyFill="1" applyBorder="1" applyAlignment="1">
      <alignment horizontal="right" vertical="center" indent="1"/>
    </xf>
    <xf numFmtId="5" fontId="0" fillId="0" borderId="7" xfId="0" applyNumberFormat="1" applyBorder="1" applyAlignment="1">
      <alignment horizontal="right"/>
    </xf>
    <xf numFmtId="5" fontId="0" fillId="0" borderId="14" xfId="0" applyNumberFormat="1" applyBorder="1" applyAlignment="1">
      <alignment horizontal="right"/>
    </xf>
    <xf numFmtId="5" fontId="0" fillId="0" borderId="67" xfId="0" applyNumberFormat="1" applyBorder="1" applyAlignment="1">
      <alignment horizontal="right"/>
    </xf>
    <xf numFmtId="5" fontId="0" fillId="0" borderId="91" xfId="0" applyNumberFormat="1" applyBorder="1" applyAlignment="1">
      <alignment horizontal="right"/>
    </xf>
    <xf numFmtId="14" fontId="0" fillId="0" borderId="78" xfId="0" applyNumberFormat="1" applyBorder="1" applyAlignment="1">
      <alignment horizontal="center" vertical="center"/>
    </xf>
    <xf numFmtId="14" fontId="0" fillId="0" borderId="86" xfId="0" applyNumberFormat="1" applyBorder="1" applyAlignment="1">
      <alignment horizontal="center" vertical="center"/>
    </xf>
    <xf numFmtId="0" fontId="22" fillId="2" borderId="27" xfId="5" applyFill="1" applyBorder="1"/>
    <xf numFmtId="14" fontId="2" fillId="12" borderId="27" xfId="5" applyNumberFormat="1" applyFont="1" applyFill="1" applyBorder="1"/>
    <xf numFmtId="0" fontId="17" fillId="0" borderId="0" xfId="6" applyFont="1" applyAlignment="1">
      <alignment horizontal="center"/>
    </xf>
    <xf numFmtId="172" fontId="2" fillId="12" borderId="0" xfId="0" applyNumberFormat="1" applyFont="1" applyFill="1" applyAlignment="1">
      <alignment vertical="center"/>
    </xf>
    <xf numFmtId="166" fontId="2" fillId="11" borderId="76" xfId="5" applyNumberFormat="1" applyFont="1" applyFill="1" applyBorder="1" applyAlignment="1">
      <alignment horizontal="right"/>
    </xf>
    <xf numFmtId="217" fontId="22" fillId="0" borderId="0" xfId="3266" applyNumberFormat="1" applyFont="1" applyAlignment="1">
      <alignment horizontal="center"/>
    </xf>
    <xf numFmtId="6" fontId="22" fillId="0" borderId="0" xfId="5" applyNumberFormat="1" applyAlignment="1">
      <alignment horizontal="right"/>
    </xf>
    <xf numFmtId="215" fontId="22" fillId="0" borderId="0" xfId="5" applyNumberFormat="1"/>
    <xf numFmtId="0" fontId="14" fillId="0" borderId="80" xfId="6" applyFont="1" applyBorder="1"/>
    <xf numFmtId="9" fontId="14" fillId="0" borderId="82" xfId="8" applyFont="1" applyBorder="1" applyAlignment="1" applyProtection="1">
      <alignment horizontal="center"/>
    </xf>
    <xf numFmtId="6" fontId="2" fillId="0" borderId="7" xfId="5" applyNumberFormat="1" applyFont="1" applyBorder="1" applyAlignment="1">
      <alignment horizontal="right"/>
    </xf>
    <xf numFmtId="5" fontId="2" fillId="6" borderId="84" xfId="5" applyNumberFormat="1" applyFont="1" applyFill="1" applyBorder="1"/>
    <xf numFmtId="9" fontId="113" fillId="0" borderId="0" xfId="5" applyNumberFormat="1" applyFont="1"/>
    <xf numFmtId="9" fontId="14" fillId="12" borderId="0" xfId="5" applyNumberFormat="1" applyFont="1" applyFill="1"/>
    <xf numFmtId="218" fontId="2" fillId="0" borderId="0" xfId="5" applyNumberFormat="1" applyFont="1"/>
    <xf numFmtId="37" fontId="103" fillId="12" borderId="0" xfId="5" applyNumberFormat="1" applyFont="1" applyFill="1"/>
    <xf numFmtId="37" fontId="2" fillId="12" borderId="0" xfId="5" applyNumberFormat="1" applyFont="1" applyFill="1"/>
    <xf numFmtId="6" fontId="106" fillId="12" borderId="29" xfId="12" applyNumberFormat="1" applyFont="1" applyFill="1" applyBorder="1" applyAlignment="1">
      <alignment horizontal="left"/>
    </xf>
    <xf numFmtId="6" fontId="102" fillId="12" borderId="29" xfId="12" applyNumberFormat="1" applyFont="1" applyFill="1" applyBorder="1" applyAlignment="1">
      <alignment horizontal="right"/>
    </xf>
    <xf numFmtId="0" fontId="2" fillId="12" borderId="0" xfId="5" applyFont="1" applyFill="1" applyAlignment="1">
      <alignment horizontal="right"/>
    </xf>
    <xf numFmtId="0" fontId="17" fillId="6" borderId="79" xfId="5" applyFont="1" applyFill="1" applyBorder="1" applyAlignment="1">
      <alignment horizontal="center"/>
    </xf>
    <xf numFmtId="10" fontId="2" fillId="6" borderId="79" xfId="5" applyNumberFormat="1" applyFont="1" applyFill="1" applyBorder="1" applyAlignment="1">
      <alignment horizontal="center"/>
    </xf>
    <xf numFmtId="2" fontId="2" fillId="6" borderId="79" xfId="5" applyNumberFormat="1" applyFont="1" applyFill="1" applyBorder="1" applyAlignment="1">
      <alignment horizontal="center"/>
    </xf>
    <xf numFmtId="0" fontId="17" fillId="3" borderId="79" xfId="5" applyFont="1" applyFill="1" applyBorder="1" applyAlignment="1">
      <alignment horizontal="center"/>
    </xf>
    <xf numFmtId="10" fontId="2" fillId="3" borderId="79" xfId="5" applyNumberFormat="1" applyFont="1" applyFill="1" applyBorder="1" applyAlignment="1">
      <alignment horizontal="center"/>
    </xf>
    <xf numFmtId="2" fontId="2" fillId="3" borderId="79" xfId="5" applyNumberFormat="1" applyFont="1" applyFill="1" applyBorder="1" applyAlignment="1">
      <alignment horizontal="center"/>
    </xf>
    <xf numFmtId="0" fontId="17" fillId="43" borderId="79" xfId="5" applyFont="1" applyFill="1" applyBorder="1" applyAlignment="1">
      <alignment horizontal="center"/>
    </xf>
    <xf numFmtId="10" fontId="2" fillId="43" borderId="79" xfId="5" applyNumberFormat="1" applyFont="1" applyFill="1" applyBorder="1" applyAlignment="1">
      <alignment horizontal="center"/>
    </xf>
    <xf numFmtId="2" fontId="2" fillId="43" borderId="79" xfId="5" applyNumberFormat="1" applyFont="1" applyFill="1" applyBorder="1" applyAlignment="1">
      <alignment horizontal="center"/>
    </xf>
    <xf numFmtId="37" fontId="17" fillId="6" borderId="87" xfId="14" applyNumberFormat="1" applyFont="1" applyFill="1" applyBorder="1" applyAlignment="1">
      <alignment horizontal="right"/>
    </xf>
    <xf numFmtId="5" fontId="17" fillId="6" borderId="88" xfId="14" applyNumberFormat="1" applyFont="1" applyFill="1" applyBorder="1" applyAlignment="1">
      <alignment horizontal="left"/>
    </xf>
    <xf numFmtId="3" fontId="105" fillId="12" borderId="0" xfId="5" applyNumberFormat="1" applyFont="1" applyFill="1"/>
    <xf numFmtId="166" fontId="22" fillId="0" borderId="0" xfId="5" applyNumberFormat="1"/>
    <xf numFmtId="172" fontId="2" fillId="0" borderId="30" xfId="0" applyNumberFormat="1" applyFont="1" applyBorder="1" applyAlignment="1">
      <alignment vertical="center"/>
    </xf>
    <xf numFmtId="2" fontId="17" fillId="11" borderId="30" xfId="6" applyNumberFormat="1" applyFont="1" applyFill="1" applyBorder="1" applyAlignment="1">
      <alignment horizontal="center"/>
    </xf>
    <xf numFmtId="6" fontId="17" fillId="0" borderId="75" xfId="13" applyNumberFormat="1" applyFont="1" applyBorder="1" applyAlignment="1">
      <alignment horizontal="left"/>
    </xf>
    <xf numFmtId="219" fontId="2" fillId="0" borderId="29" xfId="5" applyNumberFormat="1" applyFont="1" applyBorder="1" applyAlignment="1">
      <alignment horizontal="left"/>
    </xf>
    <xf numFmtId="220" fontId="2" fillId="0" borderId="29" xfId="5" applyNumberFormat="1" applyFont="1" applyBorder="1" applyAlignment="1">
      <alignment horizontal="left"/>
    </xf>
    <xf numFmtId="6" fontId="22" fillId="12" borderId="0" xfId="5" applyNumberFormat="1" applyFill="1"/>
    <xf numFmtId="7" fontId="22" fillId="12" borderId="0" xfId="5" applyNumberFormat="1" applyFill="1"/>
    <xf numFmtId="10" fontId="2" fillId="12" borderId="29" xfId="5" applyNumberFormat="1" applyFont="1" applyFill="1" applyBorder="1" applyAlignment="1">
      <alignment horizontal="left"/>
    </xf>
    <xf numFmtId="220" fontId="4" fillId="0" borderId="29" xfId="5" applyNumberFormat="1" applyFont="1" applyBorder="1" applyAlignment="1">
      <alignment horizontal="left"/>
    </xf>
    <xf numFmtId="5" fontId="0" fillId="0" borderId="0" xfId="5" applyNumberFormat="1" applyFont="1"/>
    <xf numFmtId="166" fontId="0" fillId="0" borderId="0" xfId="5" applyNumberFormat="1" applyFont="1"/>
    <xf numFmtId="221" fontId="2" fillId="0" borderId="29" xfId="5" applyNumberFormat="1" applyFont="1" applyBorder="1" applyAlignment="1">
      <alignment horizontal="left"/>
    </xf>
    <xf numFmtId="222" fontId="16" fillId="0" borderId="29" xfId="5" applyNumberFormat="1" applyFont="1" applyBorder="1" applyAlignment="1">
      <alignment horizontal="left"/>
    </xf>
    <xf numFmtId="5" fontId="3" fillId="0" borderId="0" xfId="5" applyNumberFormat="1" applyFont="1"/>
    <xf numFmtId="0" fontId="17" fillId="6" borderId="78" xfId="5" applyFont="1" applyFill="1" applyBorder="1"/>
    <xf numFmtId="0" fontId="2" fillId="6" borderId="78" xfId="5" applyFont="1" applyFill="1" applyBorder="1"/>
    <xf numFmtId="0" fontId="17" fillId="3" borderId="78" xfId="5" applyFont="1" applyFill="1" applyBorder="1"/>
    <xf numFmtId="0" fontId="2" fillId="3" borderId="78" xfId="5" applyFont="1" applyFill="1" applyBorder="1"/>
    <xf numFmtId="0" fontId="17" fillId="43" borderId="78" xfId="5" applyFont="1" applyFill="1" applyBorder="1"/>
    <xf numFmtId="0" fontId="2" fillId="43" borderId="78" xfId="5" applyFont="1" applyFill="1" applyBorder="1"/>
    <xf numFmtId="14" fontId="2" fillId="0" borderId="27" xfId="5" applyNumberFormat="1" applyFont="1" applyBorder="1"/>
    <xf numFmtId="172" fontId="2" fillId="0" borderId="0" xfId="0" applyNumberFormat="1" applyFont="1" applyAlignment="1">
      <alignment vertical="center"/>
    </xf>
    <xf numFmtId="2" fontId="113" fillId="0" borderId="30" xfId="8" applyNumberFormat="1" applyFont="1" applyBorder="1" applyAlignment="1" applyProtection="1">
      <alignment horizontal="center"/>
    </xf>
    <xf numFmtId="2" fontId="113" fillId="0" borderId="81" xfId="8" applyNumberFormat="1" applyFont="1" applyBorder="1" applyAlignment="1" applyProtection="1">
      <alignment horizontal="center"/>
    </xf>
    <xf numFmtId="0" fontId="2" fillId="4" borderId="79" xfId="0" applyFont="1" applyFill="1" applyBorder="1" applyAlignment="1">
      <alignment horizontal="right" indent="2"/>
    </xf>
    <xf numFmtId="10" fontId="0" fillId="0" borderId="4" xfId="0" applyNumberFormat="1" applyBorder="1" applyAlignment="1">
      <alignment horizontal="left" vertical="center" indent="3"/>
    </xf>
    <xf numFmtId="0" fontId="1" fillId="2" borderId="36" xfId="0" applyFont="1" applyFill="1" applyBorder="1"/>
    <xf numFmtId="0" fontId="3" fillId="2" borderId="67" xfId="0" applyFont="1" applyFill="1" applyBorder="1"/>
    <xf numFmtId="0" fontId="0" fillId="2" borderId="67" xfId="0" applyFill="1" applyBorder="1"/>
    <xf numFmtId="0" fontId="0" fillId="2" borderId="73" xfId="0" applyFill="1" applyBorder="1"/>
    <xf numFmtId="0" fontId="2" fillId="4" borderId="29" xfId="0" applyFont="1" applyFill="1" applyBorder="1"/>
    <xf numFmtId="0" fontId="10" fillId="4" borderId="36" xfId="0" applyFont="1" applyFill="1" applyBorder="1" applyAlignment="1">
      <alignment horizontal="left" vertical="center" indent="1"/>
    </xf>
    <xf numFmtId="0" fontId="0" fillId="0" borderId="80" xfId="0" applyBorder="1" applyAlignment="1">
      <alignment horizontal="left" indent="1"/>
    </xf>
    <xf numFmtId="0" fontId="2" fillId="0" borderId="0" xfId="0" applyFont="1"/>
    <xf numFmtId="0" fontId="10" fillId="0" borderId="0" xfId="0" applyFont="1"/>
    <xf numFmtId="0" fontId="0" fillId="0" borderId="24" xfId="0" applyBorder="1"/>
    <xf numFmtId="0" fontId="4" fillId="0" borderId="36" xfId="0" applyFont="1" applyBorder="1" applyAlignment="1">
      <alignment horizontal="left"/>
    </xf>
    <xf numFmtId="9" fontId="14" fillId="0" borderId="30" xfId="0" applyNumberFormat="1" applyFont="1" applyBorder="1" applyAlignment="1">
      <alignment horizontal="right" indent="1"/>
    </xf>
    <xf numFmtId="0" fontId="0" fillId="2" borderId="76" xfId="0" applyFill="1" applyBorder="1"/>
    <xf numFmtId="166" fontId="2" fillId="0" borderId="85" xfId="0" applyNumberFormat="1" applyFont="1" applyBorder="1" applyAlignment="1">
      <alignment horizontal="center"/>
    </xf>
    <xf numFmtId="0" fontId="0" fillId="2" borderId="7" xfId="0" applyFill="1" applyBorder="1"/>
    <xf numFmtId="0" fontId="0" fillId="2" borderId="15" xfId="0" applyFill="1" applyBorder="1"/>
    <xf numFmtId="0" fontId="2" fillId="4" borderId="77" xfId="0" applyFont="1" applyFill="1" applyBorder="1" applyAlignment="1">
      <alignment horizontal="right" indent="2"/>
    </xf>
    <xf numFmtId="0" fontId="0" fillId="0" borderId="84" xfId="0" applyBorder="1"/>
    <xf numFmtId="0" fontId="2" fillId="4" borderId="78" xfId="0" applyFont="1" applyFill="1" applyBorder="1"/>
    <xf numFmtId="0" fontId="2" fillId="4" borderId="76" xfId="0" applyFont="1" applyFill="1" applyBorder="1" applyAlignment="1">
      <alignment horizontal="center"/>
    </xf>
    <xf numFmtId="0" fontId="2" fillId="6" borderId="86" xfId="0" applyFont="1" applyFill="1" applyBorder="1"/>
    <xf numFmtId="0" fontId="2" fillId="6" borderId="87" xfId="0" applyFont="1" applyFill="1" applyBorder="1" applyAlignment="1">
      <alignment horizontal="center"/>
    </xf>
    <xf numFmtId="9" fontId="2" fillId="6" borderId="87" xfId="0" applyNumberFormat="1" applyFont="1" applyFill="1" applyBorder="1" applyAlignment="1">
      <alignment horizontal="center"/>
    </xf>
    <xf numFmtId="3" fontId="2" fillId="6" borderId="87" xfId="0" applyNumberFormat="1" applyFont="1" applyFill="1" applyBorder="1" applyAlignment="1">
      <alignment horizontal="center"/>
    </xf>
    <xf numFmtId="166" fontId="2" fillId="6" borderId="87" xfId="0" applyNumberFormat="1" applyFont="1" applyFill="1" applyBorder="1" applyAlignment="1">
      <alignment horizontal="center"/>
    </xf>
    <xf numFmtId="167" fontId="2" fillId="6" borderId="87" xfId="0" applyNumberFormat="1" applyFont="1" applyFill="1" applyBorder="1" applyAlignment="1">
      <alignment horizontal="center"/>
    </xf>
    <xf numFmtId="0" fontId="14" fillId="0" borderId="0" xfId="0" applyFont="1"/>
    <xf numFmtId="10" fontId="14" fillId="0" borderId="0" xfId="0" applyNumberFormat="1" applyFont="1"/>
    <xf numFmtId="0" fontId="103" fillId="0" borderId="0" xfId="0" applyFont="1"/>
    <xf numFmtId="0" fontId="114" fillId="0" borderId="29" xfId="0" applyFont="1" applyBorder="1"/>
    <xf numFmtId="0" fontId="115" fillId="2" borderId="74" xfId="0" applyFont="1" applyFill="1" applyBorder="1"/>
    <xf numFmtId="0" fontId="115" fillId="2" borderId="57" xfId="0" applyFont="1" applyFill="1" applyBorder="1"/>
    <xf numFmtId="0" fontId="115" fillId="2" borderId="57" xfId="0" applyFont="1" applyFill="1" applyBorder="1" applyAlignment="1">
      <alignment horizontal="right"/>
    </xf>
    <xf numFmtId="223" fontId="115" fillId="2" borderId="58" xfId="0" applyNumberFormat="1" applyFont="1" applyFill="1" applyBorder="1" applyAlignment="1">
      <alignment horizontal="right"/>
    </xf>
    <xf numFmtId="5" fontId="2" fillId="0" borderId="0" xfId="0" applyNumberFormat="1" applyFont="1" applyAlignment="1">
      <alignment horizontal="right" indent="6"/>
    </xf>
    <xf numFmtId="5" fontId="2" fillId="0" borderId="0" xfId="0" applyNumberFormat="1" applyFont="1" applyAlignment="1">
      <alignment horizontal="center"/>
    </xf>
    <xf numFmtId="0" fontId="5" fillId="0" borderId="0" xfId="0" applyFont="1" applyAlignment="1">
      <alignment horizontal="left" indent="5"/>
    </xf>
    <xf numFmtId="3" fontId="5" fillId="0" borderId="0" xfId="0" applyNumberFormat="1" applyFont="1" applyAlignment="1">
      <alignment horizontal="left" indent="5"/>
    </xf>
    <xf numFmtId="0" fontId="0" fillId="0" borderId="0" xfId="0" applyAlignment="1">
      <alignment horizontal="left" indent="5"/>
    </xf>
    <xf numFmtId="0" fontId="14" fillId="0" borderId="0" xfId="0" applyFont="1" applyAlignment="1">
      <alignment horizontal="left" indent="5"/>
    </xf>
    <xf numFmtId="164" fontId="5" fillId="0" borderId="0" xfId="0" applyNumberFormat="1" applyFont="1" applyAlignment="1">
      <alignment horizontal="left" indent="5"/>
    </xf>
    <xf numFmtId="14" fontId="5" fillId="0" borderId="15" xfId="0" applyNumberFormat="1" applyFont="1" applyBorder="1" applyAlignment="1">
      <alignment horizontal="right" indent="1"/>
    </xf>
    <xf numFmtId="0" fontId="2" fillId="0" borderId="30" xfId="0" applyFont="1" applyBorder="1" applyAlignment="1">
      <alignment horizontal="right" indent="1"/>
    </xf>
    <xf numFmtId="0" fontId="0" fillId="0" borderId="73" xfId="0" applyBorder="1" applyAlignment="1">
      <alignment horizontal="right" indent="1"/>
    </xf>
    <xf numFmtId="0" fontId="2" fillId="4" borderId="96" xfId="0" applyFont="1" applyFill="1" applyBorder="1" applyAlignment="1">
      <alignment horizontal="center"/>
    </xf>
    <xf numFmtId="166" fontId="108" fillId="0" borderId="77" xfId="0" applyNumberFormat="1" applyFont="1" applyBorder="1" applyAlignment="1">
      <alignment horizontal="center"/>
    </xf>
    <xf numFmtId="0" fontId="2" fillId="4" borderId="97" xfId="0" applyFont="1" applyFill="1" applyBorder="1" applyAlignment="1">
      <alignment horizontal="center"/>
    </xf>
    <xf numFmtId="166" fontId="108" fillId="0" borderId="98" xfId="0" applyNumberFormat="1" applyFont="1" applyBorder="1" applyAlignment="1">
      <alignment horizontal="center"/>
    </xf>
    <xf numFmtId="0" fontId="2" fillId="4" borderId="99" xfId="0" applyFont="1" applyFill="1" applyBorder="1" applyAlignment="1">
      <alignment horizontal="center"/>
    </xf>
    <xf numFmtId="166" fontId="108" fillId="0" borderId="88" xfId="0" applyNumberFormat="1" applyFont="1" applyBorder="1" applyAlignment="1">
      <alignment horizontal="center"/>
    </xf>
    <xf numFmtId="2" fontId="14" fillId="0" borderId="0" xfId="3266" applyNumberFormat="1" applyFont="1"/>
    <xf numFmtId="6" fontId="102" fillId="0" borderId="29" xfId="13" applyNumberFormat="1" applyFont="1" applyBorder="1" applyAlignment="1">
      <alignment horizontal="left"/>
    </xf>
    <xf numFmtId="37" fontId="4" fillId="0" borderId="0" xfId="5" applyNumberFormat="1" applyFont="1"/>
    <xf numFmtId="37" fontId="4" fillId="12" borderId="0" xfId="5" applyNumberFormat="1" applyFont="1" applyFill="1"/>
    <xf numFmtId="226" fontId="0" fillId="0" borderId="29" xfId="0" applyNumberFormat="1" applyBorder="1" applyAlignment="1">
      <alignment horizontal="left" indent="3"/>
    </xf>
    <xf numFmtId="0" fontId="1" fillId="2" borderId="67" xfId="0" applyFont="1" applyFill="1" applyBorder="1"/>
    <xf numFmtId="0" fontId="3" fillId="2" borderId="73" xfId="0" applyFont="1" applyFill="1" applyBorder="1"/>
    <xf numFmtId="0" fontId="0" fillId="0" borderId="29" xfId="0" applyBorder="1" applyAlignment="1">
      <alignment horizontal="left" indent="2"/>
    </xf>
    <xf numFmtId="0" fontId="14" fillId="11" borderId="0" xfId="5" applyFont="1" applyFill="1" applyAlignment="1">
      <alignment horizontal="center"/>
    </xf>
    <xf numFmtId="0" fontId="14" fillId="11" borderId="0" xfId="6" applyFont="1" applyFill="1" applyAlignment="1">
      <alignment horizontal="center"/>
    </xf>
    <xf numFmtId="2" fontId="14" fillId="0" borderId="30" xfId="8" applyNumberFormat="1" applyFont="1" applyBorder="1" applyAlignment="1" applyProtection="1">
      <alignment horizontal="center"/>
    </xf>
    <xf numFmtId="2" fontId="14" fillId="0" borderId="81" xfId="8" applyNumberFormat="1" applyFont="1" applyBorder="1" applyAlignment="1" applyProtection="1">
      <alignment horizontal="center"/>
    </xf>
    <xf numFmtId="224" fontId="118" fillId="0" borderId="29" xfId="0" applyNumberFormat="1" applyFont="1" applyBorder="1" applyAlignment="1">
      <alignment horizontal="left" indent="2"/>
    </xf>
    <xf numFmtId="9" fontId="118" fillId="0" borderId="30" xfId="0" applyNumberFormat="1" applyFont="1" applyBorder="1" applyAlignment="1">
      <alignment horizontal="right" indent="1"/>
    </xf>
    <xf numFmtId="225" fontId="118" fillId="0" borderId="29" xfId="0" applyNumberFormat="1" applyFont="1" applyBorder="1" applyAlignment="1">
      <alignment horizontal="left" indent="2"/>
    </xf>
    <xf numFmtId="227" fontId="118" fillId="0" borderId="29" xfId="0" applyNumberFormat="1" applyFont="1" applyBorder="1" applyAlignment="1">
      <alignment horizontal="left" indent="2"/>
    </xf>
    <xf numFmtId="228" fontId="118" fillId="0" borderId="29" xfId="0" applyNumberFormat="1" applyFont="1" applyBorder="1" applyAlignment="1">
      <alignment horizontal="left" indent="2"/>
    </xf>
    <xf numFmtId="0" fontId="1" fillId="2" borderId="26" xfId="0" applyFont="1" applyFill="1" applyBorder="1" applyAlignment="1">
      <alignment horizontal="left"/>
    </xf>
    <xf numFmtId="0" fontId="1" fillId="2" borderId="27" xfId="0" applyFont="1" applyFill="1" applyBorder="1" applyAlignment="1">
      <alignment horizontal="left"/>
    </xf>
    <xf numFmtId="0" fontId="1" fillId="2" borderId="28" xfId="0" applyFont="1" applyFill="1" applyBorder="1" applyAlignment="1">
      <alignment horizontal="left"/>
    </xf>
    <xf numFmtId="166" fontId="0" fillId="0" borderId="76" xfId="0" applyNumberFormat="1" applyBorder="1" applyAlignment="1">
      <alignment horizontal="left" vertical="center" indent="7"/>
    </xf>
    <xf numFmtId="166" fontId="0" fillId="0" borderId="87" xfId="0" applyNumberFormat="1" applyBorder="1" applyAlignment="1">
      <alignment horizontal="left" vertical="center" indent="7"/>
    </xf>
    <xf numFmtId="0" fontId="1" fillId="2" borderId="26" xfId="0" applyFont="1" applyFill="1" applyBorder="1" applyAlignment="1">
      <alignment vertical="center"/>
    </xf>
    <xf numFmtId="0" fontId="1" fillId="2" borderId="28" xfId="0" applyFont="1" applyFill="1" applyBorder="1" applyAlignment="1">
      <alignment horizontal="right" vertical="center" indent="1"/>
    </xf>
    <xf numFmtId="0" fontId="18" fillId="4" borderId="36" xfId="0" applyFont="1" applyFill="1" applyBorder="1" applyAlignment="1">
      <alignment horizontal="left" vertical="center" indent="1"/>
    </xf>
    <xf numFmtId="171" fontId="10" fillId="4" borderId="67" xfId="0" applyNumberFormat="1" applyFont="1" applyFill="1" applyBorder="1" applyAlignment="1">
      <alignment horizontal="right" vertical="center" indent="1"/>
    </xf>
    <xf numFmtId="171" fontId="10" fillId="4" borderId="73" xfId="0" applyNumberFormat="1" applyFont="1" applyFill="1" applyBorder="1" applyAlignment="1">
      <alignment horizontal="right" vertical="center" indent="1"/>
    </xf>
    <xf numFmtId="14" fontId="16" fillId="4" borderId="67" xfId="0" applyNumberFormat="1" applyFont="1" applyFill="1" applyBorder="1" applyAlignment="1">
      <alignment horizontal="right" vertical="center" indent="1"/>
    </xf>
    <xf numFmtId="14" fontId="16" fillId="4" borderId="73" xfId="0" applyNumberFormat="1" applyFont="1" applyFill="1" applyBorder="1" applyAlignment="1">
      <alignment horizontal="right" vertical="center" indent="1"/>
    </xf>
    <xf numFmtId="0" fontId="0" fillId="0" borderId="30" xfId="0" applyBorder="1" applyAlignment="1">
      <alignment horizontal="right"/>
    </xf>
    <xf numFmtId="10" fontId="18" fillId="0" borderId="29" xfId="0" applyNumberFormat="1" applyFont="1" applyBorder="1"/>
    <xf numFmtId="5" fontId="0" fillId="0" borderId="30" xfId="0" applyNumberFormat="1" applyBorder="1" applyAlignment="1">
      <alignment horizontal="right"/>
    </xf>
    <xf numFmtId="0" fontId="2" fillId="0" borderId="75" xfId="0" applyFont="1" applyBorder="1"/>
    <xf numFmtId="5" fontId="2" fillId="0" borderId="98" xfId="0" applyNumberFormat="1" applyFont="1" applyBorder="1" applyAlignment="1">
      <alignment horizontal="right"/>
    </xf>
    <xf numFmtId="0" fontId="2" fillId="5" borderId="78" xfId="0" applyFont="1" applyFill="1" applyBorder="1"/>
    <xf numFmtId="5" fontId="2" fillId="5" borderId="76" xfId="0" applyNumberFormat="1" applyFont="1" applyFill="1" applyBorder="1" applyAlignment="1">
      <alignment horizontal="right"/>
    </xf>
    <xf numFmtId="5" fontId="2" fillId="5" borderId="77" xfId="0" applyNumberFormat="1" applyFont="1" applyFill="1" applyBorder="1" applyAlignment="1">
      <alignment horizontal="right"/>
    </xf>
    <xf numFmtId="0" fontId="2" fillId="0" borderId="29" xfId="0" applyFont="1" applyBorder="1" applyAlignment="1">
      <alignment horizontal="left" indent="1"/>
    </xf>
    <xf numFmtId="5" fontId="2" fillId="4" borderId="77" xfId="0" applyNumberFormat="1" applyFont="1" applyFill="1" applyBorder="1" applyAlignment="1">
      <alignment horizontal="right"/>
    </xf>
    <xf numFmtId="0" fontId="2" fillId="3" borderId="83" xfId="0" applyFont="1" applyFill="1" applyBorder="1"/>
    <xf numFmtId="5" fontId="2" fillId="3" borderId="84" xfId="0" applyNumberFormat="1" applyFont="1" applyFill="1" applyBorder="1" applyAlignment="1">
      <alignment horizontal="right"/>
    </xf>
    <xf numFmtId="5" fontId="2" fillId="3" borderId="85" xfId="0" applyNumberFormat="1" applyFont="1" applyFill="1" applyBorder="1" applyAlignment="1">
      <alignment horizontal="right"/>
    </xf>
    <xf numFmtId="5" fontId="2" fillId="0" borderId="30" xfId="0" applyNumberFormat="1" applyFont="1" applyBorder="1" applyAlignment="1">
      <alignment horizontal="right"/>
    </xf>
    <xf numFmtId="0" fontId="10" fillId="0" borderId="29" xfId="0" applyFont="1" applyBorder="1" applyAlignment="1">
      <alignment horizontal="left" indent="2"/>
    </xf>
    <xf numFmtId="175" fontId="10" fillId="0" borderId="30" xfId="0" applyNumberFormat="1" applyFont="1" applyBorder="1" applyAlignment="1">
      <alignment horizontal="right"/>
    </xf>
    <xf numFmtId="5" fontId="2" fillId="6" borderId="84" xfId="0" applyNumberFormat="1" applyFont="1" applyFill="1" applyBorder="1" applyAlignment="1">
      <alignment horizontal="right"/>
    </xf>
    <xf numFmtId="5" fontId="2" fillId="6" borderId="85" xfId="0" applyNumberFormat="1" applyFont="1" applyFill="1" applyBorder="1" applyAlignment="1">
      <alignment horizontal="right"/>
    </xf>
    <xf numFmtId="0" fontId="16" fillId="0" borderId="29" xfId="0" applyFont="1" applyBorder="1"/>
    <xf numFmtId="10" fontId="16" fillId="0" borderId="30" xfId="0" applyNumberFormat="1" applyFont="1" applyBorder="1" applyAlignment="1">
      <alignment horizontal="right"/>
    </xf>
    <xf numFmtId="0" fontId="16" fillId="0" borderId="33" xfId="0" applyFont="1" applyBorder="1"/>
    <xf numFmtId="10" fontId="16" fillId="0" borderId="35" xfId="0" applyNumberFormat="1" applyFont="1" applyBorder="1" applyAlignment="1">
      <alignment horizontal="right"/>
    </xf>
    <xf numFmtId="169" fontId="1" fillId="2" borderId="28" xfId="0" applyNumberFormat="1" applyFont="1" applyFill="1" applyBorder="1" applyAlignment="1">
      <alignment horizontal="right" vertical="center" indent="1"/>
    </xf>
    <xf numFmtId="10" fontId="0" fillId="0" borderId="0" xfId="3266" applyNumberFormat="1" applyFont="1"/>
    <xf numFmtId="215" fontId="0" fillId="0" borderId="0" xfId="3266" applyNumberFormat="1" applyFont="1"/>
    <xf numFmtId="9" fontId="0" fillId="0" borderId="0" xfId="0" applyNumberFormat="1"/>
    <xf numFmtId="177" fontId="0" fillId="0" borderId="0" xfId="3268" applyNumberFormat="1" applyFont="1"/>
    <xf numFmtId="0" fontId="0" fillId="0" borderId="30" xfId="0" applyBorder="1" applyAlignment="1">
      <alignment horizontal="center"/>
    </xf>
    <xf numFmtId="179" fontId="19" fillId="0" borderId="0" xfId="0" applyNumberFormat="1" applyFont="1" applyAlignment="1">
      <alignment horizontal="right"/>
    </xf>
    <xf numFmtId="179" fontId="19" fillId="0" borderId="30" xfId="0" applyNumberFormat="1" applyFont="1" applyBorder="1" applyAlignment="1">
      <alignment horizontal="right"/>
    </xf>
    <xf numFmtId="179" fontId="19" fillId="0" borderId="30" xfId="0" quotePrefix="1" applyNumberFormat="1" applyFont="1" applyBorder="1" applyAlignment="1">
      <alignment horizontal="right"/>
    </xf>
    <xf numFmtId="0" fontId="0" fillId="0" borderId="0" xfId="0" applyAlignment="1">
      <alignment horizontal="left"/>
    </xf>
    <xf numFmtId="0" fontId="14" fillId="3" borderId="12" xfId="0" applyFont="1" applyFill="1" applyBorder="1" applyAlignment="1">
      <alignment vertical="center"/>
    </xf>
    <xf numFmtId="0" fontId="14" fillId="12" borderId="0" xfId="0" applyFont="1" applyFill="1" applyAlignment="1">
      <alignment vertical="center"/>
    </xf>
    <xf numFmtId="10" fontId="3" fillId="12" borderId="38" xfId="0" applyNumberFormat="1" applyFont="1" applyFill="1" applyBorder="1" applyAlignment="1">
      <alignment vertical="center"/>
    </xf>
    <xf numFmtId="10" fontId="17" fillId="12" borderId="4" xfId="0" applyNumberFormat="1" applyFont="1" applyFill="1" applyBorder="1" applyAlignment="1">
      <alignment vertical="center"/>
    </xf>
    <xf numFmtId="10" fontId="17" fillId="12" borderId="100" xfId="0" applyNumberFormat="1" applyFont="1" applyFill="1" applyBorder="1" applyAlignment="1">
      <alignment vertical="center"/>
    </xf>
    <xf numFmtId="10" fontId="17" fillId="12" borderId="7" xfId="0" applyNumberFormat="1" applyFont="1" applyFill="1" applyBorder="1" applyAlignment="1">
      <alignment vertical="center"/>
    </xf>
    <xf numFmtId="10" fontId="17" fillId="12" borderId="98" xfId="0" applyNumberFormat="1" applyFont="1" applyFill="1" applyBorder="1" applyAlignment="1">
      <alignment vertical="center"/>
    </xf>
    <xf numFmtId="10" fontId="14" fillId="12" borderId="38" xfId="0" applyNumberFormat="1" applyFont="1" applyFill="1" applyBorder="1" applyAlignment="1">
      <alignment vertical="center"/>
    </xf>
    <xf numFmtId="10" fontId="14" fillId="12" borderId="7" xfId="0" applyNumberFormat="1" applyFont="1" applyFill="1" applyBorder="1" applyAlignment="1">
      <alignment vertical="center"/>
    </xf>
    <xf numFmtId="10" fontId="14" fillId="12" borderId="98" xfId="0" applyNumberFormat="1" applyFont="1" applyFill="1" applyBorder="1" applyAlignment="1">
      <alignment vertical="center"/>
    </xf>
    <xf numFmtId="10" fontId="14" fillId="12" borderId="4" xfId="0" applyNumberFormat="1" applyFont="1" applyFill="1" applyBorder="1" applyAlignment="1">
      <alignment vertical="center"/>
    </xf>
    <xf numFmtId="10" fontId="14" fillId="12" borderId="0" xfId="0" applyNumberFormat="1" applyFont="1" applyFill="1" applyAlignment="1">
      <alignment vertical="center"/>
    </xf>
    <xf numFmtId="10" fontId="14" fillId="12" borderId="30" xfId="0" applyNumberFormat="1" applyFont="1" applyFill="1" applyBorder="1" applyAlignment="1">
      <alignment vertical="center"/>
    </xf>
    <xf numFmtId="10" fontId="14" fillId="12" borderId="100" xfId="0" applyNumberFormat="1" applyFont="1" applyFill="1" applyBorder="1" applyAlignment="1">
      <alignment vertical="center"/>
    </xf>
    <xf numFmtId="10" fontId="14" fillId="12" borderId="82" xfId="0" applyNumberFormat="1" applyFont="1" applyFill="1" applyBorder="1" applyAlignment="1">
      <alignment vertical="center"/>
    </xf>
    <xf numFmtId="10" fontId="14" fillId="12" borderId="81" xfId="0" applyNumberFormat="1" applyFont="1" applyFill="1" applyBorder="1" applyAlignment="1">
      <alignment vertical="center"/>
    </xf>
    <xf numFmtId="10" fontId="14" fillId="12" borderId="98" xfId="0" applyNumberFormat="1" applyFont="1" applyFill="1" applyBorder="1" applyAlignment="1">
      <alignment horizontal="right" vertical="center"/>
    </xf>
    <xf numFmtId="177" fontId="14" fillId="0" borderId="0" xfId="3268" applyNumberFormat="1" applyFont="1"/>
    <xf numFmtId="0" fontId="9" fillId="0" borderId="0" xfId="5" applyFont="1" applyAlignment="1">
      <alignment horizontal="left"/>
    </xf>
    <xf numFmtId="10" fontId="22" fillId="0" borderId="0" xfId="5" applyNumberFormat="1" applyAlignment="1">
      <alignment horizontal="left"/>
    </xf>
    <xf numFmtId="2" fontId="22" fillId="0" borderId="0" xfId="5" applyNumberFormat="1" applyAlignment="1">
      <alignment horizontal="left"/>
    </xf>
    <xf numFmtId="0" fontId="22" fillId="0" borderId="0" xfId="5" applyAlignment="1">
      <alignment horizontal="left"/>
    </xf>
    <xf numFmtId="7" fontId="2" fillId="0" borderId="0" xfId="0" applyNumberFormat="1" applyFont="1"/>
    <xf numFmtId="10" fontId="2" fillId="0" borderId="0" xfId="3266" applyNumberFormat="1" applyFont="1" applyBorder="1"/>
    <xf numFmtId="10" fontId="2" fillId="0" borderId="29" xfId="3266" applyNumberFormat="1" applyFont="1" applyBorder="1" applyAlignment="1">
      <alignment horizontal="left"/>
    </xf>
    <xf numFmtId="37" fontId="19" fillId="0" borderId="0" xfId="5" applyNumberFormat="1" applyFont="1"/>
    <xf numFmtId="0" fontId="2" fillId="0" borderId="37" xfId="0" applyFont="1" applyBorder="1" applyAlignment="1">
      <alignment horizontal="left" vertical="center" indent="1"/>
    </xf>
    <xf numFmtId="0" fontId="16" fillId="0" borderId="75" xfId="0" applyFont="1" applyBorder="1"/>
    <xf numFmtId="166" fontId="2" fillId="0" borderId="7" xfId="0" applyNumberFormat="1" applyFont="1" applyBorder="1" applyAlignment="1">
      <alignment horizontal="right" indent="1"/>
    </xf>
    <xf numFmtId="0" fontId="108" fillId="0" borderId="29" xfId="0" applyFont="1" applyBorder="1" applyAlignment="1">
      <alignment horizontal="left"/>
    </xf>
    <xf numFmtId="166" fontId="17" fillId="0" borderId="30" xfId="0" applyNumberFormat="1" applyFont="1" applyBorder="1" applyAlignment="1">
      <alignment horizontal="right" indent="1"/>
    </xf>
    <xf numFmtId="167" fontId="14" fillId="0" borderId="0" xfId="0" applyNumberFormat="1" applyFont="1" applyAlignment="1">
      <alignment horizontal="center"/>
    </xf>
    <xf numFmtId="0" fontId="5" fillId="0" borderId="29" xfId="0" applyFont="1" applyBorder="1" applyAlignment="1">
      <alignment horizontal="left"/>
    </xf>
    <xf numFmtId="0" fontId="2" fillId="0" borderId="29" xfId="0" applyFont="1" applyBorder="1" applyAlignment="1">
      <alignment horizontal="left"/>
    </xf>
    <xf numFmtId="166" fontId="2" fillId="0" borderId="76" xfId="0" applyNumberFormat="1" applyFont="1" applyBorder="1"/>
    <xf numFmtId="231" fontId="113" fillId="0" borderId="0" xfId="0" applyNumberFormat="1" applyFont="1"/>
    <xf numFmtId="0" fontId="2" fillId="0" borderId="29" xfId="0" applyFont="1" applyBorder="1"/>
    <xf numFmtId="231" fontId="14" fillId="0" borderId="0" xfId="0" applyNumberFormat="1" applyFont="1" applyAlignment="1">
      <alignment horizontal="center"/>
    </xf>
    <xf numFmtId="9" fontId="113" fillId="0" borderId="30" xfId="0" applyNumberFormat="1" applyFont="1" applyBorder="1" applyAlignment="1">
      <alignment horizontal="right" indent="1"/>
    </xf>
    <xf numFmtId="167" fontId="17" fillId="0" borderId="30" xfId="0" applyNumberFormat="1" applyFont="1" applyBorder="1" applyAlignment="1">
      <alignment horizontal="right" inden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10" fontId="109" fillId="0" borderId="0" xfId="0" applyNumberFormat="1" applyFont="1" applyAlignment="1">
      <alignment horizontal="center" vertical="center"/>
    </xf>
    <xf numFmtId="0" fontId="111" fillId="12" borderId="0" xfId="0" applyFont="1" applyFill="1" applyAlignment="1">
      <alignment horizontal="center"/>
    </xf>
    <xf numFmtId="0" fontId="0" fillId="12" borderId="0" xfId="0" applyFill="1"/>
    <xf numFmtId="0" fontId="1" fillId="12" borderId="0" xfId="0" applyFont="1" applyFill="1" applyAlignment="1">
      <alignment vertical="center"/>
    </xf>
    <xf numFmtId="0" fontId="2" fillId="12" borderId="0" xfId="0" applyFont="1" applyFill="1" applyAlignment="1">
      <alignment horizontal="center" vertical="center"/>
    </xf>
    <xf numFmtId="10" fontId="109" fillId="12" borderId="0" xfId="0" applyNumberFormat="1" applyFont="1" applyFill="1" applyAlignment="1">
      <alignment horizontal="center" vertical="center"/>
    </xf>
    <xf numFmtId="0" fontId="2" fillId="0" borderId="67" xfId="0" applyFont="1" applyBorder="1" applyAlignment="1">
      <alignment horizontal="left" vertical="center" indent="1"/>
    </xf>
    <xf numFmtId="5" fontId="0" fillId="0" borderId="67" xfId="0" applyNumberFormat="1" applyBorder="1" applyAlignment="1">
      <alignment horizontal="right" vertical="center"/>
    </xf>
    <xf numFmtId="0" fontId="0" fillId="0" borderId="67" xfId="0" applyBorder="1" applyAlignment="1">
      <alignment vertical="center"/>
    </xf>
    <xf numFmtId="10" fontId="5" fillId="0" borderId="91" xfId="0" applyNumberFormat="1" applyFont="1" applyBorder="1" applyAlignment="1">
      <alignment horizontal="center" vertical="center"/>
    </xf>
    <xf numFmtId="6" fontId="4" fillId="0" borderId="0" xfId="5" applyNumberFormat="1" applyFont="1" applyAlignment="1">
      <alignment horizontal="center"/>
    </xf>
    <xf numFmtId="14" fontId="1" fillId="2" borderId="76" xfId="0" applyNumberFormat="1" applyFont="1" applyFill="1" applyBorder="1" applyAlignment="1">
      <alignment horizontal="right" vertical="center" indent="1"/>
    </xf>
    <xf numFmtId="0" fontId="17" fillId="3" borderId="76" xfId="5" applyFont="1" applyFill="1" applyBorder="1"/>
    <xf numFmtId="0" fontId="2" fillId="3" borderId="76" xfId="5" applyFont="1" applyFill="1" applyBorder="1"/>
    <xf numFmtId="0" fontId="17" fillId="43" borderId="76" xfId="5" applyFont="1" applyFill="1" applyBorder="1"/>
    <xf numFmtId="0" fontId="2" fillId="43" borderId="76" xfId="5" applyFont="1" applyFill="1" applyBorder="1"/>
    <xf numFmtId="37" fontId="17" fillId="0" borderId="95" xfId="14" applyNumberFormat="1" applyFont="1" applyBorder="1" applyAlignment="1">
      <alignment horizontal="right"/>
    </xf>
    <xf numFmtId="7" fontId="0" fillId="0" borderId="0" xfId="0" applyNumberFormat="1"/>
    <xf numFmtId="14" fontId="0" fillId="0" borderId="80" xfId="0" applyNumberFormat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 wrapText="1"/>
    </xf>
    <xf numFmtId="166" fontId="0" fillId="0" borderId="4" xfId="0" applyNumberFormat="1" applyBorder="1" applyAlignment="1">
      <alignment horizontal="center"/>
    </xf>
    <xf numFmtId="166" fontId="0" fillId="0" borderId="37" xfId="0" applyNumberFormat="1" applyBorder="1" applyAlignment="1">
      <alignment horizontal="center"/>
    </xf>
    <xf numFmtId="166" fontId="0" fillId="0" borderId="100" xfId="0" applyNumberFormat="1" applyBorder="1" applyAlignment="1">
      <alignment horizontal="center"/>
    </xf>
    <xf numFmtId="5" fontId="120" fillId="0" borderId="0" xfId="0" applyNumberFormat="1" applyFont="1" applyProtection="1">
      <protection locked="0"/>
    </xf>
    <xf numFmtId="0" fontId="120" fillId="0" borderId="0" xfId="0" applyFont="1" applyAlignment="1" applyProtection="1">
      <alignment horizontal="left" indent="1"/>
      <protection locked="0"/>
    </xf>
    <xf numFmtId="5" fontId="120" fillId="0" borderId="0" xfId="2" applyNumberFormat="1" applyFont="1" applyBorder="1" applyProtection="1">
      <protection locked="0"/>
    </xf>
    <xf numFmtId="5" fontId="120" fillId="0" borderId="0" xfId="2" applyNumberFormat="1" applyFont="1" applyFill="1" applyBorder="1" applyProtection="1">
      <protection locked="0"/>
    </xf>
    <xf numFmtId="5" fontId="121" fillId="0" borderId="0" xfId="0" applyNumberFormat="1" applyFont="1" applyAlignment="1" applyProtection="1">
      <alignment horizontal="right"/>
      <protection locked="0"/>
    </xf>
    <xf numFmtId="166" fontId="2" fillId="6" borderId="83" xfId="0" applyNumberFormat="1" applyFont="1" applyFill="1" applyBorder="1"/>
    <xf numFmtId="0" fontId="0" fillId="0" borderId="29" xfId="0" applyBorder="1" applyAlignment="1">
      <alignment horizontal="left"/>
    </xf>
    <xf numFmtId="0" fontId="14" fillId="0" borderId="29" xfId="0" applyFont="1" applyBorder="1" applyAlignment="1">
      <alignment horizontal="left"/>
    </xf>
    <xf numFmtId="0" fontId="113" fillId="0" borderId="29" xfId="0" applyFont="1" applyBorder="1" applyAlignment="1">
      <alignment horizontal="left" indent="1"/>
    </xf>
    <xf numFmtId="5" fontId="14" fillId="0" borderId="0" xfId="0" applyNumberFormat="1" applyFont="1" applyAlignment="1">
      <alignment horizontal="right" indent="1"/>
    </xf>
    <xf numFmtId="1" fontId="0" fillId="0" borderId="0" xfId="0" applyNumberFormat="1" applyAlignment="1">
      <alignment horizontal="left" indent="2"/>
    </xf>
    <xf numFmtId="3" fontId="14" fillId="0" borderId="0" xfId="0" applyNumberFormat="1" applyFont="1" applyAlignment="1">
      <alignment horizontal="left" indent="5"/>
    </xf>
    <xf numFmtId="14" fontId="5" fillId="0" borderId="0" xfId="0" applyNumberFormat="1" applyFont="1" applyAlignment="1">
      <alignment horizontal="center"/>
    </xf>
    <xf numFmtId="166" fontId="0" fillId="0" borderId="0" xfId="3268" applyNumberFormat="1" applyFont="1" applyAlignment="1"/>
    <xf numFmtId="8" fontId="0" fillId="0" borderId="0" xfId="0" applyNumberFormat="1"/>
    <xf numFmtId="6" fontId="0" fillId="0" borderId="30" xfId="0" applyNumberFormat="1" applyBorder="1"/>
    <xf numFmtId="0" fontId="1" fillId="2" borderId="29" xfId="0" applyFont="1" applyFill="1" applyBorder="1"/>
    <xf numFmtId="0" fontId="1" fillId="2" borderId="0" xfId="0" applyFont="1" applyFill="1"/>
    <xf numFmtId="0" fontId="1" fillId="2" borderId="30" xfId="0" applyFont="1" applyFill="1" applyBorder="1"/>
    <xf numFmtId="5" fontId="0" fillId="0" borderId="29" xfId="0" applyNumberFormat="1" applyBorder="1"/>
    <xf numFmtId="5" fontId="0" fillId="0" borderId="80" xfId="0" applyNumberFormat="1" applyBorder="1"/>
    <xf numFmtId="5" fontId="0" fillId="0" borderId="82" xfId="0" applyNumberFormat="1" applyBorder="1"/>
    <xf numFmtId="232" fontId="2" fillId="0" borderId="30" xfId="0" applyNumberFormat="1" applyFont="1" applyBorder="1" applyAlignment="1">
      <alignment horizontal="right" indent="1"/>
    </xf>
    <xf numFmtId="232" fontId="0" fillId="0" borderId="30" xfId="0" applyNumberFormat="1" applyBorder="1" applyAlignment="1">
      <alignment horizontal="right" indent="1"/>
    </xf>
    <xf numFmtId="232" fontId="113" fillId="0" borderId="73" xfId="0" applyNumberFormat="1" applyFont="1" applyBorder="1" applyAlignment="1">
      <alignment horizontal="right" indent="1"/>
    </xf>
    <xf numFmtId="14" fontId="0" fillId="0" borderId="0" xfId="0" applyNumberFormat="1"/>
    <xf numFmtId="232" fontId="0" fillId="0" borderId="0" xfId="0" applyNumberFormat="1"/>
    <xf numFmtId="5" fontId="8" fillId="0" borderId="0" xfId="0" applyNumberFormat="1" applyFont="1" applyProtection="1">
      <protection locked="0"/>
    </xf>
    <xf numFmtId="5" fontId="8" fillId="0" borderId="0" xfId="0" quotePrefix="1" applyNumberFormat="1" applyFont="1" applyProtection="1">
      <protection locked="0"/>
    </xf>
    <xf numFmtId="37" fontId="5" fillId="0" borderId="0" xfId="0" applyNumberFormat="1" applyFont="1" applyAlignment="1">
      <alignment horizontal="left" indent="5"/>
    </xf>
    <xf numFmtId="167" fontId="2" fillId="0" borderId="98" xfId="0" applyNumberFormat="1" applyFont="1" applyBorder="1" applyAlignment="1">
      <alignment horizontal="right" indent="1"/>
    </xf>
    <xf numFmtId="167" fontId="2" fillId="6" borderId="85" xfId="0" applyNumberFormat="1" applyFont="1" applyFill="1" applyBorder="1" applyAlignment="1">
      <alignment horizontal="right" indent="1"/>
    </xf>
    <xf numFmtId="0" fontId="2" fillId="4" borderId="0" xfId="0" applyFont="1" applyFill="1" applyAlignment="1">
      <alignment horizontal="right" indent="1"/>
    </xf>
    <xf numFmtId="166" fontId="113" fillId="0" borderId="0" xfId="0" applyNumberFormat="1" applyFont="1" applyAlignment="1">
      <alignment horizontal="right" indent="1"/>
    </xf>
    <xf numFmtId="5" fontId="122" fillId="0" borderId="0" xfId="0" applyNumberFormat="1" applyFont="1" applyProtection="1">
      <protection locked="0"/>
    </xf>
    <xf numFmtId="0" fontId="2" fillId="4" borderId="29" xfId="0" applyFont="1" applyFill="1" applyBorder="1" applyAlignment="1">
      <alignment horizontal="right" indent="1"/>
    </xf>
    <xf numFmtId="0" fontId="2" fillId="4" borderId="30" xfId="0" applyFont="1" applyFill="1" applyBorder="1" applyAlignment="1">
      <alignment horizontal="right" indent="1"/>
    </xf>
    <xf numFmtId="7" fontId="120" fillId="0" borderId="30" xfId="2" applyNumberFormat="1" applyFont="1" applyBorder="1" applyProtection="1">
      <protection locked="0"/>
    </xf>
    <xf numFmtId="5" fontId="120" fillId="0" borderId="30" xfId="2" applyNumberFormat="1" applyFont="1" applyBorder="1" applyProtection="1">
      <protection locked="0"/>
    </xf>
    <xf numFmtId="0" fontId="113" fillId="0" borderId="29" xfId="0" applyFont="1" applyBorder="1"/>
    <xf numFmtId="5" fontId="122" fillId="0" borderId="30" xfId="0" applyNumberFormat="1" applyFont="1" applyBorder="1" applyProtection="1">
      <protection locked="0"/>
    </xf>
    <xf numFmtId="5" fontId="120" fillId="0" borderId="30" xfId="0" applyNumberFormat="1" applyFont="1" applyBorder="1" applyProtection="1">
      <protection locked="0"/>
    </xf>
    <xf numFmtId="7" fontId="120" fillId="0" borderId="30" xfId="2" applyNumberFormat="1" applyFont="1" applyFill="1" applyBorder="1" applyProtection="1">
      <protection locked="0"/>
    </xf>
    <xf numFmtId="166" fontId="0" fillId="0" borderId="29" xfId="0" applyNumberFormat="1" applyBorder="1"/>
    <xf numFmtId="166" fontId="0" fillId="0" borderId="82" xfId="0" applyNumberFormat="1" applyBorder="1"/>
    <xf numFmtId="7" fontId="120" fillId="0" borderId="81" xfId="2" applyNumberFormat="1" applyFont="1" applyBorder="1" applyProtection="1">
      <protection locked="0"/>
    </xf>
    <xf numFmtId="37" fontId="120" fillId="0" borderId="30" xfId="0" applyNumberFormat="1" applyFont="1" applyBorder="1" applyProtection="1">
      <protection locked="0"/>
    </xf>
    <xf numFmtId="7" fontId="122" fillId="0" borderId="30" xfId="2" applyNumberFormat="1" applyFont="1" applyBorder="1" applyProtection="1">
      <protection locked="0"/>
    </xf>
    <xf numFmtId="0" fontId="2" fillId="0" borderId="83" xfId="0" applyFont="1" applyBorder="1"/>
    <xf numFmtId="0" fontId="2" fillId="0" borderId="84" xfId="0" applyFont="1" applyBorder="1" applyAlignment="1">
      <alignment horizontal="center"/>
    </xf>
    <xf numFmtId="9" fontId="2" fillId="0" borderId="84" xfId="0" applyNumberFormat="1" applyFont="1" applyBorder="1" applyAlignment="1">
      <alignment horizontal="center"/>
    </xf>
    <xf numFmtId="3" fontId="2" fillId="0" borderId="84" xfId="0" applyNumberFormat="1" applyFont="1" applyBorder="1" applyAlignment="1">
      <alignment horizontal="center"/>
    </xf>
    <xf numFmtId="166" fontId="2" fillId="0" borderId="84" xfId="0" applyNumberFormat="1" applyFont="1" applyBorder="1" applyAlignment="1">
      <alignment horizontal="center"/>
    </xf>
    <xf numFmtId="167" fontId="2" fillId="0" borderId="84" xfId="0" applyNumberFormat="1" applyFont="1" applyBorder="1" applyAlignment="1">
      <alignment horizontal="center"/>
    </xf>
    <xf numFmtId="0" fontId="15" fillId="0" borderId="80" xfId="0" applyFont="1" applyBorder="1" applyAlignment="1">
      <alignment vertical="top"/>
    </xf>
    <xf numFmtId="166" fontId="0" fillId="0" borderId="0" xfId="0" applyNumberFormat="1" applyAlignment="1">
      <alignment horizontal="center"/>
    </xf>
    <xf numFmtId="0" fontId="10" fillId="0" borderId="80" xfId="0" applyFont="1" applyBorder="1"/>
    <xf numFmtId="6" fontId="11" fillId="0" borderId="82" xfId="0" applyNumberFormat="1" applyFont="1" applyBorder="1"/>
    <xf numFmtId="6" fontId="15" fillId="0" borderId="81" xfId="0" applyNumberFormat="1" applyFont="1" applyBorder="1"/>
    <xf numFmtId="232" fontId="120" fillId="0" borderId="0" xfId="2" applyNumberFormat="1" applyFont="1" applyFill="1" applyBorder="1" applyProtection="1">
      <protection locked="0"/>
    </xf>
    <xf numFmtId="14" fontId="126" fillId="0" borderId="105" xfId="0" applyNumberFormat="1" applyFont="1" applyBorder="1" applyAlignment="1">
      <alignment horizontal="center" vertical="center" wrapText="1" readingOrder="1"/>
    </xf>
    <xf numFmtId="166" fontId="2" fillId="0" borderId="85" xfId="0" applyNumberFormat="1" applyFont="1" applyBorder="1" applyAlignment="1">
      <alignment horizontal="right" indent="1"/>
    </xf>
    <xf numFmtId="226" fontId="0" fillId="0" borderId="80" xfId="0" applyNumberFormat="1" applyBorder="1" applyAlignment="1">
      <alignment horizontal="left" indent="3"/>
    </xf>
    <xf numFmtId="0" fontId="20" fillId="3" borderId="89" xfId="0" applyFont="1" applyFill="1" applyBorder="1" applyAlignment="1">
      <alignment vertical="center"/>
    </xf>
    <xf numFmtId="14" fontId="20" fillId="3" borderId="79" xfId="0" applyNumberFormat="1" applyFont="1" applyFill="1" applyBorder="1" applyAlignment="1">
      <alignment horizontal="center"/>
    </xf>
    <xf numFmtId="0" fontId="21" fillId="4" borderId="89" xfId="0" applyFont="1" applyFill="1" applyBorder="1" applyAlignment="1">
      <alignment vertical="center"/>
    </xf>
    <xf numFmtId="172" fontId="21" fillId="4" borderId="79" xfId="0" applyNumberFormat="1" applyFont="1" applyFill="1" applyBorder="1" applyAlignment="1">
      <alignment horizontal="center" vertical="center"/>
    </xf>
    <xf numFmtId="172" fontId="0" fillId="0" borderId="67" xfId="0" applyNumberFormat="1" applyBorder="1" applyAlignment="1">
      <alignment vertical="center"/>
    </xf>
    <xf numFmtId="0" fontId="1" fillId="2" borderId="76" xfId="0" applyFont="1" applyFill="1" applyBorder="1" applyAlignment="1">
      <alignment vertical="center"/>
    </xf>
    <xf numFmtId="14" fontId="1" fillId="10" borderId="76" xfId="0" applyNumberFormat="1" applyFont="1" applyFill="1" applyBorder="1" applyAlignment="1">
      <alignment horizontal="right" vertical="center" indent="1"/>
    </xf>
    <xf numFmtId="2" fontId="2" fillId="0" borderId="91" xfId="0" applyNumberFormat="1" applyFont="1" applyBorder="1" applyAlignment="1">
      <alignment horizontal="center"/>
    </xf>
    <xf numFmtId="10" fontId="126" fillId="0" borderId="113" xfId="0" applyNumberFormat="1" applyFont="1" applyBorder="1" applyAlignment="1">
      <alignment horizontal="center" vertical="center" wrapText="1" readingOrder="1"/>
    </xf>
    <xf numFmtId="10" fontId="126" fillId="0" borderId="114" xfId="0" applyNumberFormat="1" applyFont="1" applyBorder="1" applyAlignment="1">
      <alignment horizontal="center" vertical="center" wrapText="1" readingOrder="1"/>
    </xf>
    <xf numFmtId="0" fontId="123" fillId="0" borderId="119" xfId="0" applyFont="1" applyBorder="1" applyAlignment="1">
      <alignment wrapText="1"/>
    </xf>
    <xf numFmtId="14" fontId="126" fillId="0" borderId="123" xfId="0" applyNumberFormat="1" applyFont="1" applyBorder="1" applyAlignment="1">
      <alignment horizontal="center" vertical="center" wrapText="1" readingOrder="1"/>
    </xf>
    <xf numFmtId="14" fontId="126" fillId="0" borderId="124" xfId="0" applyNumberFormat="1" applyFont="1" applyBorder="1" applyAlignment="1">
      <alignment horizontal="center" vertical="center" wrapText="1" readingOrder="1"/>
    </xf>
    <xf numFmtId="10" fontId="126" fillId="0" borderId="127" xfId="0" applyNumberFormat="1" applyFont="1" applyBorder="1" applyAlignment="1">
      <alignment horizontal="center" vertical="center" wrapText="1" readingOrder="1"/>
    </xf>
    <xf numFmtId="10" fontId="126" fillId="0" borderId="125" xfId="0" applyNumberFormat="1" applyFont="1" applyBorder="1" applyAlignment="1">
      <alignment horizontal="center" vertical="center" wrapText="1" readingOrder="1"/>
    </xf>
    <xf numFmtId="10" fontId="120" fillId="0" borderId="0" xfId="2" applyNumberFormat="1" applyFont="1" applyFill="1" applyBorder="1" applyProtection="1">
      <protection locked="0"/>
    </xf>
    <xf numFmtId="166" fontId="5" fillId="48" borderId="0" xfId="0" applyNumberFormat="1" applyFont="1" applyFill="1" applyAlignment="1">
      <alignment horizontal="right" indent="1"/>
    </xf>
    <xf numFmtId="166" fontId="14" fillId="48" borderId="0" xfId="0" applyNumberFormat="1" applyFont="1" applyFill="1" applyAlignment="1">
      <alignment horizontal="right" indent="1"/>
    </xf>
    <xf numFmtId="0" fontId="2" fillId="0" borderId="0" xfId="0" applyFont="1" applyAlignment="1">
      <alignment horizontal="right" indent="1"/>
    </xf>
    <xf numFmtId="167" fontId="14" fillId="0" borderId="0" xfId="0" applyNumberFormat="1" applyFont="1" applyAlignment="1">
      <alignment horizontal="right" indent="1"/>
    </xf>
    <xf numFmtId="167" fontId="2" fillId="0" borderId="0" xfId="0" applyNumberFormat="1" applyFont="1" applyAlignment="1">
      <alignment horizontal="right" indent="1"/>
    </xf>
    <xf numFmtId="167" fontId="17" fillId="0" borderId="0" xfId="0" applyNumberFormat="1" applyFont="1" applyAlignment="1">
      <alignment horizontal="right" indent="1"/>
    </xf>
    <xf numFmtId="167" fontId="0" fillId="0" borderId="0" xfId="0" applyNumberFormat="1"/>
    <xf numFmtId="231" fontId="0" fillId="0" borderId="0" xfId="0" applyNumberFormat="1"/>
    <xf numFmtId="179" fontId="0" fillId="0" borderId="0" xfId="0" applyNumberFormat="1"/>
    <xf numFmtId="5" fontId="113" fillId="0" borderId="28" xfId="0" applyNumberFormat="1" applyFont="1" applyBorder="1"/>
    <xf numFmtId="236" fontId="113" fillId="0" borderId="30" xfId="0" applyNumberFormat="1" applyFont="1" applyBorder="1"/>
    <xf numFmtId="0" fontId="1" fillId="2" borderId="80" xfId="0" applyFont="1" applyFill="1" applyBorder="1"/>
    <xf numFmtId="233" fontId="0" fillId="0" borderId="81" xfId="0" applyNumberFormat="1" applyBorder="1"/>
    <xf numFmtId="0" fontId="3" fillId="2" borderId="26" xfId="0" applyFont="1" applyFill="1" applyBorder="1"/>
    <xf numFmtId="0" fontId="3" fillId="2" borderId="29" xfId="0" applyFont="1" applyFill="1" applyBorder="1"/>
    <xf numFmtId="0" fontId="3" fillId="2" borderId="0" xfId="0" applyFont="1" applyFill="1"/>
    <xf numFmtId="0" fontId="3" fillId="2" borderId="30" xfId="0" applyFont="1" applyFill="1" applyBorder="1"/>
    <xf numFmtId="0" fontId="0" fillId="49" borderId="29" xfId="0" applyFill="1" applyBorder="1"/>
    <xf numFmtId="9" fontId="113" fillId="49" borderId="0" xfId="0" applyNumberFormat="1" applyFont="1" applyFill="1"/>
    <xf numFmtId="9" fontId="113" fillId="49" borderId="30" xfId="0" applyNumberFormat="1" applyFont="1" applyFill="1" applyBorder="1"/>
    <xf numFmtId="10" fontId="0" fillId="0" borderId="30" xfId="0" applyNumberFormat="1" applyBorder="1"/>
    <xf numFmtId="5" fontId="0" fillId="0" borderId="30" xfId="0" applyNumberFormat="1" applyBorder="1"/>
    <xf numFmtId="5" fontId="2" fillId="0" borderId="0" xfId="0" applyNumberFormat="1" applyFont="1"/>
    <xf numFmtId="5" fontId="2" fillId="0" borderId="30" xfId="0" applyNumberFormat="1" applyFont="1" applyBorder="1"/>
    <xf numFmtId="5" fontId="0" fillId="0" borderId="81" xfId="0" applyNumberFormat="1" applyBorder="1"/>
    <xf numFmtId="235" fontId="113" fillId="0" borderId="28" xfId="0" applyNumberFormat="1" applyFont="1" applyBorder="1"/>
    <xf numFmtId="235" fontId="113" fillId="0" borderId="30" xfId="0" applyNumberFormat="1" applyFont="1" applyBorder="1"/>
    <xf numFmtId="232" fontId="0" fillId="0" borderId="81" xfId="0" applyNumberFormat="1" applyBorder="1"/>
    <xf numFmtId="166" fontId="108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231" fontId="17" fillId="0" borderId="0" xfId="0" applyNumberFormat="1" applyFont="1" applyAlignment="1">
      <alignment horizontal="right" indent="1"/>
    </xf>
    <xf numFmtId="5" fontId="113" fillId="0" borderId="0" xfId="0" applyNumberFormat="1" applyFont="1"/>
    <xf numFmtId="166" fontId="0" fillId="0" borderId="82" xfId="0" applyNumberFormat="1" applyBorder="1" applyAlignment="1">
      <alignment horizontal="left" vertical="center" indent="7"/>
    </xf>
    <xf numFmtId="166" fontId="0" fillId="0" borderId="82" xfId="0" applyNumberFormat="1" applyBorder="1" applyAlignment="1">
      <alignment horizontal="left" vertical="center" indent="2"/>
    </xf>
    <xf numFmtId="167" fontId="5" fillId="0" borderId="0" xfId="0" applyNumberFormat="1" applyFont="1" applyAlignment="1">
      <alignment horizontal="right" indent="1"/>
    </xf>
    <xf numFmtId="10" fontId="2" fillId="12" borderId="7" xfId="0" applyNumberFormat="1" applyFont="1" applyFill="1" applyBorder="1" applyAlignment="1">
      <alignment vertical="center"/>
    </xf>
    <xf numFmtId="237" fontId="12" fillId="0" borderId="29" xfId="0" applyNumberFormat="1" applyFont="1" applyBorder="1" applyAlignment="1">
      <alignment horizontal="left" indent="2"/>
    </xf>
    <xf numFmtId="238" fontId="19" fillId="0" borderId="29" xfId="0" applyNumberFormat="1" applyFont="1" applyBorder="1" applyAlignment="1">
      <alignment horizontal="left" indent="2"/>
    </xf>
    <xf numFmtId="239" fontId="17" fillId="3" borderId="43" xfId="14" applyNumberFormat="1" applyFont="1" applyFill="1" applyBorder="1" applyAlignment="1">
      <alignment horizontal="left"/>
    </xf>
    <xf numFmtId="239" fontId="17" fillId="3" borderId="83" xfId="14" applyNumberFormat="1" applyFont="1" applyFill="1" applyBorder="1" applyAlignment="1">
      <alignment horizontal="left"/>
    </xf>
    <xf numFmtId="239" fontId="17" fillId="3" borderId="78" xfId="14" applyNumberFormat="1" applyFont="1" applyFill="1" applyBorder="1" applyAlignment="1">
      <alignment horizontal="left"/>
    </xf>
    <xf numFmtId="240" fontId="17" fillId="0" borderId="29" xfId="13" applyNumberFormat="1" applyFont="1" applyBorder="1" applyAlignment="1">
      <alignment horizontal="left"/>
    </xf>
    <xf numFmtId="241" fontId="5" fillId="0" borderId="30" xfId="0" applyNumberFormat="1" applyFont="1" applyBorder="1" applyAlignment="1">
      <alignment horizontal="left"/>
    </xf>
    <xf numFmtId="241" fontId="0" fillId="0" borderId="0" xfId="0" applyNumberFormat="1"/>
    <xf numFmtId="3" fontId="0" fillId="0" borderId="0" xfId="0" applyNumberFormat="1"/>
    <xf numFmtId="5" fontId="0" fillId="50" borderId="0" xfId="0" applyNumberFormat="1" applyFill="1" applyAlignment="1">
      <alignment horizontal="right"/>
    </xf>
    <xf numFmtId="241" fontId="14" fillId="0" borderId="0" xfId="0" applyNumberFormat="1" applyFont="1" applyAlignment="1">
      <alignment horizontal="left" indent="1"/>
    </xf>
    <xf numFmtId="241" fontId="2" fillId="0" borderId="0" xfId="5" applyNumberFormat="1" applyFont="1" applyAlignment="1">
      <alignment horizontal="center"/>
    </xf>
    <xf numFmtId="241" fontId="22" fillId="0" borderId="0" xfId="3266" applyNumberFormat="1" applyFont="1" applyAlignment="1">
      <alignment horizontal="center"/>
    </xf>
    <xf numFmtId="241" fontId="22" fillId="0" borderId="0" xfId="5" applyNumberFormat="1" applyAlignment="1">
      <alignment horizontal="right"/>
    </xf>
    <xf numFmtId="241" fontId="2" fillId="0" borderId="0" xfId="5" applyNumberFormat="1" applyFont="1"/>
    <xf numFmtId="241" fontId="0" fillId="0" borderId="76" xfId="0" applyNumberFormat="1" applyBorder="1" applyAlignment="1">
      <alignment horizontal="left" vertical="center" indent="2"/>
    </xf>
    <xf numFmtId="241" fontId="0" fillId="0" borderId="87" xfId="0" applyNumberFormat="1" applyBorder="1" applyAlignment="1">
      <alignment horizontal="left" vertical="center" indent="2"/>
    </xf>
    <xf numFmtId="14" fontId="0" fillId="51" borderId="78" xfId="0" applyNumberFormat="1" applyFill="1" applyBorder="1" applyAlignment="1">
      <alignment horizontal="center" vertical="center"/>
    </xf>
    <xf numFmtId="166" fontId="0" fillId="51" borderId="76" xfId="0" applyNumberFormat="1" applyFill="1" applyBorder="1" applyAlignment="1">
      <alignment horizontal="left" vertical="center" indent="7"/>
    </xf>
    <xf numFmtId="241" fontId="0" fillId="51" borderId="76" xfId="0" applyNumberFormat="1" applyFill="1" applyBorder="1" applyAlignment="1">
      <alignment horizontal="left" vertical="center" indent="2"/>
    </xf>
    <xf numFmtId="2" fontId="0" fillId="0" borderId="82" xfId="0" applyNumberFormat="1" applyBorder="1" applyAlignment="1">
      <alignment horizontal="left" vertical="center" indent="5"/>
    </xf>
    <xf numFmtId="2" fontId="0" fillId="0" borderId="81" xfId="0" applyNumberFormat="1" applyBorder="1" applyAlignment="1">
      <alignment horizontal="left" vertical="center" indent="5"/>
    </xf>
    <xf numFmtId="5" fontId="2" fillId="0" borderId="87" xfId="0" applyNumberFormat="1" applyFont="1" applyBorder="1" applyAlignment="1">
      <alignment horizontal="right" indent="6"/>
    </xf>
    <xf numFmtId="5" fontId="2" fillId="0" borderId="88" xfId="0" applyNumberFormat="1" applyFont="1" applyBorder="1" applyAlignment="1">
      <alignment horizontal="right" indent="6"/>
    </xf>
    <xf numFmtId="5" fontId="0" fillId="0" borderId="7" xfId="0" applyNumberFormat="1" applyBorder="1" applyAlignment="1">
      <alignment horizontal="right" indent="6"/>
    </xf>
    <xf numFmtId="5" fontId="0" fillId="0" borderId="15" xfId="0" applyNumberFormat="1" applyBorder="1" applyAlignment="1">
      <alignment horizontal="right" indent="6"/>
    </xf>
    <xf numFmtId="5" fontId="14" fillId="0" borderId="0" xfId="0" applyNumberFormat="1" applyFont="1" applyAlignment="1">
      <alignment horizontal="right" indent="6"/>
    </xf>
    <xf numFmtId="5" fontId="14" fillId="0" borderId="30" xfId="0" applyNumberFormat="1" applyFont="1" applyBorder="1" applyAlignment="1">
      <alignment horizontal="right" indent="6"/>
    </xf>
    <xf numFmtId="10" fontId="10" fillId="0" borderId="55" xfId="0" applyNumberFormat="1" applyFont="1" applyBorder="1" applyAlignment="1">
      <alignment horizontal="center" vertical="center"/>
    </xf>
    <xf numFmtId="2" fontId="0" fillId="0" borderId="76" xfId="0" applyNumberFormat="1" applyBorder="1" applyAlignment="1">
      <alignment horizontal="left" vertical="center" indent="5"/>
    </xf>
    <xf numFmtId="2" fontId="0" fillId="51" borderId="76" xfId="0" applyNumberFormat="1" applyFill="1" applyBorder="1" applyAlignment="1">
      <alignment horizontal="left" vertical="center" indent="5"/>
    </xf>
    <xf numFmtId="0" fontId="23" fillId="4" borderId="4" xfId="0" applyFont="1" applyFill="1" applyBorder="1" applyAlignment="1">
      <alignment horizontal="left" vertical="center" indent="10"/>
    </xf>
    <xf numFmtId="0" fontId="23" fillId="4" borderId="0" xfId="0" applyFont="1" applyFill="1" applyAlignment="1">
      <alignment horizontal="left" vertical="center" indent="10"/>
    </xf>
    <xf numFmtId="10" fontId="0" fillId="0" borderId="89" xfId="0" applyNumberFormat="1" applyBorder="1" applyAlignment="1">
      <alignment horizontal="left" vertical="center" indent="9"/>
    </xf>
    <xf numFmtId="10" fontId="0" fillId="0" borderId="76" xfId="0" applyNumberFormat="1" applyBorder="1" applyAlignment="1">
      <alignment horizontal="left" vertical="center" indent="9"/>
    </xf>
    <xf numFmtId="10" fontId="0" fillId="51" borderId="89" xfId="0" applyNumberFormat="1" applyFill="1" applyBorder="1" applyAlignment="1">
      <alignment horizontal="left" vertical="center" indent="9"/>
    </xf>
    <xf numFmtId="10" fontId="0" fillId="51" borderId="76" xfId="0" applyNumberFormat="1" applyFill="1" applyBorder="1" applyAlignment="1">
      <alignment horizontal="left" vertical="center" indent="9"/>
    </xf>
    <xf numFmtId="10" fontId="0" fillId="0" borderId="90" xfId="0" applyNumberFormat="1" applyBorder="1" applyAlignment="1">
      <alignment horizontal="left" vertical="center" indent="9"/>
    </xf>
    <xf numFmtId="10" fontId="0" fillId="0" borderId="87" xfId="0" applyNumberFormat="1" applyBorder="1" applyAlignment="1">
      <alignment horizontal="left" vertical="center" indent="9"/>
    </xf>
    <xf numFmtId="10" fontId="0" fillId="0" borderId="37" xfId="0" applyNumberFormat="1" applyBorder="1" applyAlignment="1">
      <alignment horizontal="left" vertical="center" indent="9"/>
    </xf>
    <xf numFmtId="10" fontId="0" fillId="0" borderId="67" xfId="0" applyNumberFormat="1" applyBorder="1" applyAlignment="1">
      <alignment horizontal="left" vertical="center" indent="9"/>
    </xf>
    <xf numFmtId="0" fontId="23" fillId="7" borderId="129" xfId="0" applyFont="1" applyFill="1" applyBorder="1" applyAlignment="1">
      <alignment horizontal="center" vertical="center"/>
    </xf>
    <xf numFmtId="0" fontId="23" fillId="7" borderId="7" xfId="0" applyFont="1" applyFill="1" applyBorder="1" applyAlignment="1">
      <alignment horizontal="center" vertical="center"/>
    </xf>
    <xf numFmtId="0" fontId="23" fillId="7" borderId="98" xfId="0" applyFont="1" applyFill="1" applyBorder="1" applyAlignment="1">
      <alignment horizontal="center" vertical="center"/>
    </xf>
    <xf numFmtId="2" fontId="0" fillId="0" borderId="77" xfId="0" applyNumberFormat="1" applyBorder="1" applyAlignment="1">
      <alignment horizontal="left" vertical="center" indent="5"/>
    </xf>
    <xf numFmtId="2" fontId="0" fillId="51" borderId="77" xfId="0" applyNumberFormat="1" applyFill="1" applyBorder="1" applyAlignment="1">
      <alignment horizontal="left" vertical="center" indent="5"/>
    </xf>
    <xf numFmtId="0" fontId="23" fillId="4" borderId="67" xfId="0" applyFont="1" applyFill="1" applyBorder="1" applyAlignment="1">
      <alignment horizontal="left" vertical="center" indent="3"/>
    </xf>
    <xf numFmtId="0" fontId="23" fillId="4" borderId="73" xfId="0" applyFont="1" applyFill="1" applyBorder="1" applyAlignment="1">
      <alignment horizontal="left" vertical="center" indent="3"/>
    </xf>
    <xf numFmtId="171" fontId="10" fillId="4" borderId="67" xfId="0" applyNumberFormat="1" applyFont="1" applyFill="1" applyBorder="1" applyAlignment="1">
      <alignment horizontal="right" vertical="center" indent="6"/>
    </xf>
    <xf numFmtId="241" fontId="14" fillId="0" borderId="0" xfId="0" applyNumberFormat="1" applyFont="1" applyAlignment="1">
      <alignment horizontal="center"/>
    </xf>
    <xf numFmtId="241" fontId="14" fillId="0" borderId="30" xfId="0" applyNumberFormat="1" applyFont="1" applyBorder="1" applyAlignment="1">
      <alignment horizontal="center"/>
    </xf>
    <xf numFmtId="10" fontId="5" fillId="0" borderId="76" xfId="0" applyNumberFormat="1" applyFont="1" applyBorder="1" applyAlignment="1">
      <alignment horizontal="right" indent="6"/>
    </xf>
    <xf numFmtId="10" fontId="5" fillId="0" borderId="77" xfId="0" applyNumberFormat="1" applyFont="1" applyBorder="1" applyAlignment="1">
      <alignment horizontal="right" indent="6"/>
    </xf>
    <xf numFmtId="2" fontId="0" fillId="0" borderId="87" xfId="0" applyNumberFormat="1" applyBorder="1" applyAlignment="1">
      <alignment horizontal="left" vertical="center" indent="5"/>
    </xf>
    <xf numFmtId="2" fontId="0" fillId="0" borderId="88" xfId="0" applyNumberFormat="1" applyBorder="1" applyAlignment="1">
      <alignment horizontal="left" vertical="center" indent="5"/>
    </xf>
    <xf numFmtId="5" fontId="2" fillId="0" borderId="23" xfId="0" applyNumberFormat="1" applyFont="1" applyBorder="1" applyAlignment="1">
      <alignment horizontal="right" indent="6"/>
    </xf>
    <xf numFmtId="10" fontId="2" fillId="0" borderId="7" xfId="0" applyNumberFormat="1" applyFont="1" applyBorder="1" applyAlignment="1">
      <alignment horizontal="left" indent="8"/>
    </xf>
    <xf numFmtId="10" fontId="2" fillId="0" borderId="98" xfId="0" applyNumberFormat="1" applyFont="1" applyBorder="1" applyAlignment="1">
      <alignment horizontal="left" indent="8"/>
    </xf>
    <xf numFmtId="166" fontId="0" fillId="0" borderId="87" xfId="0" applyNumberFormat="1" applyBorder="1" applyAlignment="1">
      <alignment horizontal="center" vertical="center"/>
    </xf>
    <xf numFmtId="166" fontId="0" fillId="0" borderId="88" xfId="0" applyNumberFormat="1" applyBorder="1" applyAlignment="1">
      <alignment horizontal="center" vertical="center"/>
    </xf>
    <xf numFmtId="241" fontId="23" fillId="4" borderId="7" xfId="0" applyNumberFormat="1" applyFont="1" applyFill="1" applyBorder="1" applyAlignment="1">
      <alignment horizontal="left" vertical="center" indent="2"/>
    </xf>
    <xf numFmtId="241" fontId="23" fillId="4" borderId="67" xfId="0" applyNumberFormat="1" applyFont="1" applyFill="1" applyBorder="1" applyAlignment="1">
      <alignment horizontal="left" vertical="center" indent="2"/>
    </xf>
    <xf numFmtId="0" fontId="23" fillId="4" borderId="7" xfId="0" applyFont="1" applyFill="1" applyBorder="1" applyAlignment="1">
      <alignment horizontal="left" vertical="center" indent="6"/>
    </xf>
    <xf numFmtId="0" fontId="23" fillId="4" borderId="67" xfId="0" applyFont="1" applyFill="1" applyBorder="1" applyAlignment="1">
      <alignment horizontal="left" vertical="center" indent="6"/>
    </xf>
    <xf numFmtId="14" fontId="17" fillId="4" borderId="7" xfId="0" applyNumberFormat="1" applyFont="1" applyFill="1" applyBorder="1" applyAlignment="1">
      <alignment horizontal="right" indent="6"/>
    </xf>
    <xf numFmtId="5" fontId="2" fillId="0" borderId="84" xfId="0" applyNumberFormat="1" applyFont="1" applyBorder="1" applyAlignment="1">
      <alignment horizontal="center"/>
    </xf>
    <xf numFmtId="5" fontId="2" fillId="0" borderId="85" xfId="0" applyNumberFormat="1" applyFont="1" applyBorder="1" applyAlignment="1">
      <alignment horizontal="center"/>
    </xf>
    <xf numFmtId="10" fontId="10" fillId="0" borderId="72" xfId="0" applyNumberFormat="1" applyFont="1" applyBorder="1" applyAlignment="1">
      <alignment horizontal="center" vertical="center"/>
    </xf>
    <xf numFmtId="10" fontId="10" fillId="0" borderId="95" xfId="0" applyNumberFormat="1" applyFont="1" applyBorder="1" applyAlignment="1">
      <alignment horizontal="center" vertical="center"/>
    </xf>
    <xf numFmtId="10" fontId="10" fillId="0" borderId="67" xfId="0" applyNumberFormat="1" applyFont="1" applyBorder="1" applyAlignment="1">
      <alignment horizontal="center" vertical="center"/>
    </xf>
    <xf numFmtId="10" fontId="10" fillId="0" borderId="73" xfId="0" applyNumberFormat="1" applyFont="1" applyBorder="1" applyAlignment="1">
      <alignment horizontal="center" vertical="center"/>
    </xf>
    <xf numFmtId="14" fontId="17" fillId="4" borderId="15" xfId="0" applyNumberFormat="1" applyFont="1" applyFill="1" applyBorder="1" applyAlignment="1">
      <alignment horizontal="right" indent="6"/>
    </xf>
    <xf numFmtId="171" fontId="10" fillId="4" borderId="73" xfId="0" applyNumberFormat="1" applyFont="1" applyFill="1" applyBorder="1" applyAlignment="1">
      <alignment horizontal="right" vertical="center" indent="6"/>
    </xf>
    <xf numFmtId="5" fontId="14" fillId="0" borderId="0" xfId="0" applyNumberFormat="1" applyFont="1" applyAlignment="1">
      <alignment horizontal="center"/>
    </xf>
    <xf numFmtId="10" fontId="10" fillId="0" borderId="0" xfId="0" applyNumberFormat="1" applyFont="1" applyAlignment="1">
      <alignment horizontal="center" vertical="center"/>
    </xf>
    <xf numFmtId="5" fontId="2" fillId="0" borderId="7" xfId="0" applyNumberFormat="1" applyFont="1" applyBorder="1" applyAlignment="1">
      <alignment horizontal="center"/>
    </xf>
    <xf numFmtId="10" fontId="5" fillId="0" borderId="67" xfId="0" applyNumberFormat="1" applyFont="1" applyBorder="1" applyAlignment="1">
      <alignment horizontal="left" indent="8"/>
    </xf>
    <xf numFmtId="10" fontId="5" fillId="0" borderId="73" xfId="0" applyNumberFormat="1" applyFont="1" applyBorder="1" applyAlignment="1">
      <alignment horizontal="left" indent="8"/>
    </xf>
    <xf numFmtId="10" fontId="11" fillId="0" borderId="0" xfId="0" applyNumberFormat="1" applyFont="1" applyAlignment="1">
      <alignment horizontal="center" vertical="center"/>
    </xf>
    <xf numFmtId="5" fontId="14" fillId="0" borderId="67" xfId="0" applyNumberFormat="1" applyFont="1" applyBorder="1" applyAlignment="1">
      <alignment horizontal="right" indent="6"/>
    </xf>
    <xf numFmtId="232" fontId="0" fillId="0" borderId="0" xfId="0" applyNumberFormat="1" applyAlignment="1">
      <alignment horizontal="left" indent="8"/>
    </xf>
    <xf numFmtId="232" fontId="0" fillId="0" borderId="30" xfId="0" applyNumberFormat="1" applyBorder="1" applyAlignment="1">
      <alignment horizontal="left" indent="8"/>
    </xf>
    <xf numFmtId="5" fontId="2" fillId="0" borderId="8" xfId="0" applyNumberFormat="1" applyFont="1" applyBorder="1" applyAlignment="1">
      <alignment horizontal="center"/>
    </xf>
    <xf numFmtId="14" fontId="112" fillId="4" borderId="7" xfId="0" applyNumberFormat="1" applyFont="1" applyFill="1" applyBorder="1" applyAlignment="1">
      <alignment horizontal="right" indent="6"/>
    </xf>
    <xf numFmtId="171" fontId="10" fillId="4" borderId="24" xfId="0" applyNumberFormat="1" applyFont="1" applyFill="1" applyBorder="1" applyAlignment="1">
      <alignment horizontal="right" vertical="center" indent="6"/>
    </xf>
    <xf numFmtId="7" fontId="0" fillId="0" borderId="7" xfId="0" applyNumberFormat="1" applyBorder="1" applyAlignment="1">
      <alignment horizontal="right" indent="6"/>
    </xf>
    <xf numFmtId="10" fontId="14" fillId="0" borderId="0" xfId="0" applyNumberFormat="1" applyFont="1" applyAlignment="1">
      <alignment horizontal="center"/>
    </xf>
    <xf numFmtId="10" fontId="5" fillId="0" borderId="0" xfId="0" applyNumberFormat="1" applyFont="1" applyAlignment="1">
      <alignment horizontal="center"/>
    </xf>
    <xf numFmtId="10" fontId="113" fillId="0" borderId="0" xfId="0" applyNumberFormat="1" applyFont="1" applyAlignment="1">
      <alignment horizontal="center"/>
    </xf>
    <xf numFmtId="170" fontId="10" fillId="4" borderId="24" xfId="0" applyNumberFormat="1" applyFont="1" applyFill="1" applyBorder="1" applyAlignment="1">
      <alignment horizontal="center" vertical="center"/>
    </xf>
    <xf numFmtId="169" fontId="2" fillId="4" borderId="0" xfId="0" applyNumberFormat="1" applyFont="1" applyFill="1" applyAlignment="1">
      <alignment horizontal="center"/>
    </xf>
    <xf numFmtId="174" fontId="5" fillId="0" borderId="82" xfId="0" applyNumberFormat="1" applyFont="1" applyBorder="1" applyAlignment="1">
      <alignment horizontal="center"/>
    </xf>
    <xf numFmtId="169" fontId="2" fillId="4" borderId="76" xfId="0" applyNumberFormat="1" applyFont="1" applyFill="1" applyBorder="1" applyAlignment="1">
      <alignment horizontal="right" indent="6"/>
    </xf>
    <xf numFmtId="5" fontId="14" fillId="0" borderId="24" xfId="0" applyNumberFormat="1" applyFont="1" applyBorder="1" applyAlignment="1">
      <alignment horizontal="center"/>
    </xf>
    <xf numFmtId="5" fontId="14" fillId="0" borderId="67" xfId="0" applyNumberFormat="1" applyFont="1" applyBorder="1" applyAlignment="1">
      <alignment horizontal="center"/>
    </xf>
    <xf numFmtId="5" fontId="0" fillId="0" borderId="0" xfId="0" applyNumberFormat="1" applyAlignment="1">
      <alignment horizontal="center"/>
    </xf>
    <xf numFmtId="5" fontId="2" fillId="0" borderId="15" xfId="0" applyNumberFormat="1" applyFont="1" applyBorder="1" applyAlignment="1">
      <alignment horizontal="center"/>
    </xf>
    <xf numFmtId="10" fontId="10" fillId="0" borderId="30" xfId="0" applyNumberFormat="1" applyFont="1" applyBorder="1" applyAlignment="1">
      <alignment horizontal="center" vertical="center"/>
    </xf>
    <xf numFmtId="5" fontId="14" fillId="0" borderId="30" xfId="0" applyNumberFormat="1" applyFont="1" applyBorder="1" applyAlignment="1">
      <alignment horizontal="center"/>
    </xf>
    <xf numFmtId="174" fontId="14" fillId="0" borderId="82" xfId="0" applyNumberFormat="1" applyFont="1" applyBorder="1" applyAlignment="1">
      <alignment horizontal="center"/>
    </xf>
    <xf numFmtId="5" fontId="14" fillId="0" borderId="73" xfId="0" applyNumberFormat="1" applyFont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5" fillId="0" borderId="93" xfId="0" applyFont="1" applyBorder="1" applyAlignment="1">
      <alignment horizontal="center"/>
    </xf>
    <xf numFmtId="0" fontId="5" fillId="0" borderId="94" xfId="0" applyFont="1" applyBorder="1" applyAlignment="1">
      <alignment horizontal="center"/>
    </xf>
    <xf numFmtId="10" fontId="14" fillId="0" borderId="30" xfId="0" applyNumberFormat="1" applyFont="1" applyBorder="1" applyAlignment="1">
      <alignment horizontal="center"/>
    </xf>
    <xf numFmtId="174" fontId="14" fillId="0" borderId="81" xfId="0" applyNumberFormat="1" applyFont="1" applyBorder="1" applyAlignment="1">
      <alignment horizontal="center"/>
    </xf>
    <xf numFmtId="169" fontId="2" fillId="4" borderId="77" xfId="0" applyNumberFormat="1" applyFont="1" applyFill="1" applyBorder="1" applyAlignment="1">
      <alignment horizontal="right" indent="6"/>
    </xf>
    <xf numFmtId="5" fontId="0" fillId="0" borderId="30" xfId="0" applyNumberFormat="1" applyBorder="1" applyAlignment="1">
      <alignment horizontal="center"/>
    </xf>
    <xf numFmtId="169" fontId="2" fillId="4" borderId="30" xfId="0" applyNumberFormat="1" applyFont="1" applyFill="1" applyBorder="1" applyAlignment="1">
      <alignment horizontal="center"/>
    </xf>
    <xf numFmtId="170" fontId="10" fillId="4" borderId="73" xfId="0" applyNumberFormat="1" applyFont="1" applyFill="1" applyBorder="1" applyAlignment="1">
      <alignment horizontal="center" vertical="center"/>
    </xf>
    <xf numFmtId="10" fontId="5" fillId="0" borderId="30" xfId="0" applyNumberFormat="1" applyFont="1" applyBorder="1" applyAlignment="1">
      <alignment horizontal="center"/>
    </xf>
    <xf numFmtId="172" fontId="0" fillId="0" borderId="87" xfId="0" applyNumberFormat="1" applyBorder="1" applyAlignment="1">
      <alignment horizontal="center" vertical="center"/>
    </xf>
    <xf numFmtId="172" fontId="0" fillId="0" borderId="76" xfId="0" applyNumberFormat="1" applyBorder="1" applyAlignment="1">
      <alignment horizontal="center" vertical="center"/>
    </xf>
    <xf numFmtId="172" fontId="0" fillId="51" borderId="76" xfId="0" applyNumberFormat="1" applyFill="1" applyBorder="1" applyAlignment="1">
      <alignment horizontal="center" vertical="center"/>
    </xf>
    <xf numFmtId="0" fontId="23" fillId="4" borderId="130" xfId="0" applyFont="1" applyFill="1" applyBorder="1" applyAlignment="1">
      <alignment horizontal="center" vertical="center"/>
    </xf>
    <xf numFmtId="0" fontId="23" fillId="4" borderId="36" xfId="0" applyFont="1" applyFill="1" applyBorder="1" applyAlignment="1">
      <alignment horizontal="center" vertical="center"/>
    </xf>
    <xf numFmtId="166" fontId="0" fillId="0" borderId="82" xfId="0" applyNumberFormat="1" applyBorder="1" applyAlignment="1">
      <alignment horizontal="center" vertical="center"/>
    </xf>
    <xf numFmtId="166" fontId="0" fillId="0" borderId="81" xfId="0" applyNumberFormat="1" applyBorder="1" applyAlignment="1">
      <alignment horizontal="center" vertical="center"/>
    </xf>
    <xf numFmtId="166" fontId="0" fillId="51" borderId="76" xfId="0" applyNumberFormat="1" applyFill="1" applyBorder="1" applyAlignment="1">
      <alignment horizontal="center" vertical="center"/>
    </xf>
    <xf numFmtId="166" fontId="0" fillId="51" borderId="77" xfId="0" applyNumberFormat="1" applyFill="1" applyBorder="1" applyAlignment="1">
      <alignment horizontal="center" vertical="center"/>
    </xf>
    <xf numFmtId="166" fontId="0" fillId="0" borderId="76" xfId="0" applyNumberFormat="1" applyBorder="1" applyAlignment="1">
      <alignment horizontal="center" vertical="center"/>
    </xf>
    <xf numFmtId="166" fontId="0" fillId="0" borderId="77" xfId="0" applyNumberFormat="1" applyBorder="1" applyAlignment="1">
      <alignment horizontal="center" vertical="center"/>
    </xf>
    <xf numFmtId="0" fontId="23" fillId="4" borderId="7" xfId="0" applyFont="1" applyFill="1" applyBorder="1" applyAlignment="1">
      <alignment horizontal="center" vertical="center"/>
    </xf>
    <xf numFmtId="0" fontId="23" fillId="4" borderId="98" xfId="0" applyFont="1" applyFill="1" applyBorder="1" applyAlignment="1">
      <alignment horizontal="center" vertical="center"/>
    </xf>
    <xf numFmtId="0" fontId="23" fillId="4" borderId="67" xfId="0" applyFont="1" applyFill="1" applyBorder="1" applyAlignment="1">
      <alignment horizontal="center" vertical="center"/>
    </xf>
    <xf numFmtId="0" fontId="23" fillId="4" borderId="73" xfId="0" applyFont="1" applyFill="1" applyBorder="1" applyAlignment="1">
      <alignment horizontal="center" vertical="center"/>
    </xf>
    <xf numFmtId="172" fontId="0" fillId="0" borderId="82" xfId="0" applyNumberFormat="1" applyBorder="1" applyAlignment="1">
      <alignment horizontal="center" vertical="center"/>
    </xf>
    <xf numFmtId="0" fontId="23" fillId="4" borderId="0" xfId="0" applyFont="1" applyFill="1" applyAlignment="1">
      <alignment horizontal="left" vertical="center" indent="9"/>
    </xf>
    <xf numFmtId="10" fontId="0" fillId="0" borderId="82" xfId="0" applyNumberFormat="1" applyBorder="1" applyAlignment="1">
      <alignment horizontal="left" vertical="center" indent="9"/>
    </xf>
    <xf numFmtId="0" fontId="23" fillId="3" borderId="7" xfId="0" applyFont="1" applyFill="1" applyBorder="1" applyAlignment="1">
      <alignment horizontal="center" vertical="center"/>
    </xf>
    <xf numFmtId="0" fontId="23" fillId="4" borderId="0" xfId="0" applyFont="1" applyFill="1" applyAlignment="1">
      <alignment horizontal="left" vertical="center" indent="3"/>
    </xf>
    <xf numFmtId="234" fontId="14" fillId="0" borderId="36" xfId="0" applyNumberFormat="1" applyFont="1" applyBorder="1" applyAlignment="1">
      <alignment horizontal="left" indent="1"/>
    </xf>
    <xf numFmtId="234" fontId="14" fillId="0" borderId="67" xfId="0" applyNumberFormat="1" applyFont="1" applyBorder="1" applyAlignment="1">
      <alignment horizontal="left" indent="1"/>
    </xf>
    <xf numFmtId="0" fontId="1" fillId="2" borderId="26" xfId="0" applyFont="1" applyFill="1" applyBorder="1" applyAlignment="1">
      <alignment horizontal="center" vertical="center"/>
    </xf>
    <xf numFmtId="0" fontId="1" fillId="2" borderId="27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19" fillId="12" borderId="29" xfId="0" applyFont="1" applyFill="1" applyBorder="1" applyAlignment="1">
      <alignment horizontal="center" vertical="center" wrapText="1"/>
    </xf>
    <xf numFmtId="0" fontId="119" fillId="12" borderId="80" xfId="0" applyFont="1" applyFill="1" applyBorder="1" applyAlignment="1">
      <alignment horizontal="center" vertical="center" wrapText="1"/>
    </xf>
    <xf numFmtId="0" fontId="119" fillId="12" borderId="0" xfId="0" applyFont="1" applyFill="1" applyAlignment="1">
      <alignment horizontal="center" vertical="center"/>
    </xf>
    <xf numFmtId="0" fontId="119" fillId="12" borderId="30" xfId="0" applyFont="1" applyFill="1" applyBorder="1" applyAlignment="1">
      <alignment horizontal="center" vertical="center"/>
    </xf>
    <xf numFmtId="229" fontId="17" fillId="3" borderId="74" xfId="0" applyNumberFormat="1" applyFont="1" applyFill="1" applyBorder="1" applyAlignment="1">
      <alignment horizontal="left" vertical="center"/>
    </xf>
    <xf numFmtId="229" fontId="17" fillId="3" borderId="57" xfId="0" applyNumberFormat="1" applyFont="1" applyFill="1" applyBorder="1" applyAlignment="1">
      <alignment horizontal="left" vertical="center"/>
    </xf>
    <xf numFmtId="230" fontId="17" fillId="3" borderId="57" xfId="0" applyNumberFormat="1" applyFont="1" applyFill="1" applyBorder="1" applyAlignment="1">
      <alignment vertical="center"/>
    </xf>
    <xf numFmtId="230" fontId="17" fillId="3" borderId="58" xfId="0" applyNumberFormat="1" applyFont="1" applyFill="1" applyBorder="1" applyAlignment="1">
      <alignment vertical="center"/>
    </xf>
    <xf numFmtId="0" fontId="11" fillId="0" borderId="27" xfId="0" applyFont="1" applyBorder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0" fillId="0" borderId="0" xfId="0" applyAlignment="1">
      <alignment vertical="top" wrapText="1"/>
    </xf>
    <xf numFmtId="169" fontId="17" fillId="3" borderId="45" xfId="0" applyNumberFormat="1" applyFont="1" applyFill="1" applyBorder="1" applyAlignment="1">
      <alignment horizontal="center"/>
    </xf>
    <xf numFmtId="169" fontId="17" fillId="3" borderId="28" xfId="0" applyNumberFormat="1" applyFont="1" applyFill="1" applyBorder="1" applyAlignment="1">
      <alignment horizontal="center"/>
    </xf>
    <xf numFmtId="0" fontId="2" fillId="4" borderId="76" xfId="0" applyFon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166" fontId="2" fillId="6" borderId="87" xfId="0" applyNumberFormat="1" applyFont="1" applyFill="1" applyBorder="1" applyAlignment="1">
      <alignment horizontal="center"/>
    </xf>
    <xf numFmtId="0" fontId="2" fillId="4" borderId="77" xfId="0" applyFont="1" applyFill="1" applyBorder="1" applyAlignment="1">
      <alignment horizontal="center"/>
    </xf>
    <xf numFmtId="166" fontId="0" fillId="0" borderId="30" xfId="0" applyNumberFormat="1" applyBorder="1" applyAlignment="1">
      <alignment horizontal="center"/>
    </xf>
    <xf numFmtId="166" fontId="2" fillId="6" borderId="88" xfId="0" applyNumberFormat="1" applyFont="1" applyFill="1" applyBorder="1" applyAlignment="1">
      <alignment horizontal="center"/>
    </xf>
    <xf numFmtId="169" fontId="17" fillId="3" borderId="27" xfId="0" applyNumberFormat="1" applyFont="1" applyFill="1" applyBorder="1" applyAlignment="1">
      <alignment horizontal="center"/>
    </xf>
    <xf numFmtId="169" fontId="17" fillId="3" borderId="46" xfId="0" applyNumberFormat="1" applyFont="1" applyFill="1" applyBorder="1" applyAlignment="1">
      <alignment horizontal="center"/>
    </xf>
    <xf numFmtId="169" fontId="17" fillId="3" borderId="10" xfId="0" applyNumberFormat="1" applyFont="1" applyFill="1" applyBorder="1" applyAlignment="1">
      <alignment horizontal="center"/>
    </xf>
    <xf numFmtId="169" fontId="17" fillId="3" borderId="12" xfId="0" applyNumberFormat="1" applyFont="1" applyFill="1" applyBorder="1" applyAlignment="1">
      <alignment horizontal="center"/>
    </xf>
    <xf numFmtId="169" fontId="17" fillId="3" borderId="11" xfId="0" applyNumberFormat="1" applyFont="1" applyFill="1" applyBorder="1" applyAlignment="1">
      <alignment horizontal="center"/>
    </xf>
    <xf numFmtId="0" fontId="124" fillId="2" borderId="102" xfId="0" applyFont="1" applyFill="1" applyBorder="1" applyAlignment="1">
      <alignment horizontal="left" vertical="center" wrapText="1" readingOrder="1"/>
    </xf>
    <xf numFmtId="0" fontId="124" fillId="2" borderId="103" xfId="0" applyFont="1" applyFill="1" applyBorder="1" applyAlignment="1">
      <alignment horizontal="left" vertical="center" wrapText="1" readingOrder="1"/>
    </xf>
    <xf numFmtId="0" fontId="124" fillId="2" borderId="104" xfId="0" applyFont="1" applyFill="1" applyBorder="1" applyAlignment="1">
      <alignment horizontal="left" vertical="center" wrapText="1" readingOrder="1"/>
    </xf>
    <xf numFmtId="0" fontId="125" fillId="45" borderId="106" xfId="0" applyFont="1" applyFill="1" applyBorder="1" applyAlignment="1">
      <alignment horizontal="center" vertical="center" wrapText="1" readingOrder="1"/>
    </xf>
    <xf numFmtId="0" fontId="125" fillId="45" borderId="107" xfId="0" applyFont="1" applyFill="1" applyBorder="1" applyAlignment="1">
      <alignment horizontal="center" vertical="center" wrapText="1" readingOrder="1"/>
    </xf>
    <xf numFmtId="0" fontId="125" fillId="45" borderId="109" xfId="0" applyFont="1" applyFill="1" applyBorder="1" applyAlignment="1">
      <alignment horizontal="center" vertical="center" wrapText="1" readingOrder="1"/>
    </xf>
    <xf numFmtId="0" fontId="125" fillId="45" borderId="110" xfId="0" applyFont="1" applyFill="1" applyBorder="1" applyAlignment="1">
      <alignment horizontal="center" vertical="center" wrapText="1" readingOrder="1"/>
    </xf>
    <xf numFmtId="0" fontId="125" fillId="45" borderId="111" xfId="0" applyFont="1" applyFill="1" applyBorder="1" applyAlignment="1">
      <alignment horizontal="center" vertical="center" wrapText="1" readingOrder="1"/>
    </xf>
    <xf numFmtId="0" fontId="125" fillId="45" borderId="112" xfId="0" applyFont="1" applyFill="1" applyBorder="1" applyAlignment="1">
      <alignment horizontal="center" vertical="center" wrapText="1" readingOrder="1"/>
    </xf>
    <xf numFmtId="0" fontId="125" fillId="3" borderId="113" xfId="0" applyFont="1" applyFill="1" applyBorder="1" applyAlignment="1">
      <alignment horizontal="center" vertical="center" wrapText="1" readingOrder="1"/>
    </xf>
    <xf numFmtId="0" fontId="125" fillId="3" borderId="114" xfId="0" applyFont="1" applyFill="1" applyBorder="1" applyAlignment="1">
      <alignment horizontal="center" vertical="center" wrapText="1" readingOrder="1"/>
    </xf>
    <xf numFmtId="0" fontId="125" fillId="3" borderId="108" xfId="0" applyFont="1" applyFill="1" applyBorder="1" applyAlignment="1">
      <alignment horizontal="center" vertical="center" wrapText="1" readingOrder="1"/>
    </xf>
    <xf numFmtId="0" fontId="125" fillId="7" borderId="113" xfId="0" applyFont="1" applyFill="1" applyBorder="1" applyAlignment="1">
      <alignment horizontal="center" vertical="center" wrapText="1" readingOrder="1"/>
    </xf>
    <xf numFmtId="0" fontId="125" fillId="7" borderId="114" xfId="0" applyFont="1" applyFill="1" applyBorder="1" applyAlignment="1">
      <alignment horizontal="center" vertical="center" wrapText="1" readingOrder="1"/>
    </xf>
    <xf numFmtId="0" fontId="125" fillId="7" borderId="115" xfId="0" applyFont="1" applyFill="1" applyBorder="1" applyAlignment="1">
      <alignment horizontal="center" vertical="center" wrapText="1" readingOrder="1"/>
    </xf>
    <xf numFmtId="0" fontId="125" fillId="45" borderId="113" xfId="0" applyFont="1" applyFill="1" applyBorder="1" applyAlignment="1">
      <alignment horizontal="center" vertical="center" wrapText="1" readingOrder="1"/>
    </xf>
    <xf numFmtId="0" fontId="125" fillId="45" borderId="114" xfId="0" applyFont="1" applyFill="1" applyBorder="1" applyAlignment="1">
      <alignment horizontal="center" vertical="center" wrapText="1" readingOrder="1"/>
    </xf>
    <xf numFmtId="0" fontId="125" fillId="45" borderId="108" xfId="0" applyFont="1" applyFill="1" applyBorder="1" applyAlignment="1">
      <alignment horizontal="center" vertical="center" wrapText="1" readingOrder="1"/>
    </xf>
    <xf numFmtId="0" fontId="125" fillId="45" borderId="115" xfId="0" applyFont="1" applyFill="1" applyBorder="1" applyAlignment="1">
      <alignment horizontal="center" vertical="center" wrapText="1" readingOrder="1"/>
    </xf>
    <xf numFmtId="172" fontId="9" fillId="0" borderId="76" xfId="0" applyNumberFormat="1" applyFont="1" applyBorder="1" applyAlignment="1">
      <alignment horizontal="center" vertical="center"/>
    </xf>
    <xf numFmtId="172" fontId="9" fillId="0" borderId="118" xfId="0" applyNumberFormat="1" applyFont="1" applyBorder="1" applyAlignment="1">
      <alignment horizontal="center" vertical="center"/>
    </xf>
    <xf numFmtId="10" fontId="126" fillId="0" borderId="113" xfId="0" applyNumberFormat="1" applyFont="1" applyBorder="1" applyAlignment="1">
      <alignment horizontal="center" vertical="center" wrapText="1" readingOrder="1"/>
    </xf>
    <xf numFmtId="10" fontId="126" fillId="0" borderId="114" xfId="0" applyNumberFormat="1" applyFont="1" applyBorder="1" applyAlignment="1">
      <alignment horizontal="center" vertical="center" wrapText="1" readingOrder="1"/>
    </xf>
    <xf numFmtId="2" fontId="126" fillId="0" borderId="114" xfId="0" applyNumberFormat="1" applyFont="1" applyBorder="1" applyAlignment="1">
      <alignment horizontal="center" vertical="center" wrapText="1" readingOrder="1"/>
    </xf>
    <xf numFmtId="2" fontId="126" fillId="0" borderId="108" xfId="0" applyNumberFormat="1" applyFont="1" applyBorder="1" applyAlignment="1">
      <alignment horizontal="center" vertical="center" wrapText="1" readingOrder="1"/>
    </xf>
    <xf numFmtId="2" fontId="126" fillId="0" borderId="115" xfId="0" applyNumberFormat="1" applyFont="1" applyBorder="1" applyAlignment="1">
      <alignment horizontal="center" vertical="center" wrapText="1" readingOrder="1"/>
    </xf>
    <xf numFmtId="172" fontId="9" fillId="0" borderId="116" xfId="0" applyNumberFormat="1" applyFont="1" applyBorder="1" applyAlignment="1">
      <alignment horizontal="center" vertical="center"/>
    </xf>
    <xf numFmtId="172" fontId="9" fillId="0" borderId="117" xfId="0" applyNumberFormat="1" applyFont="1" applyBorder="1" applyAlignment="1">
      <alignment horizontal="center" vertical="center"/>
    </xf>
    <xf numFmtId="0" fontId="126" fillId="0" borderId="108" xfId="0" applyFont="1" applyBorder="1" applyAlignment="1">
      <alignment horizontal="center" vertical="center" wrapText="1" readingOrder="1"/>
    </xf>
    <xf numFmtId="0" fontId="126" fillId="0" borderId="115" xfId="0" applyFont="1" applyBorder="1" applyAlignment="1">
      <alignment horizontal="center" vertical="center" wrapText="1" readingOrder="1"/>
    </xf>
    <xf numFmtId="0" fontId="125" fillId="45" borderId="120" xfId="0" applyFont="1" applyFill="1" applyBorder="1" applyAlignment="1">
      <alignment horizontal="center" vertical="center" wrapText="1" readingOrder="1"/>
    </xf>
    <xf numFmtId="0" fontId="125" fillId="45" borderId="122" xfId="0" applyFont="1" applyFill="1" applyBorder="1" applyAlignment="1">
      <alignment horizontal="center" vertical="center" wrapText="1" readingOrder="1"/>
    </xf>
    <xf numFmtId="0" fontId="125" fillId="46" borderId="113" xfId="0" applyFont="1" applyFill="1" applyBorder="1" applyAlignment="1">
      <alignment horizontal="center" vertical="center" wrapText="1" readingOrder="1"/>
    </xf>
    <xf numFmtId="0" fontId="125" fillId="46" borderId="114" xfId="0" applyFont="1" applyFill="1" applyBorder="1" applyAlignment="1">
      <alignment horizontal="center" vertical="center" wrapText="1" readingOrder="1"/>
    </xf>
    <xf numFmtId="0" fontId="125" fillId="46" borderId="108" xfId="0" applyFont="1" applyFill="1" applyBorder="1" applyAlignment="1">
      <alignment horizontal="center" vertical="center" wrapText="1" readingOrder="1"/>
    </xf>
    <xf numFmtId="0" fontId="125" fillId="47" borderId="113" xfId="0" applyFont="1" applyFill="1" applyBorder="1" applyAlignment="1">
      <alignment horizontal="center" vertical="center" wrapText="1" readingOrder="1"/>
    </xf>
    <xf numFmtId="0" fontId="125" fillId="47" borderId="114" xfId="0" applyFont="1" applyFill="1" applyBorder="1" applyAlignment="1">
      <alignment horizontal="center" vertical="center" wrapText="1" readingOrder="1"/>
    </xf>
    <xf numFmtId="0" fontId="125" fillId="47" borderId="121" xfId="0" applyFont="1" applyFill="1" applyBorder="1" applyAlignment="1">
      <alignment horizontal="center" vertical="center" wrapText="1" readingOrder="1"/>
    </xf>
    <xf numFmtId="0" fontId="125" fillId="45" borderId="121" xfId="0" applyFont="1" applyFill="1" applyBorder="1" applyAlignment="1">
      <alignment horizontal="center" vertical="center" wrapText="1" readingOrder="1"/>
    </xf>
    <xf numFmtId="172" fontId="126" fillId="0" borderId="114" xfId="0" applyNumberFormat="1" applyFont="1" applyBorder="1" applyAlignment="1">
      <alignment horizontal="center" vertical="center" wrapText="1" readingOrder="1"/>
    </xf>
    <xf numFmtId="172" fontId="126" fillId="0" borderId="108" xfId="0" applyNumberFormat="1" applyFont="1" applyBorder="1" applyAlignment="1">
      <alignment horizontal="center" vertical="center" wrapText="1" readingOrder="1"/>
    </xf>
    <xf numFmtId="0" fontId="126" fillId="0" borderId="121" xfId="0" applyFont="1" applyBorder="1" applyAlignment="1">
      <alignment horizontal="center" vertical="center" wrapText="1" readingOrder="1"/>
    </xf>
    <xf numFmtId="2" fontId="126" fillId="0" borderId="121" xfId="0" applyNumberFormat="1" applyFont="1" applyBorder="1" applyAlignment="1">
      <alignment horizontal="center" vertical="center" wrapText="1" readingOrder="1"/>
    </xf>
    <xf numFmtId="172" fontId="126" fillId="0" borderId="125" xfId="0" applyNumberFormat="1" applyFont="1" applyBorder="1" applyAlignment="1">
      <alignment horizontal="center" vertical="center" wrapText="1" readingOrder="1"/>
    </xf>
    <xf numFmtId="172" fontId="126" fillId="0" borderId="126" xfId="0" applyNumberFormat="1" applyFont="1" applyBorder="1" applyAlignment="1">
      <alignment horizontal="center" vertical="center" wrapText="1" readingOrder="1"/>
    </xf>
    <xf numFmtId="2" fontId="126" fillId="0" borderId="125" xfId="0" applyNumberFormat="1" applyFont="1" applyBorder="1" applyAlignment="1">
      <alignment horizontal="center" vertical="center" wrapText="1" readingOrder="1"/>
    </xf>
    <xf numFmtId="0" fontId="126" fillId="0" borderId="126" xfId="0" applyFont="1" applyBorder="1" applyAlignment="1">
      <alignment horizontal="center" vertical="center" wrapText="1" readingOrder="1"/>
    </xf>
    <xf numFmtId="10" fontId="126" fillId="0" borderId="127" xfId="0" applyNumberFormat="1" applyFont="1" applyBorder="1" applyAlignment="1">
      <alignment horizontal="center" vertical="center" wrapText="1" readingOrder="1"/>
    </xf>
    <xf numFmtId="10" fontId="126" fillId="0" borderId="125" xfId="0" applyNumberFormat="1" applyFont="1" applyBorder="1" applyAlignment="1">
      <alignment horizontal="center" vertical="center" wrapText="1" readingOrder="1"/>
    </xf>
    <xf numFmtId="2" fontId="126" fillId="0" borderId="128" xfId="0" applyNumberFormat="1" applyFont="1" applyBorder="1" applyAlignment="1">
      <alignment horizontal="center" vertical="center" wrapText="1" readingOrder="1"/>
    </xf>
    <xf numFmtId="172" fontId="2" fillId="0" borderId="0" xfId="0" applyNumberFormat="1" applyFont="1" applyAlignment="1">
      <alignment horizontal="right" vertical="center" indent="1"/>
    </xf>
    <xf numFmtId="172" fontId="2" fillId="0" borderId="30" xfId="0" applyNumberFormat="1" applyFont="1" applyBorder="1" applyAlignment="1">
      <alignment horizontal="right" vertical="center" indent="1"/>
    </xf>
    <xf numFmtId="14" fontId="2" fillId="0" borderId="0" xfId="5" applyNumberFormat="1" applyFont="1" applyAlignment="1">
      <alignment horizontal="right" indent="1"/>
    </xf>
    <xf numFmtId="14" fontId="2" fillId="0" borderId="30" xfId="5" applyNumberFormat="1" applyFont="1" applyBorder="1" applyAlignment="1">
      <alignment horizontal="right" indent="1"/>
    </xf>
    <xf numFmtId="14" fontId="2" fillId="0" borderId="27" xfId="5" applyNumberFormat="1" applyFont="1" applyBorder="1" applyAlignment="1">
      <alignment horizontal="right" indent="1"/>
    </xf>
    <xf numFmtId="14" fontId="2" fillId="0" borderId="28" xfId="5" applyNumberFormat="1" applyFont="1" applyBorder="1" applyAlignment="1">
      <alignment horizontal="right" indent="1"/>
    </xf>
    <xf numFmtId="0" fontId="1" fillId="2" borderId="9" xfId="0" applyFont="1" applyFill="1" applyBorder="1" applyAlignment="1">
      <alignment horizontal="left" vertical="center"/>
    </xf>
    <xf numFmtId="0" fontId="1" fillId="2" borderId="12" xfId="0" applyFont="1" applyFill="1" applyBorder="1" applyAlignment="1">
      <alignment horizontal="left" vertical="center"/>
    </xf>
    <xf numFmtId="0" fontId="1" fillId="2" borderId="13" xfId="0" applyFont="1" applyFill="1" applyBorder="1" applyAlignment="1">
      <alignment horizontal="left" vertical="center"/>
    </xf>
    <xf numFmtId="0" fontId="17" fillId="4" borderId="75" xfId="0" applyFont="1" applyFill="1" applyBorder="1" applyAlignment="1">
      <alignment horizontal="center" vertical="center"/>
    </xf>
    <xf numFmtId="0" fontId="17" fillId="4" borderId="36" xfId="0" applyFont="1" applyFill="1" applyBorder="1" applyAlignment="1">
      <alignment horizontal="center" vertical="center"/>
    </xf>
    <xf numFmtId="0" fontId="17" fillId="4" borderId="7" xfId="0" applyFont="1" applyFill="1" applyBorder="1" applyAlignment="1">
      <alignment horizontal="center" vertical="center"/>
    </xf>
    <xf numFmtId="0" fontId="17" fillId="4" borderId="67" xfId="0" applyFont="1" applyFill="1" applyBorder="1" applyAlignment="1">
      <alignment horizontal="center" vertical="center"/>
    </xf>
    <xf numFmtId="0" fontId="17" fillId="3" borderId="38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0" fontId="17" fillId="7" borderId="76" xfId="0" applyFont="1" applyFill="1" applyBorder="1" applyAlignment="1">
      <alignment horizontal="center" vertical="center"/>
    </xf>
    <xf numFmtId="0" fontId="17" fillId="7" borderId="77" xfId="0" applyFont="1" applyFill="1" applyBorder="1" applyAlignment="1">
      <alignment horizontal="center" vertical="center"/>
    </xf>
    <xf numFmtId="0" fontId="17" fillId="43" borderId="76" xfId="0" applyFont="1" applyFill="1" applyBorder="1" applyAlignment="1">
      <alignment horizontal="center" vertical="center"/>
    </xf>
    <xf numFmtId="0" fontId="17" fillId="43" borderId="77" xfId="0" applyFont="1" applyFill="1" applyBorder="1" applyAlignment="1">
      <alignment horizontal="center" vertical="center"/>
    </xf>
    <xf numFmtId="0" fontId="17" fillId="4" borderId="89" xfId="0" applyFont="1" applyFill="1" applyBorder="1" applyAlignment="1">
      <alignment horizontal="center" vertical="center"/>
    </xf>
    <xf numFmtId="0" fontId="17" fillId="4" borderId="76" xfId="0" applyFont="1" applyFill="1" applyBorder="1" applyAlignment="1">
      <alignment horizontal="center" vertical="center"/>
    </xf>
    <xf numFmtId="0" fontId="17" fillId="4" borderId="79" xfId="0" applyFont="1" applyFill="1" applyBorder="1" applyAlignment="1">
      <alignment horizontal="center" vertical="center"/>
    </xf>
    <xf numFmtId="0" fontId="17" fillId="4" borderId="0" xfId="0" applyFont="1" applyFill="1" applyAlignment="1">
      <alignment horizontal="center" vertical="center"/>
    </xf>
    <xf numFmtId="0" fontId="17" fillId="4" borderId="30" xfId="0" applyFont="1" applyFill="1" applyBorder="1" applyAlignment="1">
      <alignment horizontal="center" vertical="center"/>
    </xf>
    <xf numFmtId="10" fontId="0" fillId="0" borderId="89" xfId="0" applyNumberFormat="1" applyBorder="1" applyAlignment="1">
      <alignment horizontal="center" vertical="center"/>
    </xf>
    <xf numFmtId="10" fontId="0" fillId="0" borderId="76" xfId="0" applyNumberFormat="1" applyBorder="1" applyAlignment="1">
      <alignment horizontal="center" vertical="center"/>
    </xf>
    <xf numFmtId="2" fontId="0" fillId="0" borderId="76" xfId="0" applyNumberFormat="1" applyBorder="1" applyAlignment="1">
      <alignment horizontal="center" vertical="center"/>
    </xf>
    <xf numFmtId="2" fontId="0" fillId="0" borderId="79" xfId="0" applyNumberFormat="1" applyBorder="1" applyAlignment="1">
      <alignment horizontal="center" vertical="center"/>
    </xf>
    <xf numFmtId="2" fontId="0" fillId="0" borderId="77" xfId="0" applyNumberFormat="1" applyBorder="1" applyAlignment="1">
      <alignment horizontal="center" vertical="center"/>
    </xf>
    <xf numFmtId="2" fontId="0" fillId="0" borderId="87" xfId="0" applyNumberFormat="1" applyBorder="1" applyAlignment="1">
      <alignment horizontal="center" vertical="center"/>
    </xf>
    <xf numFmtId="2" fontId="0" fillId="0" borderId="88" xfId="0" applyNumberFormat="1" applyBorder="1" applyAlignment="1">
      <alignment horizontal="center" vertical="center"/>
    </xf>
    <xf numFmtId="10" fontId="0" fillId="0" borderId="90" xfId="0" applyNumberFormat="1" applyBorder="1" applyAlignment="1">
      <alignment horizontal="center" vertical="center"/>
    </xf>
    <xf numFmtId="10" fontId="0" fillId="0" borderId="87" xfId="0" applyNumberFormat="1" applyBorder="1" applyAlignment="1">
      <alignment horizontal="center" vertical="center"/>
    </xf>
    <xf numFmtId="2" fontId="0" fillId="0" borderId="92" xfId="0" applyNumberFormat="1" applyBorder="1" applyAlignment="1">
      <alignment horizontal="center" vertical="center"/>
    </xf>
    <xf numFmtId="10" fontId="0" fillId="0" borderId="82" xfId="0" applyNumberFormat="1" applyBorder="1" applyAlignment="1">
      <alignment horizontal="center" vertical="center"/>
    </xf>
    <xf numFmtId="2" fontId="0" fillId="0" borderId="82" xfId="0" applyNumberFormat="1" applyBorder="1" applyAlignment="1">
      <alignment horizontal="center" vertical="center"/>
    </xf>
    <xf numFmtId="2" fontId="0" fillId="0" borderId="81" xfId="0" applyNumberFormat="1" applyBorder="1" applyAlignment="1">
      <alignment horizontal="center" vertical="center"/>
    </xf>
    <xf numFmtId="10" fontId="0" fillId="0" borderId="100" xfId="0" applyNumberFormat="1" applyBorder="1" applyAlignment="1">
      <alignment horizontal="center" vertical="center"/>
    </xf>
    <xf numFmtId="2" fontId="0" fillId="0" borderId="101" xfId="0" applyNumberFormat="1" applyBorder="1" applyAlignment="1">
      <alignment horizontal="center" vertical="center"/>
    </xf>
    <xf numFmtId="6" fontId="2" fillId="0" borderId="72" xfId="5" applyNumberFormat="1" applyFont="1" applyBorder="1" applyAlignment="1">
      <alignment horizontal="right" indent="7"/>
    </xf>
    <xf numFmtId="6" fontId="22" fillId="0" borderId="0" xfId="5" applyNumberFormat="1" applyAlignment="1">
      <alignment horizontal="right" indent="7"/>
    </xf>
    <xf numFmtId="0" fontId="2" fillId="4" borderId="89" xfId="0" applyFont="1" applyFill="1" applyBorder="1" applyAlignment="1">
      <alignment horizontal="center" vertical="center"/>
    </xf>
    <xf numFmtId="0" fontId="2" fillId="4" borderId="79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2" fillId="0" borderId="38" xfId="0" applyFont="1" applyBorder="1" applyAlignment="1">
      <alignment horizontal="left" vertical="center" indent="1"/>
    </xf>
    <xf numFmtId="0" fontId="2" fillId="0" borderId="7" xfId="0" applyFont="1" applyBorder="1" applyAlignment="1">
      <alignment horizontal="left" vertical="center" indent="1"/>
    </xf>
    <xf numFmtId="0" fontId="1" fillId="2" borderId="38" xfId="0" applyFont="1" applyFill="1" applyBorder="1" applyAlignment="1">
      <alignment horizontal="left" vertical="center"/>
    </xf>
    <xf numFmtId="0" fontId="1" fillId="2" borderId="7" xfId="0" applyFont="1" applyFill="1" applyBorder="1" applyAlignment="1">
      <alignment horizontal="left" vertical="center"/>
    </xf>
    <xf numFmtId="0" fontId="1" fillId="2" borderId="14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0" borderId="37" xfId="0" applyFont="1" applyBorder="1" applyAlignment="1">
      <alignment horizontal="left" vertical="center" indent="1"/>
    </xf>
    <xf numFmtId="0" fontId="2" fillId="0" borderId="24" xfId="0" applyFont="1" applyBorder="1" applyAlignment="1">
      <alignment horizontal="left" vertical="center" indent="1"/>
    </xf>
  </cellXfs>
  <cellStyles count="3271">
    <cellStyle name="%two" xfId="16" xr:uid="{00000000-0005-0000-0000-000000000000}"/>
    <cellStyle name="20% - Accent1 2" xfId="17" xr:uid="{00000000-0005-0000-0000-000001000000}"/>
    <cellStyle name="20% - Accent1 2 2" xfId="18" xr:uid="{00000000-0005-0000-0000-000002000000}"/>
    <cellStyle name="20% - Accent1 2_Austin Growth Properties- Loan" xfId="19" xr:uid="{00000000-0005-0000-0000-000003000000}"/>
    <cellStyle name="20% - Accent2 2" xfId="20" xr:uid="{00000000-0005-0000-0000-000004000000}"/>
    <cellStyle name="20% - Accent2 2 2" xfId="21" xr:uid="{00000000-0005-0000-0000-000005000000}"/>
    <cellStyle name="20% - Accent2 2_Austin Growth Properties- Loan" xfId="22" xr:uid="{00000000-0005-0000-0000-000006000000}"/>
    <cellStyle name="20% - Accent3 2" xfId="23" xr:uid="{00000000-0005-0000-0000-000007000000}"/>
    <cellStyle name="20% - Accent3 2 2" xfId="24" xr:uid="{00000000-0005-0000-0000-000008000000}"/>
    <cellStyle name="20% - Accent3 2_Austin Growth Properties- Loan" xfId="25" xr:uid="{00000000-0005-0000-0000-000009000000}"/>
    <cellStyle name="20% - Accent4 2" xfId="26" xr:uid="{00000000-0005-0000-0000-00000A000000}"/>
    <cellStyle name="20% - Accent4 2 2" xfId="27" xr:uid="{00000000-0005-0000-0000-00000B000000}"/>
    <cellStyle name="20% - Accent4 2_Austin Growth Properties- Loan" xfId="28" xr:uid="{00000000-0005-0000-0000-00000C000000}"/>
    <cellStyle name="20% - Accent5 2" xfId="29" xr:uid="{00000000-0005-0000-0000-00000D000000}"/>
    <cellStyle name="20% - Accent5 2 2" xfId="30" xr:uid="{00000000-0005-0000-0000-00000E000000}"/>
    <cellStyle name="20% - Accent5 2_Austin Growth Properties- Loan" xfId="31" xr:uid="{00000000-0005-0000-0000-00000F000000}"/>
    <cellStyle name="20% - Accent6 2" xfId="32" xr:uid="{00000000-0005-0000-0000-000010000000}"/>
    <cellStyle name="20% - Accent6 2 2" xfId="33" xr:uid="{00000000-0005-0000-0000-000011000000}"/>
    <cellStyle name="20% - Accent6 2_Austin Growth Properties- Loan" xfId="34" xr:uid="{00000000-0005-0000-0000-000012000000}"/>
    <cellStyle name="40% - Accent1 2" xfId="35" xr:uid="{00000000-0005-0000-0000-000013000000}"/>
    <cellStyle name="40% - Accent1 2 2" xfId="36" xr:uid="{00000000-0005-0000-0000-000014000000}"/>
    <cellStyle name="40% - Accent1 2_Austin Growth Properties- Loan" xfId="37" xr:uid="{00000000-0005-0000-0000-000015000000}"/>
    <cellStyle name="40% - Accent2 2" xfId="38" xr:uid="{00000000-0005-0000-0000-000016000000}"/>
    <cellStyle name="40% - Accent2 2 2" xfId="39" xr:uid="{00000000-0005-0000-0000-000017000000}"/>
    <cellStyle name="40% - Accent2 2_Austin Growth Properties- Loan" xfId="40" xr:uid="{00000000-0005-0000-0000-000018000000}"/>
    <cellStyle name="40% - Accent3 2" xfId="41" xr:uid="{00000000-0005-0000-0000-000019000000}"/>
    <cellStyle name="40% - Accent3 2 2" xfId="42" xr:uid="{00000000-0005-0000-0000-00001A000000}"/>
    <cellStyle name="40% - Accent3 2_Austin Growth Properties- Loan" xfId="43" xr:uid="{00000000-0005-0000-0000-00001B000000}"/>
    <cellStyle name="40% - Accent4 2" xfId="44" xr:uid="{00000000-0005-0000-0000-00001C000000}"/>
    <cellStyle name="40% - Accent4 2 2" xfId="45" xr:uid="{00000000-0005-0000-0000-00001D000000}"/>
    <cellStyle name="40% - Accent4 2_Austin Growth Properties- Loan" xfId="46" xr:uid="{00000000-0005-0000-0000-00001E000000}"/>
    <cellStyle name="40% - Accent5 2" xfId="47" xr:uid="{00000000-0005-0000-0000-00001F000000}"/>
    <cellStyle name="40% - Accent5 2 2" xfId="48" xr:uid="{00000000-0005-0000-0000-000020000000}"/>
    <cellStyle name="40% - Accent5 2_Austin Growth Properties- Loan" xfId="49" xr:uid="{00000000-0005-0000-0000-000021000000}"/>
    <cellStyle name="40% - Accent6 2" xfId="50" xr:uid="{00000000-0005-0000-0000-000022000000}"/>
    <cellStyle name="40% - Accent6 2 2" xfId="51" xr:uid="{00000000-0005-0000-0000-000023000000}"/>
    <cellStyle name="40% - Accent6 2_Austin Growth Properties- Loan" xfId="52" xr:uid="{00000000-0005-0000-0000-000024000000}"/>
    <cellStyle name="60% - Accent1 2" xfId="53" xr:uid="{00000000-0005-0000-0000-000025000000}"/>
    <cellStyle name="60% - Accent2 2" xfId="54" xr:uid="{00000000-0005-0000-0000-000026000000}"/>
    <cellStyle name="60% - Accent3 2" xfId="55" xr:uid="{00000000-0005-0000-0000-000027000000}"/>
    <cellStyle name="60% - Accent4 2" xfId="56" xr:uid="{00000000-0005-0000-0000-000028000000}"/>
    <cellStyle name="60% - Accent5 2" xfId="57" xr:uid="{00000000-0005-0000-0000-000029000000}"/>
    <cellStyle name="60% - Accent6 2" xfId="58" xr:uid="{00000000-0005-0000-0000-00002A000000}"/>
    <cellStyle name="A" xfId="59" xr:uid="{00000000-0005-0000-0000-00002B000000}"/>
    <cellStyle name="Accent1 2" xfId="60" xr:uid="{00000000-0005-0000-0000-00002C000000}"/>
    <cellStyle name="Accent2 2" xfId="61" xr:uid="{00000000-0005-0000-0000-00002D000000}"/>
    <cellStyle name="Accent3 2" xfId="62" xr:uid="{00000000-0005-0000-0000-00002E000000}"/>
    <cellStyle name="Accent4 2" xfId="63" xr:uid="{00000000-0005-0000-0000-00002F000000}"/>
    <cellStyle name="Accent5 2" xfId="64" xr:uid="{00000000-0005-0000-0000-000030000000}"/>
    <cellStyle name="Accent6 2" xfId="65" xr:uid="{00000000-0005-0000-0000-000031000000}"/>
    <cellStyle name="b" xfId="66" xr:uid="{00000000-0005-0000-0000-000032000000}"/>
    <cellStyle name="Bad 2" xfId="67" xr:uid="{00000000-0005-0000-0000-000033000000}"/>
    <cellStyle name="Border Heavy" xfId="68" xr:uid="{00000000-0005-0000-0000-000034000000}"/>
    <cellStyle name="Border Thin" xfId="69" xr:uid="{00000000-0005-0000-0000-000035000000}"/>
    <cellStyle name="Calc Currency (0)" xfId="70" xr:uid="{00000000-0005-0000-0000-000036000000}"/>
    <cellStyle name="Calc Currency (2)" xfId="71" xr:uid="{00000000-0005-0000-0000-000037000000}"/>
    <cellStyle name="Calc Percent (0)" xfId="72" xr:uid="{00000000-0005-0000-0000-000038000000}"/>
    <cellStyle name="Calc Percent (1)" xfId="73" xr:uid="{00000000-0005-0000-0000-000039000000}"/>
    <cellStyle name="Calc Percent (2)" xfId="74" xr:uid="{00000000-0005-0000-0000-00003A000000}"/>
    <cellStyle name="Calc Units (0)" xfId="75" xr:uid="{00000000-0005-0000-0000-00003B000000}"/>
    <cellStyle name="Calc Units (1)" xfId="76" xr:uid="{00000000-0005-0000-0000-00003C000000}"/>
    <cellStyle name="Calc Units (2)" xfId="77" xr:uid="{00000000-0005-0000-0000-00003D000000}"/>
    <cellStyle name="Calculation 2" xfId="78" xr:uid="{00000000-0005-0000-0000-00003E000000}"/>
    <cellStyle name="Check Cell 2" xfId="79" xr:uid="{00000000-0005-0000-0000-00003F000000}"/>
    <cellStyle name="ColumnHeading" xfId="80" xr:uid="{00000000-0005-0000-0000-000040000000}"/>
    <cellStyle name="Comma (2)" xfId="81" xr:uid="{00000000-0005-0000-0000-000042000000}"/>
    <cellStyle name="Comma [00]" xfId="82" xr:uid="{00000000-0005-0000-0000-000043000000}"/>
    <cellStyle name="Comma [2]" xfId="83" xr:uid="{00000000-0005-0000-0000-000044000000}"/>
    <cellStyle name="Comma 0" xfId="84" xr:uid="{00000000-0005-0000-0000-000045000000}"/>
    <cellStyle name="Comma 0.00" xfId="85" xr:uid="{00000000-0005-0000-0000-000046000000}"/>
    <cellStyle name="Comma 10" xfId="86" xr:uid="{00000000-0005-0000-0000-000047000000}"/>
    <cellStyle name="Comma 10 2" xfId="87" xr:uid="{00000000-0005-0000-0000-000048000000}"/>
    <cellStyle name="Comma 10 2 2" xfId="88" xr:uid="{00000000-0005-0000-0000-000049000000}"/>
    <cellStyle name="Comma 10 3" xfId="89" xr:uid="{00000000-0005-0000-0000-00004A000000}"/>
    <cellStyle name="Comma 11" xfId="90" xr:uid="{00000000-0005-0000-0000-00004B000000}"/>
    <cellStyle name="Comma 11 2" xfId="91" xr:uid="{00000000-0005-0000-0000-00004C000000}"/>
    <cellStyle name="Comma 12" xfId="92" xr:uid="{00000000-0005-0000-0000-00004D000000}"/>
    <cellStyle name="Comma 13" xfId="93" xr:uid="{00000000-0005-0000-0000-00004E000000}"/>
    <cellStyle name="Comma 14" xfId="94" xr:uid="{00000000-0005-0000-0000-00004F000000}"/>
    <cellStyle name="Comma 15" xfId="95" xr:uid="{00000000-0005-0000-0000-000050000000}"/>
    <cellStyle name="Comma 16" xfId="96" xr:uid="{00000000-0005-0000-0000-000051000000}"/>
    <cellStyle name="Comma 17" xfId="97" xr:uid="{00000000-0005-0000-0000-000052000000}"/>
    <cellStyle name="Comma 18" xfId="98" xr:uid="{00000000-0005-0000-0000-000053000000}"/>
    <cellStyle name="Comma 19" xfId="99" xr:uid="{00000000-0005-0000-0000-000054000000}"/>
    <cellStyle name="Comma 2" xfId="100" xr:uid="{00000000-0005-0000-0000-000055000000}"/>
    <cellStyle name="Comma 2 10" xfId="101" xr:uid="{00000000-0005-0000-0000-000056000000}"/>
    <cellStyle name="Comma 2 10 2" xfId="102" xr:uid="{00000000-0005-0000-0000-000057000000}"/>
    <cellStyle name="Comma 2 11" xfId="103" xr:uid="{00000000-0005-0000-0000-000058000000}"/>
    <cellStyle name="Comma 2 11 2" xfId="104" xr:uid="{00000000-0005-0000-0000-000059000000}"/>
    <cellStyle name="Comma 2 12" xfId="105" xr:uid="{00000000-0005-0000-0000-00005A000000}"/>
    <cellStyle name="Comma 2 12 2" xfId="106" xr:uid="{00000000-0005-0000-0000-00005B000000}"/>
    <cellStyle name="Comma 2 13" xfId="107" xr:uid="{00000000-0005-0000-0000-00005C000000}"/>
    <cellStyle name="Comma 2 13 2" xfId="108" xr:uid="{00000000-0005-0000-0000-00005D000000}"/>
    <cellStyle name="Comma 2 14" xfId="109" xr:uid="{00000000-0005-0000-0000-00005E000000}"/>
    <cellStyle name="Comma 2 14 2" xfId="110" xr:uid="{00000000-0005-0000-0000-00005F000000}"/>
    <cellStyle name="Comma 2 15" xfId="111" xr:uid="{00000000-0005-0000-0000-000060000000}"/>
    <cellStyle name="Comma 2 15 2" xfId="112" xr:uid="{00000000-0005-0000-0000-000061000000}"/>
    <cellStyle name="Comma 2 16" xfId="113" xr:uid="{00000000-0005-0000-0000-000062000000}"/>
    <cellStyle name="Comma 2 16 2" xfId="114" xr:uid="{00000000-0005-0000-0000-000063000000}"/>
    <cellStyle name="Comma 2 17" xfId="115" xr:uid="{00000000-0005-0000-0000-000064000000}"/>
    <cellStyle name="Comma 2 17 2" xfId="116" xr:uid="{00000000-0005-0000-0000-000065000000}"/>
    <cellStyle name="Comma 2 18" xfId="117" xr:uid="{00000000-0005-0000-0000-000066000000}"/>
    <cellStyle name="Comma 2 18 2" xfId="118" xr:uid="{00000000-0005-0000-0000-000067000000}"/>
    <cellStyle name="Comma 2 19" xfId="119" xr:uid="{00000000-0005-0000-0000-000068000000}"/>
    <cellStyle name="Comma 2 19 2" xfId="120" xr:uid="{00000000-0005-0000-0000-000069000000}"/>
    <cellStyle name="Comma 2 2" xfId="121" xr:uid="{00000000-0005-0000-0000-00006A000000}"/>
    <cellStyle name="Comma 2 2 2" xfId="122" xr:uid="{00000000-0005-0000-0000-00006B000000}"/>
    <cellStyle name="Comma 2 2 2 2" xfId="123" xr:uid="{00000000-0005-0000-0000-00006C000000}"/>
    <cellStyle name="Comma 2 2 3" xfId="124" xr:uid="{00000000-0005-0000-0000-00006D000000}"/>
    <cellStyle name="Comma 2 2 3 2" xfId="125" xr:uid="{00000000-0005-0000-0000-00006E000000}"/>
    <cellStyle name="Comma 2 2 4" xfId="126" xr:uid="{00000000-0005-0000-0000-00006F000000}"/>
    <cellStyle name="Comma 2 2 4 2" xfId="127" xr:uid="{00000000-0005-0000-0000-000070000000}"/>
    <cellStyle name="Comma 2 2 5" xfId="128" xr:uid="{00000000-0005-0000-0000-000071000000}"/>
    <cellStyle name="Comma 2 2 5 2" xfId="129" xr:uid="{00000000-0005-0000-0000-000072000000}"/>
    <cellStyle name="Comma 2 2 6" xfId="130" xr:uid="{00000000-0005-0000-0000-000073000000}"/>
    <cellStyle name="Comma 2 2 6 2" xfId="131" xr:uid="{00000000-0005-0000-0000-000074000000}"/>
    <cellStyle name="Comma 2 2 7" xfId="132" xr:uid="{00000000-0005-0000-0000-000075000000}"/>
    <cellStyle name="Comma 2 2 8" xfId="133" xr:uid="{00000000-0005-0000-0000-000076000000}"/>
    <cellStyle name="Comma 2 20" xfId="134" xr:uid="{00000000-0005-0000-0000-000077000000}"/>
    <cellStyle name="Comma 2 21" xfId="135" xr:uid="{00000000-0005-0000-0000-000078000000}"/>
    <cellStyle name="Comma 2 3" xfId="136" xr:uid="{00000000-0005-0000-0000-000079000000}"/>
    <cellStyle name="Comma 2 3 2" xfId="137" xr:uid="{00000000-0005-0000-0000-00007A000000}"/>
    <cellStyle name="Comma 2 4" xfId="138" xr:uid="{00000000-0005-0000-0000-00007B000000}"/>
    <cellStyle name="Comma 2 4 2" xfId="139" xr:uid="{00000000-0005-0000-0000-00007C000000}"/>
    <cellStyle name="Comma 2 5" xfId="140" xr:uid="{00000000-0005-0000-0000-00007D000000}"/>
    <cellStyle name="Comma 2 6" xfId="141" xr:uid="{00000000-0005-0000-0000-00007E000000}"/>
    <cellStyle name="Comma 2 7" xfId="142" xr:uid="{00000000-0005-0000-0000-00007F000000}"/>
    <cellStyle name="Comma 2 7 2" xfId="143" xr:uid="{00000000-0005-0000-0000-000080000000}"/>
    <cellStyle name="Comma 2 8" xfId="144" xr:uid="{00000000-0005-0000-0000-000081000000}"/>
    <cellStyle name="Comma 2 8 2" xfId="145" xr:uid="{00000000-0005-0000-0000-000082000000}"/>
    <cellStyle name="Comma 2 9" xfId="146" xr:uid="{00000000-0005-0000-0000-000083000000}"/>
    <cellStyle name="Comma 2 9 2" xfId="147" xr:uid="{00000000-0005-0000-0000-000084000000}"/>
    <cellStyle name="Comma 3" xfId="148" xr:uid="{00000000-0005-0000-0000-000085000000}"/>
    <cellStyle name="Comma 3 2" xfId="149" xr:uid="{00000000-0005-0000-0000-000086000000}"/>
    <cellStyle name="Comma 3 2 2" xfId="3269" xr:uid="{00000000-0005-0000-0000-000087000000}"/>
    <cellStyle name="Comma 4" xfId="150" xr:uid="{00000000-0005-0000-0000-000088000000}"/>
    <cellStyle name="Comma 4 2" xfId="151" xr:uid="{00000000-0005-0000-0000-000089000000}"/>
    <cellStyle name="Comma 5" xfId="152" xr:uid="{00000000-0005-0000-0000-00008A000000}"/>
    <cellStyle name="Comma 5 2" xfId="153" xr:uid="{00000000-0005-0000-0000-00008B000000}"/>
    <cellStyle name="Comma 5 2 2" xfId="154" xr:uid="{00000000-0005-0000-0000-00008C000000}"/>
    <cellStyle name="Comma 5 3" xfId="155" xr:uid="{00000000-0005-0000-0000-00008D000000}"/>
    <cellStyle name="Comma 5 4" xfId="156" xr:uid="{00000000-0005-0000-0000-00008E000000}"/>
    <cellStyle name="Comma 6" xfId="157" xr:uid="{00000000-0005-0000-0000-00008F000000}"/>
    <cellStyle name="Comma 6 2" xfId="158" xr:uid="{00000000-0005-0000-0000-000090000000}"/>
    <cellStyle name="Comma 6 2 2" xfId="159" xr:uid="{00000000-0005-0000-0000-000091000000}"/>
    <cellStyle name="Comma 6 3" xfId="160" xr:uid="{00000000-0005-0000-0000-000092000000}"/>
    <cellStyle name="Comma 7" xfId="161" xr:uid="{00000000-0005-0000-0000-000093000000}"/>
    <cellStyle name="Comma 8" xfId="162" xr:uid="{00000000-0005-0000-0000-000094000000}"/>
    <cellStyle name="Comma 8 2" xfId="163" xr:uid="{00000000-0005-0000-0000-000095000000}"/>
    <cellStyle name="Comma 8 2 2" xfId="164" xr:uid="{00000000-0005-0000-0000-000096000000}"/>
    <cellStyle name="Comma 8 3" xfId="165" xr:uid="{00000000-0005-0000-0000-000097000000}"/>
    <cellStyle name="Comma 9" xfId="166" xr:uid="{00000000-0005-0000-0000-000098000000}"/>
    <cellStyle name="Comma 9 2" xfId="167" xr:uid="{00000000-0005-0000-0000-000099000000}"/>
    <cellStyle name="Comma 9 2 2" xfId="168" xr:uid="{00000000-0005-0000-0000-00009A000000}"/>
    <cellStyle name="Comma 9 3" xfId="169" xr:uid="{00000000-0005-0000-0000-00009B000000}"/>
    <cellStyle name="Comma0" xfId="170" xr:uid="{00000000-0005-0000-0000-00009C000000}"/>
    <cellStyle name="Currency" xfId="3268" builtinId="4"/>
    <cellStyle name="Currency (2)" xfId="171" xr:uid="{00000000-0005-0000-0000-00009E000000}"/>
    <cellStyle name="Currency [00]" xfId="172" xr:uid="{00000000-0005-0000-0000-00009F000000}"/>
    <cellStyle name="Currency 0" xfId="173" xr:uid="{00000000-0005-0000-0000-0000A0000000}"/>
    <cellStyle name="Currency 0.00" xfId="174" xr:uid="{00000000-0005-0000-0000-0000A1000000}"/>
    <cellStyle name="Currency 10" xfId="175" xr:uid="{00000000-0005-0000-0000-0000A2000000}"/>
    <cellStyle name="Currency 10 2" xfId="176" xr:uid="{00000000-0005-0000-0000-0000A3000000}"/>
    <cellStyle name="Currency 11" xfId="177" xr:uid="{00000000-0005-0000-0000-0000A4000000}"/>
    <cellStyle name="Currency 12" xfId="178" xr:uid="{00000000-0005-0000-0000-0000A5000000}"/>
    <cellStyle name="Currency 12 2" xfId="179" xr:uid="{00000000-0005-0000-0000-0000A6000000}"/>
    <cellStyle name="Currency 13" xfId="180" xr:uid="{00000000-0005-0000-0000-0000A7000000}"/>
    <cellStyle name="Currency 14" xfId="181" xr:uid="{00000000-0005-0000-0000-0000A8000000}"/>
    <cellStyle name="Currency 15" xfId="182" xr:uid="{00000000-0005-0000-0000-0000A9000000}"/>
    <cellStyle name="Currency 16" xfId="183" xr:uid="{00000000-0005-0000-0000-0000AA000000}"/>
    <cellStyle name="Currency 17" xfId="184" xr:uid="{00000000-0005-0000-0000-0000AB000000}"/>
    <cellStyle name="Currency 18" xfId="185" xr:uid="{00000000-0005-0000-0000-0000AC000000}"/>
    <cellStyle name="Currency 19" xfId="186" xr:uid="{00000000-0005-0000-0000-0000AD000000}"/>
    <cellStyle name="Currency 2" xfId="3" xr:uid="{00000000-0005-0000-0000-0000AE000000}"/>
    <cellStyle name="Currency 2 10" xfId="4" xr:uid="{00000000-0005-0000-0000-0000AF000000}"/>
    <cellStyle name="Currency 2 10 2" xfId="187" xr:uid="{00000000-0005-0000-0000-0000B0000000}"/>
    <cellStyle name="Currency 2 11" xfId="188" xr:uid="{00000000-0005-0000-0000-0000B1000000}"/>
    <cellStyle name="Currency 2 11 2" xfId="189" xr:uid="{00000000-0005-0000-0000-0000B2000000}"/>
    <cellStyle name="Currency 2 12" xfId="190" xr:uid="{00000000-0005-0000-0000-0000B3000000}"/>
    <cellStyle name="Currency 2 12 2" xfId="191" xr:uid="{00000000-0005-0000-0000-0000B4000000}"/>
    <cellStyle name="Currency 2 13" xfId="192" xr:uid="{00000000-0005-0000-0000-0000B5000000}"/>
    <cellStyle name="Currency 2 13 2" xfId="193" xr:uid="{00000000-0005-0000-0000-0000B6000000}"/>
    <cellStyle name="Currency 2 14" xfId="194" xr:uid="{00000000-0005-0000-0000-0000B7000000}"/>
    <cellStyle name="Currency 2 14 2" xfId="195" xr:uid="{00000000-0005-0000-0000-0000B8000000}"/>
    <cellStyle name="Currency 2 15" xfId="196" xr:uid="{00000000-0005-0000-0000-0000B9000000}"/>
    <cellStyle name="Currency 2 15 2" xfId="197" xr:uid="{00000000-0005-0000-0000-0000BA000000}"/>
    <cellStyle name="Currency 2 16" xfId="198" xr:uid="{00000000-0005-0000-0000-0000BB000000}"/>
    <cellStyle name="Currency 2 16 2" xfId="199" xr:uid="{00000000-0005-0000-0000-0000BC000000}"/>
    <cellStyle name="Currency 2 17" xfId="200" xr:uid="{00000000-0005-0000-0000-0000BD000000}"/>
    <cellStyle name="Currency 2 17 2" xfId="201" xr:uid="{00000000-0005-0000-0000-0000BE000000}"/>
    <cellStyle name="Currency 2 18" xfId="202" xr:uid="{00000000-0005-0000-0000-0000BF000000}"/>
    <cellStyle name="Currency 2 18 2" xfId="203" xr:uid="{00000000-0005-0000-0000-0000C0000000}"/>
    <cellStyle name="Currency 2 19" xfId="204" xr:uid="{00000000-0005-0000-0000-0000C1000000}"/>
    <cellStyle name="Currency 2 19 2" xfId="205" xr:uid="{00000000-0005-0000-0000-0000C2000000}"/>
    <cellStyle name="Currency 2 2" xfId="206" xr:uid="{00000000-0005-0000-0000-0000C3000000}"/>
    <cellStyle name="Currency 2 2 2" xfId="207" xr:uid="{00000000-0005-0000-0000-0000C4000000}"/>
    <cellStyle name="Currency 2 2 3" xfId="208" xr:uid="{00000000-0005-0000-0000-0000C5000000}"/>
    <cellStyle name="Currency 2 20" xfId="209" xr:uid="{00000000-0005-0000-0000-0000C6000000}"/>
    <cellStyle name="Currency 2 21" xfId="210" xr:uid="{00000000-0005-0000-0000-0000C7000000}"/>
    <cellStyle name="Currency 2 22" xfId="211" xr:uid="{00000000-0005-0000-0000-0000C8000000}"/>
    <cellStyle name="Currency 2 23" xfId="212" xr:uid="{00000000-0005-0000-0000-0000C9000000}"/>
    <cellStyle name="Currency 2 23 2" xfId="213" xr:uid="{00000000-0005-0000-0000-0000CA000000}"/>
    <cellStyle name="Currency 2 24" xfId="214" xr:uid="{00000000-0005-0000-0000-0000CB000000}"/>
    <cellStyle name="Currency 2 24 2" xfId="215" xr:uid="{00000000-0005-0000-0000-0000CC000000}"/>
    <cellStyle name="Currency 2 25" xfId="216" xr:uid="{00000000-0005-0000-0000-0000CD000000}"/>
    <cellStyle name="Currency 2 26" xfId="217" xr:uid="{00000000-0005-0000-0000-0000CE000000}"/>
    <cellStyle name="Currency 2 27" xfId="218" xr:uid="{00000000-0005-0000-0000-0000CF000000}"/>
    <cellStyle name="Currency 2 28" xfId="219" xr:uid="{00000000-0005-0000-0000-0000D0000000}"/>
    <cellStyle name="Currency 2 29" xfId="220" xr:uid="{00000000-0005-0000-0000-0000D1000000}"/>
    <cellStyle name="Currency 2 3" xfId="221" xr:uid="{00000000-0005-0000-0000-0000D2000000}"/>
    <cellStyle name="Currency 2 3 2" xfId="222" xr:uid="{00000000-0005-0000-0000-0000D3000000}"/>
    <cellStyle name="Currency 2 30" xfId="223" xr:uid="{00000000-0005-0000-0000-0000D4000000}"/>
    <cellStyle name="Currency 2 31" xfId="224" xr:uid="{00000000-0005-0000-0000-0000D5000000}"/>
    <cellStyle name="Currency 2 32" xfId="225" xr:uid="{00000000-0005-0000-0000-0000D6000000}"/>
    <cellStyle name="Currency 2 33" xfId="226" xr:uid="{00000000-0005-0000-0000-0000D7000000}"/>
    <cellStyle name="Currency 2 34" xfId="227" xr:uid="{00000000-0005-0000-0000-0000D8000000}"/>
    <cellStyle name="Currency 2 4" xfId="228" xr:uid="{00000000-0005-0000-0000-0000D9000000}"/>
    <cellStyle name="Currency 2 4 2" xfId="229" xr:uid="{00000000-0005-0000-0000-0000DA000000}"/>
    <cellStyle name="Currency 2 5" xfId="230" xr:uid="{00000000-0005-0000-0000-0000DB000000}"/>
    <cellStyle name="Currency 2 5 2" xfId="231" xr:uid="{00000000-0005-0000-0000-0000DC000000}"/>
    <cellStyle name="Currency 2 6" xfId="232" xr:uid="{00000000-0005-0000-0000-0000DD000000}"/>
    <cellStyle name="Currency 2 6 2" xfId="233" xr:uid="{00000000-0005-0000-0000-0000DE000000}"/>
    <cellStyle name="Currency 2 7" xfId="234" xr:uid="{00000000-0005-0000-0000-0000DF000000}"/>
    <cellStyle name="Currency 2 7 2" xfId="235" xr:uid="{00000000-0005-0000-0000-0000E0000000}"/>
    <cellStyle name="Currency 2 8" xfId="236" xr:uid="{00000000-0005-0000-0000-0000E1000000}"/>
    <cellStyle name="Currency 2 8 2" xfId="237" xr:uid="{00000000-0005-0000-0000-0000E2000000}"/>
    <cellStyle name="Currency 2 9" xfId="238" xr:uid="{00000000-0005-0000-0000-0000E3000000}"/>
    <cellStyle name="Currency 2 9 2" xfId="239" xr:uid="{00000000-0005-0000-0000-0000E4000000}"/>
    <cellStyle name="Currency 20" xfId="240" xr:uid="{00000000-0005-0000-0000-0000E5000000}"/>
    <cellStyle name="Currency 21" xfId="241" xr:uid="{00000000-0005-0000-0000-0000E6000000}"/>
    <cellStyle name="Currency 22" xfId="242" xr:uid="{00000000-0005-0000-0000-0000E7000000}"/>
    <cellStyle name="Currency 23" xfId="243" xr:uid="{00000000-0005-0000-0000-0000E8000000}"/>
    <cellStyle name="Currency 3" xfId="244" xr:uid="{00000000-0005-0000-0000-0000E9000000}"/>
    <cellStyle name="Currency 3 2" xfId="245" xr:uid="{00000000-0005-0000-0000-0000EA000000}"/>
    <cellStyle name="Currency 3 2 2" xfId="246" xr:uid="{00000000-0005-0000-0000-0000EB000000}"/>
    <cellStyle name="Currency 3 2 2 2" xfId="247" xr:uid="{00000000-0005-0000-0000-0000EC000000}"/>
    <cellStyle name="Currency 3 2 2 2 2" xfId="248" xr:uid="{00000000-0005-0000-0000-0000ED000000}"/>
    <cellStyle name="Currency 3 2 2 3" xfId="249" xr:uid="{00000000-0005-0000-0000-0000EE000000}"/>
    <cellStyle name="Currency 3 2 3" xfId="250" xr:uid="{00000000-0005-0000-0000-0000EF000000}"/>
    <cellStyle name="Currency 3 2 3 2" xfId="251" xr:uid="{00000000-0005-0000-0000-0000F0000000}"/>
    <cellStyle name="Currency 3 2 4" xfId="252" xr:uid="{00000000-0005-0000-0000-0000F1000000}"/>
    <cellStyle name="Currency 3 3" xfId="253" xr:uid="{00000000-0005-0000-0000-0000F2000000}"/>
    <cellStyle name="Currency 3 3 2" xfId="254" xr:uid="{00000000-0005-0000-0000-0000F3000000}"/>
    <cellStyle name="Currency 3 3 2 2" xfId="255" xr:uid="{00000000-0005-0000-0000-0000F4000000}"/>
    <cellStyle name="Currency 3 3 3" xfId="256" xr:uid="{00000000-0005-0000-0000-0000F5000000}"/>
    <cellStyle name="Currency 3 4" xfId="257" xr:uid="{00000000-0005-0000-0000-0000F6000000}"/>
    <cellStyle name="Currency 3 4 2" xfId="258" xr:uid="{00000000-0005-0000-0000-0000F7000000}"/>
    <cellStyle name="Currency 3 4 2 2" xfId="259" xr:uid="{00000000-0005-0000-0000-0000F8000000}"/>
    <cellStyle name="Currency 3 4 3" xfId="260" xr:uid="{00000000-0005-0000-0000-0000F9000000}"/>
    <cellStyle name="Currency 3 5" xfId="261" xr:uid="{00000000-0005-0000-0000-0000FA000000}"/>
    <cellStyle name="Currency 3 5 2" xfId="262" xr:uid="{00000000-0005-0000-0000-0000FB000000}"/>
    <cellStyle name="Currency 3 5 2 2" xfId="263" xr:uid="{00000000-0005-0000-0000-0000FC000000}"/>
    <cellStyle name="Currency 3 5 3" xfId="264" xr:uid="{00000000-0005-0000-0000-0000FD000000}"/>
    <cellStyle name="Currency 3 6" xfId="265" xr:uid="{00000000-0005-0000-0000-0000FE000000}"/>
    <cellStyle name="Currency 4" xfId="266" xr:uid="{00000000-0005-0000-0000-0000FF000000}"/>
    <cellStyle name="Currency 4 2" xfId="267" xr:uid="{00000000-0005-0000-0000-000000010000}"/>
    <cellStyle name="Currency 4 2 2" xfId="268" xr:uid="{00000000-0005-0000-0000-000001010000}"/>
    <cellStyle name="Currency 4 3" xfId="269" xr:uid="{00000000-0005-0000-0000-000002010000}"/>
    <cellStyle name="Currency 4 4" xfId="270" xr:uid="{00000000-0005-0000-0000-000003010000}"/>
    <cellStyle name="Currency 5" xfId="271" xr:uid="{00000000-0005-0000-0000-000004010000}"/>
    <cellStyle name="Currency 5 2" xfId="272" xr:uid="{00000000-0005-0000-0000-000005010000}"/>
    <cellStyle name="Currency 5 2 2" xfId="273" xr:uid="{00000000-0005-0000-0000-000006010000}"/>
    <cellStyle name="Currency 5 3" xfId="274" xr:uid="{00000000-0005-0000-0000-000007010000}"/>
    <cellStyle name="Currency 6" xfId="275" xr:uid="{00000000-0005-0000-0000-000008010000}"/>
    <cellStyle name="Currency 6 2" xfId="276" xr:uid="{00000000-0005-0000-0000-000009010000}"/>
    <cellStyle name="Currency 6 2 2" xfId="277" xr:uid="{00000000-0005-0000-0000-00000A010000}"/>
    <cellStyle name="Currency 6 3" xfId="278" xr:uid="{00000000-0005-0000-0000-00000B010000}"/>
    <cellStyle name="Currency 7" xfId="279" xr:uid="{00000000-0005-0000-0000-00000C010000}"/>
    <cellStyle name="Currency 7 2" xfId="280" xr:uid="{00000000-0005-0000-0000-00000D010000}"/>
    <cellStyle name="Currency 7 2 2" xfId="281" xr:uid="{00000000-0005-0000-0000-00000E010000}"/>
    <cellStyle name="Currency 7 3" xfId="282" xr:uid="{00000000-0005-0000-0000-00000F010000}"/>
    <cellStyle name="Currency 8" xfId="283" xr:uid="{00000000-0005-0000-0000-000010010000}"/>
    <cellStyle name="Currency 8 2" xfId="284" xr:uid="{00000000-0005-0000-0000-000011010000}"/>
    <cellStyle name="Currency 9" xfId="285" xr:uid="{00000000-0005-0000-0000-000012010000}"/>
    <cellStyle name="Currency 9 2" xfId="286" xr:uid="{00000000-0005-0000-0000-000013010000}"/>
    <cellStyle name="Currency0" xfId="287" xr:uid="{00000000-0005-0000-0000-000014010000}"/>
    <cellStyle name="D" xfId="288" xr:uid="{00000000-0005-0000-0000-000015010000}"/>
    <cellStyle name="D.C.R." xfId="289" xr:uid="{00000000-0005-0000-0000-000016010000}"/>
    <cellStyle name="Date" xfId="290" xr:uid="{00000000-0005-0000-0000-000017010000}"/>
    <cellStyle name="Date Short" xfId="291" xr:uid="{00000000-0005-0000-0000-000018010000}"/>
    <cellStyle name="DATE_2.1a 2020 Live Oak Economics 8.2.06" xfId="292" xr:uid="{00000000-0005-0000-0000-000019010000}"/>
    <cellStyle name="DATETIME" xfId="293" xr:uid="{00000000-0005-0000-0000-00001A010000}"/>
    <cellStyle name="DELTA" xfId="294" xr:uid="{00000000-0005-0000-0000-00001B010000}"/>
    <cellStyle name="Dezimal [0]_Compiling Utility Macros" xfId="295" xr:uid="{00000000-0005-0000-0000-00001C010000}"/>
    <cellStyle name="Dezimal_Compiling Utility Macros" xfId="296" xr:uid="{00000000-0005-0000-0000-00001D010000}"/>
    <cellStyle name="Dollar- 10 font" xfId="297" xr:uid="{00000000-0005-0000-0000-00001E010000}"/>
    <cellStyle name="Dollar- 10 font 2" xfId="298" xr:uid="{00000000-0005-0000-0000-00001F010000}"/>
    <cellStyle name="Double Underline" xfId="299" xr:uid="{00000000-0005-0000-0000-000020010000}"/>
    <cellStyle name="Enter Currency (0)" xfId="300" xr:uid="{00000000-0005-0000-0000-000021010000}"/>
    <cellStyle name="Enter Currency (2)" xfId="301" xr:uid="{00000000-0005-0000-0000-000022010000}"/>
    <cellStyle name="Enter Units (0)" xfId="302" xr:uid="{00000000-0005-0000-0000-000023010000}"/>
    <cellStyle name="Enter Units (1)" xfId="303" xr:uid="{00000000-0005-0000-0000-000024010000}"/>
    <cellStyle name="Enter Units (2)" xfId="304" xr:uid="{00000000-0005-0000-0000-000025010000}"/>
    <cellStyle name="Euro" xfId="305" xr:uid="{00000000-0005-0000-0000-000026010000}"/>
    <cellStyle name="EvenBodyShade" xfId="306" xr:uid="{00000000-0005-0000-0000-000027010000}"/>
    <cellStyle name="Explanatory Text 2" xfId="307" xr:uid="{00000000-0005-0000-0000-000028010000}"/>
    <cellStyle name="EY House" xfId="308" xr:uid="{00000000-0005-0000-0000-000029010000}"/>
    <cellStyle name="F1" xfId="309" xr:uid="{00000000-0005-0000-0000-00002A010000}"/>
    <cellStyle name="F2" xfId="310" xr:uid="{00000000-0005-0000-0000-00002B010000}"/>
    <cellStyle name="F3" xfId="311" xr:uid="{00000000-0005-0000-0000-00002C010000}"/>
    <cellStyle name="F4" xfId="312" xr:uid="{00000000-0005-0000-0000-00002D010000}"/>
    <cellStyle name="F5" xfId="313" xr:uid="{00000000-0005-0000-0000-00002E010000}"/>
    <cellStyle name="F6" xfId="314" xr:uid="{00000000-0005-0000-0000-00002F010000}"/>
    <cellStyle name="F7" xfId="315" xr:uid="{00000000-0005-0000-0000-000030010000}"/>
    <cellStyle name="F8" xfId="316" xr:uid="{00000000-0005-0000-0000-000031010000}"/>
    <cellStyle name="Fix 0" xfId="317" xr:uid="{00000000-0005-0000-0000-000032010000}"/>
    <cellStyle name="Fix 0.0" xfId="318" xr:uid="{00000000-0005-0000-0000-000033010000}"/>
    <cellStyle name="Fix 0.00" xfId="319" xr:uid="{00000000-0005-0000-0000-000034010000}"/>
    <cellStyle name="Fixed" xfId="320" xr:uid="{00000000-0005-0000-0000-000035010000}"/>
    <cellStyle name="Footnote" xfId="321" xr:uid="{00000000-0005-0000-0000-000036010000}"/>
    <cellStyle name="Good 2" xfId="322" xr:uid="{00000000-0005-0000-0000-000037010000}"/>
    <cellStyle name="GrandTotal" xfId="323" xr:uid="{00000000-0005-0000-0000-000038010000}"/>
    <cellStyle name="Grey" xfId="324" xr:uid="{00000000-0005-0000-0000-000039010000}"/>
    <cellStyle name="Head0" xfId="325" xr:uid="{00000000-0005-0000-0000-00003A010000}"/>
    <cellStyle name="Head1" xfId="326" xr:uid="{00000000-0005-0000-0000-00003B010000}"/>
    <cellStyle name="Head2" xfId="327" xr:uid="{00000000-0005-0000-0000-00003C010000}"/>
    <cellStyle name="Head3" xfId="328" xr:uid="{00000000-0005-0000-0000-00003D010000}"/>
    <cellStyle name="Head4" xfId="329" xr:uid="{00000000-0005-0000-0000-00003E010000}"/>
    <cellStyle name="Head5" xfId="330" xr:uid="{00000000-0005-0000-0000-00003F010000}"/>
    <cellStyle name="Head6" xfId="331" xr:uid="{00000000-0005-0000-0000-000040010000}"/>
    <cellStyle name="Head7" xfId="332" xr:uid="{00000000-0005-0000-0000-000041010000}"/>
    <cellStyle name="Head8" xfId="333" xr:uid="{00000000-0005-0000-0000-000042010000}"/>
    <cellStyle name="Head9" xfId="334" xr:uid="{00000000-0005-0000-0000-000043010000}"/>
    <cellStyle name="Header" xfId="335" xr:uid="{00000000-0005-0000-0000-000044010000}"/>
    <cellStyle name="Header1" xfId="336" xr:uid="{00000000-0005-0000-0000-000045010000}"/>
    <cellStyle name="Header1 2" xfId="337" xr:uid="{00000000-0005-0000-0000-000046010000}"/>
    <cellStyle name="Header1 3" xfId="338" xr:uid="{00000000-0005-0000-0000-000047010000}"/>
    <cellStyle name="Header2" xfId="339" xr:uid="{00000000-0005-0000-0000-000048010000}"/>
    <cellStyle name="Header2 2" xfId="340" xr:uid="{00000000-0005-0000-0000-000049010000}"/>
    <cellStyle name="Heading" xfId="341" xr:uid="{00000000-0005-0000-0000-00004A010000}"/>
    <cellStyle name="Heading 1 2" xfId="342" xr:uid="{00000000-0005-0000-0000-00004B010000}"/>
    <cellStyle name="Heading 2 2" xfId="343" xr:uid="{00000000-0005-0000-0000-00004C010000}"/>
    <cellStyle name="Heading 3 2" xfId="344" xr:uid="{00000000-0005-0000-0000-00004D010000}"/>
    <cellStyle name="Heading 4 2" xfId="345" xr:uid="{00000000-0005-0000-0000-00004E010000}"/>
    <cellStyle name="Heading 5" xfId="346" xr:uid="{00000000-0005-0000-0000-00004F010000}"/>
    <cellStyle name="Heading 6" xfId="347" xr:uid="{00000000-0005-0000-0000-000050010000}"/>
    <cellStyle name="heading1" xfId="348" xr:uid="{00000000-0005-0000-0000-000051010000}"/>
    <cellStyle name="Heading2" xfId="349" xr:uid="{00000000-0005-0000-0000-000052010000}"/>
    <cellStyle name="Heading3" xfId="350" xr:uid="{00000000-0005-0000-0000-000053010000}"/>
    <cellStyle name="HeadShade" xfId="351" xr:uid="{00000000-0005-0000-0000-000054010000}"/>
    <cellStyle name="I" xfId="352" xr:uid="{00000000-0005-0000-0000-000055010000}"/>
    <cellStyle name="Input [yellow]" xfId="353" xr:uid="{00000000-0005-0000-0000-000056010000}"/>
    <cellStyle name="Input [yellow] 2" xfId="354" xr:uid="{00000000-0005-0000-0000-000057010000}"/>
    <cellStyle name="Input [yellow] 2 10" xfId="355" xr:uid="{00000000-0005-0000-0000-000058010000}"/>
    <cellStyle name="Input [yellow] 2 10 2" xfId="356" xr:uid="{00000000-0005-0000-0000-000059010000}"/>
    <cellStyle name="Input [yellow] 2 10 3" xfId="357" xr:uid="{00000000-0005-0000-0000-00005A010000}"/>
    <cellStyle name="Input [yellow] 2 10 4" xfId="358" xr:uid="{00000000-0005-0000-0000-00005B010000}"/>
    <cellStyle name="Input [yellow] 2 10 5" xfId="359" xr:uid="{00000000-0005-0000-0000-00005C010000}"/>
    <cellStyle name="Input [yellow] 2 10 6" xfId="360" xr:uid="{00000000-0005-0000-0000-00005D010000}"/>
    <cellStyle name="Input [yellow] 2 10 7" xfId="361" xr:uid="{00000000-0005-0000-0000-00005E010000}"/>
    <cellStyle name="Input [yellow] 2 11" xfId="362" xr:uid="{00000000-0005-0000-0000-00005F010000}"/>
    <cellStyle name="Input [yellow] 2 11 2" xfId="363" xr:uid="{00000000-0005-0000-0000-000060010000}"/>
    <cellStyle name="Input [yellow] 2 11 3" xfId="364" xr:uid="{00000000-0005-0000-0000-000061010000}"/>
    <cellStyle name="Input [yellow] 2 11 4" xfId="365" xr:uid="{00000000-0005-0000-0000-000062010000}"/>
    <cellStyle name="Input [yellow] 2 11 5" xfId="366" xr:uid="{00000000-0005-0000-0000-000063010000}"/>
    <cellStyle name="Input [yellow] 2 11 6" xfId="367" xr:uid="{00000000-0005-0000-0000-000064010000}"/>
    <cellStyle name="Input [yellow] 2 11 7" xfId="368" xr:uid="{00000000-0005-0000-0000-000065010000}"/>
    <cellStyle name="Input [yellow] 2 12" xfId="369" xr:uid="{00000000-0005-0000-0000-000066010000}"/>
    <cellStyle name="Input [yellow] 2 12 2" xfId="370" xr:uid="{00000000-0005-0000-0000-000067010000}"/>
    <cellStyle name="Input [yellow] 2 12 3" xfId="371" xr:uid="{00000000-0005-0000-0000-000068010000}"/>
    <cellStyle name="Input [yellow] 2 12 4" xfId="372" xr:uid="{00000000-0005-0000-0000-000069010000}"/>
    <cellStyle name="Input [yellow] 2 12 5" xfId="373" xr:uid="{00000000-0005-0000-0000-00006A010000}"/>
    <cellStyle name="Input [yellow] 2 12 6" xfId="374" xr:uid="{00000000-0005-0000-0000-00006B010000}"/>
    <cellStyle name="Input [yellow] 2 12 7" xfId="375" xr:uid="{00000000-0005-0000-0000-00006C010000}"/>
    <cellStyle name="Input [yellow] 2 13" xfId="376" xr:uid="{00000000-0005-0000-0000-00006D010000}"/>
    <cellStyle name="Input [yellow] 2 13 2" xfId="377" xr:uid="{00000000-0005-0000-0000-00006E010000}"/>
    <cellStyle name="Input [yellow] 2 13 3" xfId="378" xr:uid="{00000000-0005-0000-0000-00006F010000}"/>
    <cellStyle name="Input [yellow] 2 13 4" xfId="379" xr:uid="{00000000-0005-0000-0000-000070010000}"/>
    <cellStyle name="Input [yellow] 2 13 5" xfId="380" xr:uid="{00000000-0005-0000-0000-000071010000}"/>
    <cellStyle name="Input [yellow] 2 13 6" xfId="381" xr:uid="{00000000-0005-0000-0000-000072010000}"/>
    <cellStyle name="Input [yellow] 2 13 7" xfId="382" xr:uid="{00000000-0005-0000-0000-000073010000}"/>
    <cellStyle name="Input [yellow] 2 14" xfId="383" xr:uid="{00000000-0005-0000-0000-000074010000}"/>
    <cellStyle name="Input [yellow] 2 14 2" xfId="384" xr:uid="{00000000-0005-0000-0000-000075010000}"/>
    <cellStyle name="Input [yellow] 2 14 3" xfId="385" xr:uid="{00000000-0005-0000-0000-000076010000}"/>
    <cellStyle name="Input [yellow] 2 14 4" xfId="386" xr:uid="{00000000-0005-0000-0000-000077010000}"/>
    <cellStyle name="Input [yellow] 2 14 5" xfId="387" xr:uid="{00000000-0005-0000-0000-000078010000}"/>
    <cellStyle name="Input [yellow] 2 14 6" xfId="388" xr:uid="{00000000-0005-0000-0000-000079010000}"/>
    <cellStyle name="Input [yellow] 2 14 7" xfId="389" xr:uid="{00000000-0005-0000-0000-00007A010000}"/>
    <cellStyle name="Input [yellow] 2 15" xfId="390" xr:uid="{00000000-0005-0000-0000-00007B010000}"/>
    <cellStyle name="Input [yellow] 2 15 2" xfId="391" xr:uid="{00000000-0005-0000-0000-00007C010000}"/>
    <cellStyle name="Input [yellow] 2 15 3" xfId="392" xr:uid="{00000000-0005-0000-0000-00007D010000}"/>
    <cellStyle name="Input [yellow] 2 15 4" xfId="393" xr:uid="{00000000-0005-0000-0000-00007E010000}"/>
    <cellStyle name="Input [yellow] 2 15 5" xfId="394" xr:uid="{00000000-0005-0000-0000-00007F010000}"/>
    <cellStyle name="Input [yellow] 2 15 6" xfId="395" xr:uid="{00000000-0005-0000-0000-000080010000}"/>
    <cellStyle name="Input [yellow] 2 15 7" xfId="396" xr:uid="{00000000-0005-0000-0000-000081010000}"/>
    <cellStyle name="Input [yellow] 2 16" xfId="397" xr:uid="{00000000-0005-0000-0000-000082010000}"/>
    <cellStyle name="Input [yellow] 2 16 2" xfId="398" xr:uid="{00000000-0005-0000-0000-000083010000}"/>
    <cellStyle name="Input [yellow] 2 16 3" xfId="399" xr:uid="{00000000-0005-0000-0000-000084010000}"/>
    <cellStyle name="Input [yellow] 2 16 4" xfId="400" xr:uid="{00000000-0005-0000-0000-000085010000}"/>
    <cellStyle name="Input [yellow] 2 16 5" xfId="401" xr:uid="{00000000-0005-0000-0000-000086010000}"/>
    <cellStyle name="Input [yellow] 2 16 6" xfId="402" xr:uid="{00000000-0005-0000-0000-000087010000}"/>
    <cellStyle name="Input [yellow] 2 16 7" xfId="403" xr:uid="{00000000-0005-0000-0000-000088010000}"/>
    <cellStyle name="Input [yellow] 2 17" xfId="404" xr:uid="{00000000-0005-0000-0000-000089010000}"/>
    <cellStyle name="Input [yellow] 2 17 2" xfId="405" xr:uid="{00000000-0005-0000-0000-00008A010000}"/>
    <cellStyle name="Input [yellow] 2 17 3" xfId="406" xr:uid="{00000000-0005-0000-0000-00008B010000}"/>
    <cellStyle name="Input [yellow] 2 17 4" xfId="407" xr:uid="{00000000-0005-0000-0000-00008C010000}"/>
    <cellStyle name="Input [yellow] 2 17 5" xfId="408" xr:uid="{00000000-0005-0000-0000-00008D010000}"/>
    <cellStyle name="Input [yellow] 2 17 6" xfId="409" xr:uid="{00000000-0005-0000-0000-00008E010000}"/>
    <cellStyle name="Input [yellow] 2 17 7" xfId="410" xr:uid="{00000000-0005-0000-0000-00008F010000}"/>
    <cellStyle name="Input [yellow] 2 18" xfId="411" xr:uid="{00000000-0005-0000-0000-000090010000}"/>
    <cellStyle name="Input [yellow] 2 18 2" xfId="412" xr:uid="{00000000-0005-0000-0000-000091010000}"/>
    <cellStyle name="Input [yellow] 2 18 3" xfId="413" xr:uid="{00000000-0005-0000-0000-000092010000}"/>
    <cellStyle name="Input [yellow] 2 18 4" xfId="414" xr:uid="{00000000-0005-0000-0000-000093010000}"/>
    <cellStyle name="Input [yellow] 2 18 5" xfId="415" xr:uid="{00000000-0005-0000-0000-000094010000}"/>
    <cellStyle name="Input [yellow] 2 18 6" xfId="416" xr:uid="{00000000-0005-0000-0000-000095010000}"/>
    <cellStyle name="Input [yellow] 2 18 7" xfId="417" xr:uid="{00000000-0005-0000-0000-000096010000}"/>
    <cellStyle name="Input [yellow] 2 19" xfId="418" xr:uid="{00000000-0005-0000-0000-000097010000}"/>
    <cellStyle name="Input [yellow] 2 19 2" xfId="419" xr:uid="{00000000-0005-0000-0000-000098010000}"/>
    <cellStyle name="Input [yellow] 2 19 3" xfId="420" xr:uid="{00000000-0005-0000-0000-000099010000}"/>
    <cellStyle name="Input [yellow] 2 19 4" xfId="421" xr:uid="{00000000-0005-0000-0000-00009A010000}"/>
    <cellStyle name="Input [yellow] 2 19 5" xfId="422" xr:uid="{00000000-0005-0000-0000-00009B010000}"/>
    <cellStyle name="Input [yellow] 2 19 6" xfId="423" xr:uid="{00000000-0005-0000-0000-00009C010000}"/>
    <cellStyle name="Input [yellow] 2 19 7" xfId="424" xr:uid="{00000000-0005-0000-0000-00009D010000}"/>
    <cellStyle name="Input [yellow] 2 2" xfId="425" xr:uid="{00000000-0005-0000-0000-00009E010000}"/>
    <cellStyle name="Input [yellow] 2 2 10" xfId="426" xr:uid="{00000000-0005-0000-0000-00009F010000}"/>
    <cellStyle name="Input [yellow] 2 2 10 2" xfId="427" xr:uid="{00000000-0005-0000-0000-0000A0010000}"/>
    <cellStyle name="Input [yellow] 2 2 10 3" xfId="428" xr:uid="{00000000-0005-0000-0000-0000A1010000}"/>
    <cellStyle name="Input [yellow] 2 2 10 4" xfId="429" xr:uid="{00000000-0005-0000-0000-0000A2010000}"/>
    <cellStyle name="Input [yellow] 2 2 10 5" xfId="430" xr:uid="{00000000-0005-0000-0000-0000A3010000}"/>
    <cellStyle name="Input [yellow] 2 2 10 6" xfId="431" xr:uid="{00000000-0005-0000-0000-0000A4010000}"/>
    <cellStyle name="Input [yellow] 2 2 10 7" xfId="432" xr:uid="{00000000-0005-0000-0000-0000A5010000}"/>
    <cellStyle name="Input [yellow] 2 2 11" xfId="433" xr:uid="{00000000-0005-0000-0000-0000A6010000}"/>
    <cellStyle name="Input [yellow] 2 2 11 2" xfId="434" xr:uid="{00000000-0005-0000-0000-0000A7010000}"/>
    <cellStyle name="Input [yellow] 2 2 11 3" xfId="435" xr:uid="{00000000-0005-0000-0000-0000A8010000}"/>
    <cellStyle name="Input [yellow] 2 2 11 4" xfId="436" xr:uid="{00000000-0005-0000-0000-0000A9010000}"/>
    <cellStyle name="Input [yellow] 2 2 11 5" xfId="437" xr:uid="{00000000-0005-0000-0000-0000AA010000}"/>
    <cellStyle name="Input [yellow] 2 2 11 6" xfId="438" xr:uid="{00000000-0005-0000-0000-0000AB010000}"/>
    <cellStyle name="Input [yellow] 2 2 11 7" xfId="439" xr:uid="{00000000-0005-0000-0000-0000AC010000}"/>
    <cellStyle name="Input [yellow] 2 2 12" xfId="440" xr:uid="{00000000-0005-0000-0000-0000AD010000}"/>
    <cellStyle name="Input [yellow] 2 2 12 2" xfId="441" xr:uid="{00000000-0005-0000-0000-0000AE010000}"/>
    <cellStyle name="Input [yellow] 2 2 12 3" xfId="442" xr:uid="{00000000-0005-0000-0000-0000AF010000}"/>
    <cellStyle name="Input [yellow] 2 2 12 4" xfId="443" xr:uid="{00000000-0005-0000-0000-0000B0010000}"/>
    <cellStyle name="Input [yellow] 2 2 12 5" xfId="444" xr:uid="{00000000-0005-0000-0000-0000B1010000}"/>
    <cellStyle name="Input [yellow] 2 2 12 6" xfId="445" xr:uid="{00000000-0005-0000-0000-0000B2010000}"/>
    <cellStyle name="Input [yellow] 2 2 12 7" xfId="446" xr:uid="{00000000-0005-0000-0000-0000B3010000}"/>
    <cellStyle name="Input [yellow] 2 2 13" xfId="447" xr:uid="{00000000-0005-0000-0000-0000B4010000}"/>
    <cellStyle name="Input [yellow] 2 2 13 2" xfId="448" xr:uid="{00000000-0005-0000-0000-0000B5010000}"/>
    <cellStyle name="Input [yellow] 2 2 13 3" xfId="449" xr:uid="{00000000-0005-0000-0000-0000B6010000}"/>
    <cellStyle name="Input [yellow] 2 2 13 4" xfId="450" xr:uid="{00000000-0005-0000-0000-0000B7010000}"/>
    <cellStyle name="Input [yellow] 2 2 13 5" xfId="451" xr:uid="{00000000-0005-0000-0000-0000B8010000}"/>
    <cellStyle name="Input [yellow] 2 2 13 6" xfId="452" xr:uid="{00000000-0005-0000-0000-0000B9010000}"/>
    <cellStyle name="Input [yellow] 2 2 13 7" xfId="453" xr:uid="{00000000-0005-0000-0000-0000BA010000}"/>
    <cellStyle name="Input [yellow] 2 2 14" xfId="454" xr:uid="{00000000-0005-0000-0000-0000BB010000}"/>
    <cellStyle name="Input [yellow] 2 2 14 2" xfId="455" xr:uid="{00000000-0005-0000-0000-0000BC010000}"/>
    <cellStyle name="Input [yellow] 2 2 14 3" xfId="456" xr:uid="{00000000-0005-0000-0000-0000BD010000}"/>
    <cellStyle name="Input [yellow] 2 2 14 4" xfId="457" xr:uid="{00000000-0005-0000-0000-0000BE010000}"/>
    <cellStyle name="Input [yellow] 2 2 14 5" xfId="458" xr:uid="{00000000-0005-0000-0000-0000BF010000}"/>
    <cellStyle name="Input [yellow] 2 2 14 6" xfId="459" xr:uid="{00000000-0005-0000-0000-0000C0010000}"/>
    <cellStyle name="Input [yellow] 2 2 14 7" xfId="460" xr:uid="{00000000-0005-0000-0000-0000C1010000}"/>
    <cellStyle name="Input [yellow] 2 2 15" xfId="461" xr:uid="{00000000-0005-0000-0000-0000C2010000}"/>
    <cellStyle name="Input [yellow] 2 2 15 2" xfId="462" xr:uid="{00000000-0005-0000-0000-0000C3010000}"/>
    <cellStyle name="Input [yellow] 2 2 15 3" xfId="463" xr:uid="{00000000-0005-0000-0000-0000C4010000}"/>
    <cellStyle name="Input [yellow] 2 2 15 4" xfId="464" xr:uid="{00000000-0005-0000-0000-0000C5010000}"/>
    <cellStyle name="Input [yellow] 2 2 15 5" xfId="465" xr:uid="{00000000-0005-0000-0000-0000C6010000}"/>
    <cellStyle name="Input [yellow] 2 2 15 6" xfId="466" xr:uid="{00000000-0005-0000-0000-0000C7010000}"/>
    <cellStyle name="Input [yellow] 2 2 15 7" xfId="467" xr:uid="{00000000-0005-0000-0000-0000C8010000}"/>
    <cellStyle name="Input [yellow] 2 2 16" xfId="468" xr:uid="{00000000-0005-0000-0000-0000C9010000}"/>
    <cellStyle name="Input [yellow] 2 2 16 2" xfId="469" xr:uid="{00000000-0005-0000-0000-0000CA010000}"/>
    <cellStyle name="Input [yellow] 2 2 16 3" xfId="470" xr:uid="{00000000-0005-0000-0000-0000CB010000}"/>
    <cellStyle name="Input [yellow] 2 2 16 4" xfId="471" xr:uid="{00000000-0005-0000-0000-0000CC010000}"/>
    <cellStyle name="Input [yellow] 2 2 16 5" xfId="472" xr:uid="{00000000-0005-0000-0000-0000CD010000}"/>
    <cellStyle name="Input [yellow] 2 2 16 6" xfId="473" xr:uid="{00000000-0005-0000-0000-0000CE010000}"/>
    <cellStyle name="Input [yellow] 2 2 16 7" xfId="474" xr:uid="{00000000-0005-0000-0000-0000CF010000}"/>
    <cellStyle name="Input [yellow] 2 2 17" xfId="475" xr:uid="{00000000-0005-0000-0000-0000D0010000}"/>
    <cellStyle name="Input [yellow] 2 2 17 2" xfId="476" xr:uid="{00000000-0005-0000-0000-0000D1010000}"/>
    <cellStyle name="Input [yellow] 2 2 17 3" xfId="477" xr:uid="{00000000-0005-0000-0000-0000D2010000}"/>
    <cellStyle name="Input [yellow] 2 2 17 4" xfId="478" xr:uid="{00000000-0005-0000-0000-0000D3010000}"/>
    <cellStyle name="Input [yellow] 2 2 17 5" xfId="479" xr:uid="{00000000-0005-0000-0000-0000D4010000}"/>
    <cellStyle name="Input [yellow] 2 2 17 6" xfId="480" xr:uid="{00000000-0005-0000-0000-0000D5010000}"/>
    <cellStyle name="Input [yellow] 2 2 17 7" xfId="481" xr:uid="{00000000-0005-0000-0000-0000D6010000}"/>
    <cellStyle name="Input [yellow] 2 2 18" xfId="482" xr:uid="{00000000-0005-0000-0000-0000D7010000}"/>
    <cellStyle name="Input [yellow] 2 2 18 2" xfId="483" xr:uid="{00000000-0005-0000-0000-0000D8010000}"/>
    <cellStyle name="Input [yellow] 2 2 18 3" xfId="484" xr:uid="{00000000-0005-0000-0000-0000D9010000}"/>
    <cellStyle name="Input [yellow] 2 2 18 4" xfId="485" xr:uid="{00000000-0005-0000-0000-0000DA010000}"/>
    <cellStyle name="Input [yellow] 2 2 18 5" xfId="486" xr:uid="{00000000-0005-0000-0000-0000DB010000}"/>
    <cellStyle name="Input [yellow] 2 2 18 6" xfId="487" xr:uid="{00000000-0005-0000-0000-0000DC010000}"/>
    <cellStyle name="Input [yellow] 2 2 18 7" xfId="488" xr:uid="{00000000-0005-0000-0000-0000DD010000}"/>
    <cellStyle name="Input [yellow] 2 2 19" xfId="489" xr:uid="{00000000-0005-0000-0000-0000DE010000}"/>
    <cellStyle name="Input [yellow] 2 2 19 2" xfId="490" xr:uid="{00000000-0005-0000-0000-0000DF010000}"/>
    <cellStyle name="Input [yellow] 2 2 19 3" xfId="491" xr:uid="{00000000-0005-0000-0000-0000E0010000}"/>
    <cellStyle name="Input [yellow] 2 2 19 4" xfId="492" xr:uid="{00000000-0005-0000-0000-0000E1010000}"/>
    <cellStyle name="Input [yellow] 2 2 19 5" xfId="493" xr:uid="{00000000-0005-0000-0000-0000E2010000}"/>
    <cellStyle name="Input [yellow] 2 2 19 6" xfId="494" xr:uid="{00000000-0005-0000-0000-0000E3010000}"/>
    <cellStyle name="Input [yellow] 2 2 19 7" xfId="495" xr:uid="{00000000-0005-0000-0000-0000E4010000}"/>
    <cellStyle name="Input [yellow] 2 2 2" xfId="496" xr:uid="{00000000-0005-0000-0000-0000E5010000}"/>
    <cellStyle name="Input [yellow] 2 2 2 2" xfId="497" xr:uid="{00000000-0005-0000-0000-0000E6010000}"/>
    <cellStyle name="Input [yellow] 2 2 2 3" xfId="498" xr:uid="{00000000-0005-0000-0000-0000E7010000}"/>
    <cellStyle name="Input [yellow] 2 2 2 4" xfId="499" xr:uid="{00000000-0005-0000-0000-0000E8010000}"/>
    <cellStyle name="Input [yellow] 2 2 2 5" xfId="500" xr:uid="{00000000-0005-0000-0000-0000E9010000}"/>
    <cellStyle name="Input [yellow] 2 2 2 6" xfId="501" xr:uid="{00000000-0005-0000-0000-0000EA010000}"/>
    <cellStyle name="Input [yellow] 2 2 2 7" xfId="502" xr:uid="{00000000-0005-0000-0000-0000EB010000}"/>
    <cellStyle name="Input [yellow] 2 2 20" xfId="503" xr:uid="{00000000-0005-0000-0000-0000EC010000}"/>
    <cellStyle name="Input [yellow] 2 2 20 2" xfId="504" xr:uid="{00000000-0005-0000-0000-0000ED010000}"/>
    <cellStyle name="Input [yellow] 2 2 20 3" xfId="505" xr:uid="{00000000-0005-0000-0000-0000EE010000}"/>
    <cellStyle name="Input [yellow] 2 2 20 4" xfId="506" xr:uid="{00000000-0005-0000-0000-0000EF010000}"/>
    <cellStyle name="Input [yellow] 2 2 20 5" xfId="507" xr:uid="{00000000-0005-0000-0000-0000F0010000}"/>
    <cellStyle name="Input [yellow] 2 2 20 6" xfId="508" xr:uid="{00000000-0005-0000-0000-0000F1010000}"/>
    <cellStyle name="Input [yellow] 2 2 20 7" xfId="509" xr:uid="{00000000-0005-0000-0000-0000F2010000}"/>
    <cellStyle name="Input [yellow] 2 2 21" xfId="510" xr:uid="{00000000-0005-0000-0000-0000F3010000}"/>
    <cellStyle name="Input [yellow] 2 2 21 2" xfId="511" xr:uid="{00000000-0005-0000-0000-0000F4010000}"/>
    <cellStyle name="Input [yellow] 2 2 21 3" xfId="512" xr:uid="{00000000-0005-0000-0000-0000F5010000}"/>
    <cellStyle name="Input [yellow] 2 2 21 4" xfId="513" xr:uid="{00000000-0005-0000-0000-0000F6010000}"/>
    <cellStyle name="Input [yellow] 2 2 21 5" xfId="514" xr:uid="{00000000-0005-0000-0000-0000F7010000}"/>
    <cellStyle name="Input [yellow] 2 2 21 6" xfId="515" xr:uid="{00000000-0005-0000-0000-0000F8010000}"/>
    <cellStyle name="Input [yellow] 2 2 21 7" xfId="516" xr:uid="{00000000-0005-0000-0000-0000F9010000}"/>
    <cellStyle name="Input [yellow] 2 2 22" xfId="517" xr:uid="{00000000-0005-0000-0000-0000FA010000}"/>
    <cellStyle name="Input [yellow] 2 2 22 2" xfId="518" xr:uid="{00000000-0005-0000-0000-0000FB010000}"/>
    <cellStyle name="Input [yellow] 2 2 22 3" xfId="519" xr:uid="{00000000-0005-0000-0000-0000FC010000}"/>
    <cellStyle name="Input [yellow] 2 2 22 4" xfId="520" xr:uid="{00000000-0005-0000-0000-0000FD010000}"/>
    <cellStyle name="Input [yellow] 2 2 22 5" xfId="521" xr:uid="{00000000-0005-0000-0000-0000FE010000}"/>
    <cellStyle name="Input [yellow] 2 2 22 6" xfId="522" xr:uid="{00000000-0005-0000-0000-0000FF010000}"/>
    <cellStyle name="Input [yellow] 2 2 22 7" xfId="523" xr:uid="{00000000-0005-0000-0000-000000020000}"/>
    <cellStyle name="Input [yellow] 2 2 23" xfId="524" xr:uid="{00000000-0005-0000-0000-000001020000}"/>
    <cellStyle name="Input [yellow] 2 2 23 2" xfId="525" xr:uid="{00000000-0005-0000-0000-000002020000}"/>
    <cellStyle name="Input [yellow] 2 2 23 3" xfId="526" xr:uid="{00000000-0005-0000-0000-000003020000}"/>
    <cellStyle name="Input [yellow] 2 2 23 4" xfId="527" xr:uid="{00000000-0005-0000-0000-000004020000}"/>
    <cellStyle name="Input [yellow] 2 2 23 5" xfId="528" xr:uid="{00000000-0005-0000-0000-000005020000}"/>
    <cellStyle name="Input [yellow] 2 2 23 6" xfId="529" xr:uid="{00000000-0005-0000-0000-000006020000}"/>
    <cellStyle name="Input [yellow] 2 2 23 7" xfId="530" xr:uid="{00000000-0005-0000-0000-000007020000}"/>
    <cellStyle name="Input [yellow] 2 2 24" xfId="531" xr:uid="{00000000-0005-0000-0000-000008020000}"/>
    <cellStyle name="Input [yellow] 2 2 24 2" xfId="532" xr:uid="{00000000-0005-0000-0000-000009020000}"/>
    <cellStyle name="Input [yellow] 2 2 24 3" xfId="533" xr:uid="{00000000-0005-0000-0000-00000A020000}"/>
    <cellStyle name="Input [yellow] 2 2 24 4" xfId="534" xr:uid="{00000000-0005-0000-0000-00000B020000}"/>
    <cellStyle name="Input [yellow] 2 2 24 5" xfId="535" xr:uid="{00000000-0005-0000-0000-00000C020000}"/>
    <cellStyle name="Input [yellow] 2 2 24 6" xfId="536" xr:uid="{00000000-0005-0000-0000-00000D020000}"/>
    <cellStyle name="Input [yellow] 2 2 24 7" xfId="537" xr:uid="{00000000-0005-0000-0000-00000E020000}"/>
    <cellStyle name="Input [yellow] 2 2 25" xfId="538" xr:uid="{00000000-0005-0000-0000-00000F020000}"/>
    <cellStyle name="Input [yellow] 2 2 25 2" xfId="539" xr:uid="{00000000-0005-0000-0000-000010020000}"/>
    <cellStyle name="Input [yellow] 2 2 25 3" xfId="540" xr:uid="{00000000-0005-0000-0000-000011020000}"/>
    <cellStyle name="Input [yellow] 2 2 25 4" xfId="541" xr:uid="{00000000-0005-0000-0000-000012020000}"/>
    <cellStyle name="Input [yellow] 2 2 25 5" xfId="542" xr:uid="{00000000-0005-0000-0000-000013020000}"/>
    <cellStyle name="Input [yellow] 2 2 25 6" xfId="543" xr:uid="{00000000-0005-0000-0000-000014020000}"/>
    <cellStyle name="Input [yellow] 2 2 25 7" xfId="544" xr:uid="{00000000-0005-0000-0000-000015020000}"/>
    <cellStyle name="Input [yellow] 2 2 26" xfId="545" xr:uid="{00000000-0005-0000-0000-000016020000}"/>
    <cellStyle name="Input [yellow] 2 2 26 2" xfId="546" xr:uid="{00000000-0005-0000-0000-000017020000}"/>
    <cellStyle name="Input [yellow] 2 2 26 3" xfId="547" xr:uid="{00000000-0005-0000-0000-000018020000}"/>
    <cellStyle name="Input [yellow] 2 2 26 4" xfId="548" xr:uid="{00000000-0005-0000-0000-000019020000}"/>
    <cellStyle name="Input [yellow] 2 2 26 5" xfId="549" xr:uid="{00000000-0005-0000-0000-00001A020000}"/>
    <cellStyle name="Input [yellow] 2 2 26 6" xfId="550" xr:uid="{00000000-0005-0000-0000-00001B020000}"/>
    <cellStyle name="Input [yellow] 2 2 26 7" xfId="551" xr:uid="{00000000-0005-0000-0000-00001C020000}"/>
    <cellStyle name="Input [yellow] 2 2 27" xfId="552" xr:uid="{00000000-0005-0000-0000-00001D020000}"/>
    <cellStyle name="Input [yellow] 2 2 27 2" xfId="553" xr:uid="{00000000-0005-0000-0000-00001E020000}"/>
    <cellStyle name="Input [yellow] 2 2 27 3" xfId="554" xr:uid="{00000000-0005-0000-0000-00001F020000}"/>
    <cellStyle name="Input [yellow] 2 2 27 4" xfId="555" xr:uid="{00000000-0005-0000-0000-000020020000}"/>
    <cellStyle name="Input [yellow] 2 2 27 5" xfId="556" xr:uid="{00000000-0005-0000-0000-000021020000}"/>
    <cellStyle name="Input [yellow] 2 2 27 6" xfId="557" xr:uid="{00000000-0005-0000-0000-000022020000}"/>
    <cellStyle name="Input [yellow] 2 2 27 7" xfId="558" xr:uid="{00000000-0005-0000-0000-000023020000}"/>
    <cellStyle name="Input [yellow] 2 2 28" xfId="559" xr:uid="{00000000-0005-0000-0000-000024020000}"/>
    <cellStyle name="Input [yellow] 2 2 28 2" xfId="560" xr:uid="{00000000-0005-0000-0000-000025020000}"/>
    <cellStyle name="Input [yellow] 2 2 28 3" xfId="561" xr:uid="{00000000-0005-0000-0000-000026020000}"/>
    <cellStyle name="Input [yellow] 2 2 28 4" xfId="562" xr:uid="{00000000-0005-0000-0000-000027020000}"/>
    <cellStyle name="Input [yellow] 2 2 28 5" xfId="563" xr:uid="{00000000-0005-0000-0000-000028020000}"/>
    <cellStyle name="Input [yellow] 2 2 28 6" xfId="564" xr:uid="{00000000-0005-0000-0000-000029020000}"/>
    <cellStyle name="Input [yellow] 2 2 28 7" xfId="565" xr:uid="{00000000-0005-0000-0000-00002A020000}"/>
    <cellStyle name="Input [yellow] 2 2 29" xfId="566" xr:uid="{00000000-0005-0000-0000-00002B020000}"/>
    <cellStyle name="Input [yellow] 2 2 29 2" xfId="567" xr:uid="{00000000-0005-0000-0000-00002C020000}"/>
    <cellStyle name="Input [yellow] 2 2 29 3" xfId="568" xr:uid="{00000000-0005-0000-0000-00002D020000}"/>
    <cellStyle name="Input [yellow] 2 2 29 4" xfId="569" xr:uid="{00000000-0005-0000-0000-00002E020000}"/>
    <cellStyle name="Input [yellow] 2 2 29 5" xfId="570" xr:uid="{00000000-0005-0000-0000-00002F020000}"/>
    <cellStyle name="Input [yellow] 2 2 29 6" xfId="571" xr:uid="{00000000-0005-0000-0000-000030020000}"/>
    <cellStyle name="Input [yellow] 2 2 29 7" xfId="572" xr:uid="{00000000-0005-0000-0000-000031020000}"/>
    <cellStyle name="Input [yellow] 2 2 3" xfId="573" xr:uid="{00000000-0005-0000-0000-000032020000}"/>
    <cellStyle name="Input [yellow] 2 2 3 2" xfId="574" xr:uid="{00000000-0005-0000-0000-000033020000}"/>
    <cellStyle name="Input [yellow] 2 2 3 3" xfId="575" xr:uid="{00000000-0005-0000-0000-000034020000}"/>
    <cellStyle name="Input [yellow] 2 2 3 4" xfId="576" xr:uid="{00000000-0005-0000-0000-000035020000}"/>
    <cellStyle name="Input [yellow] 2 2 3 5" xfId="577" xr:uid="{00000000-0005-0000-0000-000036020000}"/>
    <cellStyle name="Input [yellow] 2 2 3 6" xfId="578" xr:uid="{00000000-0005-0000-0000-000037020000}"/>
    <cellStyle name="Input [yellow] 2 2 3 7" xfId="579" xr:uid="{00000000-0005-0000-0000-000038020000}"/>
    <cellStyle name="Input [yellow] 2 2 30" xfId="580" xr:uid="{00000000-0005-0000-0000-000039020000}"/>
    <cellStyle name="Input [yellow] 2 2 30 2" xfId="581" xr:uid="{00000000-0005-0000-0000-00003A020000}"/>
    <cellStyle name="Input [yellow] 2 2 30 3" xfId="582" xr:uid="{00000000-0005-0000-0000-00003B020000}"/>
    <cellStyle name="Input [yellow] 2 2 30 4" xfId="583" xr:uid="{00000000-0005-0000-0000-00003C020000}"/>
    <cellStyle name="Input [yellow] 2 2 30 5" xfId="584" xr:uid="{00000000-0005-0000-0000-00003D020000}"/>
    <cellStyle name="Input [yellow] 2 2 30 6" xfId="585" xr:uid="{00000000-0005-0000-0000-00003E020000}"/>
    <cellStyle name="Input [yellow] 2 2 30 7" xfId="586" xr:uid="{00000000-0005-0000-0000-00003F020000}"/>
    <cellStyle name="Input [yellow] 2 2 31" xfId="587" xr:uid="{00000000-0005-0000-0000-000040020000}"/>
    <cellStyle name="Input [yellow] 2 2 31 2" xfId="588" xr:uid="{00000000-0005-0000-0000-000041020000}"/>
    <cellStyle name="Input [yellow] 2 2 31 3" xfId="589" xr:uid="{00000000-0005-0000-0000-000042020000}"/>
    <cellStyle name="Input [yellow] 2 2 31 4" xfId="590" xr:uid="{00000000-0005-0000-0000-000043020000}"/>
    <cellStyle name="Input [yellow] 2 2 31 5" xfId="591" xr:uid="{00000000-0005-0000-0000-000044020000}"/>
    <cellStyle name="Input [yellow] 2 2 31 6" xfId="592" xr:uid="{00000000-0005-0000-0000-000045020000}"/>
    <cellStyle name="Input [yellow] 2 2 32" xfId="593" xr:uid="{00000000-0005-0000-0000-000046020000}"/>
    <cellStyle name="Input [yellow] 2 2 33" xfId="594" xr:uid="{00000000-0005-0000-0000-000047020000}"/>
    <cellStyle name="Input [yellow] 2 2 34" xfId="595" xr:uid="{00000000-0005-0000-0000-000048020000}"/>
    <cellStyle name="Input [yellow] 2 2 35" xfId="596" xr:uid="{00000000-0005-0000-0000-000049020000}"/>
    <cellStyle name="Input [yellow] 2 2 36" xfId="597" xr:uid="{00000000-0005-0000-0000-00004A020000}"/>
    <cellStyle name="Input [yellow] 2 2 4" xfId="598" xr:uid="{00000000-0005-0000-0000-00004B020000}"/>
    <cellStyle name="Input [yellow] 2 2 4 2" xfId="599" xr:uid="{00000000-0005-0000-0000-00004C020000}"/>
    <cellStyle name="Input [yellow] 2 2 4 3" xfId="600" xr:uid="{00000000-0005-0000-0000-00004D020000}"/>
    <cellStyle name="Input [yellow] 2 2 4 4" xfId="601" xr:uid="{00000000-0005-0000-0000-00004E020000}"/>
    <cellStyle name="Input [yellow] 2 2 4 5" xfId="602" xr:uid="{00000000-0005-0000-0000-00004F020000}"/>
    <cellStyle name="Input [yellow] 2 2 4 6" xfId="603" xr:uid="{00000000-0005-0000-0000-000050020000}"/>
    <cellStyle name="Input [yellow] 2 2 4 7" xfId="604" xr:uid="{00000000-0005-0000-0000-000051020000}"/>
    <cellStyle name="Input [yellow] 2 2 5" xfId="605" xr:uid="{00000000-0005-0000-0000-000052020000}"/>
    <cellStyle name="Input [yellow] 2 2 5 2" xfId="606" xr:uid="{00000000-0005-0000-0000-000053020000}"/>
    <cellStyle name="Input [yellow] 2 2 5 3" xfId="607" xr:uid="{00000000-0005-0000-0000-000054020000}"/>
    <cellStyle name="Input [yellow] 2 2 5 4" xfId="608" xr:uid="{00000000-0005-0000-0000-000055020000}"/>
    <cellStyle name="Input [yellow] 2 2 5 5" xfId="609" xr:uid="{00000000-0005-0000-0000-000056020000}"/>
    <cellStyle name="Input [yellow] 2 2 5 6" xfId="610" xr:uid="{00000000-0005-0000-0000-000057020000}"/>
    <cellStyle name="Input [yellow] 2 2 5 7" xfId="611" xr:uid="{00000000-0005-0000-0000-000058020000}"/>
    <cellStyle name="Input [yellow] 2 2 6" xfId="612" xr:uid="{00000000-0005-0000-0000-000059020000}"/>
    <cellStyle name="Input [yellow] 2 2 6 2" xfId="613" xr:uid="{00000000-0005-0000-0000-00005A020000}"/>
    <cellStyle name="Input [yellow] 2 2 6 3" xfId="614" xr:uid="{00000000-0005-0000-0000-00005B020000}"/>
    <cellStyle name="Input [yellow] 2 2 6 4" xfId="615" xr:uid="{00000000-0005-0000-0000-00005C020000}"/>
    <cellStyle name="Input [yellow] 2 2 6 5" xfId="616" xr:uid="{00000000-0005-0000-0000-00005D020000}"/>
    <cellStyle name="Input [yellow] 2 2 6 6" xfId="617" xr:uid="{00000000-0005-0000-0000-00005E020000}"/>
    <cellStyle name="Input [yellow] 2 2 6 7" xfId="618" xr:uid="{00000000-0005-0000-0000-00005F020000}"/>
    <cellStyle name="Input [yellow] 2 2 7" xfId="619" xr:uid="{00000000-0005-0000-0000-000060020000}"/>
    <cellStyle name="Input [yellow] 2 2 7 2" xfId="620" xr:uid="{00000000-0005-0000-0000-000061020000}"/>
    <cellStyle name="Input [yellow] 2 2 7 3" xfId="621" xr:uid="{00000000-0005-0000-0000-000062020000}"/>
    <cellStyle name="Input [yellow] 2 2 7 4" xfId="622" xr:uid="{00000000-0005-0000-0000-000063020000}"/>
    <cellStyle name="Input [yellow] 2 2 7 5" xfId="623" xr:uid="{00000000-0005-0000-0000-000064020000}"/>
    <cellStyle name="Input [yellow] 2 2 7 6" xfId="624" xr:uid="{00000000-0005-0000-0000-000065020000}"/>
    <cellStyle name="Input [yellow] 2 2 7 7" xfId="625" xr:uid="{00000000-0005-0000-0000-000066020000}"/>
    <cellStyle name="Input [yellow] 2 2 8" xfId="626" xr:uid="{00000000-0005-0000-0000-000067020000}"/>
    <cellStyle name="Input [yellow] 2 2 8 2" xfId="627" xr:uid="{00000000-0005-0000-0000-000068020000}"/>
    <cellStyle name="Input [yellow] 2 2 8 3" xfId="628" xr:uid="{00000000-0005-0000-0000-000069020000}"/>
    <cellStyle name="Input [yellow] 2 2 8 4" xfId="629" xr:uid="{00000000-0005-0000-0000-00006A020000}"/>
    <cellStyle name="Input [yellow] 2 2 8 5" xfId="630" xr:uid="{00000000-0005-0000-0000-00006B020000}"/>
    <cellStyle name="Input [yellow] 2 2 8 6" xfId="631" xr:uid="{00000000-0005-0000-0000-00006C020000}"/>
    <cellStyle name="Input [yellow] 2 2 8 7" xfId="632" xr:uid="{00000000-0005-0000-0000-00006D020000}"/>
    <cellStyle name="Input [yellow] 2 2 9" xfId="633" xr:uid="{00000000-0005-0000-0000-00006E020000}"/>
    <cellStyle name="Input [yellow] 2 2 9 2" xfId="634" xr:uid="{00000000-0005-0000-0000-00006F020000}"/>
    <cellStyle name="Input [yellow] 2 2 9 3" xfId="635" xr:uid="{00000000-0005-0000-0000-000070020000}"/>
    <cellStyle name="Input [yellow] 2 2 9 4" xfId="636" xr:uid="{00000000-0005-0000-0000-000071020000}"/>
    <cellStyle name="Input [yellow] 2 2 9 5" xfId="637" xr:uid="{00000000-0005-0000-0000-000072020000}"/>
    <cellStyle name="Input [yellow] 2 2 9 6" xfId="638" xr:uid="{00000000-0005-0000-0000-000073020000}"/>
    <cellStyle name="Input [yellow] 2 2 9 7" xfId="639" xr:uid="{00000000-0005-0000-0000-000074020000}"/>
    <cellStyle name="Input [yellow] 2 20" xfId="640" xr:uid="{00000000-0005-0000-0000-000075020000}"/>
    <cellStyle name="Input [yellow] 2 20 2" xfId="641" xr:uid="{00000000-0005-0000-0000-000076020000}"/>
    <cellStyle name="Input [yellow] 2 20 3" xfId="642" xr:uid="{00000000-0005-0000-0000-000077020000}"/>
    <cellStyle name="Input [yellow] 2 20 4" xfId="643" xr:uid="{00000000-0005-0000-0000-000078020000}"/>
    <cellStyle name="Input [yellow] 2 20 5" xfId="644" xr:uid="{00000000-0005-0000-0000-000079020000}"/>
    <cellStyle name="Input [yellow] 2 20 6" xfId="645" xr:uid="{00000000-0005-0000-0000-00007A020000}"/>
    <cellStyle name="Input [yellow] 2 20 7" xfId="646" xr:uid="{00000000-0005-0000-0000-00007B020000}"/>
    <cellStyle name="Input [yellow] 2 21" xfId="647" xr:uid="{00000000-0005-0000-0000-00007C020000}"/>
    <cellStyle name="Input [yellow] 2 21 2" xfId="648" xr:uid="{00000000-0005-0000-0000-00007D020000}"/>
    <cellStyle name="Input [yellow] 2 21 3" xfId="649" xr:uid="{00000000-0005-0000-0000-00007E020000}"/>
    <cellStyle name="Input [yellow] 2 21 4" xfId="650" xr:uid="{00000000-0005-0000-0000-00007F020000}"/>
    <cellStyle name="Input [yellow] 2 21 5" xfId="651" xr:uid="{00000000-0005-0000-0000-000080020000}"/>
    <cellStyle name="Input [yellow] 2 21 6" xfId="652" xr:uid="{00000000-0005-0000-0000-000081020000}"/>
    <cellStyle name="Input [yellow] 2 21 7" xfId="653" xr:uid="{00000000-0005-0000-0000-000082020000}"/>
    <cellStyle name="Input [yellow] 2 22" xfId="654" xr:uid="{00000000-0005-0000-0000-000083020000}"/>
    <cellStyle name="Input [yellow] 2 22 2" xfId="655" xr:uid="{00000000-0005-0000-0000-000084020000}"/>
    <cellStyle name="Input [yellow] 2 22 3" xfId="656" xr:uid="{00000000-0005-0000-0000-000085020000}"/>
    <cellStyle name="Input [yellow] 2 22 4" xfId="657" xr:uid="{00000000-0005-0000-0000-000086020000}"/>
    <cellStyle name="Input [yellow] 2 22 5" xfId="658" xr:uid="{00000000-0005-0000-0000-000087020000}"/>
    <cellStyle name="Input [yellow] 2 22 6" xfId="659" xr:uid="{00000000-0005-0000-0000-000088020000}"/>
    <cellStyle name="Input [yellow] 2 22 7" xfId="660" xr:uid="{00000000-0005-0000-0000-000089020000}"/>
    <cellStyle name="Input [yellow] 2 23" xfId="661" xr:uid="{00000000-0005-0000-0000-00008A020000}"/>
    <cellStyle name="Input [yellow] 2 23 2" xfId="662" xr:uid="{00000000-0005-0000-0000-00008B020000}"/>
    <cellStyle name="Input [yellow] 2 23 3" xfId="663" xr:uid="{00000000-0005-0000-0000-00008C020000}"/>
    <cellStyle name="Input [yellow] 2 23 4" xfId="664" xr:uid="{00000000-0005-0000-0000-00008D020000}"/>
    <cellStyle name="Input [yellow] 2 23 5" xfId="665" xr:uid="{00000000-0005-0000-0000-00008E020000}"/>
    <cellStyle name="Input [yellow] 2 23 6" xfId="666" xr:uid="{00000000-0005-0000-0000-00008F020000}"/>
    <cellStyle name="Input [yellow] 2 23 7" xfId="667" xr:uid="{00000000-0005-0000-0000-000090020000}"/>
    <cellStyle name="Input [yellow] 2 24" xfId="668" xr:uid="{00000000-0005-0000-0000-000091020000}"/>
    <cellStyle name="Input [yellow] 2 24 2" xfId="669" xr:uid="{00000000-0005-0000-0000-000092020000}"/>
    <cellStyle name="Input [yellow] 2 24 3" xfId="670" xr:uid="{00000000-0005-0000-0000-000093020000}"/>
    <cellStyle name="Input [yellow] 2 24 4" xfId="671" xr:uid="{00000000-0005-0000-0000-000094020000}"/>
    <cellStyle name="Input [yellow] 2 24 5" xfId="672" xr:uid="{00000000-0005-0000-0000-000095020000}"/>
    <cellStyle name="Input [yellow] 2 24 6" xfId="673" xr:uid="{00000000-0005-0000-0000-000096020000}"/>
    <cellStyle name="Input [yellow] 2 24 7" xfId="674" xr:uid="{00000000-0005-0000-0000-000097020000}"/>
    <cellStyle name="Input [yellow] 2 25" xfId="675" xr:uid="{00000000-0005-0000-0000-000098020000}"/>
    <cellStyle name="Input [yellow] 2 25 2" xfId="676" xr:uid="{00000000-0005-0000-0000-000099020000}"/>
    <cellStyle name="Input [yellow] 2 25 3" xfId="677" xr:uid="{00000000-0005-0000-0000-00009A020000}"/>
    <cellStyle name="Input [yellow] 2 25 4" xfId="678" xr:uid="{00000000-0005-0000-0000-00009B020000}"/>
    <cellStyle name="Input [yellow] 2 25 5" xfId="679" xr:uid="{00000000-0005-0000-0000-00009C020000}"/>
    <cellStyle name="Input [yellow] 2 25 6" xfId="680" xr:uid="{00000000-0005-0000-0000-00009D020000}"/>
    <cellStyle name="Input [yellow] 2 25 7" xfId="681" xr:uid="{00000000-0005-0000-0000-00009E020000}"/>
    <cellStyle name="Input [yellow] 2 26" xfId="682" xr:uid="{00000000-0005-0000-0000-00009F020000}"/>
    <cellStyle name="Input [yellow] 2 26 2" xfId="683" xr:uid="{00000000-0005-0000-0000-0000A0020000}"/>
    <cellStyle name="Input [yellow] 2 26 3" xfId="684" xr:uid="{00000000-0005-0000-0000-0000A1020000}"/>
    <cellStyle name="Input [yellow] 2 26 4" xfId="685" xr:uid="{00000000-0005-0000-0000-0000A2020000}"/>
    <cellStyle name="Input [yellow] 2 26 5" xfId="686" xr:uid="{00000000-0005-0000-0000-0000A3020000}"/>
    <cellStyle name="Input [yellow] 2 26 6" xfId="687" xr:uid="{00000000-0005-0000-0000-0000A4020000}"/>
    <cellStyle name="Input [yellow] 2 26 7" xfId="688" xr:uid="{00000000-0005-0000-0000-0000A5020000}"/>
    <cellStyle name="Input [yellow] 2 27" xfId="689" xr:uid="{00000000-0005-0000-0000-0000A6020000}"/>
    <cellStyle name="Input [yellow] 2 27 2" xfId="690" xr:uid="{00000000-0005-0000-0000-0000A7020000}"/>
    <cellStyle name="Input [yellow] 2 27 3" xfId="691" xr:uid="{00000000-0005-0000-0000-0000A8020000}"/>
    <cellStyle name="Input [yellow] 2 27 4" xfId="692" xr:uid="{00000000-0005-0000-0000-0000A9020000}"/>
    <cellStyle name="Input [yellow] 2 27 5" xfId="693" xr:uid="{00000000-0005-0000-0000-0000AA020000}"/>
    <cellStyle name="Input [yellow] 2 27 6" xfId="694" xr:uid="{00000000-0005-0000-0000-0000AB020000}"/>
    <cellStyle name="Input [yellow] 2 27 7" xfId="695" xr:uid="{00000000-0005-0000-0000-0000AC020000}"/>
    <cellStyle name="Input [yellow] 2 28" xfId="696" xr:uid="{00000000-0005-0000-0000-0000AD020000}"/>
    <cellStyle name="Input [yellow] 2 28 2" xfId="697" xr:uid="{00000000-0005-0000-0000-0000AE020000}"/>
    <cellStyle name="Input [yellow] 2 28 3" xfId="698" xr:uid="{00000000-0005-0000-0000-0000AF020000}"/>
    <cellStyle name="Input [yellow] 2 28 4" xfId="699" xr:uid="{00000000-0005-0000-0000-0000B0020000}"/>
    <cellStyle name="Input [yellow] 2 28 5" xfId="700" xr:uid="{00000000-0005-0000-0000-0000B1020000}"/>
    <cellStyle name="Input [yellow] 2 28 6" xfId="701" xr:uid="{00000000-0005-0000-0000-0000B2020000}"/>
    <cellStyle name="Input [yellow] 2 28 7" xfId="702" xr:uid="{00000000-0005-0000-0000-0000B3020000}"/>
    <cellStyle name="Input [yellow] 2 29" xfId="703" xr:uid="{00000000-0005-0000-0000-0000B4020000}"/>
    <cellStyle name="Input [yellow] 2 29 2" xfId="704" xr:uid="{00000000-0005-0000-0000-0000B5020000}"/>
    <cellStyle name="Input [yellow] 2 29 3" xfId="705" xr:uid="{00000000-0005-0000-0000-0000B6020000}"/>
    <cellStyle name="Input [yellow] 2 29 4" xfId="706" xr:uid="{00000000-0005-0000-0000-0000B7020000}"/>
    <cellStyle name="Input [yellow] 2 29 5" xfId="707" xr:uid="{00000000-0005-0000-0000-0000B8020000}"/>
    <cellStyle name="Input [yellow] 2 29 6" xfId="708" xr:uid="{00000000-0005-0000-0000-0000B9020000}"/>
    <cellStyle name="Input [yellow] 2 29 7" xfId="709" xr:uid="{00000000-0005-0000-0000-0000BA020000}"/>
    <cellStyle name="Input [yellow] 2 3" xfId="710" xr:uid="{00000000-0005-0000-0000-0000BB020000}"/>
    <cellStyle name="Input [yellow] 2 3 2" xfId="711" xr:uid="{00000000-0005-0000-0000-0000BC020000}"/>
    <cellStyle name="Input [yellow] 2 3 3" xfId="712" xr:uid="{00000000-0005-0000-0000-0000BD020000}"/>
    <cellStyle name="Input [yellow] 2 3 4" xfId="713" xr:uid="{00000000-0005-0000-0000-0000BE020000}"/>
    <cellStyle name="Input [yellow] 2 3 5" xfId="714" xr:uid="{00000000-0005-0000-0000-0000BF020000}"/>
    <cellStyle name="Input [yellow] 2 3 6" xfId="715" xr:uid="{00000000-0005-0000-0000-0000C0020000}"/>
    <cellStyle name="Input [yellow] 2 3 7" xfId="716" xr:uid="{00000000-0005-0000-0000-0000C1020000}"/>
    <cellStyle name="Input [yellow] 2 30" xfId="717" xr:uid="{00000000-0005-0000-0000-0000C2020000}"/>
    <cellStyle name="Input [yellow] 2 30 2" xfId="718" xr:uid="{00000000-0005-0000-0000-0000C3020000}"/>
    <cellStyle name="Input [yellow] 2 30 3" xfId="719" xr:uid="{00000000-0005-0000-0000-0000C4020000}"/>
    <cellStyle name="Input [yellow] 2 30 4" xfId="720" xr:uid="{00000000-0005-0000-0000-0000C5020000}"/>
    <cellStyle name="Input [yellow] 2 30 5" xfId="721" xr:uid="{00000000-0005-0000-0000-0000C6020000}"/>
    <cellStyle name="Input [yellow] 2 30 6" xfId="722" xr:uid="{00000000-0005-0000-0000-0000C7020000}"/>
    <cellStyle name="Input [yellow] 2 30 7" xfId="723" xr:uid="{00000000-0005-0000-0000-0000C8020000}"/>
    <cellStyle name="Input [yellow] 2 31" xfId="724" xr:uid="{00000000-0005-0000-0000-0000C9020000}"/>
    <cellStyle name="Input [yellow] 2 31 2" xfId="725" xr:uid="{00000000-0005-0000-0000-0000CA020000}"/>
    <cellStyle name="Input [yellow] 2 31 3" xfId="726" xr:uid="{00000000-0005-0000-0000-0000CB020000}"/>
    <cellStyle name="Input [yellow] 2 31 4" xfId="727" xr:uid="{00000000-0005-0000-0000-0000CC020000}"/>
    <cellStyle name="Input [yellow] 2 31 5" xfId="728" xr:uid="{00000000-0005-0000-0000-0000CD020000}"/>
    <cellStyle name="Input [yellow] 2 31 6" xfId="729" xr:uid="{00000000-0005-0000-0000-0000CE020000}"/>
    <cellStyle name="Input [yellow] 2 31 7" xfId="730" xr:uid="{00000000-0005-0000-0000-0000CF020000}"/>
    <cellStyle name="Input [yellow] 2 32" xfId="731" xr:uid="{00000000-0005-0000-0000-0000D0020000}"/>
    <cellStyle name="Input [yellow] 2 32 2" xfId="732" xr:uid="{00000000-0005-0000-0000-0000D1020000}"/>
    <cellStyle name="Input [yellow] 2 32 3" xfId="733" xr:uid="{00000000-0005-0000-0000-0000D2020000}"/>
    <cellStyle name="Input [yellow] 2 32 4" xfId="734" xr:uid="{00000000-0005-0000-0000-0000D3020000}"/>
    <cellStyle name="Input [yellow] 2 32 5" xfId="735" xr:uid="{00000000-0005-0000-0000-0000D4020000}"/>
    <cellStyle name="Input [yellow] 2 32 6" xfId="736" xr:uid="{00000000-0005-0000-0000-0000D5020000}"/>
    <cellStyle name="Input [yellow] 2 32 7" xfId="737" xr:uid="{00000000-0005-0000-0000-0000D6020000}"/>
    <cellStyle name="Input [yellow] 2 33" xfId="738" xr:uid="{00000000-0005-0000-0000-0000D7020000}"/>
    <cellStyle name="Input [yellow] 2 33 2" xfId="739" xr:uid="{00000000-0005-0000-0000-0000D8020000}"/>
    <cellStyle name="Input [yellow] 2 33 3" xfId="740" xr:uid="{00000000-0005-0000-0000-0000D9020000}"/>
    <cellStyle name="Input [yellow] 2 33 4" xfId="741" xr:uid="{00000000-0005-0000-0000-0000DA020000}"/>
    <cellStyle name="Input [yellow] 2 33 5" xfId="742" xr:uid="{00000000-0005-0000-0000-0000DB020000}"/>
    <cellStyle name="Input [yellow] 2 33 6" xfId="743" xr:uid="{00000000-0005-0000-0000-0000DC020000}"/>
    <cellStyle name="Input [yellow] 2 33 7" xfId="744" xr:uid="{00000000-0005-0000-0000-0000DD020000}"/>
    <cellStyle name="Input [yellow] 2 34" xfId="745" xr:uid="{00000000-0005-0000-0000-0000DE020000}"/>
    <cellStyle name="Input [yellow] 2 34 2" xfId="746" xr:uid="{00000000-0005-0000-0000-0000DF020000}"/>
    <cellStyle name="Input [yellow] 2 34 3" xfId="747" xr:uid="{00000000-0005-0000-0000-0000E0020000}"/>
    <cellStyle name="Input [yellow] 2 34 4" xfId="748" xr:uid="{00000000-0005-0000-0000-0000E1020000}"/>
    <cellStyle name="Input [yellow] 2 34 5" xfId="749" xr:uid="{00000000-0005-0000-0000-0000E2020000}"/>
    <cellStyle name="Input [yellow] 2 34 6" xfId="750" xr:uid="{00000000-0005-0000-0000-0000E3020000}"/>
    <cellStyle name="Input [yellow] 2 34 7" xfId="751" xr:uid="{00000000-0005-0000-0000-0000E4020000}"/>
    <cellStyle name="Input [yellow] 2 35" xfId="752" xr:uid="{00000000-0005-0000-0000-0000E5020000}"/>
    <cellStyle name="Input [yellow] 2 35 2" xfId="753" xr:uid="{00000000-0005-0000-0000-0000E6020000}"/>
    <cellStyle name="Input [yellow] 2 35 3" xfId="754" xr:uid="{00000000-0005-0000-0000-0000E7020000}"/>
    <cellStyle name="Input [yellow] 2 35 4" xfId="755" xr:uid="{00000000-0005-0000-0000-0000E8020000}"/>
    <cellStyle name="Input [yellow] 2 35 5" xfId="756" xr:uid="{00000000-0005-0000-0000-0000E9020000}"/>
    <cellStyle name="Input [yellow] 2 35 6" xfId="757" xr:uid="{00000000-0005-0000-0000-0000EA020000}"/>
    <cellStyle name="Input [yellow] 2 35 7" xfId="758" xr:uid="{00000000-0005-0000-0000-0000EB020000}"/>
    <cellStyle name="Input [yellow] 2 36" xfId="759" xr:uid="{00000000-0005-0000-0000-0000EC020000}"/>
    <cellStyle name="Input [yellow] 2 36 2" xfId="760" xr:uid="{00000000-0005-0000-0000-0000ED020000}"/>
    <cellStyle name="Input [yellow] 2 36 3" xfId="761" xr:uid="{00000000-0005-0000-0000-0000EE020000}"/>
    <cellStyle name="Input [yellow] 2 36 4" xfId="762" xr:uid="{00000000-0005-0000-0000-0000EF020000}"/>
    <cellStyle name="Input [yellow] 2 36 5" xfId="763" xr:uid="{00000000-0005-0000-0000-0000F0020000}"/>
    <cellStyle name="Input [yellow] 2 36 6" xfId="764" xr:uid="{00000000-0005-0000-0000-0000F1020000}"/>
    <cellStyle name="Input [yellow] 2 36 7" xfId="765" xr:uid="{00000000-0005-0000-0000-0000F2020000}"/>
    <cellStyle name="Input [yellow] 2 37" xfId="766" xr:uid="{00000000-0005-0000-0000-0000F3020000}"/>
    <cellStyle name="Input [yellow] 2 37 2" xfId="767" xr:uid="{00000000-0005-0000-0000-0000F4020000}"/>
    <cellStyle name="Input [yellow] 2 37 3" xfId="768" xr:uid="{00000000-0005-0000-0000-0000F5020000}"/>
    <cellStyle name="Input [yellow] 2 37 4" xfId="769" xr:uid="{00000000-0005-0000-0000-0000F6020000}"/>
    <cellStyle name="Input [yellow] 2 37 5" xfId="770" xr:uid="{00000000-0005-0000-0000-0000F7020000}"/>
    <cellStyle name="Input [yellow] 2 37 6" xfId="771" xr:uid="{00000000-0005-0000-0000-0000F8020000}"/>
    <cellStyle name="Input [yellow] 2 37 7" xfId="772" xr:uid="{00000000-0005-0000-0000-0000F9020000}"/>
    <cellStyle name="Input [yellow] 2 38" xfId="773" xr:uid="{00000000-0005-0000-0000-0000FA020000}"/>
    <cellStyle name="Input [yellow] 2 38 2" xfId="774" xr:uid="{00000000-0005-0000-0000-0000FB020000}"/>
    <cellStyle name="Input [yellow] 2 38 3" xfId="775" xr:uid="{00000000-0005-0000-0000-0000FC020000}"/>
    <cellStyle name="Input [yellow] 2 38 4" xfId="776" xr:uid="{00000000-0005-0000-0000-0000FD020000}"/>
    <cellStyle name="Input [yellow] 2 38 5" xfId="777" xr:uid="{00000000-0005-0000-0000-0000FE020000}"/>
    <cellStyle name="Input [yellow] 2 38 6" xfId="778" xr:uid="{00000000-0005-0000-0000-0000FF020000}"/>
    <cellStyle name="Input [yellow] 2 38 7" xfId="779" xr:uid="{00000000-0005-0000-0000-000000030000}"/>
    <cellStyle name="Input [yellow] 2 39" xfId="780" xr:uid="{00000000-0005-0000-0000-000001030000}"/>
    <cellStyle name="Input [yellow] 2 39 2" xfId="781" xr:uid="{00000000-0005-0000-0000-000002030000}"/>
    <cellStyle name="Input [yellow] 2 39 3" xfId="782" xr:uid="{00000000-0005-0000-0000-000003030000}"/>
    <cellStyle name="Input [yellow] 2 39 4" xfId="783" xr:uid="{00000000-0005-0000-0000-000004030000}"/>
    <cellStyle name="Input [yellow] 2 39 5" xfId="784" xr:uid="{00000000-0005-0000-0000-000005030000}"/>
    <cellStyle name="Input [yellow] 2 39 6" xfId="785" xr:uid="{00000000-0005-0000-0000-000006030000}"/>
    <cellStyle name="Input [yellow] 2 39 7" xfId="786" xr:uid="{00000000-0005-0000-0000-000007030000}"/>
    <cellStyle name="Input [yellow] 2 4" xfId="787" xr:uid="{00000000-0005-0000-0000-000008030000}"/>
    <cellStyle name="Input [yellow] 2 4 2" xfId="788" xr:uid="{00000000-0005-0000-0000-000009030000}"/>
    <cellStyle name="Input [yellow] 2 4 3" xfId="789" xr:uid="{00000000-0005-0000-0000-00000A030000}"/>
    <cellStyle name="Input [yellow] 2 4 4" xfId="790" xr:uid="{00000000-0005-0000-0000-00000B030000}"/>
    <cellStyle name="Input [yellow] 2 4 5" xfId="791" xr:uid="{00000000-0005-0000-0000-00000C030000}"/>
    <cellStyle name="Input [yellow] 2 4 6" xfId="792" xr:uid="{00000000-0005-0000-0000-00000D030000}"/>
    <cellStyle name="Input [yellow] 2 4 7" xfId="793" xr:uid="{00000000-0005-0000-0000-00000E030000}"/>
    <cellStyle name="Input [yellow] 2 40" xfId="794" xr:uid="{00000000-0005-0000-0000-00000F030000}"/>
    <cellStyle name="Input [yellow] 2 40 2" xfId="795" xr:uid="{00000000-0005-0000-0000-000010030000}"/>
    <cellStyle name="Input [yellow] 2 40 3" xfId="796" xr:uid="{00000000-0005-0000-0000-000011030000}"/>
    <cellStyle name="Input [yellow] 2 40 4" xfId="797" xr:uid="{00000000-0005-0000-0000-000012030000}"/>
    <cellStyle name="Input [yellow] 2 40 5" xfId="798" xr:uid="{00000000-0005-0000-0000-000013030000}"/>
    <cellStyle name="Input [yellow] 2 40 6" xfId="799" xr:uid="{00000000-0005-0000-0000-000014030000}"/>
    <cellStyle name="Input [yellow] 2 40 7" xfId="800" xr:uid="{00000000-0005-0000-0000-000015030000}"/>
    <cellStyle name="Input [yellow] 2 41" xfId="801" xr:uid="{00000000-0005-0000-0000-000016030000}"/>
    <cellStyle name="Input [yellow] 2 41 2" xfId="802" xr:uid="{00000000-0005-0000-0000-000017030000}"/>
    <cellStyle name="Input [yellow] 2 41 3" xfId="803" xr:uid="{00000000-0005-0000-0000-000018030000}"/>
    <cellStyle name="Input [yellow] 2 41 4" xfId="804" xr:uid="{00000000-0005-0000-0000-000019030000}"/>
    <cellStyle name="Input [yellow] 2 41 5" xfId="805" xr:uid="{00000000-0005-0000-0000-00001A030000}"/>
    <cellStyle name="Input [yellow] 2 41 6" xfId="806" xr:uid="{00000000-0005-0000-0000-00001B030000}"/>
    <cellStyle name="Input [yellow] 2 41 7" xfId="807" xr:uid="{00000000-0005-0000-0000-00001C030000}"/>
    <cellStyle name="Input [yellow] 2 42" xfId="808" xr:uid="{00000000-0005-0000-0000-00001D030000}"/>
    <cellStyle name="Input [yellow] 2 42 2" xfId="809" xr:uid="{00000000-0005-0000-0000-00001E030000}"/>
    <cellStyle name="Input [yellow] 2 42 3" xfId="810" xr:uid="{00000000-0005-0000-0000-00001F030000}"/>
    <cellStyle name="Input [yellow] 2 42 4" xfId="811" xr:uid="{00000000-0005-0000-0000-000020030000}"/>
    <cellStyle name="Input [yellow] 2 42 5" xfId="812" xr:uid="{00000000-0005-0000-0000-000021030000}"/>
    <cellStyle name="Input [yellow] 2 42 6" xfId="813" xr:uid="{00000000-0005-0000-0000-000022030000}"/>
    <cellStyle name="Input [yellow] 2 42 7" xfId="814" xr:uid="{00000000-0005-0000-0000-000023030000}"/>
    <cellStyle name="Input [yellow] 2 43" xfId="815" xr:uid="{00000000-0005-0000-0000-000024030000}"/>
    <cellStyle name="Input [yellow] 2 43 2" xfId="816" xr:uid="{00000000-0005-0000-0000-000025030000}"/>
    <cellStyle name="Input [yellow] 2 43 3" xfId="817" xr:uid="{00000000-0005-0000-0000-000026030000}"/>
    <cellStyle name="Input [yellow] 2 43 4" xfId="818" xr:uid="{00000000-0005-0000-0000-000027030000}"/>
    <cellStyle name="Input [yellow] 2 43 5" xfId="819" xr:uid="{00000000-0005-0000-0000-000028030000}"/>
    <cellStyle name="Input [yellow] 2 43 6" xfId="820" xr:uid="{00000000-0005-0000-0000-000029030000}"/>
    <cellStyle name="Input [yellow] 2 43 7" xfId="821" xr:uid="{00000000-0005-0000-0000-00002A030000}"/>
    <cellStyle name="Input [yellow] 2 44" xfId="822" xr:uid="{00000000-0005-0000-0000-00002B030000}"/>
    <cellStyle name="Input [yellow] 2 44 2" xfId="823" xr:uid="{00000000-0005-0000-0000-00002C030000}"/>
    <cellStyle name="Input [yellow] 2 44 3" xfId="824" xr:uid="{00000000-0005-0000-0000-00002D030000}"/>
    <cellStyle name="Input [yellow] 2 44 4" xfId="825" xr:uid="{00000000-0005-0000-0000-00002E030000}"/>
    <cellStyle name="Input [yellow] 2 44 5" xfId="826" xr:uid="{00000000-0005-0000-0000-00002F030000}"/>
    <cellStyle name="Input [yellow] 2 44 6" xfId="827" xr:uid="{00000000-0005-0000-0000-000030030000}"/>
    <cellStyle name="Input [yellow] 2 44 7" xfId="828" xr:uid="{00000000-0005-0000-0000-000031030000}"/>
    <cellStyle name="Input [yellow] 2 45" xfId="829" xr:uid="{00000000-0005-0000-0000-000032030000}"/>
    <cellStyle name="Input [yellow] 2 45 2" xfId="830" xr:uid="{00000000-0005-0000-0000-000033030000}"/>
    <cellStyle name="Input [yellow] 2 45 3" xfId="831" xr:uid="{00000000-0005-0000-0000-000034030000}"/>
    <cellStyle name="Input [yellow] 2 45 4" xfId="832" xr:uid="{00000000-0005-0000-0000-000035030000}"/>
    <cellStyle name="Input [yellow] 2 45 5" xfId="833" xr:uid="{00000000-0005-0000-0000-000036030000}"/>
    <cellStyle name="Input [yellow] 2 45 6" xfId="834" xr:uid="{00000000-0005-0000-0000-000037030000}"/>
    <cellStyle name="Input [yellow] 2 45 7" xfId="835" xr:uid="{00000000-0005-0000-0000-000038030000}"/>
    <cellStyle name="Input [yellow] 2 46" xfId="836" xr:uid="{00000000-0005-0000-0000-000039030000}"/>
    <cellStyle name="Input [yellow] 2 46 2" xfId="837" xr:uid="{00000000-0005-0000-0000-00003A030000}"/>
    <cellStyle name="Input [yellow] 2 46 3" xfId="838" xr:uid="{00000000-0005-0000-0000-00003B030000}"/>
    <cellStyle name="Input [yellow] 2 46 4" xfId="839" xr:uid="{00000000-0005-0000-0000-00003C030000}"/>
    <cellStyle name="Input [yellow] 2 46 5" xfId="840" xr:uid="{00000000-0005-0000-0000-00003D030000}"/>
    <cellStyle name="Input [yellow] 2 46 6" xfId="841" xr:uid="{00000000-0005-0000-0000-00003E030000}"/>
    <cellStyle name="Input [yellow] 2 46 7" xfId="842" xr:uid="{00000000-0005-0000-0000-00003F030000}"/>
    <cellStyle name="Input [yellow] 2 47" xfId="843" xr:uid="{00000000-0005-0000-0000-000040030000}"/>
    <cellStyle name="Input [yellow] 2 47 2" xfId="844" xr:uid="{00000000-0005-0000-0000-000041030000}"/>
    <cellStyle name="Input [yellow] 2 47 3" xfId="845" xr:uid="{00000000-0005-0000-0000-000042030000}"/>
    <cellStyle name="Input [yellow] 2 47 4" xfId="846" xr:uid="{00000000-0005-0000-0000-000043030000}"/>
    <cellStyle name="Input [yellow] 2 47 5" xfId="847" xr:uid="{00000000-0005-0000-0000-000044030000}"/>
    <cellStyle name="Input [yellow] 2 47 6" xfId="848" xr:uid="{00000000-0005-0000-0000-000045030000}"/>
    <cellStyle name="Input [yellow] 2 47 7" xfId="849" xr:uid="{00000000-0005-0000-0000-000046030000}"/>
    <cellStyle name="Input [yellow] 2 48" xfId="850" xr:uid="{00000000-0005-0000-0000-000047030000}"/>
    <cellStyle name="Input [yellow] 2 48 2" xfId="851" xr:uid="{00000000-0005-0000-0000-000048030000}"/>
    <cellStyle name="Input [yellow] 2 48 3" xfId="852" xr:uid="{00000000-0005-0000-0000-000049030000}"/>
    <cellStyle name="Input [yellow] 2 48 4" xfId="853" xr:uid="{00000000-0005-0000-0000-00004A030000}"/>
    <cellStyle name="Input [yellow] 2 48 5" xfId="854" xr:uid="{00000000-0005-0000-0000-00004B030000}"/>
    <cellStyle name="Input [yellow] 2 48 6" xfId="855" xr:uid="{00000000-0005-0000-0000-00004C030000}"/>
    <cellStyle name="Input [yellow] 2 48 7" xfId="856" xr:uid="{00000000-0005-0000-0000-00004D030000}"/>
    <cellStyle name="Input [yellow] 2 49" xfId="857" xr:uid="{00000000-0005-0000-0000-00004E030000}"/>
    <cellStyle name="Input [yellow] 2 49 2" xfId="858" xr:uid="{00000000-0005-0000-0000-00004F030000}"/>
    <cellStyle name="Input [yellow] 2 49 3" xfId="859" xr:uid="{00000000-0005-0000-0000-000050030000}"/>
    <cellStyle name="Input [yellow] 2 49 4" xfId="860" xr:uid="{00000000-0005-0000-0000-000051030000}"/>
    <cellStyle name="Input [yellow] 2 49 5" xfId="861" xr:uid="{00000000-0005-0000-0000-000052030000}"/>
    <cellStyle name="Input [yellow] 2 49 6" xfId="862" xr:uid="{00000000-0005-0000-0000-000053030000}"/>
    <cellStyle name="Input [yellow] 2 49 7" xfId="863" xr:uid="{00000000-0005-0000-0000-000054030000}"/>
    <cellStyle name="Input [yellow] 2 5" xfId="864" xr:uid="{00000000-0005-0000-0000-000055030000}"/>
    <cellStyle name="Input [yellow] 2 5 2" xfId="865" xr:uid="{00000000-0005-0000-0000-000056030000}"/>
    <cellStyle name="Input [yellow] 2 5 3" xfId="866" xr:uid="{00000000-0005-0000-0000-000057030000}"/>
    <cellStyle name="Input [yellow] 2 5 4" xfId="867" xr:uid="{00000000-0005-0000-0000-000058030000}"/>
    <cellStyle name="Input [yellow] 2 5 5" xfId="868" xr:uid="{00000000-0005-0000-0000-000059030000}"/>
    <cellStyle name="Input [yellow] 2 5 6" xfId="869" xr:uid="{00000000-0005-0000-0000-00005A030000}"/>
    <cellStyle name="Input [yellow] 2 5 7" xfId="870" xr:uid="{00000000-0005-0000-0000-00005B030000}"/>
    <cellStyle name="Input [yellow] 2 50" xfId="871" xr:uid="{00000000-0005-0000-0000-00005C030000}"/>
    <cellStyle name="Input [yellow] 2 50 2" xfId="872" xr:uid="{00000000-0005-0000-0000-00005D030000}"/>
    <cellStyle name="Input [yellow] 2 50 3" xfId="873" xr:uid="{00000000-0005-0000-0000-00005E030000}"/>
    <cellStyle name="Input [yellow] 2 50 4" xfId="874" xr:uid="{00000000-0005-0000-0000-00005F030000}"/>
    <cellStyle name="Input [yellow] 2 50 5" xfId="875" xr:uid="{00000000-0005-0000-0000-000060030000}"/>
    <cellStyle name="Input [yellow] 2 50 6" xfId="876" xr:uid="{00000000-0005-0000-0000-000061030000}"/>
    <cellStyle name="Input [yellow] 2 50 7" xfId="877" xr:uid="{00000000-0005-0000-0000-000062030000}"/>
    <cellStyle name="Input [yellow] 2 51" xfId="878" xr:uid="{00000000-0005-0000-0000-000063030000}"/>
    <cellStyle name="Input [yellow] 2 51 2" xfId="879" xr:uid="{00000000-0005-0000-0000-000064030000}"/>
    <cellStyle name="Input [yellow] 2 51 3" xfId="880" xr:uid="{00000000-0005-0000-0000-000065030000}"/>
    <cellStyle name="Input [yellow] 2 51 4" xfId="881" xr:uid="{00000000-0005-0000-0000-000066030000}"/>
    <cellStyle name="Input [yellow] 2 51 5" xfId="882" xr:uid="{00000000-0005-0000-0000-000067030000}"/>
    <cellStyle name="Input [yellow] 2 51 6" xfId="883" xr:uid="{00000000-0005-0000-0000-000068030000}"/>
    <cellStyle name="Input [yellow] 2 51 7" xfId="884" xr:uid="{00000000-0005-0000-0000-000069030000}"/>
    <cellStyle name="Input [yellow] 2 52" xfId="885" xr:uid="{00000000-0005-0000-0000-00006A030000}"/>
    <cellStyle name="Input [yellow] 2 52 2" xfId="886" xr:uid="{00000000-0005-0000-0000-00006B030000}"/>
    <cellStyle name="Input [yellow] 2 52 3" xfId="887" xr:uid="{00000000-0005-0000-0000-00006C030000}"/>
    <cellStyle name="Input [yellow] 2 52 4" xfId="888" xr:uid="{00000000-0005-0000-0000-00006D030000}"/>
    <cellStyle name="Input [yellow] 2 52 5" xfId="889" xr:uid="{00000000-0005-0000-0000-00006E030000}"/>
    <cellStyle name="Input [yellow] 2 52 6" xfId="890" xr:uid="{00000000-0005-0000-0000-00006F030000}"/>
    <cellStyle name="Input [yellow] 2 52 7" xfId="891" xr:uid="{00000000-0005-0000-0000-000070030000}"/>
    <cellStyle name="Input [yellow] 2 53" xfId="892" xr:uid="{00000000-0005-0000-0000-000071030000}"/>
    <cellStyle name="Input [yellow] 2 53 2" xfId="893" xr:uid="{00000000-0005-0000-0000-000072030000}"/>
    <cellStyle name="Input [yellow] 2 53 3" xfId="894" xr:uid="{00000000-0005-0000-0000-000073030000}"/>
    <cellStyle name="Input [yellow] 2 53 4" xfId="895" xr:uid="{00000000-0005-0000-0000-000074030000}"/>
    <cellStyle name="Input [yellow] 2 53 5" xfId="896" xr:uid="{00000000-0005-0000-0000-000075030000}"/>
    <cellStyle name="Input [yellow] 2 53 6" xfId="897" xr:uid="{00000000-0005-0000-0000-000076030000}"/>
    <cellStyle name="Input [yellow] 2 53 7" xfId="898" xr:uid="{00000000-0005-0000-0000-000077030000}"/>
    <cellStyle name="Input [yellow] 2 54" xfId="899" xr:uid="{00000000-0005-0000-0000-000078030000}"/>
    <cellStyle name="Input [yellow] 2 54 2" xfId="900" xr:uid="{00000000-0005-0000-0000-000079030000}"/>
    <cellStyle name="Input [yellow] 2 54 3" xfId="901" xr:uid="{00000000-0005-0000-0000-00007A030000}"/>
    <cellStyle name="Input [yellow] 2 54 4" xfId="902" xr:uid="{00000000-0005-0000-0000-00007B030000}"/>
    <cellStyle name="Input [yellow] 2 54 5" xfId="903" xr:uid="{00000000-0005-0000-0000-00007C030000}"/>
    <cellStyle name="Input [yellow] 2 54 6" xfId="904" xr:uid="{00000000-0005-0000-0000-00007D030000}"/>
    <cellStyle name="Input [yellow] 2 54 7" xfId="905" xr:uid="{00000000-0005-0000-0000-00007E030000}"/>
    <cellStyle name="Input [yellow] 2 55" xfId="906" xr:uid="{00000000-0005-0000-0000-00007F030000}"/>
    <cellStyle name="Input [yellow] 2 55 2" xfId="907" xr:uid="{00000000-0005-0000-0000-000080030000}"/>
    <cellStyle name="Input [yellow] 2 55 3" xfId="908" xr:uid="{00000000-0005-0000-0000-000081030000}"/>
    <cellStyle name="Input [yellow] 2 55 4" xfId="909" xr:uid="{00000000-0005-0000-0000-000082030000}"/>
    <cellStyle name="Input [yellow] 2 55 5" xfId="910" xr:uid="{00000000-0005-0000-0000-000083030000}"/>
    <cellStyle name="Input [yellow] 2 55 6" xfId="911" xr:uid="{00000000-0005-0000-0000-000084030000}"/>
    <cellStyle name="Input [yellow] 2 55 7" xfId="912" xr:uid="{00000000-0005-0000-0000-000085030000}"/>
    <cellStyle name="Input [yellow] 2 56" xfId="913" xr:uid="{00000000-0005-0000-0000-000086030000}"/>
    <cellStyle name="Input [yellow] 2 56 2" xfId="914" xr:uid="{00000000-0005-0000-0000-000087030000}"/>
    <cellStyle name="Input [yellow] 2 56 3" xfId="915" xr:uid="{00000000-0005-0000-0000-000088030000}"/>
    <cellStyle name="Input [yellow] 2 56 4" xfId="916" xr:uid="{00000000-0005-0000-0000-000089030000}"/>
    <cellStyle name="Input [yellow] 2 56 5" xfId="917" xr:uid="{00000000-0005-0000-0000-00008A030000}"/>
    <cellStyle name="Input [yellow] 2 56 6" xfId="918" xr:uid="{00000000-0005-0000-0000-00008B030000}"/>
    <cellStyle name="Input [yellow] 2 56 7" xfId="919" xr:uid="{00000000-0005-0000-0000-00008C030000}"/>
    <cellStyle name="Input [yellow] 2 57" xfId="920" xr:uid="{00000000-0005-0000-0000-00008D030000}"/>
    <cellStyle name="Input [yellow] 2 57 2" xfId="921" xr:uid="{00000000-0005-0000-0000-00008E030000}"/>
    <cellStyle name="Input [yellow] 2 57 3" xfId="922" xr:uid="{00000000-0005-0000-0000-00008F030000}"/>
    <cellStyle name="Input [yellow] 2 57 4" xfId="923" xr:uid="{00000000-0005-0000-0000-000090030000}"/>
    <cellStyle name="Input [yellow] 2 57 5" xfId="924" xr:uid="{00000000-0005-0000-0000-000091030000}"/>
    <cellStyle name="Input [yellow] 2 57 6" xfId="925" xr:uid="{00000000-0005-0000-0000-000092030000}"/>
    <cellStyle name="Input [yellow] 2 57 7" xfId="926" xr:uid="{00000000-0005-0000-0000-000093030000}"/>
    <cellStyle name="Input [yellow] 2 58" xfId="927" xr:uid="{00000000-0005-0000-0000-000094030000}"/>
    <cellStyle name="Input [yellow] 2 58 2" xfId="928" xr:uid="{00000000-0005-0000-0000-000095030000}"/>
    <cellStyle name="Input [yellow] 2 58 3" xfId="929" xr:uid="{00000000-0005-0000-0000-000096030000}"/>
    <cellStyle name="Input [yellow] 2 58 4" xfId="930" xr:uid="{00000000-0005-0000-0000-000097030000}"/>
    <cellStyle name="Input [yellow] 2 58 5" xfId="931" xr:uid="{00000000-0005-0000-0000-000098030000}"/>
    <cellStyle name="Input [yellow] 2 58 6" xfId="932" xr:uid="{00000000-0005-0000-0000-000099030000}"/>
    <cellStyle name="Input [yellow] 2 58 7" xfId="933" xr:uid="{00000000-0005-0000-0000-00009A030000}"/>
    <cellStyle name="Input [yellow] 2 59" xfId="934" xr:uid="{00000000-0005-0000-0000-00009B030000}"/>
    <cellStyle name="Input [yellow] 2 59 2" xfId="935" xr:uid="{00000000-0005-0000-0000-00009C030000}"/>
    <cellStyle name="Input [yellow] 2 59 3" xfId="936" xr:uid="{00000000-0005-0000-0000-00009D030000}"/>
    <cellStyle name="Input [yellow] 2 59 4" xfId="937" xr:uid="{00000000-0005-0000-0000-00009E030000}"/>
    <cellStyle name="Input [yellow] 2 59 5" xfId="938" xr:uid="{00000000-0005-0000-0000-00009F030000}"/>
    <cellStyle name="Input [yellow] 2 59 6" xfId="939" xr:uid="{00000000-0005-0000-0000-0000A0030000}"/>
    <cellStyle name="Input [yellow] 2 59 7" xfId="940" xr:uid="{00000000-0005-0000-0000-0000A1030000}"/>
    <cellStyle name="Input [yellow] 2 6" xfId="941" xr:uid="{00000000-0005-0000-0000-0000A2030000}"/>
    <cellStyle name="Input [yellow] 2 6 2" xfId="942" xr:uid="{00000000-0005-0000-0000-0000A3030000}"/>
    <cellStyle name="Input [yellow] 2 6 3" xfId="943" xr:uid="{00000000-0005-0000-0000-0000A4030000}"/>
    <cellStyle name="Input [yellow] 2 6 4" xfId="944" xr:uid="{00000000-0005-0000-0000-0000A5030000}"/>
    <cellStyle name="Input [yellow] 2 6 5" xfId="945" xr:uid="{00000000-0005-0000-0000-0000A6030000}"/>
    <cellStyle name="Input [yellow] 2 6 6" xfId="946" xr:uid="{00000000-0005-0000-0000-0000A7030000}"/>
    <cellStyle name="Input [yellow] 2 6 7" xfId="947" xr:uid="{00000000-0005-0000-0000-0000A8030000}"/>
    <cellStyle name="Input [yellow] 2 60" xfId="948" xr:uid="{00000000-0005-0000-0000-0000A9030000}"/>
    <cellStyle name="Input [yellow] 2 60 2" xfId="949" xr:uid="{00000000-0005-0000-0000-0000AA030000}"/>
    <cellStyle name="Input [yellow] 2 60 3" xfId="950" xr:uid="{00000000-0005-0000-0000-0000AB030000}"/>
    <cellStyle name="Input [yellow] 2 60 4" xfId="951" xr:uid="{00000000-0005-0000-0000-0000AC030000}"/>
    <cellStyle name="Input [yellow] 2 60 5" xfId="952" xr:uid="{00000000-0005-0000-0000-0000AD030000}"/>
    <cellStyle name="Input [yellow] 2 60 6" xfId="953" xr:uid="{00000000-0005-0000-0000-0000AE030000}"/>
    <cellStyle name="Input [yellow] 2 60 7" xfId="954" xr:uid="{00000000-0005-0000-0000-0000AF030000}"/>
    <cellStyle name="Input [yellow] 2 61" xfId="955" xr:uid="{00000000-0005-0000-0000-0000B0030000}"/>
    <cellStyle name="Input [yellow] 2 61 2" xfId="956" xr:uid="{00000000-0005-0000-0000-0000B1030000}"/>
    <cellStyle name="Input [yellow] 2 61 3" xfId="957" xr:uid="{00000000-0005-0000-0000-0000B2030000}"/>
    <cellStyle name="Input [yellow] 2 61 4" xfId="958" xr:uid="{00000000-0005-0000-0000-0000B3030000}"/>
    <cellStyle name="Input [yellow] 2 61 5" xfId="959" xr:uid="{00000000-0005-0000-0000-0000B4030000}"/>
    <cellStyle name="Input [yellow] 2 61 6" xfId="960" xr:uid="{00000000-0005-0000-0000-0000B5030000}"/>
    <cellStyle name="Input [yellow] 2 62" xfId="961" xr:uid="{00000000-0005-0000-0000-0000B6030000}"/>
    <cellStyle name="Input [yellow] 2 63" xfId="962" xr:uid="{00000000-0005-0000-0000-0000B7030000}"/>
    <cellStyle name="Input [yellow] 2 64" xfId="963" xr:uid="{00000000-0005-0000-0000-0000B8030000}"/>
    <cellStyle name="Input [yellow] 2 65" xfId="964" xr:uid="{00000000-0005-0000-0000-0000B9030000}"/>
    <cellStyle name="Input [yellow] 2 66" xfId="965" xr:uid="{00000000-0005-0000-0000-0000BA030000}"/>
    <cellStyle name="Input [yellow] 2 67" xfId="966" xr:uid="{00000000-0005-0000-0000-0000BB030000}"/>
    <cellStyle name="Input [yellow] 2 68" xfId="967" xr:uid="{00000000-0005-0000-0000-0000BC030000}"/>
    <cellStyle name="Input [yellow] 2 69" xfId="968" xr:uid="{00000000-0005-0000-0000-0000BD030000}"/>
    <cellStyle name="Input [yellow] 2 7" xfId="969" xr:uid="{00000000-0005-0000-0000-0000BE030000}"/>
    <cellStyle name="Input [yellow] 2 7 2" xfId="970" xr:uid="{00000000-0005-0000-0000-0000BF030000}"/>
    <cellStyle name="Input [yellow] 2 7 3" xfId="971" xr:uid="{00000000-0005-0000-0000-0000C0030000}"/>
    <cellStyle name="Input [yellow] 2 7 4" xfId="972" xr:uid="{00000000-0005-0000-0000-0000C1030000}"/>
    <cellStyle name="Input [yellow] 2 7 5" xfId="973" xr:uid="{00000000-0005-0000-0000-0000C2030000}"/>
    <cellStyle name="Input [yellow] 2 7 6" xfId="974" xr:uid="{00000000-0005-0000-0000-0000C3030000}"/>
    <cellStyle name="Input [yellow] 2 7 7" xfId="975" xr:uid="{00000000-0005-0000-0000-0000C4030000}"/>
    <cellStyle name="Input [yellow] 2 8" xfId="976" xr:uid="{00000000-0005-0000-0000-0000C5030000}"/>
    <cellStyle name="Input [yellow] 2 8 2" xfId="977" xr:uid="{00000000-0005-0000-0000-0000C6030000}"/>
    <cellStyle name="Input [yellow] 2 8 3" xfId="978" xr:uid="{00000000-0005-0000-0000-0000C7030000}"/>
    <cellStyle name="Input [yellow] 2 8 4" xfId="979" xr:uid="{00000000-0005-0000-0000-0000C8030000}"/>
    <cellStyle name="Input [yellow] 2 8 5" xfId="980" xr:uid="{00000000-0005-0000-0000-0000C9030000}"/>
    <cellStyle name="Input [yellow] 2 8 6" xfId="981" xr:uid="{00000000-0005-0000-0000-0000CA030000}"/>
    <cellStyle name="Input [yellow] 2 8 7" xfId="982" xr:uid="{00000000-0005-0000-0000-0000CB030000}"/>
    <cellStyle name="Input [yellow] 2 9" xfId="983" xr:uid="{00000000-0005-0000-0000-0000CC030000}"/>
    <cellStyle name="Input [yellow] 2 9 2" xfId="984" xr:uid="{00000000-0005-0000-0000-0000CD030000}"/>
    <cellStyle name="Input [yellow] 2 9 3" xfId="985" xr:uid="{00000000-0005-0000-0000-0000CE030000}"/>
    <cellStyle name="Input [yellow] 2 9 4" xfId="986" xr:uid="{00000000-0005-0000-0000-0000CF030000}"/>
    <cellStyle name="Input [yellow] 2 9 5" xfId="987" xr:uid="{00000000-0005-0000-0000-0000D0030000}"/>
    <cellStyle name="Input [yellow] 2 9 6" xfId="988" xr:uid="{00000000-0005-0000-0000-0000D1030000}"/>
    <cellStyle name="Input [yellow] 2 9 7" xfId="989" xr:uid="{00000000-0005-0000-0000-0000D2030000}"/>
    <cellStyle name="Input [yellow] 3" xfId="990" xr:uid="{00000000-0005-0000-0000-0000D3030000}"/>
    <cellStyle name="Input [yellow] 3 10" xfId="991" xr:uid="{00000000-0005-0000-0000-0000D4030000}"/>
    <cellStyle name="Input [yellow] 3 10 2" xfId="992" xr:uid="{00000000-0005-0000-0000-0000D5030000}"/>
    <cellStyle name="Input [yellow] 3 10 3" xfId="993" xr:uid="{00000000-0005-0000-0000-0000D6030000}"/>
    <cellStyle name="Input [yellow] 3 10 4" xfId="994" xr:uid="{00000000-0005-0000-0000-0000D7030000}"/>
    <cellStyle name="Input [yellow] 3 10 5" xfId="995" xr:uid="{00000000-0005-0000-0000-0000D8030000}"/>
    <cellStyle name="Input [yellow] 3 10 6" xfId="996" xr:uid="{00000000-0005-0000-0000-0000D9030000}"/>
    <cellStyle name="Input [yellow] 3 10 7" xfId="997" xr:uid="{00000000-0005-0000-0000-0000DA030000}"/>
    <cellStyle name="Input [yellow] 3 11" xfId="998" xr:uid="{00000000-0005-0000-0000-0000DB030000}"/>
    <cellStyle name="Input [yellow] 3 11 2" xfId="999" xr:uid="{00000000-0005-0000-0000-0000DC030000}"/>
    <cellStyle name="Input [yellow] 3 11 3" xfId="1000" xr:uid="{00000000-0005-0000-0000-0000DD030000}"/>
    <cellStyle name="Input [yellow] 3 11 4" xfId="1001" xr:uid="{00000000-0005-0000-0000-0000DE030000}"/>
    <cellStyle name="Input [yellow] 3 11 5" xfId="1002" xr:uid="{00000000-0005-0000-0000-0000DF030000}"/>
    <cellStyle name="Input [yellow] 3 11 6" xfId="1003" xr:uid="{00000000-0005-0000-0000-0000E0030000}"/>
    <cellStyle name="Input [yellow] 3 11 7" xfId="1004" xr:uid="{00000000-0005-0000-0000-0000E1030000}"/>
    <cellStyle name="Input [yellow] 3 12" xfId="1005" xr:uid="{00000000-0005-0000-0000-0000E2030000}"/>
    <cellStyle name="Input [yellow] 3 12 2" xfId="1006" xr:uid="{00000000-0005-0000-0000-0000E3030000}"/>
    <cellStyle name="Input [yellow] 3 12 3" xfId="1007" xr:uid="{00000000-0005-0000-0000-0000E4030000}"/>
    <cellStyle name="Input [yellow] 3 12 4" xfId="1008" xr:uid="{00000000-0005-0000-0000-0000E5030000}"/>
    <cellStyle name="Input [yellow] 3 12 5" xfId="1009" xr:uid="{00000000-0005-0000-0000-0000E6030000}"/>
    <cellStyle name="Input [yellow] 3 12 6" xfId="1010" xr:uid="{00000000-0005-0000-0000-0000E7030000}"/>
    <cellStyle name="Input [yellow] 3 12 7" xfId="1011" xr:uid="{00000000-0005-0000-0000-0000E8030000}"/>
    <cellStyle name="Input [yellow] 3 13" xfId="1012" xr:uid="{00000000-0005-0000-0000-0000E9030000}"/>
    <cellStyle name="Input [yellow] 3 13 2" xfId="1013" xr:uid="{00000000-0005-0000-0000-0000EA030000}"/>
    <cellStyle name="Input [yellow] 3 13 3" xfId="1014" xr:uid="{00000000-0005-0000-0000-0000EB030000}"/>
    <cellStyle name="Input [yellow] 3 13 4" xfId="1015" xr:uid="{00000000-0005-0000-0000-0000EC030000}"/>
    <cellStyle name="Input [yellow] 3 13 5" xfId="1016" xr:uid="{00000000-0005-0000-0000-0000ED030000}"/>
    <cellStyle name="Input [yellow] 3 13 6" xfId="1017" xr:uid="{00000000-0005-0000-0000-0000EE030000}"/>
    <cellStyle name="Input [yellow] 3 13 7" xfId="1018" xr:uid="{00000000-0005-0000-0000-0000EF030000}"/>
    <cellStyle name="Input [yellow] 3 14" xfId="1019" xr:uid="{00000000-0005-0000-0000-0000F0030000}"/>
    <cellStyle name="Input [yellow] 3 14 2" xfId="1020" xr:uid="{00000000-0005-0000-0000-0000F1030000}"/>
    <cellStyle name="Input [yellow] 3 14 3" xfId="1021" xr:uid="{00000000-0005-0000-0000-0000F2030000}"/>
    <cellStyle name="Input [yellow] 3 14 4" xfId="1022" xr:uid="{00000000-0005-0000-0000-0000F3030000}"/>
    <cellStyle name="Input [yellow] 3 14 5" xfId="1023" xr:uid="{00000000-0005-0000-0000-0000F4030000}"/>
    <cellStyle name="Input [yellow] 3 14 6" xfId="1024" xr:uid="{00000000-0005-0000-0000-0000F5030000}"/>
    <cellStyle name="Input [yellow] 3 14 7" xfId="1025" xr:uid="{00000000-0005-0000-0000-0000F6030000}"/>
    <cellStyle name="Input [yellow] 3 15" xfId="1026" xr:uid="{00000000-0005-0000-0000-0000F7030000}"/>
    <cellStyle name="Input [yellow] 3 15 2" xfId="1027" xr:uid="{00000000-0005-0000-0000-0000F8030000}"/>
    <cellStyle name="Input [yellow] 3 15 3" xfId="1028" xr:uid="{00000000-0005-0000-0000-0000F9030000}"/>
    <cellStyle name="Input [yellow] 3 15 4" xfId="1029" xr:uid="{00000000-0005-0000-0000-0000FA030000}"/>
    <cellStyle name="Input [yellow] 3 15 5" xfId="1030" xr:uid="{00000000-0005-0000-0000-0000FB030000}"/>
    <cellStyle name="Input [yellow] 3 15 6" xfId="1031" xr:uid="{00000000-0005-0000-0000-0000FC030000}"/>
    <cellStyle name="Input [yellow] 3 15 7" xfId="1032" xr:uid="{00000000-0005-0000-0000-0000FD030000}"/>
    <cellStyle name="Input [yellow] 3 16" xfId="1033" xr:uid="{00000000-0005-0000-0000-0000FE030000}"/>
    <cellStyle name="Input [yellow] 3 16 2" xfId="1034" xr:uid="{00000000-0005-0000-0000-0000FF030000}"/>
    <cellStyle name="Input [yellow] 3 16 3" xfId="1035" xr:uid="{00000000-0005-0000-0000-000000040000}"/>
    <cellStyle name="Input [yellow] 3 16 4" xfId="1036" xr:uid="{00000000-0005-0000-0000-000001040000}"/>
    <cellStyle name="Input [yellow] 3 16 5" xfId="1037" xr:uid="{00000000-0005-0000-0000-000002040000}"/>
    <cellStyle name="Input [yellow] 3 16 6" xfId="1038" xr:uid="{00000000-0005-0000-0000-000003040000}"/>
    <cellStyle name="Input [yellow] 3 16 7" xfId="1039" xr:uid="{00000000-0005-0000-0000-000004040000}"/>
    <cellStyle name="Input [yellow] 3 17" xfId="1040" xr:uid="{00000000-0005-0000-0000-000005040000}"/>
    <cellStyle name="Input [yellow] 3 17 2" xfId="1041" xr:uid="{00000000-0005-0000-0000-000006040000}"/>
    <cellStyle name="Input [yellow] 3 17 3" xfId="1042" xr:uid="{00000000-0005-0000-0000-000007040000}"/>
    <cellStyle name="Input [yellow] 3 17 4" xfId="1043" xr:uid="{00000000-0005-0000-0000-000008040000}"/>
    <cellStyle name="Input [yellow] 3 17 5" xfId="1044" xr:uid="{00000000-0005-0000-0000-000009040000}"/>
    <cellStyle name="Input [yellow] 3 17 6" xfId="1045" xr:uid="{00000000-0005-0000-0000-00000A040000}"/>
    <cellStyle name="Input [yellow] 3 17 7" xfId="1046" xr:uid="{00000000-0005-0000-0000-00000B040000}"/>
    <cellStyle name="Input [yellow] 3 18" xfId="1047" xr:uid="{00000000-0005-0000-0000-00000C040000}"/>
    <cellStyle name="Input [yellow] 3 18 2" xfId="1048" xr:uid="{00000000-0005-0000-0000-00000D040000}"/>
    <cellStyle name="Input [yellow] 3 18 3" xfId="1049" xr:uid="{00000000-0005-0000-0000-00000E040000}"/>
    <cellStyle name="Input [yellow] 3 18 4" xfId="1050" xr:uid="{00000000-0005-0000-0000-00000F040000}"/>
    <cellStyle name="Input [yellow] 3 18 5" xfId="1051" xr:uid="{00000000-0005-0000-0000-000010040000}"/>
    <cellStyle name="Input [yellow] 3 18 6" xfId="1052" xr:uid="{00000000-0005-0000-0000-000011040000}"/>
    <cellStyle name="Input [yellow] 3 18 7" xfId="1053" xr:uid="{00000000-0005-0000-0000-000012040000}"/>
    <cellStyle name="Input [yellow] 3 19" xfId="1054" xr:uid="{00000000-0005-0000-0000-000013040000}"/>
    <cellStyle name="Input [yellow] 3 19 2" xfId="1055" xr:uid="{00000000-0005-0000-0000-000014040000}"/>
    <cellStyle name="Input [yellow] 3 19 3" xfId="1056" xr:uid="{00000000-0005-0000-0000-000015040000}"/>
    <cellStyle name="Input [yellow] 3 19 4" xfId="1057" xr:uid="{00000000-0005-0000-0000-000016040000}"/>
    <cellStyle name="Input [yellow] 3 19 5" xfId="1058" xr:uid="{00000000-0005-0000-0000-000017040000}"/>
    <cellStyle name="Input [yellow] 3 19 6" xfId="1059" xr:uid="{00000000-0005-0000-0000-000018040000}"/>
    <cellStyle name="Input [yellow] 3 19 7" xfId="1060" xr:uid="{00000000-0005-0000-0000-000019040000}"/>
    <cellStyle name="Input [yellow] 3 2" xfId="1061" xr:uid="{00000000-0005-0000-0000-00001A040000}"/>
    <cellStyle name="Input [yellow] 3 2 2" xfId="1062" xr:uid="{00000000-0005-0000-0000-00001B040000}"/>
    <cellStyle name="Input [yellow] 3 2 3" xfId="1063" xr:uid="{00000000-0005-0000-0000-00001C040000}"/>
    <cellStyle name="Input [yellow] 3 2 4" xfId="1064" xr:uid="{00000000-0005-0000-0000-00001D040000}"/>
    <cellStyle name="Input [yellow] 3 2 5" xfId="1065" xr:uid="{00000000-0005-0000-0000-00001E040000}"/>
    <cellStyle name="Input [yellow] 3 2 6" xfId="1066" xr:uid="{00000000-0005-0000-0000-00001F040000}"/>
    <cellStyle name="Input [yellow] 3 2 7" xfId="1067" xr:uid="{00000000-0005-0000-0000-000020040000}"/>
    <cellStyle name="Input [yellow] 3 20" xfId="1068" xr:uid="{00000000-0005-0000-0000-000021040000}"/>
    <cellStyle name="Input [yellow] 3 20 2" xfId="1069" xr:uid="{00000000-0005-0000-0000-000022040000}"/>
    <cellStyle name="Input [yellow] 3 20 3" xfId="1070" xr:uid="{00000000-0005-0000-0000-000023040000}"/>
    <cellStyle name="Input [yellow] 3 20 4" xfId="1071" xr:uid="{00000000-0005-0000-0000-000024040000}"/>
    <cellStyle name="Input [yellow] 3 20 5" xfId="1072" xr:uid="{00000000-0005-0000-0000-000025040000}"/>
    <cellStyle name="Input [yellow] 3 20 6" xfId="1073" xr:uid="{00000000-0005-0000-0000-000026040000}"/>
    <cellStyle name="Input [yellow] 3 20 7" xfId="1074" xr:uid="{00000000-0005-0000-0000-000027040000}"/>
    <cellStyle name="Input [yellow] 3 21" xfId="1075" xr:uid="{00000000-0005-0000-0000-000028040000}"/>
    <cellStyle name="Input [yellow] 3 21 2" xfId="1076" xr:uid="{00000000-0005-0000-0000-000029040000}"/>
    <cellStyle name="Input [yellow] 3 21 3" xfId="1077" xr:uid="{00000000-0005-0000-0000-00002A040000}"/>
    <cellStyle name="Input [yellow] 3 21 4" xfId="1078" xr:uid="{00000000-0005-0000-0000-00002B040000}"/>
    <cellStyle name="Input [yellow] 3 21 5" xfId="1079" xr:uid="{00000000-0005-0000-0000-00002C040000}"/>
    <cellStyle name="Input [yellow] 3 21 6" xfId="1080" xr:uid="{00000000-0005-0000-0000-00002D040000}"/>
    <cellStyle name="Input [yellow] 3 21 7" xfId="1081" xr:uid="{00000000-0005-0000-0000-00002E040000}"/>
    <cellStyle name="Input [yellow] 3 22" xfId="1082" xr:uid="{00000000-0005-0000-0000-00002F040000}"/>
    <cellStyle name="Input [yellow] 3 22 2" xfId="1083" xr:uid="{00000000-0005-0000-0000-000030040000}"/>
    <cellStyle name="Input [yellow] 3 22 3" xfId="1084" xr:uid="{00000000-0005-0000-0000-000031040000}"/>
    <cellStyle name="Input [yellow] 3 22 4" xfId="1085" xr:uid="{00000000-0005-0000-0000-000032040000}"/>
    <cellStyle name="Input [yellow] 3 22 5" xfId="1086" xr:uid="{00000000-0005-0000-0000-000033040000}"/>
    <cellStyle name="Input [yellow] 3 22 6" xfId="1087" xr:uid="{00000000-0005-0000-0000-000034040000}"/>
    <cellStyle name="Input [yellow] 3 22 7" xfId="1088" xr:uid="{00000000-0005-0000-0000-000035040000}"/>
    <cellStyle name="Input [yellow] 3 23" xfId="1089" xr:uid="{00000000-0005-0000-0000-000036040000}"/>
    <cellStyle name="Input [yellow] 3 23 2" xfId="1090" xr:uid="{00000000-0005-0000-0000-000037040000}"/>
    <cellStyle name="Input [yellow] 3 23 3" xfId="1091" xr:uid="{00000000-0005-0000-0000-000038040000}"/>
    <cellStyle name="Input [yellow] 3 23 4" xfId="1092" xr:uid="{00000000-0005-0000-0000-000039040000}"/>
    <cellStyle name="Input [yellow] 3 23 5" xfId="1093" xr:uid="{00000000-0005-0000-0000-00003A040000}"/>
    <cellStyle name="Input [yellow] 3 23 6" xfId="1094" xr:uid="{00000000-0005-0000-0000-00003B040000}"/>
    <cellStyle name="Input [yellow] 3 23 7" xfId="1095" xr:uid="{00000000-0005-0000-0000-00003C040000}"/>
    <cellStyle name="Input [yellow] 3 24" xfId="1096" xr:uid="{00000000-0005-0000-0000-00003D040000}"/>
    <cellStyle name="Input [yellow] 3 24 2" xfId="1097" xr:uid="{00000000-0005-0000-0000-00003E040000}"/>
    <cellStyle name="Input [yellow] 3 24 3" xfId="1098" xr:uid="{00000000-0005-0000-0000-00003F040000}"/>
    <cellStyle name="Input [yellow] 3 24 4" xfId="1099" xr:uid="{00000000-0005-0000-0000-000040040000}"/>
    <cellStyle name="Input [yellow] 3 24 5" xfId="1100" xr:uid="{00000000-0005-0000-0000-000041040000}"/>
    <cellStyle name="Input [yellow] 3 24 6" xfId="1101" xr:uid="{00000000-0005-0000-0000-000042040000}"/>
    <cellStyle name="Input [yellow] 3 24 7" xfId="1102" xr:uid="{00000000-0005-0000-0000-000043040000}"/>
    <cellStyle name="Input [yellow] 3 25" xfId="1103" xr:uid="{00000000-0005-0000-0000-000044040000}"/>
    <cellStyle name="Input [yellow] 3 25 2" xfId="1104" xr:uid="{00000000-0005-0000-0000-000045040000}"/>
    <cellStyle name="Input [yellow] 3 25 3" xfId="1105" xr:uid="{00000000-0005-0000-0000-000046040000}"/>
    <cellStyle name="Input [yellow] 3 25 4" xfId="1106" xr:uid="{00000000-0005-0000-0000-000047040000}"/>
    <cellStyle name="Input [yellow] 3 25 5" xfId="1107" xr:uid="{00000000-0005-0000-0000-000048040000}"/>
    <cellStyle name="Input [yellow] 3 25 6" xfId="1108" xr:uid="{00000000-0005-0000-0000-000049040000}"/>
    <cellStyle name="Input [yellow] 3 25 7" xfId="1109" xr:uid="{00000000-0005-0000-0000-00004A040000}"/>
    <cellStyle name="Input [yellow] 3 26" xfId="1110" xr:uid="{00000000-0005-0000-0000-00004B040000}"/>
    <cellStyle name="Input [yellow] 3 26 2" xfId="1111" xr:uid="{00000000-0005-0000-0000-00004C040000}"/>
    <cellStyle name="Input [yellow] 3 26 3" xfId="1112" xr:uid="{00000000-0005-0000-0000-00004D040000}"/>
    <cellStyle name="Input [yellow] 3 26 4" xfId="1113" xr:uid="{00000000-0005-0000-0000-00004E040000}"/>
    <cellStyle name="Input [yellow] 3 26 5" xfId="1114" xr:uid="{00000000-0005-0000-0000-00004F040000}"/>
    <cellStyle name="Input [yellow] 3 26 6" xfId="1115" xr:uid="{00000000-0005-0000-0000-000050040000}"/>
    <cellStyle name="Input [yellow] 3 26 7" xfId="1116" xr:uid="{00000000-0005-0000-0000-000051040000}"/>
    <cellStyle name="Input [yellow] 3 27" xfId="1117" xr:uid="{00000000-0005-0000-0000-000052040000}"/>
    <cellStyle name="Input [yellow] 3 27 2" xfId="1118" xr:uid="{00000000-0005-0000-0000-000053040000}"/>
    <cellStyle name="Input [yellow] 3 27 3" xfId="1119" xr:uid="{00000000-0005-0000-0000-000054040000}"/>
    <cellStyle name="Input [yellow] 3 27 4" xfId="1120" xr:uid="{00000000-0005-0000-0000-000055040000}"/>
    <cellStyle name="Input [yellow] 3 27 5" xfId="1121" xr:uid="{00000000-0005-0000-0000-000056040000}"/>
    <cellStyle name="Input [yellow] 3 27 6" xfId="1122" xr:uid="{00000000-0005-0000-0000-000057040000}"/>
    <cellStyle name="Input [yellow] 3 27 7" xfId="1123" xr:uid="{00000000-0005-0000-0000-000058040000}"/>
    <cellStyle name="Input [yellow] 3 28" xfId="1124" xr:uid="{00000000-0005-0000-0000-000059040000}"/>
    <cellStyle name="Input [yellow] 3 28 2" xfId="1125" xr:uid="{00000000-0005-0000-0000-00005A040000}"/>
    <cellStyle name="Input [yellow] 3 28 3" xfId="1126" xr:uid="{00000000-0005-0000-0000-00005B040000}"/>
    <cellStyle name="Input [yellow] 3 28 4" xfId="1127" xr:uid="{00000000-0005-0000-0000-00005C040000}"/>
    <cellStyle name="Input [yellow] 3 28 5" xfId="1128" xr:uid="{00000000-0005-0000-0000-00005D040000}"/>
    <cellStyle name="Input [yellow] 3 28 6" xfId="1129" xr:uid="{00000000-0005-0000-0000-00005E040000}"/>
    <cellStyle name="Input [yellow] 3 28 7" xfId="1130" xr:uid="{00000000-0005-0000-0000-00005F040000}"/>
    <cellStyle name="Input [yellow] 3 29" xfId="1131" xr:uid="{00000000-0005-0000-0000-000060040000}"/>
    <cellStyle name="Input [yellow] 3 29 2" xfId="1132" xr:uid="{00000000-0005-0000-0000-000061040000}"/>
    <cellStyle name="Input [yellow] 3 29 3" xfId="1133" xr:uid="{00000000-0005-0000-0000-000062040000}"/>
    <cellStyle name="Input [yellow] 3 29 4" xfId="1134" xr:uid="{00000000-0005-0000-0000-000063040000}"/>
    <cellStyle name="Input [yellow] 3 29 5" xfId="1135" xr:uid="{00000000-0005-0000-0000-000064040000}"/>
    <cellStyle name="Input [yellow] 3 29 6" xfId="1136" xr:uid="{00000000-0005-0000-0000-000065040000}"/>
    <cellStyle name="Input [yellow] 3 29 7" xfId="1137" xr:uid="{00000000-0005-0000-0000-000066040000}"/>
    <cellStyle name="Input [yellow] 3 3" xfId="1138" xr:uid="{00000000-0005-0000-0000-000067040000}"/>
    <cellStyle name="Input [yellow] 3 3 2" xfId="1139" xr:uid="{00000000-0005-0000-0000-000068040000}"/>
    <cellStyle name="Input [yellow] 3 3 3" xfId="1140" xr:uid="{00000000-0005-0000-0000-000069040000}"/>
    <cellStyle name="Input [yellow] 3 3 4" xfId="1141" xr:uid="{00000000-0005-0000-0000-00006A040000}"/>
    <cellStyle name="Input [yellow] 3 3 5" xfId="1142" xr:uid="{00000000-0005-0000-0000-00006B040000}"/>
    <cellStyle name="Input [yellow] 3 3 6" xfId="1143" xr:uid="{00000000-0005-0000-0000-00006C040000}"/>
    <cellStyle name="Input [yellow] 3 3 7" xfId="1144" xr:uid="{00000000-0005-0000-0000-00006D040000}"/>
    <cellStyle name="Input [yellow] 3 30" xfId="1145" xr:uid="{00000000-0005-0000-0000-00006E040000}"/>
    <cellStyle name="Input [yellow] 3 30 2" xfId="1146" xr:uid="{00000000-0005-0000-0000-00006F040000}"/>
    <cellStyle name="Input [yellow] 3 30 3" xfId="1147" xr:uid="{00000000-0005-0000-0000-000070040000}"/>
    <cellStyle name="Input [yellow] 3 30 4" xfId="1148" xr:uid="{00000000-0005-0000-0000-000071040000}"/>
    <cellStyle name="Input [yellow] 3 30 5" xfId="1149" xr:uid="{00000000-0005-0000-0000-000072040000}"/>
    <cellStyle name="Input [yellow] 3 30 6" xfId="1150" xr:uid="{00000000-0005-0000-0000-000073040000}"/>
    <cellStyle name="Input [yellow] 3 30 7" xfId="1151" xr:uid="{00000000-0005-0000-0000-000074040000}"/>
    <cellStyle name="Input [yellow] 3 31" xfId="1152" xr:uid="{00000000-0005-0000-0000-000075040000}"/>
    <cellStyle name="Input [yellow] 3 31 2" xfId="1153" xr:uid="{00000000-0005-0000-0000-000076040000}"/>
    <cellStyle name="Input [yellow] 3 31 3" xfId="1154" xr:uid="{00000000-0005-0000-0000-000077040000}"/>
    <cellStyle name="Input [yellow] 3 31 4" xfId="1155" xr:uid="{00000000-0005-0000-0000-000078040000}"/>
    <cellStyle name="Input [yellow] 3 31 5" xfId="1156" xr:uid="{00000000-0005-0000-0000-000079040000}"/>
    <cellStyle name="Input [yellow] 3 31 6" xfId="1157" xr:uid="{00000000-0005-0000-0000-00007A040000}"/>
    <cellStyle name="Input [yellow] 3 32" xfId="1158" xr:uid="{00000000-0005-0000-0000-00007B040000}"/>
    <cellStyle name="Input [yellow] 3 33" xfId="1159" xr:uid="{00000000-0005-0000-0000-00007C040000}"/>
    <cellStyle name="Input [yellow] 3 34" xfId="1160" xr:uid="{00000000-0005-0000-0000-00007D040000}"/>
    <cellStyle name="Input [yellow] 3 35" xfId="1161" xr:uid="{00000000-0005-0000-0000-00007E040000}"/>
    <cellStyle name="Input [yellow] 3 36" xfId="1162" xr:uid="{00000000-0005-0000-0000-00007F040000}"/>
    <cellStyle name="Input [yellow] 3 4" xfId="1163" xr:uid="{00000000-0005-0000-0000-000080040000}"/>
    <cellStyle name="Input [yellow] 3 4 2" xfId="1164" xr:uid="{00000000-0005-0000-0000-000081040000}"/>
    <cellStyle name="Input [yellow] 3 4 3" xfId="1165" xr:uid="{00000000-0005-0000-0000-000082040000}"/>
    <cellStyle name="Input [yellow] 3 4 4" xfId="1166" xr:uid="{00000000-0005-0000-0000-000083040000}"/>
    <cellStyle name="Input [yellow] 3 4 5" xfId="1167" xr:uid="{00000000-0005-0000-0000-000084040000}"/>
    <cellStyle name="Input [yellow] 3 4 6" xfId="1168" xr:uid="{00000000-0005-0000-0000-000085040000}"/>
    <cellStyle name="Input [yellow] 3 4 7" xfId="1169" xr:uid="{00000000-0005-0000-0000-000086040000}"/>
    <cellStyle name="Input [yellow] 3 5" xfId="1170" xr:uid="{00000000-0005-0000-0000-000087040000}"/>
    <cellStyle name="Input [yellow] 3 5 2" xfId="1171" xr:uid="{00000000-0005-0000-0000-000088040000}"/>
    <cellStyle name="Input [yellow] 3 5 3" xfId="1172" xr:uid="{00000000-0005-0000-0000-000089040000}"/>
    <cellStyle name="Input [yellow] 3 5 4" xfId="1173" xr:uid="{00000000-0005-0000-0000-00008A040000}"/>
    <cellStyle name="Input [yellow] 3 5 5" xfId="1174" xr:uid="{00000000-0005-0000-0000-00008B040000}"/>
    <cellStyle name="Input [yellow] 3 5 6" xfId="1175" xr:uid="{00000000-0005-0000-0000-00008C040000}"/>
    <cellStyle name="Input [yellow] 3 5 7" xfId="1176" xr:uid="{00000000-0005-0000-0000-00008D040000}"/>
    <cellStyle name="Input [yellow] 3 6" xfId="1177" xr:uid="{00000000-0005-0000-0000-00008E040000}"/>
    <cellStyle name="Input [yellow] 3 6 2" xfId="1178" xr:uid="{00000000-0005-0000-0000-00008F040000}"/>
    <cellStyle name="Input [yellow] 3 6 3" xfId="1179" xr:uid="{00000000-0005-0000-0000-000090040000}"/>
    <cellStyle name="Input [yellow] 3 6 4" xfId="1180" xr:uid="{00000000-0005-0000-0000-000091040000}"/>
    <cellStyle name="Input [yellow] 3 6 5" xfId="1181" xr:uid="{00000000-0005-0000-0000-000092040000}"/>
    <cellStyle name="Input [yellow] 3 6 6" xfId="1182" xr:uid="{00000000-0005-0000-0000-000093040000}"/>
    <cellStyle name="Input [yellow] 3 6 7" xfId="1183" xr:uid="{00000000-0005-0000-0000-000094040000}"/>
    <cellStyle name="Input [yellow] 3 7" xfId="1184" xr:uid="{00000000-0005-0000-0000-000095040000}"/>
    <cellStyle name="Input [yellow] 3 7 2" xfId="1185" xr:uid="{00000000-0005-0000-0000-000096040000}"/>
    <cellStyle name="Input [yellow] 3 7 3" xfId="1186" xr:uid="{00000000-0005-0000-0000-000097040000}"/>
    <cellStyle name="Input [yellow] 3 7 4" xfId="1187" xr:uid="{00000000-0005-0000-0000-000098040000}"/>
    <cellStyle name="Input [yellow] 3 7 5" xfId="1188" xr:uid="{00000000-0005-0000-0000-000099040000}"/>
    <cellStyle name="Input [yellow] 3 7 6" xfId="1189" xr:uid="{00000000-0005-0000-0000-00009A040000}"/>
    <cellStyle name="Input [yellow] 3 7 7" xfId="1190" xr:uid="{00000000-0005-0000-0000-00009B040000}"/>
    <cellStyle name="Input [yellow] 3 8" xfId="1191" xr:uid="{00000000-0005-0000-0000-00009C040000}"/>
    <cellStyle name="Input [yellow] 3 8 2" xfId="1192" xr:uid="{00000000-0005-0000-0000-00009D040000}"/>
    <cellStyle name="Input [yellow] 3 8 3" xfId="1193" xr:uid="{00000000-0005-0000-0000-00009E040000}"/>
    <cellStyle name="Input [yellow] 3 8 4" xfId="1194" xr:uid="{00000000-0005-0000-0000-00009F040000}"/>
    <cellStyle name="Input [yellow] 3 8 5" xfId="1195" xr:uid="{00000000-0005-0000-0000-0000A0040000}"/>
    <cellStyle name="Input [yellow] 3 8 6" xfId="1196" xr:uid="{00000000-0005-0000-0000-0000A1040000}"/>
    <cellStyle name="Input [yellow] 3 8 7" xfId="1197" xr:uid="{00000000-0005-0000-0000-0000A2040000}"/>
    <cellStyle name="Input [yellow] 3 9" xfId="1198" xr:uid="{00000000-0005-0000-0000-0000A3040000}"/>
    <cellStyle name="Input [yellow] 3 9 2" xfId="1199" xr:uid="{00000000-0005-0000-0000-0000A4040000}"/>
    <cellStyle name="Input [yellow] 3 9 3" xfId="1200" xr:uid="{00000000-0005-0000-0000-0000A5040000}"/>
    <cellStyle name="Input [yellow] 3 9 4" xfId="1201" xr:uid="{00000000-0005-0000-0000-0000A6040000}"/>
    <cellStyle name="Input [yellow] 3 9 5" xfId="1202" xr:uid="{00000000-0005-0000-0000-0000A7040000}"/>
    <cellStyle name="Input [yellow] 3 9 6" xfId="1203" xr:uid="{00000000-0005-0000-0000-0000A8040000}"/>
    <cellStyle name="Input [yellow] 3 9 7" xfId="1204" xr:uid="{00000000-0005-0000-0000-0000A9040000}"/>
    <cellStyle name="Input [yellow] 4" xfId="1205" xr:uid="{00000000-0005-0000-0000-0000AA040000}"/>
    <cellStyle name="Input [yellow] 5" xfId="1206" xr:uid="{00000000-0005-0000-0000-0000AB040000}"/>
    <cellStyle name="Input 2" xfId="1207" xr:uid="{00000000-0005-0000-0000-0000AC040000}"/>
    <cellStyle name="Komma [0]_BINV" xfId="1208" xr:uid="{00000000-0005-0000-0000-0000AD040000}"/>
    <cellStyle name="Komma_BINV" xfId="1209" xr:uid="{00000000-0005-0000-0000-0000AE040000}"/>
    <cellStyle name="Link Currency (0)" xfId="1210" xr:uid="{00000000-0005-0000-0000-0000AF040000}"/>
    <cellStyle name="Link Currency (2)" xfId="1211" xr:uid="{00000000-0005-0000-0000-0000B0040000}"/>
    <cellStyle name="Link Units (0)" xfId="1212" xr:uid="{00000000-0005-0000-0000-0000B1040000}"/>
    <cellStyle name="Link Units (1)" xfId="1213" xr:uid="{00000000-0005-0000-0000-0000B2040000}"/>
    <cellStyle name="Link Units (2)" xfId="1214" xr:uid="{00000000-0005-0000-0000-0000B3040000}"/>
    <cellStyle name="Linked Cell 2" xfId="1215" xr:uid="{00000000-0005-0000-0000-0000B4040000}"/>
    <cellStyle name="M" xfId="1216" xr:uid="{00000000-0005-0000-0000-0000B5040000}"/>
    <cellStyle name="Major Heading" xfId="1217" xr:uid="{00000000-0005-0000-0000-0000B6040000}"/>
    <cellStyle name="Milliers [0]_Open&amp;Close" xfId="1218" xr:uid="{00000000-0005-0000-0000-0000B7040000}"/>
    <cellStyle name="Milliers_Open&amp;Close" xfId="1219" xr:uid="{00000000-0005-0000-0000-0000B8040000}"/>
    <cellStyle name="Monétaire [0]_Open&amp;Close" xfId="1220" xr:uid="{00000000-0005-0000-0000-0000B9040000}"/>
    <cellStyle name="Monétaire_Open&amp;Close" xfId="1221" xr:uid="{00000000-0005-0000-0000-0000BA040000}"/>
    <cellStyle name="Multiple" xfId="1222" xr:uid="{00000000-0005-0000-0000-0000BB040000}"/>
    <cellStyle name="Neutral 2" xfId="1223" xr:uid="{00000000-0005-0000-0000-0000BC040000}"/>
    <cellStyle name="Normal" xfId="0" builtinId="0"/>
    <cellStyle name="Normal - Style1" xfId="1224" xr:uid="{00000000-0005-0000-0000-0000BE040000}"/>
    <cellStyle name="Normal - Style1 2" xfId="1225" xr:uid="{00000000-0005-0000-0000-0000BF040000}"/>
    <cellStyle name="Normal - Style1 3" xfId="1226" xr:uid="{00000000-0005-0000-0000-0000C0040000}"/>
    <cellStyle name="Normal 10" xfId="1227" xr:uid="{00000000-0005-0000-0000-0000C1040000}"/>
    <cellStyle name="Normal 10 2" xfId="1228" xr:uid="{00000000-0005-0000-0000-0000C2040000}"/>
    <cellStyle name="Normal 10 2 2" xfId="1229" xr:uid="{00000000-0005-0000-0000-0000C3040000}"/>
    <cellStyle name="Normal 10 3" xfId="1230" xr:uid="{00000000-0005-0000-0000-0000C4040000}"/>
    <cellStyle name="Normal 100" xfId="1231" xr:uid="{00000000-0005-0000-0000-0000C5040000}"/>
    <cellStyle name="Normal 100 2" xfId="1232" xr:uid="{00000000-0005-0000-0000-0000C6040000}"/>
    <cellStyle name="Normal 101" xfId="1233" xr:uid="{00000000-0005-0000-0000-0000C7040000}"/>
    <cellStyle name="Normal 101 2" xfId="1234" xr:uid="{00000000-0005-0000-0000-0000C8040000}"/>
    <cellStyle name="Normal 102" xfId="1235" xr:uid="{00000000-0005-0000-0000-0000C9040000}"/>
    <cellStyle name="Normal 102 2" xfId="1236" xr:uid="{00000000-0005-0000-0000-0000CA040000}"/>
    <cellStyle name="Normal 103" xfId="1237" xr:uid="{00000000-0005-0000-0000-0000CB040000}"/>
    <cellStyle name="Normal 103 2" xfId="1238" xr:uid="{00000000-0005-0000-0000-0000CC040000}"/>
    <cellStyle name="Normal 104" xfId="1239" xr:uid="{00000000-0005-0000-0000-0000CD040000}"/>
    <cellStyle name="Normal 104 2" xfId="1240" xr:uid="{00000000-0005-0000-0000-0000CE040000}"/>
    <cellStyle name="Normal 105" xfId="1241" xr:uid="{00000000-0005-0000-0000-0000CF040000}"/>
    <cellStyle name="Normal 105 2" xfId="1242" xr:uid="{00000000-0005-0000-0000-0000D0040000}"/>
    <cellStyle name="Normal 106" xfId="1243" xr:uid="{00000000-0005-0000-0000-0000D1040000}"/>
    <cellStyle name="Normal 106 2" xfId="1244" xr:uid="{00000000-0005-0000-0000-0000D2040000}"/>
    <cellStyle name="Normal 107" xfId="1245" xr:uid="{00000000-0005-0000-0000-0000D3040000}"/>
    <cellStyle name="Normal 107 2" xfId="1246" xr:uid="{00000000-0005-0000-0000-0000D4040000}"/>
    <cellStyle name="Normal 108" xfId="1247" xr:uid="{00000000-0005-0000-0000-0000D5040000}"/>
    <cellStyle name="Normal 108 2" xfId="1248" xr:uid="{00000000-0005-0000-0000-0000D6040000}"/>
    <cellStyle name="Normal 109" xfId="1249" xr:uid="{00000000-0005-0000-0000-0000D7040000}"/>
    <cellStyle name="Normal 109 2" xfId="1250" xr:uid="{00000000-0005-0000-0000-0000D8040000}"/>
    <cellStyle name="Normal 11" xfId="1251" xr:uid="{00000000-0005-0000-0000-0000D9040000}"/>
    <cellStyle name="Normal 11 2" xfId="1252" xr:uid="{00000000-0005-0000-0000-0000DA040000}"/>
    <cellStyle name="Normal 11 2 2" xfId="1253" xr:uid="{00000000-0005-0000-0000-0000DB040000}"/>
    <cellStyle name="Normal 11 3" xfId="1254" xr:uid="{00000000-0005-0000-0000-0000DC040000}"/>
    <cellStyle name="Normal 110" xfId="1255" xr:uid="{00000000-0005-0000-0000-0000DD040000}"/>
    <cellStyle name="Normal 110 2" xfId="1256" xr:uid="{00000000-0005-0000-0000-0000DE040000}"/>
    <cellStyle name="Normal 111" xfId="1257" xr:uid="{00000000-0005-0000-0000-0000DF040000}"/>
    <cellStyle name="Normal 111 2" xfId="1258" xr:uid="{00000000-0005-0000-0000-0000E0040000}"/>
    <cellStyle name="Normal 112" xfId="1259" xr:uid="{00000000-0005-0000-0000-0000E1040000}"/>
    <cellStyle name="Normal 112 2" xfId="1260" xr:uid="{00000000-0005-0000-0000-0000E2040000}"/>
    <cellStyle name="Normal 113" xfId="1261" xr:uid="{00000000-0005-0000-0000-0000E3040000}"/>
    <cellStyle name="Normal 113 2" xfId="1262" xr:uid="{00000000-0005-0000-0000-0000E4040000}"/>
    <cellStyle name="Normal 114" xfId="1263" xr:uid="{00000000-0005-0000-0000-0000E5040000}"/>
    <cellStyle name="Normal 114 2" xfId="1264" xr:uid="{00000000-0005-0000-0000-0000E6040000}"/>
    <cellStyle name="Normal 115" xfId="1265" xr:uid="{00000000-0005-0000-0000-0000E7040000}"/>
    <cellStyle name="Normal 115 2" xfId="1266" xr:uid="{00000000-0005-0000-0000-0000E8040000}"/>
    <cellStyle name="Normal 116" xfId="1267" xr:uid="{00000000-0005-0000-0000-0000E9040000}"/>
    <cellStyle name="Normal 116 2" xfId="1268" xr:uid="{00000000-0005-0000-0000-0000EA040000}"/>
    <cellStyle name="Normal 117" xfId="1269" xr:uid="{00000000-0005-0000-0000-0000EB040000}"/>
    <cellStyle name="Normal 117 2" xfId="1270" xr:uid="{00000000-0005-0000-0000-0000EC040000}"/>
    <cellStyle name="Normal 118" xfId="1271" xr:uid="{00000000-0005-0000-0000-0000ED040000}"/>
    <cellStyle name="Normal 118 2" xfId="1272" xr:uid="{00000000-0005-0000-0000-0000EE040000}"/>
    <cellStyle name="Normal 119" xfId="1273" xr:uid="{00000000-0005-0000-0000-0000EF040000}"/>
    <cellStyle name="Normal 119 2" xfId="1274" xr:uid="{00000000-0005-0000-0000-0000F0040000}"/>
    <cellStyle name="Normal 12" xfId="1275" xr:uid="{00000000-0005-0000-0000-0000F1040000}"/>
    <cellStyle name="Normal 12 2" xfId="1276" xr:uid="{00000000-0005-0000-0000-0000F2040000}"/>
    <cellStyle name="Normal 12 2 2" xfId="1277" xr:uid="{00000000-0005-0000-0000-0000F3040000}"/>
    <cellStyle name="Normal 12 3" xfId="1278" xr:uid="{00000000-0005-0000-0000-0000F4040000}"/>
    <cellStyle name="Normal 120" xfId="1279" xr:uid="{00000000-0005-0000-0000-0000F5040000}"/>
    <cellStyle name="Normal 120 2" xfId="1280" xr:uid="{00000000-0005-0000-0000-0000F6040000}"/>
    <cellStyle name="Normal 121" xfId="1281" xr:uid="{00000000-0005-0000-0000-0000F7040000}"/>
    <cellStyle name="Normal 121 2" xfId="1282" xr:uid="{00000000-0005-0000-0000-0000F8040000}"/>
    <cellStyle name="Normal 122" xfId="1283" xr:uid="{00000000-0005-0000-0000-0000F9040000}"/>
    <cellStyle name="Normal 122 2" xfId="1284" xr:uid="{00000000-0005-0000-0000-0000FA040000}"/>
    <cellStyle name="Normal 123" xfId="1285" xr:uid="{00000000-0005-0000-0000-0000FB040000}"/>
    <cellStyle name="Normal 123 2" xfId="1286" xr:uid="{00000000-0005-0000-0000-0000FC040000}"/>
    <cellStyle name="Normal 124" xfId="1287" xr:uid="{00000000-0005-0000-0000-0000FD040000}"/>
    <cellStyle name="Normal 124 2" xfId="1288" xr:uid="{00000000-0005-0000-0000-0000FE040000}"/>
    <cellStyle name="Normal 125" xfId="1289" xr:uid="{00000000-0005-0000-0000-0000FF040000}"/>
    <cellStyle name="Normal 125 2" xfId="1290" xr:uid="{00000000-0005-0000-0000-000000050000}"/>
    <cellStyle name="Normal 126" xfId="1291" xr:uid="{00000000-0005-0000-0000-000001050000}"/>
    <cellStyle name="Normal 126 2" xfId="1292" xr:uid="{00000000-0005-0000-0000-000002050000}"/>
    <cellStyle name="Normal 127" xfId="1293" xr:uid="{00000000-0005-0000-0000-000003050000}"/>
    <cellStyle name="Normal 127 2" xfId="1294" xr:uid="{00000000-0005-0000-0000-000004050000}"/>
    <cellStyle name="Normal 128" xfId="1295" xr:uid="{00000000-0005-0000-0000-000005050000}"/>
    <cellStyle name="Normal 128 2" xfId="1296" xr:uid="{00000000-0005-0000-0000-000006050000}"/>
    <cellStyle name="Normal 129" xfId="1297" xr:uid="{00000000-0005-0000-0000-000007050000}"/>
    <cellStyle name="Normal 129 2" xfId="1298" xr:uid="{00000000-0005-0000-0000-000008050000}"/>
    <cellStyle name="Normal 13" xfId="1299" xr:uid="{00000000-0005-0000-0000-000009050000}"/>
    <cellStyle name="Normal 13 2" xfId="1300" xr:uid="{00000000-0005-0000-0000-00000A050000}"/>
    <cellStyle name="Normal 13 2 2" xfId="1301" xr:uid="{00000000-0005-0000-0000-00000B050000}"/>
    <cellStyle name="Normal 13 3" xfId="1302" xr:uid="{00000000-0005-0000-0000-00000C050000}"/>
    <cellStyle name="Normal 130" xfId="1303" xr:uid="{00000000-0005-0000-0000-00000D050000}"/>
    <cellStyle name="Normal 130 2" xfId="1304" xr:uid="{00000000-0005-0000-0000-00000E050000}"/>
    <cellStyle name="Normal 131" xfId="1305" xr:uid="{00000000-0005-0000-0000-00000F050000}"/>
    <cellStyle name="Normal 131 2" xfId="1306" xr:uid="{00000000-0005-0000-0000-000010050000}"/>
    <cellStyle name="Normal 132" xfId="1307" xr:uid="{00000000-0005-0000-0000-000011050000}"/>
    <cellStyle name="Normal 132 2" xfId="1308" xr:uid="{00000000-0005-0000-0000-000012050000}"/>
    <cellStyle name="Normal 133" xfId="1309" xr:uid="{00000000-0005-0000-0000-000013050000}"/>
    <cellStyle name="Normal 133 2" xfId="1310" xr:uid="{00000000-0005-0000-0000-000014050000}"/>
    <cellStyle name="Normal 134" xfId="1311" xr:uid="{00000000-0005-0000-0000-000015050000}"/>
    <cellStyle name="Normal 134 2" xfId="1312" xr:uid="{00000000-0005-0000-0000-000016050000}"/>
    <cellStyle name="Normal 135" xfId="1313" xr:uid="{00000000-0005-0000-0000-000017050000}"/>
    <cellStyle name="Normal 135 2" xfId="1314" xr:uid="{00000000-0005-0000-0000-000018050000}"/>
    <cellStyle name="Normal 136" xfId="1315" xr:uid="{00000000-0005-0000-0000-000019050000}"/>
    <cellStyle name="Normal 136 2" xfId="1316" xr:uid="{00000000-0005-0000-0000-00001A050000}"/>
    <cellStyle name="Normal 137" xfId="1317" xr:uid="{00000000-0005-0000-0000-00001B050000}"/>
    <cellStyle name="Normal 137 2" xfId="1318" xr:uid="{00000000-0005-0000-0000-00001C050000}"/>
    <cellStyle name="Normal 138" xfId="1319" xr:uid="{00000000-0005-0000-0000-00001D050000}"/>
    <cellStyle name="Normal 138 2" xfId="1320" xr:uid="{00000000-0005-0000-0000-00001E050000}"/>
    <cellStyle name="Normal 139" xfId="1321" xr:uid="{00000000-0005-0000-0000-00001F050000}"/>
    <cellStyle name="Normal 139 2" xfId="1322" xr:uid="{00000000-0005-0000-0000-000020050000}"/>
    <cellStyle name="Normal 14" xfId="1323" xr:uid="{00000000-0005-0000-0000-000021050000}"/>
    <cellStyle name="Normal 14 2" xfId="1324" xr:uid="{00000000-0005-0000-0000-000022050000}"/>
    <cellStyle name="Normal 14 2 2" xfId="1325" xr:uid="{00000000-0005-0000-0000-000023050000}"/>
    <cellStyle name="Normal 14 3" xfId="1326" xr:uid="{00000000-0005-0000-0000-000024050000}"/>
    <cellStyle name="Normal 140" xfId="1327" xr:uid="{00000000-0005-0000-0000-000025050000}"/>
    <cellStyle name="Normal 140 2" xfId="1328" xr:uid="{00000000-0005-0000-0000-000026050000}"/>
    <cellStyle name="Normal 141" xfId="1329" xr:uid="{00000000-0005-0000-0000-000027050000}"/>
    <cellStyle name="Normal 141 2" xfId="1330" xr:uid="{00000000-0005-0000-0000-000028050000}"/>
    <cellStyle name="Normal 142" xfId="1331" xr:uid="{00000000-0005-0000-0000-000029050000}"/>
    <cellStyle name="Normal 142 2" xfId="1332" xr:uid="{00000000-0005-0000-0000-00002A050000}"/>
    <cellStyle name="Normal 143" xfId="1333" xr:uid="{00000000-0005-0000-0000-00002B050000}"/>
    <cellStyle name="Normal 143 2" xfId="1334" xr:uid="{00000000-0005-0000-0000-00002C050000}"/>
    <cellStyle name="Normal 144" xfId="1335" xr:uid="{00000000-0005-0000-0000-00002D050000}"/>
    <cellStyle name="Normal 144 2" xfId="1336" xr:uid="{00000000-0005-0000-0000-00002E050000}"/>
    <cellStyle name="Normal 145" xfId="1337" xr:uid="{00000000-0005-0000-0000-00002F050000}"/>
    <cellStyle name="Normal 145 2" xfId="1338" xr:uid="{00000000-0005-0000-0000-000030050000}"/>
    <cellStyle name="Normal 146" xfId="1339" xr:uid="{00000000-0005-0000-0000-000031050000}"/>
    <cellStyle name="Normal 146 2" xfId="1340" xr:uid="{00000000-0005-0000-0000-000032050000}"/>
    <cellStyle name="Normal 147" xfId="1341" xr:uid="{00000000-0005-0000-0000-000033050000}"/>
    <cellStyle name="Normal 147 2" xfId="1342" xr:uid="{00000000-0005-0000-0000-000034050000}"/>
    <cellStyle name="Normal 148" xfId="1343" xr:uid="{00000000-0005-0000-0000-000035050000}"/>
    <cellStyle name="Normal 148 2" xfId="1344" xr:uid="{00000000-0005-0000-0000-000036050000}"/>
    <cellStyle name="Normal 149" xfId="1345" xr:uid="{00000000-0005-0000-0000-000037050000}"/>
    <cellStyle name="Normal 149 2" xfId="1346" xr:uid="{00000000-0005-0000-0000-000038050000}"/>
    <cellStyle name="Normal 15" xfId="1347" xr:uid="{00000000-0005-0000-0000-000039050000}"/>
    <cellStyle name="Normal 15 10" xfId="14" xr:uid="{00000000-0005-0000-0000-00003A050000}"/>
    <cellStyle name="Normal 15 10 2" xfId="1348" xr:uid="{00000000-0005-0000-0000-00003B050000}"/>
    <cellStyle name="Normal 15 11" xfId="1349" xr:uid="{00000000-0005-0000-0000-00003C050000}"/>
    <cellStyle name="Normal 15 11 2" xfId="1350" xr:uid="{00000000-0005-0000-0000-00003D050000}"/>
    <cellStyle name="Normal 15 12" xfId="1351" xr:uid="{00000000-0005-0000-0000-00003E050000}"/>
    <cellStyle name="Normal 15 12 2" xfId="1352" xr:uid="{00000000-0005-0000-0000-00003F050000}"/>
    <cellStyle name="Normal 15 13" xfId="1353" xr:uid="{00000000-0005-0000-0000-000040050000}"/>
    <cellStyle name="Normal 15 13 2" xfId="1354" xr:uid="{00000000-0005-0000-0000-000041050000}"/>
    <cellStyle name="Normal 15 14" xfId="1355" xr:uid="{00000000-0005-0000-0000-000042050000}"/>
    <cellStyle name="Normal 15 14 2" xfId="15" xr:uid="{00000000-0005-0000-0000-000043050000}"/>
    <cellStyle name="Normal 15 2" xfId="1356" xr:uid="{00000000-0005-0000-0000-000044050000}"/>
    <cellStyle name="Normal 15 2 2" xfId="1357" xr:uid="{00000000-0005-0000-0000-000045050000}"/>
    <cellStyle name="Normal 15 2 3" xfId="1358" xr:uid="{00000000-0005-0000-0000-000046050000}"/>
    <cellStyle name="Normal 15 3" xfId="1359" xr:uid="{00000000-0005-0000-0000-000047050000}"/>
    <cellStyle name="Normal 15 3 2" xfId="1360" xr:uid="{00000000-0005-0000-0000-000048050000}"/>
    <cellStyle name="Normal 15 4" xfId="1361" xr:uid="{00000000-0005-0000-0000-000049050000}"/>
    <cellStyle name="Normal 15 4 2" xfId="1362" xr:uid="{00000000-0005-0000-0000-00004A050000}"/>
    <cellStyle name="Normal 15 5" xfId="1363" xr:uid="{00000000-0005-0000-0000-00004B050000}"/>
    <cellStyle name="Normal 15 5 2" xfId="1364" xr:uid="{00000000-0005-0000-0000-00004C050000}"/>
    <cellStyle name="Normal 15 6" xfId="1365" xr:uid="{00000000-0005-0000-0000-00004D050000}"/>
    <cellStyle name="Normal 15 6 2" xfId="1366" xr:uid="{00000000-0005-0000-0000-00004E050000}"/>
    <cellStyle name="Normal 15 7" xfId="1367" xr:uid="{00000000-0005-0000-0000-00004F050000}"/>
    <cellStyle name="Normal 15 7 2" xfId="1368" xr:uid="{00000000-0005-0000-0000-000050050000}"/>
    <cellStyle name="Normal 15 8" xfId="1369" xr:uid="{00000000-0005-0000-0000-000051050000}"/>
    <cellStyle name="Normal 15 8 2" xfId="1370" xr:uid="{00000000-0005-0000-0000-000052050000}"/>
    <cellStyle name="Normal 15 9" xfId="1371" xr:uid="{00000000-0005-0000-0000-000053050000}"/>
    <cellStyle name="Normal 15 9 2" xfId="1372" xr:uid="{00000000-0005-0000-0000-000054050000}"/>
    <cellStyle name="Normal 150" xfId="1373" xr:uid="{00000000-0005-0000-0000-000055050000}"/>
    <cellStyle name="Normal 150 2" xfId="1374" xr:uid="{00000000-0005-0000-0000-000056050000}"/>
    <cellStyle name="Normal 151" xfId="1375" xr:uid="{00000000-0005-0000-0000-000057050000}"/>
    <cellStyle name="Normal 151 2" xfId="1376" xr:uid="{00000000-0005-0000-0000-000058050000}"/>
    <cellStyle name="Normal 152" xfId="1377" xr:uid="{00000000-0005-0000-0000-000059050000}"/>
    <cellStyle name="Normal 152 2" xfId="1378" xr:uid="{00000000-0005-0000-0000-00005A050000}"/>
    <cellStyle name="Normal 153" xfId="1379" xr:uid="{00000000-0005-0000-0000-00005B050000}"/>
    <cellStyle name="Normal 153 2" xfId="1380" xr:uid="{00000000-0005-0000-0000-00005C050000}"/>
    <cellStyle name="Normal 154" xfId="1381" xr:uid="{00000000-0005-0000-0000-00005D050000}"/>
    <cellStyle name="Normal 154 2" xfId="1382" xr:uid="{00000000-0005-0000-0000-00005E050000}"/>
    <cellStyle name="Normal 155" xfId="1383" xr:uid="{00000000-0005-0000-0000-00005F050000}"/>
    <cellStyle name="Normal 155 2" xfId="1384" xr:uid="{00000000-0005-0000-0000-000060050000}"/>
    <cellStyle name="Normal 156" xfId="1385" xr:uid="{00000000-0005-0000-0000-000061050000}"/>
    <cellStyle name="Normal 156 2" xfId="1386" xr:uid="{00000000-0005-0000-0000-000062050000}"/>
    <cellStyle name="Normal 157" xfId="1387" xr:uid="{00000000-0005-0000-0000-000063050000}"/>
    <cellStyle name="Normal 157 2" xfId="1388" xr:uid="{00000000-0005-0000-0000-000064050000}"/>
    <cellStyle name="Normal 158" xfId="1389" xr:uid="{00000000-0005-0000-0000-000065050000}"/>
    <cellStyle name="Normal 158 2" xfId="1390" xr:uid="{00000000-0005-0000-0000-000066050000}"/>
    <cellStyle name="Normal 159" xfId="1391" xr:uid="{00000000-0005-0000-0000-000067050000}"/>
    <cellStyle name="Normal 159 2" xfId="1392" xr:uid="{00000000-0005-0000-0000-000068050000}"/>
    <cellStyle name="Normal 16" xfId="1393" xr:uid="{00000000-0005-0000-0000-000069050000}"/>
    <cellStyle name="Normal 16 10" xfId="1394" xr:uid="{00000000-0005-0000-0000-00006A050000}"/>
    <cellStyle name="Normal 16 10 2" xfId="1395" xr:uid="{00000000-0005-0000-0000-00006B050000}"/>
    <cellStyle name="Normal 16 11" xfId="1396" xr:uid="{00000000-0005-0000-0000-00006C050000}"/>
    <cellStyle name="Normal 16 11 2" xfId="1397" xr:uid="{00000000-0005-0000-0000-00006D050000}"/>
    <cellStyle name="Normal 16 12" xfId="1398" xr:uid="{00000000-0005-0000-0000-00006E050000}"/>
    <cellStyle name="Normal 16 12 2" xfId="1399" xr:uid="{00000000-0005-0000-0000-00006F050000}"/>
    <cellStyle name="Normal 16 13" xfId="1400" xr:uid="{00000000-0005-0000-0000-000070050000}"/>
    <cellStyle name="Normal 16 13 2" xfId="1401" xr:uid="{00000000-0005-0000-0000-000071050000}"/>
    <cellStyle name="Normal 16 14" xfId="1402" xr:uid="{00000000-0005-0000-0000-000072050000}"/>
    <cellStyle name="Normal 16 2" xfId="1403" xr:uid="{00000000-0005-0000-0000-000073050000}"/>
    <cellStyle name="Normal 16 2 2" xfId="1404" xr:uid="{00000000-0005-0000-0000-000074050000}"/>
    <cellStyle name="Normal 16 2 3" xfId="1405" xr:uid="{00000000-0005-0000-0000-000075050000}"/>
    <cellStyle name="Normal 16 3" xfId="1406" xr:uid="{00000000-0005-0000-0000-000076050000}"/>
    <cellStyle name="Normal 16 3 2" xfId="1407" xr:uid="{00000000-0005-0000-0000-000077050000}"/>
    <cellStyle name="Normal 16 4" xfId="1408" xr:uid="{00000000-0005-0000-0000-000078050000}"/>
    <cellStyle name="Normal 16 4 2" xfId="1409" xr:uid="{00000000-0005-0000-0000-000079050000}"/>
    <cellStyle name="Normal 16 5" xfId="1410" xr:uid="{00000000-0005-0000-0000-00007A050000}"/>
    <cellStyle name="Normal 16 5 2" xfId="1411" xr:uid="{00000000-0005-0000-0000-00007B050000}"/>
    <cellStyle name="Normal 16 6" xfId="1412" xr:uid="{00000000-0005-0000-0000-00007C050000}"/>
    <cellStyle name="Normal 16 6 2" xfId="1413" xr:uid="{00000000-0005-0000-0000-00007D050000}"/>
    <cellStyle name="Normal 16 7" xfId="1414" xr:uid="{00000000-0005-0000-0000-00007E050000}"/>
    <cellStyle name="Normal 16 7 2" xfId="1415" xr:uid="{00000000-0005-0000-0000-00007F050000}"/>
    <cellStyle name="Normal 16 8" xfId="1416" xr:uid="{00000000-0005-0000-0000-000080050000}"/>
    <cellStyle name="Normal 16 8 2" xfId="1417" xr:uid="{00000000-0005-0000-0000-000081050000}"/>
    <cellStyle name="Normal 16 9" xfId="1418" xr:uid="{00000000-0005-0000-0000-000082050000}"/>
    <cellStyle name="Normal 16 9 2" xfId="1419" xr:uid="{00000000-0005-0000-0000-000083050000}"/>
    <cellStyle name="Normal 160" xfId="1420" xr:uid="{00000000-0005-0000-0000-000084050000}"/>
    <cellStyle name="Normal 160 2" xfId="1421" xr:uid="{00000000-0005-0000-0000-000085050000}"/>
    <cellStyle name="Normal 161" xfId="1422" xr:uid="{00000000-0005-0000-0000-000086050000}"/>
    <cellStyle name="Normal 161 2" xfId="1423" xr:uid="{00000000-0005-0000-0000-000087050000}"/>
    <cellStyle name="Normal 162" xfId="1424" xr:uid="{00000000-0005-0000-0000-000088050000}"/>
    <cellStyle name="Normal 162 2" xfId="1425" xr:uid="{00000000-0005-0000-0000-000089050000}"/>
    <cellStyle name="Normal 163" xfId="1426" xr:uid="{00000000-0005-0000-0000-00008A050000}"/>
    <cellStyle name="Normal 163 2" xfId="1427" xr:uid="{00000000-0005-0000-0000-00008B050000}"/>
    <cellStyle name="Normal 164" xfId="1428" xr:uid="{00000000-0005-0000-0000-00008C050000}"/>
    <cellStyle name="Normal 164 2" xfId="1429" xr:uid="{00000000-0005-0000-0000-00008D050000}"/>
    <cellStyle name="Normal 165" xfId="1430" xr:uid="{00000000-0005-0000-0000-00008E050000}"/>
    <cellStyle name="Normal 165 2" xfId="1431" xr:uid="{00000000-0005-0000-0000-00008F050000}"/>
    <cellStyle name="Normal 166" xfId="1432" xr:uid="{00000000-0005-0000-0000-000090050000}"/>
    <cellStyle name="Normal 166 2" xfId="1433" xr:uid="{00000000-0005-0000-0000-000091050000}"/>
    <cellStyle name="Normal 167" xfId="1434" xr:uid="{00000000-0005-0000-0000-000092050000}"/>
    <cellStyle name="Normal 167 2" xfId="1435" xr:uid="{00000000-0005-0000-0000-000093050000}"/>
    <cellStyle name="Normal 168" xfId="1436" xr:uid="{00000000-0005-0000-0000-000094050000}"/>
    <cellStyle name="Normal 168 2" xfId="1437" xr:uid="{00000000-0005-0000-0000-000095050000}"/>
    <cellStyle name="Normal 169" xfId="1438" xr:uid="{00000000-0005-0000-0000-000096050000}"/>
    <cellStyle name="Normal 169 2" xfId="1439" xr:uid="{00000000-0005-0000-0000-000097050000}"/>
    <cellStyle name="Normal 17" xfId="1440" xr:uid="{00000000-0005-0000-0000-000098050000}"/>
    <cellStyle name="Normal 17 2" xfId="1441" xr:uid="{00000000-0005-0000-0000-000099050000}"/>
    <cellStyle name="Normal 17 3" xfId="1442" xr:uid="{00000000-0005-0000-0000-00009A050000}"/>
    <cellStyle name="Normal 170" xfId="1443" xr:uid="{00000000-0005-0000-0000-00009B050000}"/>
    <cellStyle name="Normal 170 2" xfId="1444" xr:uid="{00000000-0005-0000-0000-00009C050000}"/>
    <cellStyle name="Normal 171" xfId="1445" xr:uid="{00000000-0005-0000-0000-00009D050000}"/>
    <cellStyle name="Normal 171 2" xfId="1446" xr:uid="{00000000-0005-0000-0000-00009E050000}"/>
    <cellStyle name="Normal 172" xfId="1447" xr:uid="{00000000-0005-0000-0000-00009F050000}"/>
    <cellStyle name="Normal 172 2" xfId="1448" xr:uid="{00000000-0005-0000-0000-0000A0050000}"/>
    <cellStyle name="Normal 173" xfId="1449" xr:uid="{00000000-0005-0000-0000-0000A1050000}"/>
    <cellStyle name="Normal 173 2" xfId="1450" xr:uid="{00000000-0005-0000-0000-0000A2050000}"/>
    <cellStyle name="Normal 174" xfId="1451" xr:uid="{00000000-0005-0000-0000-0000A3050000}"/>
    <cellStyle name="Normal 174 2" xfId="1452" xr:uid="{00000000-0005-0000-0000-0000A4050000}"/>
    <cellStyle name="Normal 175" xfId="1453" xr:uid="{00000000-0005-0000-0000-0000A5050000}"/>
    <cellStyle name="Normal 175 2" xfId="1454" xr:uid="{00000000-0005-0000-0000-0000A6050000}"/>
    <cellStyle name="Normal 176" xfId="1455" xr:uid="{00000000-0005-0000-0000-0000A7050000}"/>
    <cellStyle name="Normal 176 2" xfId="1456" xr:uid="{00000000-0005-0000-0000-0000A8050000}"/>
    <cellStyle name="Normal 177" xfId="1457" xr:uid="{00000000-0005-0000-0000-0000A9050000}"/>
    <cellStyle name="Normal 177 2" xfId="1458" xr:uid="{00000000-0005-0000-0000-0000AA050000}"/>
    <cellStyle name="Normal 178" xfId="1459" xr:uid="{00000000-0005-0000-0000-0000AB050000}"/>
    <cellStyle name="Normal 178 2" xfId="1460" xr:uid="{00000000-0005-0000-0000-0000AC050000}"/>
    <cellStyle name="Normal 179" xfId="1461" xr:uid="{00000000-0005-0000-0000-0000AD050000}"/>
    <cellStyle name="Normal 179 2" xfId="1462" xr:uid="{00000000-0005-0000-0000-0000AE050000}"/>
    <cellStyle name="Normal 18" xfId="1463" xr:uid="{00000000-0005-0000-0000-0000AF050000}"/>
    <cellStyle name="Normal 18 2" xfId="1464" xr:uid="{00000000-0005-0000-0000-0000B0050000}"/>
    <cellStyle name="Normal 18 3" xfId="1465" xr:uid="{00000000-0005-0000-0000-0000B1050000}"/>
    <cellStyle name="Normal 180" xfId="1466" xr:uid="{00000000-0005-0000-0000-0000B2050000}"/>
    <cellStyle name="Normal 180 2" xfId="1467" xr:uid="{00000000-0005-0000-0000-0000B3050000}"/>
    <cellStyle name="Normal 181" xfId="1468" xr:uid="{00000000-0005-0000-0000-0000B4050000}"/>
    <cellStyle name="Normal 181 2" xfId="1469" xr:uid="{00000000-0005-0000-0000-0000B5050000}"/>
    <cellStyle name="Normal 182" xfId="1470" xr:uid="{00000000-0005-0000-0000-0000B6050000}"/>
    <cellStyle name="Normal 182 2" xfId="1471" xr:uid="{00000000-0005-0000-0000-0000B7050000}"/>
    <cellStyle name="Normal 183" xfId="1472" xr:uid="{00000000-0005-0000-0000-0000B8050000}"/>
    <cellStyle name="Normal 183 2" xfId="1473" xr:uid="{00000000-0005-0000-0000-0000B9050000}"/>
    <cellStyle name="Normal 184" xfId="1474" xr:uid="{00000000-0005-0000-0000-0000BA050000}"/>
    <cellStyle name="Normal 184 2" xfId="1475" xr:uid="{00000000-0005-0000-0000-0000BB050000}"/>
    <cellStyle name="Normal 185" xfId="1476" xr:uid="{00000000-0005-0000-0000-0000BC050000}"/>
    <cellStyle name="Normal 185 2" xfId="1477" xr:uid="{00000000-0005-0000-0000-0000BD050000}"/>
    <cellStyle name="Normal 186" xfId="1478" xr:uid="{00000000-0005-0000-0000-0000BE050000}"/>
    <cellStyle name="Normal 186 2" xfId="1479" xr:uid="{00000000-0005-0000-0000-0000BF050000}"/>
    <cellStyle name="Normal 187" xfId="1480" xr:uid="{00000000-0005-0000-0000-0000C0050000}"/>
    <cellStyle name="Normal 187 2" xfId="1481" xr:uid="{00000000-0005-0000-0000-0000C1050000}"/>
    <cellStyle name="Normal 188" xfId="1482" xr:uid="{00000000-0005-0000-0000-0000C2050000}"/>
    <cellStyle name="Normal 188 2" xfId="1483" xr:uid="{00000000-0005-0000-0000-0000C3050000}"/>
    <cellStyle name="Normal 189" xfId="1484" xr:uid="{00000000-0005-0000-0000-0000C4050000}"/>
    <cellStyle name="Normal 189 2" xfId="1485" xr:uid="{00000000-0005-0000-0000-0000C5050000}"/>
    <cellStyle name="Normal 19" xfId="1486" xr:uid="{00000000-0005-0000-0000-0000C6050000}"/>
    <cellStyle name="Normal 19 10" xfId="1487" xr:uid="{00000000-0005-0000-0000-0000C7050000}"/>
    <cellStyle name="Normal 19 10 2" xfId="1488" xr:uid="{00000000-0005-0000-0000-0000C8050000}"/>
    <cellStyle name="Normal 19 11" xfId="1489" xr:uid="{00000000-0005-0000-0000-0000C9050000}"/>
    <cellStyle name="Normal 19 11 2" xfId="1490" xr:uid="{00000000-0005-0000-0000-0000CA050000}"/>
    <cellStyle name="Normal 19 12" xfId="1491" xr:uid="{00000000-0005-0000-0000-0000CB050000}"/>
    <cellStyle name="Normal 19 12 2" xfId="1492" xr:uid="{00000000-0005-0000-0000-0000CC050000}"/>
    <cellStyle name="Normal 19 13" xfId="1493" xr:uid="{00000000-0005-0000-0000-0000CD050000}"/>
    <cellStyle name="Normal 19 13 2" xfId="1494" xr:uid="{00000000-0005-0000-0000-0000CE050000}"/>
    <cellStyle name="Normal 19 14" xfId="1495" xr:uid="{00000000-0005-0000-0000-0000CF050000}"/>
    <cellStyle name="Normal 19 2" xfId="1496" xr:uid="{00000000-0005-0000-0000-0000D0050000}"/>
    <cellStyle name="Normal 19 2 2" xfId="1497" xr:uid="{00000000-0005-0000-0000-0000D1050000}"/>
    <cellStyle name="Normal 19 2 3" xfId="1498" xr:uid="{00000000-0005-0000-0000-0000D2050000}"/>
    <cellStyle name="Normal 19 3" xfId="1499" xr:uid="{00000000-0005-0000-0000-0000D3050000}"/>
    <cellStyle name="Normal 19 3 2" xfId="1500" xr:uid="{00000000-0005-0000-0000-0000D4050000}"/>
    <cellStyle name="Normal 19 4" xfId="1501" xr:uid="{00000000-0005-0000-0000-0000D5050000}"/>
    <cellStyle name="Normal 19 4 2" xfId="1502" xr:uid="{00000000-0005-0000-0000-0000D6050000}"/>
    <cellStyle name="Normal 19 5" xfId="1503" xr:uid="{00000000-0005-0000-0000-0000D7050000}"/>
    <cellStyle name="Normal 19 5 2" xfId="1504" xr:uid="{00000000-0005-0000-0000-0000D8050000}"/>
    <cellStyle name="Normal 19 6" xfId="1505" xr:uid="{00000000-0005-0000-0000-0000D9050000}"/>
    <cellStyle name="Normal 19 6 2" xfId="1506" xr:uid="{00000000-0005-0000-0000-0000DA050000}"/>
    <cellStyle name="Normal 19 7" xfId="1507" xr:uid="{00000000-0005-0000-0000-0000DB050000}"/>
    <cellStyle name="Normal 19 7 2" xfId="1508" xr:uid="{00000000-0005-0000-0000-0000DC050000}"/>
    <cellStyle name="Normal 19 8" xfId="1509" xr:uid="{00000000-0005-0000-0000-0000DD050000}"/>
    <cellStyle name="Normal 19 8 2" xfId="1510" xr:uid="{00000000-0005-0000-0000-0000DE050000}"/>
    <cellStyle name="Normal 19 9" xfId="1511" xr:uid="{00000000-0005-0000-0000-0000DF050000}"/>
    <cellStyle name="Normal 19 9 2" xfId="1512" xr:uid="{00000000-0005-0000-0000-0000E0050000}"/>
    <cellStyle name="Normal 190" xfId="1513" xr:uid="{00000000-0005-0000-0000-0000E1050000}"/>
    <cellStyle name="Normal 190 2" xfId="1514" xr:uid="{00000000-0005-0000-0000-0000E2050000}"/>
    <cellStyle name="Normal 191" xfId="1515" xr:uid="{00000000-0005-0000-0000-0000E3050000}"/>
    <cellStyle name="Normal 191 2" xfId="1516" xr:uid="{00000000-0005-0000-0000-0000E4050000}"/>
    <cellStyle name="Normal 192" xfId="1517" xr:uid="{00000000-0005-0000-0000-0000E5050000}"/>
    <cellStyle name="Normal 192 2" xfId="1518" xr:uid="{00000000-0005-0000-0000-0000E6050000}"/>
    <cellStyle name="Normal 193" xfId="1519" xr:uid="{00000000-0005-0000-0000-0000E7050000}"/>
    <cellStyle name="Normal 193 2" xfId="1520" xr:uid="{00000000-0005-0000-0000-0000E8050000}"/>
    <cellStyle name="Normal 194" xfId="1521" xr:uid="{00000000-0005-0000-0000-0000E9050000}"/>
    <cellStyle name="Normal 194 2" xfId="1522" xr:uid="{00000000-0005-0000-0000-0000EA050000}"/>
    <cellStyle name="Normal 195" xfId="1523" xr:uid="{00000000-0005-0000-0000-0000EB050000}"/>
    <cellStyle name="Normal 195 2" xfId="1524" xr:uid="{00000000-0005-0000-0000-0000EC050000}"/>
    <cellStyle name="Normal 196" xfId="1525" xr:uid="{00000000-0005-0000-0000-0000ED050000}"/>
    <cellStyle name="Normal 196 2" xfId="1526" xr:uid="{00000000-0005-0000-0000-0000EE050000}"/>
    <cellStyle name="Normal 197" xfId="1527" xr:uid="{00000000-0005-0000-0000-0000EF050000}"/>
    <cellStyle name="Normal 197 2" xfId="1528" xr:uid="{00000000-0005-0000-0000-0000F0050000}"/>
    <cellStyle name="Normal 198" xfId="1529" xr:uid="{00000000-0005-0000-0000-0000F1050000}"/>
    <cellStyle name="Normal 198 2" xfId="1530" xr:uid="{00000000-0005-0000-0000-0000F2050000}"/>
    <cellStyle name="Normal 199" xfId="1531" xr:uid="{00000000-0005-0000-0000-0000F3050000}"/>
    <cellStyle name="Normal 199 2" xfId="1532" xr:uid="{00000000-0005-0000-0000-0000F4050000}"/>
    <cellStyle name="Normal 2" xfId="1" xr:uid="{00000000-0005-0000-0000-0000F5050000}"/>
    <cellStyle name="Normal 2 10" xfId="1533" xr:uid="{00000000-0005-0000-0000-0000F6050000}"/>
    <cellStyle name="Normal 2 10 2" xfId="1534" xr:uid="{00000000-0005-0000-0000-0000F7050000}"/>
    <cellStyle name="Normal 2 11" xfId="1535" xr:uid="{00000000-0005-0000-0000-0000F8050000}"/>
    <cellStyle name="Normal 2 11 2" xfId="1536" xr:uid="{00000000-0005-0000-0000-0000F9050000}"/>
    <cellStyle name="Normal 2 12" xfId="1537" xr:uid="{00000000-0005-0000-0000-0000FA050000}"/>
    <cellStyle name="Normal 2 12 2" xfId="1538" xr:uid="{00000000-0005-0000-0000-0000FB050000}"/>
    <cellStyle name="Normal 2 13" xfId="1539" xr:uid="{00000000-0005-0000-0000-0000FC050000}"/>
    <cellStyle name="Normal 2 13 2" xfId="1540" xr:uid="{00000000-0005-0000-0000-0000FD050000}"/>
    <cellStyle name="Normal 2 14" xfId="1541" xr:uid="{00000000-0005-0000-0000-0000FE050000}"/>
    <cellStyle name="Normal 2 14 2" xfId="1542" xr:uid="{00000000-0005-0000-0000-0000FF050000}"/>
    <cellStyle name="Normal 2 15" xfId="1543" xr:uid="{00000000-0005-0000-0000-000000060000}"/>
    <cellStyle name="Normal 2 15 2" xfId="1544" xr:uid="{00000000-0005-0000-0000-000001060000}"/>
    <cellStyle name="Normal 2 16" xfId="1545" xr:uid="{00000000-0005-0000-0000-000002060000}"/>
    <cellStyle name="Normal 2 16 2" xfId="1546" xr:uid="{00000000-0005-0000-0000-000003060000}"/>
    <cellStyle name="Normal 2 17" xfId="1547" xr:uid="{00000000-0005-0000-0000-000004060000}"/>
    <cellStyle name="Normal 2 17 2" xfId="1548" xr:uid="{00000000-0005-0000-0000-000005060000}"/>
    <cellStyle name="Normal 2 18" xfId="1549" xr:uid="{00000000-0005-0000-0000-000006060000}"/>
    <cellStyle name="Normal 2 18 2" xfId="1550" xr:uid="{00000000-0005-0000-0000-000007060000}"/>
    <cellStyle name="Normal 2 19" xfId="1551" xr:uid="{00000000-0005-0000-0000-000008060000}"/>
    <cellStyle name="Normal 2 2" xfId="1552" xr:uid="{00000000-0005-0000-0000-000009060000}"/>
    <cellStyle name="Normal 2 2 2" xfId="1553" xr:uid="{00000000-0005-0000-0000-00000A060000}"/>
    <cellStyle name="Normal 2 2 2 2" xfId="1554" xr:uid="{00000000-0005-0000-0000-00000B060000}"/>
    <cellStyle name="Normal 2 2 2 3" xfId="1555" xr:uid="{00000000-0005-0000-0000-00000C060000}"/>
    <cellStyle name="Normal 2 2 3" xfId="1556" xr:uid="{00000000-0005-0000-0000-00000D060000}"/>
    <cellStyle name="Normal 2 2 3 2" xfId="1557" xr:uid="{00000000-0005-0000-0000-00000E060000}"/>
    <cellStyle name="Normal 2 2 4" xfId="1558" xr:uid="{00000000-0005-0000-0000-00000F060000}"/>
    <cellStyle name="Normal 2 2 4 2" xfId="1559" xr:uid="{00000000-0005-0000-0000-000010060000}"/>
    <cellStyle name="Normal 2 2 5" xfId="1560" xr:uid="{00000000-0005-0000-0000-000011060000}"/>
    <cellStyle name="Normal 2 2 5 2" xfId="1561" xr:uid="{00000000-0005-0000-0000-000012060000}"/>
    <cellStyle name="Normal 2 2 6" xfId="1562" xr:uid="{00000000-0005-0000-0000-000013060000}"/>
    <cellStyle name="Normal 2 2 6 2" xfId="1563" xr:uid="{00000000-0005-0000-0000-000014060000}"/>
    <cellStyle name="Normal 2 2 7" xfId="1564" xr:uid="{00000000-0005-0000-0000-000015060000}"/>
    <cellStyle name="Normal 2 2_Austin Growth Properties- Loan" xfId="1565" xr:uid="{00000000-0005-0000-0000-000016060000}"/>
    <cellStyle name="Normal 2 20" xfId="1566" xr:uid="{00000000-0005-0000-0000-000017060000}"/>
    <cellStyle name="Normal 2 20 2" xfId="1567" xr:uid="{00000000-0005-0000-0000-000018060000}"/>
    <cellStyle name="Normal 2 21" xfId="1568" xr:uid="{00000000-0005-0000-0000-000019060000}"/>
    <cellStyle name="Normal 2 21 2" xfId="1569" xr:uid="{00000000-0005-0000-0000-00001A060000}"/>
    <cellStyle name="Normal 2 3" xfId="1570" xr:uid="{00000000-0005-0000-0000-00001B060000}"/>
    <cellStyle name="Normal 2 3 2" xfId="1571" xr:uid="{00000000-0005-0000-0000-00001C060000}"/>
    <cellStyle name="Normal 2 3 2 2" xfId="1572" xr:uid="{00000000-0005-0000-0000-00001D060000}"/>
    <cellStyle name="Normal 2 3 3" xfId="1573" xr:uid="{00000000-0005-0000-0000-00001E060000}"/>
    <cellStyle name="Normal 2 4" xfId="1574" xr:uid="{00000000-0005-0000-0000-00001F060000}"/>
    <cellStyle name="Normal 2 4 2" xfId="1575" xr:uid="{00000000-0005-0000-0000-000020060000}"/>
    <cellStyle name="Normal 2 5" xfId="1576" xr:uid="{00000000-0005-0000-0000-000021060000}"/>
    <cellStyle name="Normal 2 6" xfId="1577" xr:uid="{00000000-0005-0000-0000-000022060000}"/>
    <cellStyle name="Normal 2 7" xfId="1578" xr:uid="{00000000-0005-0000-0000-000023060000}"/>
    <cellStyle name="Normal 2 7 2" xfId="1579" xr:uid="{00000000-0005-0000-0000-000024060000}"/>
    <cellStyle name="Normal 2 8" xfId="1580" xr:uid="{00000000-0005-0000-0000-000025060000}"/>
    <cellStyle name="Normal 2 8 2" xfId="1581" xr:uid="{00000000-0005-0000-0000-000026060000}"/>
    <cellStyle name="Normal 2 9" xfId="1582" xr:uid="{00000000-0005-0000-0000-000027060000}"/>
    <cellStyle name="Normal 2 9 2" xfId="1583" xr:uid="{00000000-0005-0000-0000-000028060000}"/>
    <cellStyle name="Normal 20" xfId="1584" xr:uid="{00000000-0005-0000-0000-000029060000}"/>
    <cellStyle name="Normal 20 2" xfId="1585" xr:uid="{00000000-0005-0000-0000-00002A060000}"/>
    <cellStyle name="Normal 20 3" xfId="1586" xr:uid="{00000000-0005-0000-0000-00002B060000}"/>
    <cellStyle name="Normal 200" xfId="1587" xr:uid="{00000000-0005-0000-0000-00002C060000}"/>
    <cellStyle name="Normal 200 2" xfId="1588" xr:uid="{00000000-0005-0000-0000-00002D060000}"/>
    <cellStyle name="Normal 201" xfId="1589" xr:uid="{00000000-0005-0000-0000-00002E060000}"/>
    <cellStyle name="Normal 201 2" xfId="1590" xr:uid="{00000000-0005-0000-0000-00002F060000}"/>
    <cellStyle name="Normal 202" xfId="1591" xr:uid="{00000000-0005-0000-0000-000030060000}"/>
    <cellStyle name="Normal 202 2" xfId="1592" xr:uid="{00000000-0005-0000-0000-000031060000}"/>
    <cellStyle name="Normal 203" xfId="1593" xr:uid="{00000000-0005-0000-0000-000032060000}"/>
    <cellStyle name="Normal 203 2" xfId="1594" xr:uid="{00000000-0005-0000-0000-000033060000}"/>
    <cellStyle name="Normal 204" xfId="1595" xr:uid="{00000000-0005-0000-0000-000034060000}"/>
    <cellStyle name="Normal 204 2" xfId="1596" xr:uid="{00000000-0005-0000-0000-000035060000}"/>
    <cellStyle name="Normal 205" xfId="1597" xr:uid="{00000000-0005-0000-0000-000036060000}"/>
    <cellStyle name="Normal 205 2" xfId="1598" xr:uid="{00000000-0005-0000-0000-000037060000}"/>
    <cellStyle name="Normal 206" xfId="1599" xr:uid="{00000000-0005-0000-0000-000038060000}"/>
    <cellStyle name="Normal 206 2" xfId="1600" xr:uid="{00000000-0005-0000-0000-000039060000}"/>
    <cellStyle name="Normal 207" xfId="1601" xr:uid="{00000000-0005-0000-0000-00003A060000}"/>
    <cellStyle name="Normal 207 2" xfId="1602" xr:uid="{00000000-0005-0000-0000-00003B060000}"/>
    <cellStyle name="Normal 208" xfId="1603" xr:uid="{00000000-0005-0000-0000-00003C060000}"/>
    <cellStyle name="Normal 208 2" xfId="1604" xr:uid="{00000000-0005-0000-0000-00003D060000}"/>
    <cellStyle name="Normal 209" xfId="1605" xr:uid="{00000000-0005-0000-0000-00003E060000}"/>
    <cellStyle name="Normal 209 2" xfId="1606" xr:uid="{00000000-0005-0000-0000-00003F060000}"/>
    <cellStyle name="Normal 21" xfId="1607" xr:uid="{00000000-0005-0000-0000-000040060000}"/>
    <cellStyle name="Normal 21 2" xfId="1608" xr:uid="{00000000-0005-0000-0000-000041060000}"/>
    <cellStyle name="Normal 21 3" xfId="1609" xr:uid="{00000000-0005-0000-0000-000042060000}"/>
    <cellStyle name="Normal 210" xfId="1610" xr:uid="{00000000-0005-0000-0000-000043060000}"/>
    <cellStyle name="Normal 210 2" xfId="1611" xr:uid="{00000000-0005-0000-0000-000044060000}"/>
    <cellStyle name="Normal 211" xfId="1612" xr:uid="{00000000-0005-0000-0000-000045060000}"/>
    <cellStyle name="Normal 211 2" xfId="1613" xr:uid="{00000000-0005-0000-0000-000046060000}"/>
    <cellStyle name="Normal 212" xfId="1614" xr:uid="{00000000-0005-0000-0000-000047060000}"/>
    <cellStyle name="Normal 212 2" xfId="1615" xr:uid="{00000000-0005-0000-0000-000048060000}"/>
    <cellStyle name="Normal 213" xfId="1616" xr:uid="{00000000-0005-0000-0000-000049060000}"/>
    <cellStyle name="Normal 213 2" xfId="1617" xr:uid="{00000000-0005-0000-0000-00004A060000}"/>
    <cellStyle name="Normal 214" xfId="1618" xr:uid="{00000000-0005-0000-0000-00004B060000}"/>
    <cellStyle name="Normal 214 2" xfId="1619" xr:uid="{00000000-0005-0000-0000-00004C060000}"/>
    <cellStyle name="Normal 215" xfId="1620" xr:uid="{00000000-0005-0000-0000-00004D060000}"/>
    <cellStyle name="Normal 215 2" xfId="1621" xr:uid="{00000000-0005-0000-0000-00004E060000}"/>
    <cellStyle name="Normal 216" xfId="1622" xr:uid="{00000000-0005-0000-0000-00004F060000}"/>
    <cellStyle name="Normal 216 2" xfId="1623" xr:uid="{00000000-0005-0000-0000-000050060000}"/>
    <cellStyle name="Normal 217" xfId="1624" xr:uid="{00000000-0005-0000-0000-000051060000}"/>
    <cellStyle name="Normal 217 2" xfId="1625" xr:uid="{00000000-0005-0000-0000-000052060000}"/>
    <cellStyle name="Normal 218" xfId="1626" xr:uid="{00000000-0005-0000-0000-000053060000}"/>
    <cellStyle name="Normal 218 2" xfId="1627" xr:uid="{00000000-0005-0000-0000-000054060000}"/>
    <cellStyle name="Normal 219" xfId="1628" xr:uid="{00000000-0005-0000-0000-000055060000}"/>
    <cellStyle name="Normal 219 2" xfId="1629" xr:uid="{00000000-0005-0000-0000-000056060000}"/>
    <cellStyle name="Normal 22" xfId="1630" xr:uid="{00000000-0005-0000-0000-000057060000}"/>
    <cellStyle name="Normal 22 2" xfId="1631" xr:uid="{00000000-0005-0000-0000-000058060000}"/>
    <cellStyle name="Normal 22 3" xfId="1632" xr:uid="{00000000-0005-0000-0000-000059060000}"/>
    <cellStyle name="Normal 220" xfId="1633" xr:uid="{00000000-0005-0000-0000-00005A060000}"/>
    <cellStyle name="Normal 220 2" xfId="1634" xr:uid="{00000000-0005-0000-0000-00005B060000}"/>
    <cellStyle name="Normal 221" xfId="1635" xr:uid="{00000000-0005-0000-0000-00005C060000}"/>
    <cellStyle name="Normal 221 2" xfId="1636" xr:uid="{00000000-0005-0000-0000-00005D060000}"/>
    <cellStyle name="Normal 222" xfId="1637" xr:uid="{00000000-0005-0000-0000-00005E060000}"/>
    <cellStyle name="Normal 222 2" xfId="1638" xr:uid="{00000000-0005-0000-0000-00005F060000}"/>
    <cellStyle name="Normal 223" xfId="1639" xr:uid="{00000000-0005-0000-0000-000060060000}"/>
    <cellStyle name="Normal 223 2" xfId="1640" xr:uid="{00000000-0005-0000-0000-000061060000}"/>
    <cellStyle name="Normal 224" xfId="1641" xr:uid="{00000000-0005-0000-0000-000062060000}"/>
    <cellStyle name="Normal 224 2" xfId="1642" xr:uid="{00000000-0005-0000-0000-000063060000}"/>
    <cellStyle name="Normal 225" xfId="1643" xr:uid="{00000000-0005-0000-0000-000064060000}"/>
    <cellStyle name="Normal 225 2" xfId="1644" xr:uid="{00000000-0005-0000-0000-000065060000}"/>
    <cellStyle name="Normal 226" xfId="1645" xr:uid="{00000000-0005-0000-0000-000066060000}"/>
    <cellStyle name="Normal 226 2" xfId="1646" xr:uid="{00000000-0005-0000-0000-000067060000}"/>
    <cellStyle name="Normal 227" xfId="1647" xr:uid="{00000000-0005-0000-0000-000068060000}"/>
    <cellStyle name="Normal 227 2" xfId="1648" xr:uid="{00000000-0005-0000-0000-000069060000}"/>
    <cellStyle name="Normal 228" xfId="1649" xr:uid="{00000000-0005-0000-0000-00006A060000}"/>
    <cellStyle name="Normal 228 2" xfId="1650" xr:uid="{00000000-0005-0000-0000-00006B060000}"/>
    <cellStyle name="Normal 229" xfId="1651" xr:uid="{00000000-0005-0000-0000-00006C060000}"/>
    <cellStyle name="Normal 229 2" xfId="1652" xr:uid="{00000000-0005-0000-0000-00006D060000}"/>
    <cellStyle name="Normal 23" xfId="1653" xr:uid="{00000000-0005-0000-0000-00006E060000}"/>
    <cellStyle name="Normal 23 2" xfId="1654" xr:uid="{00000000-0005-0000-0000-00006F060000}"/>
    <cellStyle name="Normal 23 2 2" xfId="1655" xr:uid="{00000000-0005-0000-0000-000070060000}"/>
    <cellStyle name="Normal 23 3" xfId="1656" xr:uid="{00000000-0005-0000-0000-000071060000}"/>
    <cellStyle name="Normal 230" xfId="1657" xr:uid="{00000000-0005-0000-0000-000072060000}"/>
    <cellStyle name="Normal 230 2" xfId="1658" xr:uid="{00000000-0005-0000-0000-000073060000}"/>
    <cellStyle name="Normal 231" xfId="1659" xr:uid="{00000000-0005-0000-0000-000074060000}"/>
    <cellStyle name="Normal 231 2" xfId="1660" xr:uid="{00000000-0005-0000-0000-000075060000}"/>
    <cellStyle name="Normal 232" xfId="1661" xr:uid="{00000000-0005-0000-0000-000076060000}"/>
    <cellStyle name="Normal 232 2" xfId="1662" xr:uid="{00000000-0005-0000-0000-000077060000}"/>
    <cellStyle name="Normal 233" xfId="1663" xr:uid="{00000000-0005-0000-0000-000078060000}"/>
    <cellStyle name="Normal 233 2" xfId="1664" xr:uid="{00000000-0005-0000-0000-000079060000}"/>
    <cellStyle name="Normal 234" xfId="1665" xr:uid="{00000000-0005-0000-0000-00007A060000}"/>
    <cellStyle name="Normal 234 2" xfId="1666" xr:uid="{00000000-0005-0000-0000-00007B060000}"/>
    <cellStyle name="Normal 235" xfId="1667" xr:uid="{00000000-0005-0000-0000-00007C060000}"/>
    <cellStyle name="Normal 235 2" xfId="1668" xr:uid="{00000000-0005-0000-0000-00007D060000}"/>
    <cellStyle name="Normal 236" xfId="1669" xr:uid="{00000000-0005-0000-0000-00007E060000}"/>
    <cellStyle name="Normal 236 2" xfId="1670" xr:uid="{00000000-0005-0000-0000-00007F060000}"/>
    <cellStyle name="Normal 237" xfId="1671" xr:uid="{00000000-0005-0000-0000-000080060000}"/>
    <cellStyle name="Normal 237 2" xfId="1672" xr:uid="{00000000-0005-0000-0000-000081060000}"/>
    <cellStyle name="Normal 238" xfId="1673" xr:uid="{00000000-0005-0000-0000-000082060000}"/>
    <cellStyle name="Normal 238 2" xfId="1674" xr:uid="{00000000-0005-0000-0000-000083060000}"/>
    <cellStyle name="Normal 239" xfId="1675" xr:uid="{00000000-0005-0000-0000-000084060000}"/>
    <cellStyle name="Normal 239 2" xfId="1676" xr:uid="{00000000-0005-0000-0000-000085060000}"/>
    <cellStyle name="Normal 24" xfId="1677" xr:uid="{00000000-0005-0000-0000-000086060000}"/>
    <cellStyle name="Normal 24 2" xfId="1678" xr:uid="{00000000-0005-0000-0000-000087060000}"/>
    <cellStyle name="Normal 24 2 2" xfId="1679" xr:uid="{00000000-0005-0000-0000-000088060000}"/>
    <cellStyle name="Normal 24 3" xfId="1680" xr:uid="{00000000-0005-0000-0000-000089060000}"/>
    <cellStyle name="Normal 24 4" xfId="1681" xr:uid="{00000000-0005-0000-0000-00008A060000}"/>
    <cellStyle name="Normal 24 5" xfId="1682" xr:uid="{00000000-0005-0000-0000-00008B060000}"/>
    <cellStyle name="Normal 24 6" xfId="1683" xr:uid="{00000000-0005-0000-0000-00008C060000}"/>
    <cellStyle name="Normal 240" xfId="1684" xr:uid="{00000000-0005-0000-0000-00008D060000}"/>
    <cellStyle name="Normal 240 2" xfId="1685" xr:uid="{00000000-0005-0000-0000-00008E060000}"/>
    <cellStyle name="Normal 241" xfId="1686" xr:uid="{00000000-0005-0000-0000-00008F060000}"/>
    <cellStyle name="Normal 241 2" xfId="1687" xr:uid="{00000000-0005-0000-0000-000090060000}"/>
    <cellStyle name="Normal 242" xfId="1688" xr:uid="{00000000-0005-0000-0000-000091060000}"/>
    <cellStyle name="Normal 242 2" xfId="1689" xr:uid="{00000000-0005-0000-0000-000092060000}"/>
    <cellStyle name="Normal 243" xfId="1690" xr:uid="{00000000-0005-0000-0000-000093060000}"/>
    <cellStyle name="Normal 243 2" xfId="1691" xr:uid="{00000000-0005-0000-0000-000094060000}"/>
    <cellStyle name="Normal 244" xfId="1692" xr:uid="{00000000-0005-0000-0000-000095060000}"/>
    <cellStyle name="Normal 244 2" xfId="1693" xr:uid="{00000000-0005-0000-0000-000096060000}"/>
    <cellStyle name="Normal 245" xfId="1694" xr:uid="{00000000-0005-0000-0000-000097060000}"/>
    <cellStyle name="Normal 245 2" xfId="1695" xr:uid="{00000000-0005-0000-0000-000098060000}"/>
    <cellStyle name="Normal 246" xfId="1696" xr:uid="{00000000-0005-0000-0000-000099060000}"/>
    <cellStyle name="Normal 247" xfId="1697" xr:uid="{00000000-0005-0000-0000-00009A060000}"/>
    <cellStyle name="Normal 248" xfId="1698" xr:uid="{00000000-0005-0000-0000-00009B060000}"/>
    <cellStyle name="Normal 249" xfId="1699" xr:uid="{00000000-0005-0000-0000-00009C060000}"/>
    <cellStyle name="Normal 25" xfId="1700" xr:uid="{00000000-0005-0000-0000-00009D060000}"/>
    <cellStyle name="Normal 25 2" xfId="1701" xr:uid="{00000000-0005-0000-0000-00009E060000}"/>
    <cellStyle name="Normal 25 2 2" xfId="1702" xr:uid="{00000000-0005-0000-0000-00009F060000}"/>
    <cellStyle name="Normal 25 2 3" xfId="1703" xr:uid="{00000000-0005-0000-0000-0000A0060000}"/>
    <cellStyle name="Normal 25 3" xfId="1704" xr:uid="{00000000-0005-0000-0000-0000A1060000}"/>
    <cellStyle name="Normal 25 4" xfId="1705" xr:uid="{00000000-0005-0000-0000-0000A2060000}"/>
    <cellStyle name="Normal 250" xfId="1706" xr:uid="{00000000-0005-0000-0000-0000A3060000}"/>
    <cellStyle name="Normal 251" xfId="1707" xr:uid="{00000000-0005-0000-0000-0000A4060000}"/>
    <cellStyle name="Normal 252" xfId="1708" xr:uid="{00000000-0005-0000-0000-0000A5060000}"/>
    <cellStyle name="Normal 253" xfId="1709" xr:uid="{00000000-0005-0000-0000-0000A6060000}"/>
    <cellStyle name="Normal 253 2" xfId="1710" xr:uid="{00000000-0005-0000-0000-0000A7060000}"/>
    <cellStyle name="Normal 253 2 2" xfId="1711" xr:uid="{00000000-0005-0000-0000-0000A8060000}"/>
    <cellStyle name="Normal 253 3" xfId="1712" xr:uid="{00000000-0005-0000-0000-0000A9060000}"/>
    <cellStyle name="Normal 254" xfId="1713" xr:uid="{00000000-0005-0000-0000-0000AA060000}"/>
    <cellStyle name="Normal 254 2" xfId="1714" xr:uid="{00000000-0005-0000-0000-0000AB060000}"/>
    <cellStyle name="Normal 254 2 2" xfId="1715" xr:uid="{00000000-0005-0000-0000-0000AC060000}"/>
    <cellStyle name="Normal 254 3" xfId="1716" xr:uid="{00000000-0005-0000-0000-0000AD060000}"/>
    <cellStyle name="Normal 255" xfId="1717" xr:uid="{00000000-0005-0000-0000-0000AE060000}"/>
    <cellStyle name="Normal 255 2" xfId="1718" xr:uid="{00000000-0005-0000-0000-0000AF060000}"/>
    <cellStyle name="Normal 255 2 2" xfId="1719" xr:uid="{00000000-0005-0000-0000-0000B0060000}"/>
    <cellStyle name="Normal 255 3" xfId="1720" xr:uid="{00000000-0005-0000-0000-0000B1060000}"/>
    <cellStyle name="Normal 256" xfId="1721" xr:uid="{00000000-0005-0000-0000-0000B2060000}"/>
    <cellStyle name="Normal 256 2" xfId="1722" xr:uid="{00000000-0005-0000-0000-0000B3060000}"/>
    <cellStyle name="Normal 256 2 2" xfId="1723" xr:uid="{00000000-0005-0000-0000-0000B4060000}"/>
    <cellStyle name="Normal 256 3" xfId="1724" xr:uid="{00000000-0005-0000-0000-0000B5060000}"/>
    <cellStyle name="Normal 257" xfId="1725" xr:uid="{00000000-0005-0000-0000-0000B6060000}"/>
    <cellStyle name="Normal 257 2" xfId="1726" xr:uid="{00000000-0005-0000-0000-0000B7060000}"/>
    <cellStyle name="Normal 257 2 2" xfId="1727" xr:uid="{00000000-0005-0000-0000-0000B8060000}"/>
    <cellStyle name="Normal 257 3" xfId="1728" xr:uid="{00000000-0005-0000-0000-0000B9060000}"/>
    <cellStyle name="Normal 258" xfId="1729" xr:uid="{00000000-0005-0000-0000-0000BA060000}"/>
    <cellStyle name="Normal 258 2" xfId="1730" xr:uid="{00000000-0005-0000-0000-0000BB060000}"/>
    <cellStyle name="Normal 258 2 2" xfId="1731" xr:uid="{00000000-0005-0000-0000-0000BC060000}"/>
    <cellStyle name="Normal 258 3" xfId="1732" xr:uid="{00000000-0005-0000-0000-0000BD060000}"/>
    <cellStyle name="Normal 259" xfId="1733" xr:uid="{00000000-0005-0000-0000-0000BE060000}"/>
    <cellStyle name="Normal 259 2" xfId="1734" xr:uid="{00000000-0005-0000-0000-0000BF060000}"/>
    <cellStyle name="Normal 259 2 2" xfId="1735" xr:uid="{00000000-0005-0000-0000-0000C0060000}"/>
    <cellStyle name="Normal 259 3" xfId="1736" xr:uid="{00000000-0005-0000-0000-0000C1060000}"/>
    <cellStyle name="Normal 26" xfId="1737" xr:uid="{00000000-0005-0000-0000-0000C2060000}"/>
    <cellStyle name="Normal 26 2" xfId="1738" xr:uid="{00000000-0005-0000-0000-0000C3060000}"/>
    <cellStyle name="Normal 260" xfId="1739" xr:uid="{00000000-0005-0000-0000-0000C4060000}"/>
    <cellStyle name="Normal 260 2" xfId="1740" xr:uid="{00000000-0005-0000-0000-0000C5060000}"/>
    <cellStyle name="Normal 260 2 2" xfId="1741" xr:uid="{00000000-0005-0000-0000-0000C6060000}"/>
    <cellStyle name="Normal 260 3" xfId="1742" xr:uid="{00000000-0005-0000-0000-0000C7060000}"/>
    <cellStyle name="Normal 261" xfId="1743" xr:uid="{00000000-0005-0000-0000-0000C8060000}"/>
    <cellStyle name="Normal 261 2" xfId="1744" xr:uid="{00000000-0005-0000-0000-0000C9060000}"/>
    <cellStyle name="Normal 261 2 2" xfId="1745" xr:uid="{00000000-0005-0000-0000-0000CA060000}"/>
    <cellStyle name="Normal 261 3" xfId="1746" xr:uid="{00000000-0005-0000-0000-0000CB060000}"/>
    <cellStyle name="Normal 262" xfId="1747" xr:uid="{00000000-0005-0000-0000-0000CC060000}"/>
    <cellStyle name="Normal 262 2" xfId="1748" xr:uid="{00000000-0005-0000-0000-0000CD060000}"/>
    <cellStyle name="Normal 262 2 2" xfId="1749" xr:uid="{00000000-0005-0000-0000-0000CE060000}"/>
    <cellStyle name="Normal 262 3" xfId="1750" xr:uid="{00000000-0005-0000-0000-0000CF060000}"/>
    <cellStyle name="Normal 263" xfId="1751" xr:uid="{00000000-0005-0000-0000-0000D0060000}"/>
    <cellStyle name="Normal 263 2" xfId="1752" xr:uid="{00000000-0005-0000-0000-0000D1060000}"/>
    <cellStyle name="Normal 263 2 2" xfId="1753" xr:uid="{00000000-0005-0000-0000-0000D2060000}"/>
    <cellStyle name="Normal 263 3" xfId="1754" xr:uid="{00000000-0005-0000-0000-0000D3060000}"/>
    <cellStyle name="Normal 264" xfId="1755" xr:uid="{00000000-0005-0000-0000-0000D4060000}"/>
    <cellStyle name="Normal 264 2" xfId="1756" xr:uid="{00000000-0005-0000-0000-0000D5060000}"/>
    <cellStyle name="Normal 264 2 2" xfId="1757" xr:uid="{00000000-0005-0000-0000-0000D6060000}"/>
    <cellStyle name="Normal 264 3" xfId="1758" xr:uid="{00000000-0005-0000-0000-0000D7060000}"/>
    <cellStyle name="Normal 265" xfId="1759" xr:uid="{00000000-0005-0000-0000-0000D8060000}"/>
    <cellStyle name="Normal 265 2" xfId="1760" xr:uid="{00000000-0005-0000-0000-0000D9060000}"/>
    <cellStyle name="Normal 265 2 2" xfId="1761" xr:uid="{00000000-0005-0000-0000-0000DA060000}"/>
    <cellStyle name="Normal 265 3" xfId="1762" xr:uid="{00000000-0005-0000-0000-0000DB060000}"/>
    <cellStyle name="Normal 266" xfId="1763" xr:uid="{00000000-0005-0000-0000-0000DC060000}"/>
    <cellStyle name="Normal 266 2" xfId="1764" xr:uid="{00000000-0005-0000-0000-0000DD060000}"/>
    <cellStyle name="Normal 266 2 2" xfId="1765" xr:uid="{00000000-0005-0000-0000-0000DE060000}"/>
    <cellStyle name="Normal 266 3" xfId="1766" xr:uid="{00000000-0005-0000-0000-0000DF060000}"/>
    <cellStyle name="Normal 267" xfId="1767" xr:uid="{00000000-0005-0000-0000-0000E0060000}"/>
    <cellStyle name="Normal 267 2" xfId="1768" xr:uid="{00000000-0005-0000-0000-0000E1060000}"/>
    <cellStyle name="Normal 267 2 2" xfId="1769" xr:uid="{00000000-0005-0000-0000-0000E2060000}"/>
    <cellStyle name="Normal 267 3" xfId="1770" xr:uid="{00000000-0005-0000-0000-0000E3060000}"/>
    <cellStyle name="Normal 268" xfId="1771" xr:uid="{00000000-0005-0000-0000-0000E4060000}"/>
    <cellStyle name="Normal 268 2" xfId="1772" xr:uid="{00000000-0005-0000-0000-0000E5060000}"/>
    <cellStyle name="Normal 268 2 2" xfId="1773" xr:uid="{00000000-0005-0000-0000-0000E6060000}"/>
    <cellStyle name="Normal 268 3" xfId="1774" xr:uid="{00000000-0005-0000-0000-0000E7060000}"/>
    <cellStyle name="Normal 269" xfId="1775" xr:uid="{00000000-0005-0000-0000-0000E8060000}"/>
    <cellStyle name="Normal 269 2" xfId="1776" xr:uid="{00000000-0005-0000-0000-0000E9060000}"/>
    <cellStyle name="Normal 269 2 2" xfId="1777" xr:uid="{00000000-0005-0000-0000-0000EA060000}"/>
    <cellStyle name="Normal 269 3" xfId="1778" xr:uid="{00000000-0005-0000-0000-0000EB060000}"/>
    <cellStyle name="Normal 27" xfId="1779" xr:uid="{00000000-0005-0000-0000-0000EC060000}"/>
    <cellStyle name="Normal 27 2" xfId="1780" xr:uid="{00000000-0005-0000-0000-0000ED060000}"/>
    <cellStyle name="Normal 27 3" xfId="1781" xr:uid="{00000000-0005-0000-0000-0000EE060000}"/>
    <cellStyle name="Normal 270" xfId="1782" xr:uid="{00000000-0005-0000-0000-0000EF060000}"/>
    <cellStyle name="Normal 270 2" xfId="1783" xr:uid="{00000000-0005-0000-0000-0000F0060000}"/>
    <cellStyle name="Normal 270 2 2" xfId="1784" xr:uid="{00000000-0005-0000-0000-0000F1060000}"/>
    <cellStyle name="Normal 270 3" xfId="1785" xr:uid="{00000000-0005-0000-0000-0000F2060000}"/>
    <cellStyle name="Normal 271" xfId="1786" xr:uid="{00000000-0005-0000-0000-0000F3060000}"/>
    <cellStyle name="Normal 271 2" xfId="1787" xr:uid="{00000000-0005-0000-0000-0000F4060000}"/>
    <cellStyle name="Normal 271 2 2" xfId="1788" xr:uid="{00000000-0005-0000-0000-0000F5060000}"/>
    <cellStyle name="Normal 271 3" xfId="1789" xr:uid="{00000000-0005-0000-0000-0000F6060000}"/>
    <cellStyle name="Normal 272" xfId="1790" xr:uid="{00000000-0005-0000-0000-0000F7060000}"/>
    <cellStyle name="Normal 272 2" xfId="1791" xr:uid="{00000000-0005-0000-0000-0000F8060000}"/>
    <cellStyle name="Normal 272 2 2" xfId="1792" xr:uid="{00000000-0005-0000-0000-0000F9060000}"/>
    <cellStyle name="Normal 272 3" xfId="1793" xr:uid="{00000000-0005-0000-0000-0000FA060000}"/>
    <cellStyle name="Normal 273" xfId="1794" xr:uid="{00000000-0005-0000-0000-0000FB060000}"/>
    <cellStyle name="Normal 273 2" xfId="1795" xr:uid="{00000000-0005-0000-0000-0000FC060000}"/>
    <cellStyle name="Normal 273 2 2" xfId="1796" xr:uid="{00000000-0005-0000-0000-0000FD060000}"/>
    <cellStyle name="Normal 273 3" xfId="1797" xr:uid="{00000000-0005-0000-0000-0000FE060000}"/>
    <cellStyle name="Normal 274" xfId="1798" xr:uid="{00000000-0005-0000-0000-0000FF060000}"/>
    <cellStyle name="Normal 274 2" xfId="1799" xr:uid="{00000000-0005-0000-0000-000000070000}"/>
    <cellStyle name="Normal 274 2 2" xfId="1800" xr:uid="{00000000-0005-0000-0000-000001070000}"/>
    <cellStyle name="Normal 274 3" xfId="1801" xr:uid="{00000000-0005-0000-0000-000002070000}"/>
    <cellStyle name="Normal 275" xfId="1802" xr:uid="{00000000-0005-0000-0000-000003070000}"/>
    <cellStyle name="Normal 275 2" xfId="1803" xr:uid="{00000000-0005-0000-0000-000004070000}"/>
    <cellStyle name="Normal 275 2 2" xfId="1804" xr:uid="{00000000-0005-0000-0000-000005070000}"/>
    <cellStyle name="Normal 275 3" xfId="1805" xr:uid="{00000000-0005-0000-0000-000006070000}"/>
    <cellStyle name="Normal 276" xfId="1806" xr:uid="{00000000-0005-0000-0000-000007070000}"/>
    <cellStyle name="Normal 276 2" xfId="1807" xr:uid="{00000000-0005-0000-0000-000008070000}"/>
    <cellStyle name="Normal 276 2 2" xfId="1808" xr:uid="{00000000-0005-0000-0000-000009070000}"/>
    <cellStyle name="Normal 276 3" xfId="1809" xr:uid="{00000000-0005-0000-0000-00000A070000}"/>
    <cellStyle name="Normal 277" xfId="1810" xr:uid="{00000000-0005-0000-0000-00000B070000}"/>
    <cellStyle name="Normal 277 2" xfId="1811" xr:uid="{00000000-0005-0000-0000-00000C070000}"/>
    <cellStyle name="Normal 277 2 2" xfId="1812" xr:uid="{00000000-0005-0000-0000-00000D070000}"/>
    <cellStyle name="Normal 277 3" xfId="1813" xr:uid="{00000000-0005-0000-0000-00000E070000}"/>
    <cellStyle name="Normal 278" xfId="1814" xr:uid="{00000000-0005-0000-0000-00000F070000}"/>
    <cellStyle name="Normal 278 2" xfId="1815" xr:uid="{00000000-0005-0000-0000-000010070000}"/>
    <cellStyle name="Normal 278 2 2" xfId="1816" xr:uid="{00000000-0005-0000-0000-000011070000}"/>
    <cellStyle name="Normal 278 3" xfId="1817" xr:uid="{00000000-0005-0000-0000-000012070000}"/>
    <cellStyle name="Normal 279" xfId="1818" xr:uid="{00000000-0005-0000-0000-000013070000}"/>
    <cellStyle name="Normal 279 2" xfId="1819" xr:uid="{00000000-0005-0000-0000-000014070000}"/>
    <cellStyle name="Normal 279 2 2" xfId="1820" xr:uid="{00000000-0005-0000-0000-000015070000}"/>
    <cellStyle name="Normal 279 3" xfId="1821" xr:uid="{00000000-0005-0000-0000-000016070000}"/>
    <cellStyle name="Normal 28" xfId="1822" xr:uid="{00000000-0005-0000-0000-000017070000}"/>
    <cellStyle name="Normal 28 2" xfId="1823" xr:uid="{00000000-0005-0000-0000-000018070000}"/>
    <cellStyle name="Normal 280" xfId="1824" xr:uid="{00000000-0005-0000-0000-000019070000}"/>
    <cellStyle name="Normal 280 2" xfId="1825" xr:uid="{00000000-0005-0000-0000-00001A070000}"/>
    <cellStyle name="Normal 280 2 2" xfId="1826" xr:uid="{00000000-0005-0000-0000-00001B070000}"/>
    <cellStyle name="Normal 280 3" xfId="1827" xr:uid="{00000000-0005-0000-0000-00001C070000}"/>
    <cellStyle name="Normal 281" xfId="1828" xr:uid="{00000000-0005-0000-0000-00001D070000}"/>
    <cellStyle name="Normal 281 2" xfId="1829" xr:uid="{00000000-0005-0000-0000-00001E070000}"/>
    <cellStyle name="Normal 281 2 2" xfId="1830" xr:uid="{00000000-0005-0000-0000-00001F070000}"/>
    <cellStyle name="Normal 281 3" xfId="1831" xr:uid="{00000000-0005-0000-0000-000020070000}"/>
    <cellStyle name="Normal 282" xfId="1832" xr:uid="{00000000-0005-0000-0000-000021070000}"/>
    <cellStyle name="Normal 282 2" xfId="1833" xr:uid="{00000000-0005-0000-0000-000022070000}"/>
    <cellStyle name="Normal 282 2 2" xfId="1834" xr:uid="{00000000-0005-0000-0000-000023070000}"/>
    <cellStyle name="Normal 282 3" xfId="1835" xr:uid="{00000000-0005-0000-0000-000024070000}"/>
    <cellStyle name="Normal 283" xfId="1836" xr:uid="{00000000-0005-0000-0000-000025070000}"/>
    <cellStyle name="Normal 283 2" xfId="1837" xr:uid="{00000000-0005-0000-0000-000026070000}"/>
    <cellStyle name="Normal 283 2 2" xfId="1838" xr:uid="{00000000-0005-0000-0000-000027070000}"/>
    <cellStyle name="Normal 283 3" xfId="1839" xr:uid="{00000000-0005-0000-0000-000028070000}"/>
    <cellStyle name="Normal 284" xfId="1840" xr:uid="{00000000-0005-0000-0000-000029070000}"/>
    <cellStyle name="Normal 284 2" xfId="1841" xr:uid="{00000000-0005-0000-0000-00002A070000}"/>
    <cellStyle name="Normal 284 2 2" xfId="1842" xr:uid="{00000000-0005-0000-0000-00002B070000}"/>
    <cellStyle name="Normal 284 3" xfId="1843" xr:uid="{00000000-0005-0000-0000-00002C070000}"/>
    <cellStyle name="Normal 285" xfId="1844" xr:uid="{00000000-0005-0000-0000-00002D070000}"/>
    <cellStyle name="Normal 285 2" xfId="1845" xr:uid="{00000000-0005-0000-0000-00002E070000}"/>
    <cellStyle name="Normal 285 2 2" xfId="1846" xr:uid="{00000000-0005-0000-0000-00002F070000}"/>
    <cellStyle name="Normal 285 3" xfId="1847" xr:uid="{00000000-0005-0000-0000-000030070000}"/>
    <cellStyle name="Normal 286" xfId="1848" xr:uid="{00000000-0005-0000-0000-000031070000}"/>
    <cellStyle name="Normal 286 2" xfId="1849" xr:uid="{00000000-0005-0000-0000-000032070000}"/>
    <cellStyle name="Normal 286 2 2" xfId="1850" xr:uid="{00000000-0005-0000-0000-000033070000}"/>
    <cellStyle name="Normal 286 3" xfId="1851" xr:uid="{00000000-0005-0000-0000-000034070000}"/>
    <cellStyle name="Normal 287" xfId="1852" xr:uid="{00000000-0005-0000-0000-000035070000}"/>
    <cellStyle name="Normal 287 2" xfId="1853" xr:uid="{00000000-0005-0000-0000-000036070000}"/>
    <cellStyle name="Normal 287 2 2" xfId="1854" xr:uid="{00000000-0005-0000-0000-000037070000}"/>
    <cellStyle name="Normal 287 3" xfId="1855" xr:uid="{00000000-0005-0000-0000-000038070000}"/>
    <cellStyle name="Normal 288" xfId="1856" xr:uid="{00000000-0005-0000-0000-000039070000}"/>
    <cellStyle name="Normal 288 2" xfId="1857" xr:uid="{00000000-0005-0000-0000-00003A070000}"/>
    <cellStyle name="Normal 288 2 2" xfId="1858" xr:uid="{00000000-0005-0000-0000-00003B070000}"/>
    <cellStyle name="Normal 288 3" xfId="1859" xr:uid="{00000000-0005-0000-0000-00003C070000}"/>
    <cellStyle name="Normal 289" xfId="1860" xr:uid="{00000000-0005-0000-0000-00003D070000}"/>
    <cellStyle name="Normal 289 2" xfId="1861" xr:uid="{00000000-0005-0000-0000-00003E070000}"/>
    <cellStyle name="Normal 289 2 2" xfId="1862" xr:uid="{00000000-0005-0000-0000-00003F070000}"/>
    <cellStyle name="Normal 289 3" xfId="1863" xr:uid="{00000000-0005-0000-0000-000040070000}"/>
    <cellStyle name="Normal 29" xfId="1864" xr:uid="{00000000-0005-0000-0000-000041070000}"/>
    <cellStyle name="Normal 29 2" xfId="1865" xr:uid="{00000000-0005-0000-0000-000042070000}"/>
    <cellStyle name="Normal 290" xfId="1866" xr:uid="{00000000-0005-0000-0000-000043070000}"/>
    <cellStyle name="Normal 290 2" xfId="1867" xr:uid="{00000000-0005-0000-0000-000044070000}"/>
    <cellStyle name="Normal 290 2 2" xfId="1868" xr:uid="{00000000-0005-0000-0000-000045070000}"/>
    <cellStyle name="Normal 290 3" xfId="1869" xr:uid="{00000000-0005-0000-0000-000046070000}"/>
    <cellStyle name="Normal 291" xfId="1870" xr:uid="{00000000-0005-0000-0000-000047070000}"/>
    <cellStyle name="Normal 291 2" xfId="1871" xr:uid="{00000000-0005-0000-0000-000048070000}"/>
    <cellStyle name="Normal 291 2 2" xfId="1872" xr:uid="{00000000-0005-0000-0000-000049070000}"/>
    <cellStyle name="Normal 291 3" xfId="1873" xr:uid="{00000000-0005-0000-0000-00004A070000}"/>
    <cellStyle name="Normal 292" xfId="1874" xr:uid="{00000000-0005-0000-0000-00004B070000}"/>
    <cellStyle name="Normal 292 2" xfId="1875" xr:uid="{00000000-0005-0000-0000-00004C070000}"/>
    <cellStyle name="Normal 292 2 2" xfId="1876" xr:uid="{00000000-0005-0000-0000-00004D070000}"/>
    <cellStyle name="Normal 292 3" xfId="1877" xr:uid="{00000000-0005-0000-0000-00004E070000}"/>
    <cellStyle name="Normal 293" xfId="1878" xr:uid="{00000000-0005-0000-0000-00004F070000}"/>
    <cellStyle name="Normal 293 2" xfId="1879" xr:uid="{00000000-0005-0000-0000-000050070000}"/>
    <cellStyle name="Normal 293 2 2" xfId="1880" xr:uid="{00000000-0005-0000-0000-000051070000}"/>
    <cellStyle name="Normal 293 3" xfId="1881" xr:uid="{00000000-0005-0000-0000-000052070000}"/>
    <cellStyle name="Normal 294" xfId="1882" xr:uid="{00000000-0005-0000-0000-000053070000}"/>
    <cellStyle name="Normal 294 2" xfId="1883" xr:uid="{00000000-0005-0000-0000-000054070000}"/>
    <cellStyle name="Normal 294 2 2" xfId="1884" xr:uid="{00000000-0005-0000-0000-000055070000}"/>
    <cellStyle name="Normal 294 3" xfId="1885" xr:uid="{00000000-0005-0000-0000-000056070000}"/>
    <cellStyle name="Normal 295" xfId="1886" xr:uid="{00000000-0005-0000-0000-000057070000}"/>
    <cellStyle name="Normal 295 2" xfId="1887" xr:uid="{00000000-0005-0000-0000-000058070000}"/>
    <cellStyle name="Normal 295 2 2" xfId="1888" xr:uid="{00000000-0005-0000-0000-000059070000}"/>
    <cellStyle name="Normal 295 3" xfId="1889" xr:uid="{00000000-0005-0000-0000-00005A070000}"/>
    <cellStyle name="Normal 296" xfId="1890" xr:uid="{00000000-0005-0000-0000-00005B070000}"/>
    <cellStyle name="Normal 296 2" xfId="1891" xr:uid="{00000000-0005-0000-0000-00005C070000}"/>
    <cellStyle name="Normal 296 2 2" xfId="1892" xr:uid="{00000000-0005-0000-0000-00005D070000}"/>
    <cellStyle name="Normal 296 3" xfId="1893" xr:uid="{00000000-0005-0000-0000-00005E070000}"/>
    <cellStyle name="Normal 297" xfId="1894" xr:uid="{00000000-0005-0000-0000-00005F070000}"/>
    <cellStyle name="Normal 297 2" xfId="1895" xr:uid="{00000000-0005-0000-0000-000060070000}"/>
    <cellStyle name="Normal 297 2 2" xfId="1896" xr:uid="{00000000-0005-0000-0000-000061070000}"/>
    <cellStyle name="Normal 297 3" xfId="1897" xr:uid="{00000000-0005-0000-0000-000062070000}"/>
    <cellStyle name="Normal 298" xfId="1898" xr:uid="{00000000-0005-0000-0000-000063070000}"/>
    <cellStyle name="Normal 298 2" xfId="1899" xr:uid="{00000000-0005-0000-0000-000064070000}"/>
    <cellStyle name="Normal 298 2 2" xfId="1900" xr:uid="{00000000-0005-0000-0000-000065070000}"/>
    <cellStyle name="Normal 298 3" xfId="1901" xr:uid="{00000000-0005-0000-0000-000066070000}"/>
    <cellStyle name="Normal 299" xfId="1902" xr:uid="{00000000-0005-0000-0000-000067070000}"/>
    <cellStyle name="Normal 299 2" xfId="1903" xr:uid="{00000000-0005-0000-0000-000068070000}"/>
    <cellStyle name="Normal 299 2 2" xfId="1904" xr:uid="{00000000-0005-0000-0000-000069070000}"/>
    <cellStyle name="Normal 299 3" xfId="1905" xr:uid="{00000000-0005-0000-0000-00006A070000}"/>
    <cellStyle name="Normal 3" xfId="1906" xr:uid="{00000000-0005-0000-0000-00006B070000}"/>
    <cellStyle name="Normal 3 10" xfId="1907" xr:uid="{00000000-0005-0000-0000-00006C070000}"/>
    <cellStyle name="Normal 3 10 2" xfId="1908" xr:uid="{00000000-0005-0000-0000-00006D070000}"/>
    <cellStyle name="Normal 3 11" xfId="1909" xr:uid="{00000000-0005-0000-0000-00006E070000}"/>
    <cellStyle name="Normal 3 11 2" xfId="1910" xr:uid="{00000000-0005-0000-0000-00006F070000}"/>
    <cellStyle name="Normal 3 12" xfId="1911" xr:uid="{00000000-0005-0000-0000-000070070000}"/>
    <cellStyle name="Normal 3 12 2" xfId="1912" xr:uid="{00000000-0005-0000-0000-000071070000}"/>
    <cellStyle name="Normal 3 13" xfId="1913" xr:uid="{00000000-0005-0000-0000-000072070000}"/>
    <cellStyle name="Normal 3 13 2" xfId="1914" xr:uid="{00000000-0005-0000-0000-000073070000}"/>
    <cellStyle name="Normal 3 14" xfId="1915" xr:uid="{00000000-0005-0000-0000-000074070000}"/>
    <cellStyle name="Normal 3 14 2" xfId="1916" xr:uid="{00000000-0005-0000-0000-000075070000}"/>
    <cellStyle name="Normal 3 15" xfId="1917" xr:uid="{00000000-0005-0000-0000-000076070000}"/>
    <cellStyle name="Normal 3 15 2" xfId="1918" xr:uid="{00000000-0005-0000-0000-000077070000}"/>
    <cellStyle name="Normal 3 16" xfId="1919" xr:uid="{00000000-0005-0000-0000-000078070000}"/>
    <cellStyle name="Normal 3 16 2" xfId="1920" xr:uid="{00000000-0005-0000-0000-000079070000}"/>
    <cellStyle name="Normal 3 17" xfId="1921" xr:uid="{00000000-0005-0000-0000-00007A070000}"/>
    <cellStyle name="Normal 3 17 2" xfId="1922" xr:uid="{00000000-0005-0000-0000-00007B070000}"/>
    <cellStyle name="Normal 3 18" xfId="1923" xr:uid="{00000000-0005-0000-0000-00007C070000}"/>
    <cellStyle name="Normal 3 18 2" xfId="1924" xr:uid="{00000000-0005-0000-0000-00007D070000}"/>
    <cellStyle name="Normal 3 19" xfId="1925" xr:uid="{00000000-0005-0000-0000-00007E070000}"/>
    <cellStyle name="Normal 3 2" xfId="1926" xr:uid="{00000000-0005-0000-0000-00007F070000}"/>
    <cellStyle name="Normal 3 2 2" xfId="1927" xr:uid="{00000000-0005-0000-0000-000080070000}"/>
    <cellStyle name="Normal 3 2 3" xfId="3270" xr:uid="{00000000-0005-0000-0000-000081070000}"/>
    <cellStyle name="Normal 3 3" xfId="1928" xr:uid="{00000000-0005-0000-0000-000082070000}"/>
    <cellStyle name="Normal 3 3 2" xfId="1929" xr:uid="{00000000-0005-0000-0000-000083070000}"/>
    <cellStyle name="Normal 3 4" xfId="1930" xr:uid="{00000000-0005-0000-0000-000084070000}"/>
    <cellStyle name="Normal 3 4 2" xfId="1931" xr:uid="{00000000-0005-0000-0000-000085070000}"/>
    <cellStyle name="Normal 3 5" xfId="1932" xr:uid="{00000000-0005-0000-0000-000086070000}"/>
    <cellStyle name="Normal 3 5 2" xfId="1933" xr:uid="{00000000-0005-0000-0000-000087070000}"/>
    <cellStyle name="Normal 3 6" xfId="1934" xr:uid="{00000000-0005-0000-0000-000088070000}"/>
    <cellStyle name="Normal 3 6 2" xfId="1935" xr:uid="{00000000-0005-0000-0000-000089070000}"/>
    <cellStyle name="Normal 3 7" xfId="1936" xr:uid="{00000000-0005-0000-0000-00008A070000}"/>
    <cellStyle name="Normal 3 7 2" xfId="1937" xr:uid="{00000000-0005-0000-0000-00008B070000}"/>
    <cellStyle name="Normal 3 8" xfId="1938" xr:uid="{00000000-0005-0000-0000-00008C070000}"/>
    <cellStyle name="Normal 3 8 2" xfId="1939" xr:uid="{00000000-0005-0000-0000-00008D070000}"/>
    <cellStyle name="Normal 3 9" xfId="1940" xr:uid="{00000000-0005-0000-0000-00008E070000}"/>
    <cellStyle name="Normal 3 9 2" xfId="1941" xr:uid="{00000000-0005-0000-0000-00008F070000}"/>
    <cellStyle name="Normal 30" xfId="1942" xr:uid="{00000000-0005-0000-0000-000090070000}"/>
    <cellStyle name="Normal 30 2" xfId="1943" xr:uid="{00000000-0005-0000-0000-000091070000}"/>
    <cellStyle name="Normal 300" xfId="1944" xr:uid="{00000000-0005-0000-0000-000092070000}"/>
    <cellStyle name="Normal 300 2" xfId="1945" xr:uid="{00000000-0005-0000-0000-000093070000}"/>
    <cellStyle name="Normal 300 2 2" xfId="1946" xr:uid="{00000000-0005-0000-0000-000094070000}"/>
    <cellStyle name="Normal 300 3" xfId="1947" xr:uid="{00000000-0005-0000-0000-000095070000}"/>
    <cellStyle name="Normal 301" xfId="1948" xr:uid="{00000000-0005-0000-0000-000096070000}"/>
    <cellStyle name="Normal 301 2" xfId="1949" xr:uid="{00000000-0005-0000-0000-000097070000}"/>
    <cellStyle name="Normal 301 2 2" xfId="1950" xr:uid="{00000000-0005-0000-0000-000098070000}"/>
    <cellStyle name="Normal 301 3" xfId="1951" xr:uid="{00000000-0005-0000-0000-000099070000}"/>
    <cellStyle name="Normal 302" xfId="1952" xr:uid="{00000000-0005-0000-0000-00009A070000}"/>
    <cellStyle name="Normal 302 2" xfId="1953" xr:uid="{00000000-0005-0000-0000-00009B070000}"/>
    <cellStyle name="Normal 302 2 2" xfId="1954" xr:uid="{00000000-0005-0000-0000-00009C070000}"/>
    <cellStyle name="Normal 302 3" xfId="1955" xr:uid="{00000000-0005-0000-0000-00009D070000}"/>
    <cellStyle name="Normal 303" xfId="1956" xr:uid="{00000000-0005-0000-0000-00009E070000}"/>
    <cellStyle name="Normal 303 2" xfId="1957" xr:uid="{00000000-0005-0000-0000-00009F070000}"/>
    <cellStyle name="Normal 303 2 2" xfId="1958" xr:uid="{00000000-0005-0000-0000-0000A0070000}"/>
    <cellStyle name="Normal 303 3" xfId="1959" xr:uid="{00000000-0005-0000-0000-0000A1070000}"/>
    <cellStyle name="Normal 304" xfId="1960" xr:uid="{00000000-0005-0000-0000-0000A2070000}"/>
    <cellStyle name="Normal 304 2" xfId="1961" xr:uid="{00000000-0005-0000-0000-0000A3070000}"/>
    <cellStyle name="Normal 304 2 2" xfId="1962" xr:uid="{00000000-0005-0000-0000-0000A4070000}"/>
    <cellStyle name="Normal 304 3" xfId="1963" xr:uid="{00000000-0005-0000-0000-0000A5070000}"/>
    <cellStyle name="Normal 305" xfId="1964" xr:uid="{00000000-0005-0000-0000-0000A6070000}"/>
    <cellStyle name="Normal 305 2" xfId="1965" xr:uid="{00000000-0005-0000-0000-0000A7070000}"/>
    <cellStyle name="Normal 305 2 2" xfId="1966" xr:uid="{00000000-0005-0000-0000-0000A8070000}"/>
    <cellStyle name="Normal 305 3" xfId="1967" xr:uid="{00000000-0005-0000-0000-0000A9070000}"/>
    <cellStyle name="Normal 306" xfId="1968" xr:uid="{00000000-0005-0000-0000-0000AA070000}"/>
    <cellStyle name="Normal 306 2" xfId="1969" xr:uid="{00000000-0005-0000-0000-0000AB070000}"/>
    <cellStyle name="Normal 306 2 2" xfId="1970" xr:uid="{00000000-0005-0000-0000-0000AC070000}"/>
    <cellStyle name="Normal 306 3" xfId="1971" xr:uid="{00000000-0005-0000-0000-0000AD070000}"/>
    <cellStyle name="Normal 307" xfId="1972" xr:uid="{00000000-0005-0000-0000-0000AE070000}"/>
    <cellStyle name="Normal 307 2" xfId="1973" xr:uid="{00000000-0005-0000-0000-0000AF070000}"/>
    <cellStyle name="Normal 307 2 2" xfId="1974" xr:uid="{00000000-0005-0000-0000-0000B0070000}"/>
    <cellStyle name="Normal 307 3" xfId="1975" xr:uid="{00000000-0005-0000-0000-0000B1070000}"/>
    <cellStyle name="Normal 308" xfId="1976" xr:uid="{00000000-0005-0000-0000-0000B2070000}"/>
    <cellStyle name="Normal 308 2" xfId="1977" xr:uid="{00000000-0005-0000-0000-0000B3070000}"/>
    <cellStyle name="Normal 308 2 2" xfId="1978" xr:uid="{00000000-0005-0000-0000-0000B4070000}"/>
    <cellStyle name="Normal 308 3" xfId="1979" xr:uid="{00000000-0005-0000-0000-0000B5070000}"/>
    <cellStyle name="Normal 309" xfId="1980" xr:uid="{00000000-0005-0000-0000-0000B6070000}"/>
    <cellStyle name="Normal 309 2" xfId="1981" xr:uid="{00000000-0005-0000-0000-0000B7070000}"/>
    <cellStyle name="Normal 309 2 2" xfId="1982" xr:uid="{00000000-0005-0000-0000-0000B8070000}"/>
    <cellStyle name="Normal 309 3" xfId="1983" xr:uid="{00000000-0005-0000-0000-0000B9070000}"/>
    <cellStyle name="Normal 31" xfId="1984" xr:uid="{00000000-0005-0000-0000-0000BA070000}"/>
    <cellStyle name="Normal 31 2" xfId="1985" xr:uid="{00000000-0005-0000-0000-0000BB070000}"/>
    <cellStyle name="Normal 310" xfId="1986" xr:uid="{00000000-0005-0000-0000-0000BC070000}"/>
    <cellStyle name="Normal 310 2" xfId="1987" xr:uid="{00000000-0005-0000-0000-0000BD070000}"/>
    <cellStyle name="Normal 310 2 2" xfId="1988" xr:uid="{00000000-0005-0000-0000-0000BE070000}"/>
    <cellStyle name="Normal 310 3" xfId="1989" xr:uid="{00000000-0005-0000-0000-0000BF070000}"/>
    <cellStyle name="Normal 311" xfId="1990" xr:uid="{00000000-0005-0000-0000-0000C0070000}"/>
    <cellStyle name="Normal 311 2" xfId="1991" xr:uid="{00000000-0005-0000-0000-0000C1070000}"/>
    <cellStyle name="Normal 311 2 2" xfId="1992" xr:uid="{00000000-0005-0000-0000-0000C2070000}"/>
    <cellStyle name="Normal 311 3" xfId="1993" xr:uid="{00000000-0005-0000-0000-0000C3070000}"/>
    <cellStyle name="Normal 312" xfId="1994" xr:uid="{00000000-0005-0000-0000-0000C4070000}"/>
    <cellStyle name="Normal 312 2" xfId="1995" xr:uid="{00000000-0005-0000-0000-0000C5070000}"/>
    <cellStyle name="Normal 312 2 2" xfId="1996" xr:uid="{00000000-0005-0000-0000-0000C6070000}"/>
    <cellStyle name="Normal 312 3" xfId="1997" xr:uid="{00000000-0005-0000-0000-0000C7070000}"/>
    <cellStyle name="Normal 313" xfId="1998" xr:uid="{00000000-0005-0000-0000-0000C8070000}"/>
    <cellStyle name="Normal 313 2" xfId="1999" xr:uid="{00000000-0005-0000-0000-0000C9070000}"/>
    <cellStyle name="Normal 313 2 2" xfId="2000" xr:uid="{00000000-0005-0000-0000-0000CA070000}"/>
    <cellStyle name="Normal 313 3" xfId="2001" xr:uid="{00000000-0005-0000-0000-0000CB070000}"/>
    <cellStyle name="Normal 314" xfId="2002" xr:uid="{00000000-0005-0000-0000-0000CC070000}"/>
    <cellStyle name="Normal 314 2" xfId="2003" xr:uid="{00000000-0005-0000-0000-0000CD070000}"/>
    <cellStyle name="Normal 314 2 2" xfId="2004" xr:uid="{00000000-0005-0000-0000-0000CE070000}"/>
    <cellStyle name="Normal 314 3" xfId="2005" xr:uid="{00000000-0005-0000-0000-0000CF070000}"/>
    <cellStyle name="Normal 315" xfId="2006" xr:uid="{00000000-0005-0000-0000-0000D0070000}"/>
    <cellStyle name="Normal 315 2" xfId="2007" xr:uid="{00000000-0005-0000-0000-0000D1070000}"/>
    <cellStyle name="Normal 315 2 2" xfId="2008" xr:uid="{00000000-0005-0000-0000-0000D2070000}"/>
    <cellStyle name="Normal 315 3" xfId="2009" xr:uid="{00000000-0005-0000-0000-0000D3070000}"/>
    <cellStyle name="Normal 316" xfId="2010" xr:uid="{00000000-0005-0000-0000-0000D4070000}"/>
    <cellStyle name="Normal 316 2" xfId="2011" xr:uid="{00000000-0005-0000-0000-0000D5070000}"/>
    <cellStyle name="Normal 317" xfId="2012" xr:uid="{00000000-0005-0000-0000-0000D6070000}"/>
    <cellStyle name="Normal 317 2" xfId="2013" xr:uid="{00000000-0005-0000-0000-0000D7070000}"/>
    <cellStyle name="Normal 318" xfId="2014" xr:uid="{00000000-0005-0000-0000-0000D8070000}"/>
    <cellStyle name="Normal 318 2" xfId="2015" xr:uid="{00000000-0005-0000-0000-0000D9070000}"/>
    <cellStyle name="Normal 319" xfId="2016" xr:uid="{00000000-0005-0000-0000-0000DA070000}"/>
    <cellStyle name="Normal 319 2" xfId="2017" xr:uid="{00000000-0005-0000-0000-0000DB070000}"/>
    <cellStyle name="Normal 32" xfId="2018" xr:uid="{00000000-0005-0000-0000-0000DC070000}"/>
    <cellStyle name="Normal 32 2" xfId="2019" xr:uid="{00000000-0005-0000-0000-0000DD070000}"/>
    <cellStyle name="Normal 320" xfId="2020" xr:uid="{00000000-0005-0000-0000-0000DE070000}"/>
    <cellStyle name="Normal 320 2" xfId="2021" xr:uid="{00000000-0005-0000-0000-0000DF070000}"/>
    <cellStyle name="Normal 321" xfId="2022" xr:uid="{00000000-0005-0000-0000-0000E0070000}"/>
    <cellStyle name="Normal 321 2" xfId="2023" xr:uid="{00000000-0005-0000-0000-0000E1070000}"/>
    <cellStyle name="Normal 322" xfId="2024" xr:uid="{00000000-0005-0000-0000-0000E2070000}"/>
    <cellStyle name="Normal 322 2" xfId="2025" xr:uid="{00000000-0005-0000-0000-0000E3070000}"/>
    <cellStyle name="Normal 323" xfId="2026" xr:uid="{00000000-0005-0000-0000-0000E4070000}"/>
    <cellStyle name="Normal 323 2" xfId="2027" xr:uid="{00000000-0005-0000-0000-0000E5070000}"/>
    <cellStyle name="Normal 324" xfId="2028" xr:uid="{00000000-0005-0000-0000-0000E6070000}"/>
    <cellStyle name="Normal 324 2" xfId="2029" xr:uid="{00000000-0005-0000-0000-0000E7070000}"/>
    <cellStyle name="Normal 325" xfId="2030" xr:uid="{00000000-0005-0000-0000-0000E8070000}"/>
    <cellStyle name="Normal 325 2" xfId="2031" xr:uid="{00000000-0005-0000-0000-0000E9070000}"/>
    <cellStyle name="Normal 326" xfId="2032" xr:uid="{00000000-0005-0000-0000-0000EA070000}"/>
    <cellStyle name="Normal 326 2" xfId="2033" xr:uid="{00000000-0005-0000-0000-0000EB070000}"/>
    <cellStyle name="Normal 327" xfId="2034" xr:uid="{00000000-0005-0000-0000-0000EC070000}"/>
    <cellStyle name="Normal 327 2" xfId="2035" xr:uid="{00000000-0005-0000-0000-0000ED070000}"/>
    <cellStyle name="Normal 328" xfId="2036" xr:uid="{00000000-0005-0000-0000-0000EE070000}"/>
    <cellStyle name="Normal 328 2" xfId="2037" xr:uid="{00000000-0005-0000-0000-0000EF070000}"/>
    <cellStyle name="Normal 329" xfId="2038" xr:uid="{00000000-0005-0000-0000-0000F0070000}"/>
    <cellStyle name="Normal 329 2" xfId="2039" xr:uid="{00000000-0005-0000-0000-0000F1070000}"/>
    <cellStyle name="Normal 33" xfId="2040" xr:uid="{00000000-0005-0000-0000-0000F2070000}"/>
    <cellStyle name="Normal 33 2" xfId="2041" xr:uid="{00000000-0005-0000-0000-0000F3070000}"/>
    <cellStyle name="Normal 330" xfId="2042" xr:uid="{00000000-0005-0000-0000-0000F4070000}"/>
    <cellStyle name="Normal 330 2" xfId="2043" xr:uid="{00000000-0005-0000-0000-0000F5070000}"/>
    <cellStyle name="Normal 331" xfId="2044" xr:uid="{00000000-0005-0000-0000-0000F6070000}"/>
    <cellStyle name="Normal 331 2" xfId="2045" xr:uid="{00000000-0005-0000-0000-0000F7070000}"/>
    <cellStyle name="Normal 332" xfId="2046" xr:uid="{00000000-0005-0000-0000-0000F8070000}"/>
    <cellStyle name="Normal 332 2" xfId="2047" xr:uid="{00000000-0005-0000-0000-0000F9070000}"/>
    <cellStyle name="Normal 333" xfId="2048" xr:uid="{00000000-0005-0000-0000-0000FA070000}"/>
    <cellStyle name="Normal 333 2" xfId="2049" xr:uid="{00000000-0005-0000-0000-0000FB070000}"/>
    <cellStyle name="Normal 334" xfId="2050" xr:uid="{00000000-0005-0000-0000-0000FC070000}"/>
    <cellStyle name="Normal 334 2" xfId="2051" xr:uid="{00000000-0005-0000-0000-0000FD070000}"/>
    <cellStyle name="Normal 335" xfId="2052" xr:uid="{00000000-0005-0000-0000-0000FE070000}"/>
    <cellStyle name="Normal 335 2" xfId="2053" xr:uid="{00000000-0005-0000-0000-0000FF070000}"/>
    <cellStyle name="Normal 336" xfId="2054" xr:uid="{00000000-0005-0000-0000-000000080000}"/>
    <cellStyle name="Normal 336 2" xfId="2055" xr:uid="{00000000-0005-0000-0000-000001080000}"/>
    <cellStyle name="Normal 337" xfId="2056" xr:uid="{00000000-0005-0000-0000-000002080000}"/>
    <cellStyle name="Normal 337 2" xfId="2057" xr:uid="{00000000-0005-0000-0000-000003080000}"/>
    <cellStyle name="Normal 338" xfId="2058" xr:uid="{00000000-0005-0000-0000-000004080000}"/>
    <cellStyle name="Normal 338 2" xfId="2059" xr:uid="{00000000-0005-0000-0000-000005080000}"/>
    <cellStyle name="Normal 339" xfId="2060" xr:uid="{00000000-0005-0000-0000-000006080000}"/>
    <cellStyle name="Normal 339 2" xfId="2061" xr:uid="{00000000-0005-0000-0000-000007080000}"/>
    <cellStyle name="Normal 34" xfId="2062" xr:uid="{00000000-0005-0000-0000-000008080000}"/>
    <cellStyle name="Normal 34 2" xfId="2063" xr:uid="{00000000-0005-0000-0000-000009080000}"/>
    <cellStyle name="Normal 340" xfId="2064" xr:uid="{00000000-0005-0000-0000-00000A080000}"/>
    <cellStyle name="Normal 340 2" xfId="2065" xr:uid="{00000000-0005-0000-0000-00000B080000}"/>
    <cellStyle name="Normal 341" xfId="2066" xr:uid="{00000000-0005-0000-0000-00000C080000}"/>
    <cellStyle name="Normal 341 2" xfId="2067" xr:uid="{00000000-0005-0000-0000-00000D080000}"/>
    <cellStyle name="Normal 342" xfId="2068" xr:uid="{00000000-0005-0000-0000-00000E080000}"/>
    <cellStyle name="Normal 342 2" xfId="2069" xr:uid="{00000000-0005-0000-0000-00000F080000}"/>
    <cellStyle name="Normal 343" xfId="2070" xr:uid="{00000000-0005-0000-0000-000010080000}"/>
    <cellStyle name="Normal 343 2" xfId="2071" xr:uid="{00000000-0005-0000-0000-000011080000}"/>
    <cellStyle name="Normal 344" xfId="2072" xr:uid="{00000000-0005-0000-0000-000012080000}"/>
    <cellStyle name="Normal 344 2" xfId="2073" xr:uid="{00000000-0005-0000-0000-000013080000}"/>
    <cellStyle name="Normal 345" xfId="2074" xr:uid="{00000000-0005-0000-0000-000014080000}"/>
    <cellStyle name="Normal 345 2" xfId="2075" xr:uid="{00000000-0005-0000-0000-000015080000}"/>
    <cellStyle name="Normal 345 2 2" xfId="2076" xr:uid="{00000000-0005-0000-0000-000016080000}"/>
    <cellStyle name="Normal 345 3" xfId="2077" xr:uid="{00000000-0005-0000-0000-000017080000}"/>
    <cellStyle name="Normal 346" xfId="2078" xr:uid="{00000000-0005-0000-0000-000018080000}"/>
    <cellStyle name="Normal 346 2" xfId="2079" xr:uid="{00000000-0005-0000-0000-000019080000}"/>
    <cellStyle name="Normal 346 2 2" xfId="2080" xr:uid="{00000000-0005-0000-0000-00001A080000}"/>
    <cellStyle name="Normal 346 3" xfId="2081" xr:uid="{00000000-0005-0000-0000-00001B080000}"/>
    <cellStyle name="Normal 347" xfId="2082" xr:uid="{00000000-0005-0000-0000-00001C080000}"/>
    <cellStyle name="Normal 347 2" xfId="2083" xr:uid="{00000000-0005-0000-0000-00001D080000}"/>
    <cellStyle name="Normal 347 2 2" xfId="2084" xr:uid="{00000000-0005-0000-0000-00001E080000}"/>
    <cellStyle name="Normal 347 3" xfId="2085" xr:uid="{00000000-0005-0000-0000-00001F080000}"/>
    <cellStyle name="Normal 348" xfId="2086" xr:uid="{00000000-0005-0000-0000-000020080000}"/>
    <cellStyle name="Normal 348 2" xfId="2087" xr:uid="{00000000-0005-0000-0000-000021080000}"/>
    <cellStyle name="Normal 348 2 2" xfId="2088" xr:uid="{00000000-0005-0000-0000-000022080000}"/>
    <cellStyle name="Normal 348 3" xfId="2089" xr:uid="{00000000-0005-0000-0000-000023080000}"/>
    <cellStyle name="Normal 349" xfId="2090" xr:uid="{00000000-0005-0000-0000-000024080000}"/>
    <cellStyle name="Normal 349 2" xfId="2091" xr:uid="{00000000-0005-0000-0000-000025080000}"/>
    <cellStyle name="Normal 349 2 2" xfId="2092" xr:uid="{00000000-0005-0000-0000-000026080000}"/>
    <cellStyle name="Normal 349 3" xfId="2093" xr:uid="{00000000-0005-0000-0000-000027080000}"/>
    <cellStyle name="Normal 35" xfId="2094" xr:uid="{00000000-0005-0000-0000-000028080000}"/>
    <cellStyle name="Normal 35 2" xfId="2095" xr:uid="{00000000-0005-0000-0000-000029080000}"/>
    <cellStyle name="Normal 350" xfId="2096" xr:uid="{00000000-0005-0000-0000-00002A080000}"/>
    <cellStyle name="Normal 350 2" xfId="2097" xr:uid="{00000000-0005-0000-0000-00002B080000}"/>
    <cellStyle name="Normal 350 2 2" xfId="2098" xr:uid="{00000000-0005-0000-0000-00002C080000}"/>
    <cellStyle name="Normal 350 3" xfId="2099" xr:uid="{00000000-0005-0000-0000-00002D080000}"/>
    <cellStyle name="Normal 351" xfId="2100" xr:uid="{00000000-0005-0000-0000-00002E080000}"/>
    <cellStyle name="Normal 351 2" xfId="2101" xr:uid="{00000000-0005-0000-0000-00002F080000}"/>
    <cellStyle name="Normal 351 2 2" xfId="2102" xr:uid="{00000000-0005-0000-0000-000030080000}"/>
    <cellStyle name="Normal 351 3" xfId="2103" xr:uid="{00000000-0005-0000-0000-000031080000}"/>
    <cellStyle name="Normal 352" xfId="2104" xr:uid="{00000000-0005-0000-0000-000032080000}"/>
    <cellStyle name="Normal 352 2" xfId="2105" xr:uid="{00000000-0005-0000-0000-000033080000}"/>
    <cellStyle name="Normal 352 2 2" xfId="2106" xr:uid="{00000000-0005-0000-0000-000034080000}"/>
    <cellStyle name="Normal 352 3" xfId="2107" xr:uid="{00000000-0005-0000-0000-000035080000}"/>
    <cellStyle name="Normal 353" xfId="2108" xr:uid="{00000000-0005-0000-0000-000036080000}"/>
    <cellStyle name="Normal 353 2" xfId="2109" xr:uid="{00000000-0005-0000-0000-000037080000}"/>
    <cellStyle name="Normal 353 2 2" xfId="2110" xr:uid="{00000000-0005-0000-0000-000038080000}"/>
    <cellStyle name="Normal 353 3" xfId="2111" xr:uid="{00000000-0005-0000-0000-000039080000}"/>
    <cellStyle name="Normal 354" xfId="2112" xr:uid="{00000000-0005-0000-0000-00003A080000}"/>
    <cellStyle name="Normal 354 2" xfId="2113" xr:uid="{00000000-0005-0000-0000-00003B080000}"/>
    <cellStyle name="Normal 354 2 2" xfId="2114" xr:uid="{00000000-0005-0000-0000-00003C080000}"/>
    <cellStyle name="Normal 354 3" xfId="2115" xr:uid="{00000000-0005-0000-0000-00003D080000}"/>
    <cellStyle name="Normal 355" xfId="2116" xr:uid="{00000000-0005-0000-0000-00003E080000}"/>
    <cellStyle name="Normal 355 2" xfId="2117" xr:uid="{00000000-0005-0000-0000-00003F080000}"/>
    <cellStyle name="Normal 355 2 2" xfId="2118" xr:uid="{00000000-0005-0000-0000-000040080000}"/>
    <cellStyle name="Normal 355 3" xfId="2119" xr:uid="{00000000-0005-0000-0000-000041080000}"/>
    <cellStyle name="Normal 356" xfId="2120" xr:uid="{00000000-0005-0000-0000-000042080000}"/>
    <cellStyle name="Normal 356 2" xfId="2121" xr:uid="{00000000-0005-0000-0000-000043080000}"/>
    <cellStyle name="Normal 356 2 2" xfId="2122" xr:uid="{00000000-0005-0000-0000-000044080000}"/>
    <cellStyle name="Normal 356 3" xfId="2123" xr:uid="{00000000-0005-0000-0000-000045080000}"/>
    <cellStyle name="Normal 357" xfId="2124" xr:uid="{00000000-0005-0000-0000-000046080000}"/>
    <cellStyle name="Normal 357 2" xfId="2125" xr:uid="{00000000-0005-0000-0000-000047080000}"/>
    <cellStyle name="Normal 357 2 2" xfId="2126" xr:uid="{00000000-0005-0000-0000-000048080000}"/>
    <cellStyle name="Normal 357 3" xfId="2127" xr:uid="{00000000-0005-0000-0000-000049080000}"/>
    <cellStyle name="Normal 358" xfId="2128" xr:uid="{00000000-0005-0000-0000-00004A080000}"/>
    <cellStyle name="Normal 358 2" xfId="2129" xr:uid="{00000000-0005-0000-0000-00004B080000}"/>
    <cellStyle name="Normal 358 2 2" xfId="2130" xr:uid="{00000000-0005-0000-0000-00004C080000}"/>
    <cellStyle name="Normal 358 3" xfId="2131" xr:uid="{00000000-0005-0000-0000-00004D080000}"/>
    <cellStyle name="Normal 359" xfId="2132" xr:uid="{00000000-0005-0000-0000-00004E080000}"/>
    <cellStyle name="Normal 359 2" xfId="2133" xr:uid="{00000000-0005-0000-0000-00004F080000}"/>
    <cellStyle name="Normal 359 2 2" xfId="2134" xr:uid="{00000000-0005-0000-0000-000050080000}"/>
    <cellStyle name="Normal 359 3" xfId="2135" xr:uid="{00000000-0005-0000-0000-000051080000}"/>
    <cellStyle name="Normal 36" xfId="2136" xr:uid="{00000000-0005-0000-0000-000052080000}"/>
    <cellStyle name="Normal 36 2" xfId="2137" xr:uid="{00000000-0005-0000-0000-000053080000}"/>
    <cellStyle name="Normal 360" xfId="2138" xr:uid="{00000000-0005-0000-0000-000054080000}"/>
    <cellStyle name="Normal 360 2" xfId="2139" xr:uid="{00000000-0005-0000-0000-000055080000}"/>
    <cellStyle name="Normal 360 2 2" xfId="2140" xr:uid="{00000000-0005-0000-0000-000056080000}"/>
    <cellStyle name="Normal 360 3" xfId="2141" xr:uid="{00000000-0005-0000-0000-000057080000}"/>
    <cellStyle name="Normal 361" xfId="2142" xr:uid="{00000000-0005-0000-0000-000058080000}"/>
    <cellStyle name="Normal 361 2" xfId="2143" xr:uid="{00000000-0005-0000-0000-000059080000}"/>
    <cellStyle name="Normal 361 2 2" xfId="2144" xr:uid="{00000000-0005-0000-0000-00005A080000}"/>
    <cellStyle name="Normal 361 3" xfId="2145" xr:uid="{00000000-0005-0000-0000-00005B080000}"/>
    <cellStyle name="Normal 362" xfId="2146" xr:uid="{00000000-0005-0000-0000-00005C080000}"/>
    <cellStyle name="Normal 362 2" xfId="2147" xr:uid="{00000000-0005-0000-0000-00005D080000}"/>
    <cellStyle name="Normal 362 2 2" xfId="2148" xr:uid="{00000000-0005-0000-0000-00005E080000}"/>
    <cellStyle name="Normal 362 3" xfId="2149" xr:uid="{00000000-0005-0000-0000-00005F080000}"/>
    <cellStyle name="Normal 363" xfId="2150" xr:uid="{00000000-0005-0000-0000-000060080000}"/>
    <cellStyle name="Normal 363 2" xfId="2151" xr:uid="{00000000-0005-0000-0000-000061080000}"/>
    <cellStyle name="Normal 363 2 2" xfId="2152" xr:uid="{00000000-0005-0000-0000-000062080000}"/>
    <cellStyle name="Normal 363 3" xfId="2153" xr:uid="{00000000-0005-0000-0000-000063080000}"/>
    <cellStyle name="Normal 364" xfId="2154" xr:uid="{00000000-0005-0000-0000-000064080000}"/>
    <cellStyle name="Normal 364 2" xfId="2155" xr:uid="{00000000-0005-0000-0000-000065080000}"/>
    <cellStyle name="Normal 364 2 2" xfId="2156" xr:uid="{00000000-0005-0000-0000-000066080000}"/>
    <cellStyle name="Normal 364 3" xfId="2157" xr:uid="{00000000-0005-0000-0000-000067080000}"/>
    <cellStyle name="Normal 365" xfId="2158" xr:uid="{00000000-0005-0000-0000-000068080000}"/>
    <cellStyle name="Normal 365 2" xfId="2159" xr:uid="{00000000-0005-0000-0000-000069080000}"/>
    <cellStyle name="Normal 365 2 2" xfId="2160" xr:uid="{00000000-0005-0000-0000-00006A080000}"/>
    <cellStyle name="Normal 365 3" xfId="2161" xr:uid="{00000000-0005-0000-0000-00006B080000}"/>
    <cellStyle name="Normal 366" xfId="2162" xr:uid="{00000000-0005-0000-0000-00006C080000}"/>
    <cellStyle name="Normal 366 2" xfId="2163" xr:uid="{00000000-0005-0000-0000-00006D080000}"/>
    <cellStyle name="Normal 366 2 2" xfId="2164" xr:uid="{00000000-0005-0000-0000-00006E080000}"/>
    <cellStyle name="Normal 366 3" xfId="2165" xr:uid="{00000000-0005-0000-0000-00006F080000}"/>
    <cellStyle name="Normal 367" xfId="2166" xr:uid="{00000000-0005-0000-0000-000070080000}"/>
    <cellStyle name="Normal 367 2" xfId="2167" xr:uid="{00000000-0005-0000-0000-000071080000}"/>
    <cellStyle name="Normal 367 2 2" xfId="2168" xr:uid="{00000000-0005-0000-0000-000072080000}"/>
    <cellStyle name="Normal 367 3" xfId="2169" xr:uid="{00000000-0005-0000-0000-000073080000}"/>
    <cellStyle name="Normal 368" xfId="2170" xr:uid="{00000000-0005-0000-0000-000074080000}"/>
    <cellStyle name="Normal 368 2" xfId="2171" xr:uid="{00000000-0005-0000-0000-000075080000}"/>
    <cellStyle name="Normal 368 2 2" xfId="2172" xr:uid="{00000000-0005-0000-0000-000076080000}"/>
    <cellStyle name="Normal 368 3" xfId="2173" xr:uid="{00000000-0005-0000-0000-000077080000}"/>
    <cellStyle name="Normal 369" xfId="2174" xr:uid="{00000000-0005-0000-0000-000078080000}"/>
    <cellStyle name="Normal 369 2" xfId="2175" xr:uid="{00000000-0005-0000-0000-000079080000}"/>
    <cellStyle name="Normal 369 2 2" xfId="2176" xr:uid="{00000000-0005-0000-0000-00007A080000}"/>
    <cellStyle name="Normal 369 3" xfId="2177" xr:uid="{00000000-0005-0000-0000-00007B080000}"/>
    <cellStyle name="Normal 37" xfId="2178" xr:uid="{00000000-0005-0000-0000-00007C080000}"/>
    <cellStyle name="Normal 37 2" xfId="2179" xr:uid="{00000000-0005-0000-0000-00007D080000}"/>
    <cellStyle name="Normal 370" xfId="2180" xr:uid="{00000000-0005-0000-0000-00007E080000}"/>
    <cellStyle name="Normal 370 2" xfId="2181" xr:uid="{00000000-0005-0000-0000-00007F080000}"/>
    <cellStyle name="Normal 370 2 2" xfId="2182" xr:uid="{00000000-0005-0000-0000-000080080000}"/>
    <cellStyle name="Normal 370 3" xfId="2183" xr:uid="{00000000-0005-0000-0000-000081080000}"/>
    <cellStyle name="Normal 371" xfId="2184" xr:uid="{00000000-0005-0000-0000-000082080000}"/>
    <cellStyle name="Normal 371 2" xfId="2185" xr:uid="{00000000-0005-0000-0000-000083080000}"/>
    <cellStyle name="Normal 371 2 2" xfId="2186" xr:uid="{00000000-0005-0000-0000-000084080000}"/>
    <cellStyle name="Normal 371 3" xfId="2187" xr:uid="{00000000-0005-0000-0000-000085080000}"/>
    <cellStyle name="Normal 372" xfId="2188" xr:uid="{00000000-0005-0000-0000-000086080000}"/>
    <cellStyle name="Normal 372 2" xfId="2189" xr:uid="{00000000-0005-0000-0000-000087080000}"/>
    <cellStyle name="Normal 372 2 2" xfId="2190" xr:uid="{00000000-0005-0000-0000-000088080000}"/>
    <cellStyle name="Normal 372 3" xfId="2191" xr:uid="{00000000-0005-0000-0000-000089080000}"/>
    <cellStyle name="Normal 373" xfId="2192" xr:uid="{00000000-0005-0000-0000-00008A080000}"/>
    <cellStyle name="Normal 373 2" xfId="2193" xr:uid="{00000000-0005-0000-0000-00008B080000}"/>
    <cellStyle name="Normal 373 2 2" xfId="2194" xr:uid="{00000000-0005-0000-0000-00008C080000}"/>
    <cellStyle name="Normal 373 3" xfId="2195" xr:uid="{00000000-0005-0000-0000-00008D080000}"/>
    <cellStyle name="Normal 374" xfId="2196" xr:uid="{00000000-0005-0000-0000-00008E080000}"/>
    <cellStyle name="Normal 374 2" xfId="2197" xr:uid="{00000000-0005-0000-0000-00008F080000}"/>
    <cellStyle name="Normal 374 2 2" xfId="2198" xr:uid="{00000000-0005-0000-0000-000090080000}"/>
    <cellStyle name="Normal 374 3" xfId="2199" xr:uid="{00000000-0005-0000-0000-000091080000}"/>
    <cellStyle name="Normal 375" xfId="2200" xr:uid="{00000000-0005-0000-0000-000092080000}"/>
    <cellStyle name="Normal 375 2" xfId="2201" xr:uid="{00000000-0005-0000-0000-000093080000}"/>
    <cellStyle name="Normal 375 2 2" xfId="2202" xr:uid="{00000000-0005-0000-0000-000094080000}"/>
    <cellStyle name="Normal 375 3" xfId="2203" xr:uid="{00000000-0005-0000-0000-000095080000}"/>
    <cellStyle name="Normal 376" xfId="2204" xr:uid="{00000000-0005-0000-0000-000096080000}"/>
    <cellStyle name="Normal 376 2" xfId="2205" xr:uid="{00000000-0005-0000-0000-000097080000}"/>
    <cellStyle name="Normal 376 2 2" xfId="2206" xr:uid="{00000000-0005-0000-0000-000098080000}"/>
    <cellStyle name="Normal 376 3" xfId="2207" xr:uid="{00000000-0005-0000-0000-000099080000}"/>
    <cellStyle name="Normal 377" xfId="2208" xr:uid="{00000000-0005-0000-0000-00009A080000}"/>
    <cellStyle name="Normal 377 2" xfId="2209" xr:uid="{00000000-0005-0000-0000-00009B080000}"/>
    <cellStyle name="Normal 377 2 2" xfId="2210" xr:uid="{00000000-0005-0000-0000-00009C080000}"/>
    <cellStyle name="Normal 377 3" xfId="2211" xr:uid="{00000000-0005-0000-0000-00009D080000}"/>
    <cellStyle name="Normal 378" xfId="2212" xr:uid="{00000000-0005-0000-0000-00009E080000}"/>
    <cellStyle name="Normal 378 2" xfId="2213" xr:uid="{00000000-0005-0000-0000-00009F080000}"/>
    <cellStyle name="Normal 378 2 2" xfId="2214" xr:uid="{00000000-0005-0000-0000-0000A0080000}"/>
    <cellStyle name="Normal 378 3" xfId="2215" xr:uid="{00000000-0005-0000-0000-0000A1080000}"/>
    <cellStyle name="Normal 379" xfId="2216" xr:uid="{00000000-0005-0000-0000-0000A2080000}"/>
    <cellStyle name="Normal 379 2" xfId="2217" xr:uid="{00000000-0005-0000-0000-0000A3080000}"/>
    <cellStyle name="Normal 379 2 2" xfId="2218" xr:uid="{00000000-0005-0000-0000-0000A4080000}"/>
    <cellStyle name="Normal 379 3" xfId="2219" xr:uid="{00000000-0005-0000-0000-0000A5080000}"/>
    <cellStyle name="Normal 38" xfId="2220" xr:uid="{00000000-0005-0000-0000-0000A6080000}"/>
    <cellStyle name="Normal 38 2" xfId="2221" xr:uid="{00000000-0005-0000-0000-0000A7080000}"/>
    <cellStyle name="Normal 380" xfId="2222" xr:uid="{00000000-0005-0000-0000-0000A8080000}"/>
    <cellStyle name="Normal 380 2" xfId="2223" xr:uid="{00000000-0005-0000-0000-0000A9080000}"/>
    <cellStyle name="Normal 380 2 2" xfId="2224" xr:uid="{00000000-0005-0000-0000-0000AA080000}"/>
    <cellStyle name="Normal 380 3" xfId="2225" xr:uid="{00000000-0005-0000-0000-0000AB080000}"/>
    <cellStyle name="Normal 381" xfId="2226" xr:uid="{00000000-0005-0000-0000-0000AC080000}"/>
    <cellStyle name="Normal 381 2" xfId="2227" xr:uid="{00000000-0005-0000-0000-0000AD080000}"/>
    <cellStyle name="Normal 381 2 2" xfId="2228" xr:uid="{00000000-0005-0000-0000-0000AE080000}"/>
    <cellStyle name="Normal 381 3" xfId="2229" xr:uid="{00000000-0005-0000-0000-0000AF080000}"/>
    <cellStyle name="Normal 382" xfId="2230" xr:uid="{00000000-0005-0000-0000-0000B0080000}"/>
    <cellStyle name="Normal 382 2" xfId="2231" xr:uid="{00000000-0005-0000-0000-0000B1080000}"/>
    <cellStyle name="Normal 382 2 2" xfId="2232" xr:uid="{00000000-0005-0000-0000-0000B2080000}"/>
    <cellStyle name="Normal 382 3" xfId="2233" xr:uid="{00000000-0005-0000-0000-0000B3080000}"/>
    <cellStyle name="Normal 383" xfId="2234" xr:uid="{00000000-0005-0000-0000-0000B4080000}"/>
    <cellStyle name="Normal 383 2" xfId="2235" xr:uid="{00000000-0005-0000-0000-0000B5080000}"/>
    <cellStyle name="Normal 383 2 2" xfId="2236" xr:uid="{00000000-0005-0000-0000-0000B6080000}"/>
    <cellStyle name="Normal 383 3" xfId="2237" xr:uid="{00000000-0005-0000-0000-0000B7080000}"/>
    <cellStyle name="Normal 384" xfId="2238" xr:uid="{00000000-0005-0000-0000-0000B8080000}"/>
    <cellStyle name="Normal 384 2" xfId="2239" xr:uid="{00000000-0005-0000-0000-0000B9080000}"/>
    <cellStyle name="Normal 384 2 2" xfId="2240" xr:uid="{00000000-0005-0000-0000-0000BA080000}"/>
    <cellStyle name="Normal 384 3" xfId="2241" xr:uid="{00000000-0005-0000-0000-0000BB080000}"/>
    <cellStyle name="Normal 385" xfId="2242" xr:uid="{00000000-0005-0000-0000-0000BC080000}"/>
    <cellStyle name="Normal 385 2" xfId="2243" xr:uid="{00000000-0005-0000-0000-0000BD080000}"/>
    <cellStyle name="Normal 385 2 2" xfId="2244" xr:uid="{00000000-0005-0000-0000-0000BE080000}"/>
    <cellStyle name="Normal 385 3" xfId="2245" xr:uid="{00000000-0005-0000-0000-0000BF080000}"/>
    <cellStyle name="Normal 386" xfId="2246" xr:uid="{00000000-0005-0000-0000-0000C0080000}"/>
    <cellStyle name="Normal 386 2" xfId="2247" xr:uid="{00000000-0005-0000-0000-0000C1080000}"/>
    <cellStyle name="Normal 386 2 2" xfId="2248" xr:uid="{00000000-0005-0000-0000-0000C2080000}"/>
    <cellStyle name="Normal 386 3" xfId="2249" xr:uid="{00000000-0005-0000-0000-0000C3080000}"/>
    <cellStyle name="Normal 387" xfId="2250" xr:uid="{00000000-0005-0000-0000-0000C4080000}"/>
    <cellStyle name="Normal 387 2" xfId="2251" xr:uid="{00000000-0005-0000-0000-0000C5080000}"/>
    <cellStyle name="Normal 387 2 2" xfId="2252" xr:uid="{00000000-0005-0000-0000-0000C6080000}"/>
    <cellStyle name="Normal 387 3" xfId="2253" xr:uid="{00000000-0005-0000-0000-0000C7080000}"/>
    <cellStyle name="Normal 388" xfId="2254" xr:uid="{00000000-0005-0000-0000-0000C8080000}"/>
    <cellStyle name="Normal 388 2" xfId="2255" xr:uid="{00000000-0005-0000-0000-0000C9080000}"/>
    <cellStyle name="Normal 388 2 2" xfId="2256" xr:uid="{00000000-0005-0000-0000-0000CA080000}"/>
    <cellStyle name="Normal 388 3" xfId="2257" xr:uid="{00000000-0005-0000-0000-0000CB080000}"/>
    <cellStyle name="Normal 389" xfId="2258" xr:uid="{00000000-0005-0000-0000-0000CC080000}"/>
    <cellStyle name="Normal 389 2" xfId="2259" xr:uid="{00000000-0005-0000-0000-0000CD080000}"/>
    <cellStyle name="Normal 389 2 2" xfId="2260" xr:uid="{00000000-0005-0000-0000-0000CE080000}"/>
    <cellStyle name="Normal 389 3" xfId="2261" xr:uid="{00000000-0005-0000-0000-0000CF080000}"/>
    <cellStyle name="Normal 39" xfId="2262" xr:uid="{00000000-0005-0000-0000-0000D0080000}"/>
    <cellStyle name="Normal 39 2" xfId="2263" xr:uid="{00000000-0005-0000-0000-0000D1080000}"/>
    <cellStyle name="Normal 390" xfId="2264" xr:uid="{00000000-0005-0000-0000-0000D2080000}"/>
    <cellStyle name="Normal 390 2" xfId="2265" xr:uid="{00000000-0005-0000-0000-0000D3080000}"/>
    <cellStyle name="Normal 390 2 2" xfId="2266" xr:uid="{00000000-0005-0000-0000-0000D4080000}"/>
    <cellStyle name="Normal 390 3" xfId="2267" xr:uid="{00000000-0005-0000-0000-0000D5080000}"/>
    <cellStyle name="Normal 391" xfId="2268" xr:uid="{00000000-0005-0000-0000-0000D6080000}"/>
    <cellStyle name="Normal 391 2" xfId="2269" xr:uid="{00000000-0005-0000-0000-0000D7080000}"/>
    <cellStyle name="Normal 391 2 2" xfId="2270" xr:uid="{00000000-0005-0000-0000-0000D8080000}"/>
    <cellStyle name="Normal 391 3" xfId="2271" xr:uid="{00000000-0005-0000-0000-0000D9080000}"/>
    <cellStyle name="Normal 392" xfId="2272" xr:uid="{00000000-0005-0000-0000-0000DA080000}"/>
    <cellStyle name="Normal 392 2" xfId="2273" xr:uid="{00000000-0005-0000-0000-0000DB080000}"/>
    <cellStyle name="Normal 392 2 2" xfId="2274" xr:uid="{00000000-0005-0000-0000-0000DC080000}"/>
    <cellStyle name="Normal 392 3" xfId="2275" xr:uid="{00000000-0005-0000-0000-0000DD080000}"/>
    <cellStyle name="Normal 393" xfId="2276" xr:uid="{00000000-0005-0000-0000-0000DE080000}"/>
    <cellStyle name="Normal 393 2" xfId="2277" xr:uid="{00000000-0005-0000-0000-0000DF080000}"/>
    <cellStyle name="Normal 393 2 2" xfId="2278" xr:uid="{00000000-0005-0000-0000-0000E0080000}"/>
    <cellStyle name="Normal 393 3" xfId="2279" xr:uid="{00000000-0005-0000-0000-0000E1080000}"/>
    <cellStyle name="Normal 394" xfId="2280" xr:uid="{00000000-0005-0000-0000-0000E2080000}"/>
    <cellStyle name="Normal 394 2" xfId="2281" xr:uid="{00000000-0005-0000-0000-0000E3080000}"/>
    <cellStyle name="Normal 394 2 2" xfId="2282" xr:uid="{00000000-0005-0000-0000-0000E4080000}"/>
    <cellStyle name="Normal 394 3" xfId="2283" xr:uid="{00000000-0005-0000-0000-0000E5080000}"/>
    <cellStyle name="Normal 395" xfId="2284" xr:uid="{00000000-0005-0000-0000-0000E6080000}"/>
    <cellStyle name="Normal 395 2" xfId="2285" xr:uid="{00000000-0005-0000-0000-0000E7080000}"/>
    <cellStyle name="Normal 395 2 2" xfId="2286" xr:uid="{00000000-0005-0000-0000-0000E8080000}"/>
    <cellStyle name="Normal 395 3" xfId="2287" xr:uid="{00000000-0005-0000-0000-0000E9080000}"/>
    <cellStyle name="Normal 396" xfId="2288" xr:uid="{00000000-0005-0000-0000-0000EA080000}"/>
    <cellStyle name="Normal 396 2" xfId="2289" xr:uid="{00000000-0005-0000-0000-0000EB080000}"/>
    <cellStyle name="Normal 396 2 2" xfId="2290" xr:uid="{00000000-0005-0000-0000-0000EC080000}"/>
    <cellStyle name="Normal 396 3" xfId="2291" xr:uid="{00000000-0005-0000-0000-0000ED080000}"/>
    <cellStyle name="Normal 397" xfId="2292" xr:uid="{00000000-0005-0000-0000-0000EE080000}"/>
    <cellStyle name="Normal 397 2" xfId="2293" xr:uid="{00000000-0005-0000-0000-0000EF080000}"/>
    <cellStyle name="Normal 397 2 2" xfId="2294" xr:uid="{00000000-0005-0000-0000-0000F0080000}"/>
    <cellStyle name="Normal 397 3" xfId="2295" xr:uid="{00000000-0005-0000-0000-0000F1080000}"/>
    <cellStyle name="Normal 398" xfId="2296" xr:uid="{00000000-0005-0000-0000-0000F2080000}"/>
    <cellStyle name="Normal 398 2" xfId="2297" xr:uid="{00000000-0005-0000-0000-0000F3080000}"/>
    <cellStyle name="Normal 398 2 2" xfId="2298" xr:uid="{00000000-0005-0000-0000-0000F4080000}"/>
    <cellStyle name="Normal 398 3" xfId="2299" xr:uid="{00000000-0005-0000-0000-0000F5080000}"/>
    <cellStyle name="Normal 399" xfId="2300" xr:uid="{00000000-0005-0000-0000-0000F6080000}"/>
    <cellStyle name="Normal 399 2" xfId="2301" xr:uid="{00000000-0005-0000-0000-0000F7080000}"/>
    <cellStyle name="Normal 4" xfId="2302" xr:uid="{00000000-0005-0000-0000-0000F8080000}"/>
    <cellStyle name="Normal 4 2" xfId="2303" xr:uid="{00000000-0005-0000-0000-0000F9080000}"/>
    <cellStyle name="Normal 4 2 2" xfId="2304" xr:uid="{00000000-0005-0000-0000-0000FA080000}"/>
    <cellStyle name="Normal 4 2 2 2" xfId="2305" xr:uid="{00000000-0005-0000-0000-0000FB080000}"/>
    <cellStyle name="Normal 4 2 2 2 2" xfId="2306" xr:uid="{00000000-0005-0000-0000-0000FC080000}"/>
    <cellStyle name="Normal 4 2 2 3" xfId="2307" xr:uid="{00000000-0005-0000-0000-0000FD080000}"/>
    <cellStyle name="Normal 4 2 3" xfId="2308" xr:uid="{00000000-0005-0000-0000-0000FE080000}"/>
    <cellStyle name="Normal 4 2 3 2" xfId="2309" xr:uid="{00000000-0005-0000-0000-0000FF080000}"/>
    <cellStyle name="Normal 4 2 4" xfId="2310" xr:uid="{00000000-0005-0000-0000-000000090000}"/>
    <cellStyle name="Normal 4 2 5" xfId="2311" xr:uid="{00000000-0005-0000-0000-000001090000}"/>
    <cellStyle name="Normal 4 3" xfId="2312" xr:uid="{00000000-0005-0000-0000-000002090000}"/>
    <cellStyle name="Normal 4 3 2" xfId="2313" xr:uid="{00000000-0005-0000-0000-000003090000}"/>
    <cellStyle name="Normal 4 4" xfId="2314" xr:uid="{00000000-0005-0000-0000-000004090000}"/>
    <cellStyle name="Normal 4 4 2" xfId="2315" xr:uid="{00000000-0005-0000-0000-000005090000}"/>
    <cellStyle name="Normal 4 4 2 2" xfId="2316" xr:uid="{00000000-0005-0000-0000-000006090000}"/>
    <cellStyle name="Normal 4 4 3" xfId="2317" xr:uid="{00000000-0005-0000-0000-000007090000}"/>
    <cellStyle name="Normal 4 5" xfId="2318" xr:uid="{00000000-0005-0000-0000-000008090000}"/>
    <cellStyle name="Normal 4 5 2" xfId="2319" xr:uid="{00000000-0005-0000-0000-000009090000}"/>
    <cellStyle name="Normal 4 6" xfId="2320" xr:uid="{00000000-0005-0000-0000-00000A090000}"/>
    <cellStyle name="Normal 4 7" xfId="2321" xr:uid="{00000000-0005-0000-0000-00000B090000}"/>
    <cellStyle name="Normal 40" xfId="2322" xr:uid="{00000000-0005-0000-0000-00000C090000}"/>
    <cellStyle name="Normal 40 2" xfId="2323" xr:uid="{00000000-0005-0000-0000-00000D090000}"/>
    <cellStyle name="Normal 400" xfId="2324" xr:uid="{00000000-0005-0000-0000-00000E090000}"/>
    <cellStyle name="Normal 400 2" xfId="2325" xr:uid="{00000000-0005-0000-0000-00000F090000}"/>
    <cellStyle name="Normal 401" xfId="2326" xr:uid="{00000000-0005-0000-0000-000010090000}"/>
    <cellStyle name="Normal 401 2" xfId="2327" xr:uid="{00000000-0005-0000-0000-000011090000}"/>
    <cellStyle name="Normal 402" xfId="2328" xr:uid="{00000000-0005-0000-0000-000012090000}"/>
    <cellStyle name="Normal 402 2" xfId="2329" xr:uid="{00000000-0005-0000-0000-000013090000}"/>
    <cellStyle name="Normal 403" xfId="2330" xr:uid="{00000000-0005-0000-0000-000014090000}"/>
    <cellStyle name="Normal 403 2" xfId="2331" xr:uid="{00000000-0005-0000-0000-000015090000}"/>
    <cellStyle name="Normal 404" xfId="2332" xr:uid="{00000000-0005-0000-0000-000016090000}"/>
    <cellStyle name="Normal 404 2" xfId="2333" xr:uid="{00000000-0005-0000-0000-000017090000}"/>
    <cellStyle name="Normal 405" xfId="2334" xr:uid="{00000000-0005-0000-0000-000018090000}"/>
    <cellStyle name="Normal 405 2" xfId="2335" xr:uid="{00000000-0005-0000-0000-000019090000}"/>
    <cellStyle name="Normal 406" xfId="2336" xr:uid="{00000000-0005-0000-0000-00001A090000}"/>
    <cellStyle name="Normal 406 2" xfId="2337" xr:uid="{00000000-0005-0000-0000-00001B090000}"/>
    <cellStyle name="Normal 407" xfId="2338" xr:uid="{00000000-0005-0000-0000-00001C090000}"/>
    <cellStyle name="Normal 407 2" xfId="2339" xr:uid="{00000000-0005-0000-0000-00001D090000}"/>
    <cellStyle name="Normal 407 2 2" xfId="2340" xr:uid="{00000000-0005-0000-0000-00001E090000}"/>
    <cellStyle name="Normal 407 3" xfId="2341" xr:uid="{00000000-0005-0000-0000-00001F090000}"/>
    <cellStyle name="Normal 408" xfId="2342" xr:uid="{00000000-0005-0000-0000-000020090000}"/>
    <cellStyle name="Normal 409" xfId="2343" xr:uid="{00000000-0005-0000-0000-000021090000}"/>
    <cellStyle name="Normal 41" xfId="2344" xr:uid="{00000000-0005-0000-0000-000022090000}"/>
    <cellStyle name="Normal 41 2" xfId="2345" xr:uid="{00000000-0005-0000-0000-000023090000}"/>
    <cellStyle name="Normal 410" xfId="2346" xr:uid="{00000000-0005-0000-0000-000024090000}"/>
    <cellStyle name="Normal 410 2" xfId="2347" xr:uid="{00000000-0005-0000-0000-000025090000}"/>
    <cellStyle name="Normal 410 2 2" xfId="2348" xr:uid="{00000000-0005-0000-0000-000026090000}"/>
    <cellStyle name="Normal 410 3" xfId="2349" xr:uid="{00000000-0005-0000-0000-000027090000}"/>
    <cellStyle name="Normal 411" xfId="2350" xr:uid="{00000000-0005-0000-0000-000028090000}"/>
    <cellStyle name="Normal 411 2" xfId="2351" xr:uid="{00000000-0005-0000-0000-000029090000}"/>
    <cellStyle name="Normal 411 2 2" xfId="2352" xr:uid="{00000000-0005-0000-0000-00002A090000}"/>
    <cellStyle name="Normal 411 3" xfId="2353" xr:uid="{00000000-0005-0000-0000-00002B090000}"/>
    <cellStyle name="Normal 412" xfId="2354" xr:uid="{00000000-0005-0000-0000-00002C090000}"/>
    <cellStyle name="Normal 413" xfId="2355" xr:uid="{00000000-0005-0000-0000-00002D090000}"/>
    <cellStyle name="Normal 413 2" xfId="2356" xr:uid="{00000000-0005-0000-0000-00002E090000}"/>
    <cellStyle name="Normal 414" xfId="2357" xr:uid="{00000000-0005-0000-0000-00002F090000}"/>
    <cellStyle name="Normal 414 2" xfId="2358" xr:uid="{00000000-0005-0000-0000-000030090000}"/>
    <cellStyle name="Normal 415" xfId="2359" xr:uid="{00000000-0005-0000-0000-000031090000}"/>
    <cellStyle name="Normal 416" xfId="2360" xr:uid="{00000000-0005-0000-0000-000032090000}"/>
    <cellStyle name="Normal 417" xfId="2361" xr:uid="{00000000-0005-0000-0000-000033090000}"/>
    <cellStyle name="Normal 418" xfId="2362" xr:uid="{00000000-0005-0000-0000-000034090000}"/>
    <cellStyle name="Normal 419" xfId="2363" xr:uid="{00000000-0005-0000-0000-000035090000}"/>
    <cellStyle name="Normal 419 2" xfId="13" xr:uid="{00000000-0005-0000-0000-000036090000}"/>
    <cellStyle name="Normal 42" xfId="2364" xr:uid="{00000000-0005-0000-0000-000037090000}"/>
    <cellStyle name="Normal 42 2" xfId="2365" xr:uid="{00000000-0005-0000-0000-000038090000}"/>
    <cellStyle name="Normal 420" xfId="2366" xr:uid="{00000000-0005-0000-0000-000039090000}"/>
    <cellStyle name="Normal 420 2" xfId="6" xr:uid="{00000000-0005-0000-0000-00003A090000}"/>
    <cellStyle name="Normal 421" xfId="2367" xr:uid="{00000000-0005-0000-0000-00003B090000}"/>
    <cellStyle name="Normal 421 2" xfId="12" xr:uid="{00000000-0005-0000-0000-00003C090000}"/>
    <cellStyle name="Normal 422" xfId="2368" xr:uid="{00000000-0005-0000-0000-00003D090000}"/>
    <cellStyle name="Normal 423" xfId="2369" xr:uid="{00000000-0005-0000-0000-00003E090000}"/>
    <cellStyle name="Normal 424" xfId="2370" xr:uid="{00000000-0005-0000-0000-00003F090000}"/>
    <cellStyle name="Normal 424 2" xfId="9" xr:uid="{00000000-0005-0000-0000-000040090000}"/>
    <cellStyle name="Normal 425" xfId="2371" xr:uid="{00000000-0005-0000-0000-000041090000}"/>
    <cellStyle name="Normal 426" xfId="2372" xr:uid="{00000000-0005-0000-0000-000042090000}"/>
    <cellStyle name="Normal 426 2" xfId="10" xr:uid="{00000000-0005-0000-0000-000043090000}"/>
    <cellStyle name="Normal 427" xfId="2373" xr:uid="{00000000-0005-0000-0000-000044090000}"/>
    <cellStyle name="Normal 428" xfId="2374" xr:uid="{00000000-0005-0000-0000-000045090000}"/>
    <cellStyle name="Normal 429" xfId="2375" xr:uid="{00000000-0005-0000-0000-000046090000}"/>
    <cellStyle name="Normal 43" xfId="2376" xr:uid="{00000000-0005-0000-0000-000047090000}"/>
    <cellStyle name="Normal 43 2" xfId="2377" xr:uid="{00000000-0005-0000-0000-000048090000}"/>
    <cellStyle name="Normal 430" xfId="2378" xr:uid="{00000000-0005-0000-0000-000049090000}"/>
    <cellStyle name="Normal 431" xfId="2379" xr:uid="{00000000-0005-0000-0000-00004A090000}"/>
    <cellStyle name="Normal 432" xfId="2380" xr:uid="{00000000-0005-0000-0000-00004B090000}"/>
    <cellStyle name="Normal 433" xfId="2381" xr:uid="{00000000-0005-0000-0000-00004C090000}"/>
    <cellStyle name="Normal 434" xfId="2382" xr:uid="{00000000-0005-0000-0000-00004D090000}"/>
    <cellStyle name="Normal 435" xfId="2383" xr:uid="{00000000-0005-0000-0000-00004E090000}"/>
    <cellStyle name="Normal 436" xfId="2384" xr:uid="{00000000-0005-0000-0000-00004F090000}"/>
    <cellStyle name="Normal 437" xfId="2385" xr:uid="{00000000-0005-0000-0000-000050090000}"/>
    <cellStyle name="Normal 438" xfId="2386" xr:uid="{00000000-0005-0000-0000-000051090000}"/>
    <cellStyle name="Normal 439" xfId="2387" xr:uid="{00000000-0005-0000-0000-000052090000}"/>
    <cellStyle name="Normal 44" xfId="2388" xr:uid="{00000000-0005-0000-0000-000053090000}"/>
    <cellStyle name="Normal 44 2" xfId="2389" xr:uid="{00000000-0005-0000-0000-000054090000}"/>
    <cellStyle name="Normal 440" xfId="2390" xr:uid="{00000000-0005-0000-0000-000055090000}"/>
    <cellStyle name="Normal 441" xfId="2391" xr:uid="{00000000-0005-0000-0000-000056090000}"/>
    <cellStyle name="Normal 442" xfId="2392" xr:uid="{00000000-0005-0000-0000-000057090000}"/>
    <cellStyle name="Normal 443" xfId="2393" xr:uid="{00000000-0005-0000-0000-000058090000}"/>
    <cellStyle name="Normal 444" xfId="2394" xr:uid="{00000000-0005-0000-0000-000059090000}"/>
    <cellStyle name="Normal 445" xfId="2395" xr:uid="{00000000-0005-0000-0000-00005A090000}"/>
    <cellStyle name="Normal 446" xfId="2396" xr:uid="{00000000-0005-0000-0000-00005B090000}"/>
    <cellStyle name="Normal 447" xfId="2397" xr:uid="{00000000-0005-0000-0000-00005C090000}"/>
    <cellStyle name="Normal 448" xfId="2398" xr:uid="{00000000-0005-0000-0000-00005D090000}"/>
    <cellStyle name="Normal 449" xfId="2399" xr:uid="{00000000-0005-0000-0000-00005E090000}"/>
    <cellStyle name="Normal 45" xfId="2400" xr:uid="{00000000-0005-0000-0000-00005F090000}"/>
    <cellStyle name="Normal 45 2" xfId="2401" xr:uid="{00000000-0005-0000-0000-000060090000}"/>
    <cellStyle name="Normal 450" xfId="2402" xr:uid="{00000000-0005-0000-0000-000061090000}"/>
    <cellStyle name="Normal 451" xfId="2403" xr:uid="{00000000-0005-0000-0000-000062090000}"/>
    <cellStyle name="Normal 452" xfId="2404" xr:uid="{00000000-0005-0000-0000-000063090000}"/>
    <cellStyle name="Normal 453" xfId="2405" xr:uid="{00000000-0005-0000-0000-000064090000}"/>
    <cellStyle name="Normal 454" xfId="2406" xr:uid="{00000000-0005-0000-0000-000065090000}"/>
    <cellStyle name="Normal 455" xfId="2407" xr:uid="{00000000-0005-0000-0000-000066090000}"/>
    <cellStyle name="Normal 456" xfId="2408" xr:uid="{00000000-0005-0000-0000-000067090000}"/>
    <cellStyle name="Normal 457" xfId="2409" xr:uid="{00000000-0005-0000-0000-000068090000}"/>
    <cellStyle name="Normal 458" xfId="2410" xr:uid="{00000000-0005-0000-0000-000069090000}"/>
    <cellStyle name="Normal 459" xfId="2411" xr:uid="{00000000-0005-0000-0000-00006A090000}"/>
    <cellStyle name="Normal 46" xfId="2412" xr:uid="{00000000-0005-0000-0000-00006B090000}"/>
    <cellStyle name="Normal 46 2" xfId="2413" xr:uid="{00000000-0005-0000-0000-00006C090000}"/>
    <cellStyle name="Normal 460" xfId="2414" xr:uid="{00000000-0005-0000-0000-00006D090000}"/>
    <cellStyle name="Normal 461" xfId="2415" xr:uid="{00000000-0005-0000-0000-00006E090000}"/>
    <cellStyle name="Normal 462" xfId="2416" xr:uid="{00000000-0005-0000-0000-00006F090000}"/>
    <cellStyle name="Normal 463" xfId="2417" xr:uid="{00000000-0005-0000-0000-000070090000}"/>
    <cellStyle name="Normal 464" xfId="2418" xr:uid="{00000000-0005-0000-0000-000071090000}"/>
    <cellStyle name="Normal 465" xfId="2419" xr:uid="{00000000-0005-0000-0000-000072090000}"/>
    <cellStyle name="Normal 466" xfId="2420" xr:uid="{00000000-0005-0000-0000-000073090000}"/>
    <cellStyle name="Normal 467" xfId="2421" xr:uid="{00000000-0005-0000-0000-000074090000}"/>
    <cellStyle name="Normal 468" xfId="2422" xr:uid="{00000000-0005-0000-0000-000075090000}"/>
    <cellStyle name="Normal 469" xfId="2423" xr:uid="{00000000-0005-0000-0000-000076090000}"/>
    <cellStyle name="Normal 47" xfId="2424" xr:uid="{00000000-0005-0000-0000-000077090000}"/>
    <cellStyle name="Normal 47 2" xfId="2425" xr:uid="{00000000-0005-0000-0000-000078090000}"/>
    <cellStyle name="Normal 470" xfId="2426" xr:uid="{00000000-0005-0000-0000-000079090000}"/>
    <cellStyle name="Normal 471" xfId="2427" xr:uid="{00000000-0005-0000-0000-00007A090000}"/>
    <cellStyle name="Normal 472" xfId="2428" xr:uid="{00000000-0005-0000-0000-00007B090000}"/>
    <cellStyle name="Normal 473" xfId="2429" xr:uid="{00000000-0005-0000-0000-00007C090000}"/>
    <cellStyle name="Normal 474" xfId="2430" xr:uid="{00000000-0005-0000-0000-00007D090000}"/>
    <cellStyle name="Normal 475" xfId="2431" xr:uid="{00000000-0005-0000-0000-00007E090000}"/>
    <cellStyle name="Normal 476" xfId="2432" xr:uid="{00000000-0005-0000-0000-00007F090000}"/>
    <cellStyle name="Normal 477" xfId="2433" xr:uid="{00000000-0005-0000-0000-000080090000}"/>
    <cellStyle name="Normal 478" xfId="2434" xr:uid="{00000000-0005-0000-0000-000081090000}"/>
    <cellStyle name="Normal 479" xfId="2435" xr:uid="{00000000-0005-0000-0000-000082090000}"/>
    <cellStyle name="Normal 48" xfId="2436" xr:uid="{00000000-0005-0000-0000-000083090000}"/>
    <cellStyle name="Normal 48 2" xfId="2437" xr:uid="{00000000-0005-0000-0000-000084090000}"/>
    <cellStyle name="Normal 480" xfId="2438" xr:uid="{00000000-0005-0000-0000-000085090000}"/>
    <cellStyle name="Normal 481" xfId="2439" xr:uid="{00000000-0005-0000-0000-000086090000}"/>
    <cellStyle name="Normal 482" xfId="2440" xr:uid="{00000000-0005-0000-0000-000087090000}"/>
    <cellStyle name="Normal 483" xfId="2441" xr:uid="{00000000-0005-0000-0000-000088090000}"/>
    <cellStyle name="Normal 484" xfId="2442" xr:uid="{00000000-0005-0000-0000-000089090000}"/>
    <cellStyle name="Normal 485" xfId="2443" xr:uid="{00000000-0005-0000-0000-00008A090000}"/>
    <cellStyle name="Normal 486" xfId="2444" xr:uid="{00000000-0005-0000-0000-00008B090000}"/>
    <cellStyle name="Normal 487" xfId="2445" xr:uid="{00000000-0005-0000-0000-00008C090000}"/>
    <cellStyle name="Normal 488" xfId="2446" xr:uid="{00000000-0005-0000-0000-00008D090000}"/>
    <cellStyle name="Normal 489" xfId="2447" xr:uid="{00000000-0005-0000-0000-00008E090000}"/>
    <cellStyle name="Normal 49" xfId="2448" xr:uid="{00000000-0005-0000-0000-00008F090000}"/>
    <cellStyle name="Normal 49 2" xfId="2449" xr:uid="{00000000-0005-0000-0000-000090090000}"/>
    <cellStyle name="Normal 490" xfId="2450" xr:uid="{00000000-0005-0000-0000-000091090000}"/>
    <cellStyle name="Normal 491" xfId="2451" xr:uid="{00000000-0005-0000-0000-000092090000}"/>
    <cellStyle name="Normal 492" xfId="2452" xr:uid="{00000000-0005-0000-0000-000093090000}"/>
    <cellStyle name="Normal 493" xfId="2453" xr:uid="{00000000-0005-0000-0000-000094090000}"/>
    <cellStyle name="Normal 494" xfId="2454" xr:uid="{00000000-0005-0000-0000-000095090000}"/>
    <cellStyle name="Normal 495" xfId="2455" xr:uid="{00000000-0005-0000-0000-000096090000}"/>
    <cellStyle name="Normal 496" xfId="2456" xr:uid="{00000000-0005-0000-0000-000097090000}"/>
    <cellStyle name="Normal 497" xfId="2457" xr:uid="{00000000-0005-0000-0000-000098090000}"/>
    <cellStyle name="Normal 498" xfId="2458" xr:uid="{00000000-0005-0000-0000-000099090000}"/>
    <cellStyle name="Normal 499" xfId="2459" xr:uid="{00000000-0005-0000-0000-00009A090000}"/>
    <cellStyle name="Normal 5" xfId="2460" xr:uid="{00000000-0005-0000-0000-00009B090000}"/>
    <cellStyle name="Normal 5 10" xfId="2461" xr:uid="{00000000-0005-0000-0000-00009C090000}"/>
    <cellStyle name="Normal 5 10 2" xfId="2462" xr:uid="{00000000-0005-0000-0000-00009D090000}"/>
    <cellStyle name="Normal 5 11" xfId="2463" xr:uid="{00000000-0005-0000-0000-00009E090000}"/>
    <cellStyle name="Normal 5 11 2" xfId="2464" xr:uid="{00000000-0005-0000-0000-00009F090000}"/>
    <cellStyle name="Normal 5 12" xfId="2465" xr:uid="{00000000-0005-0000-0000-0000A0090000}"/>
    <cellStyle name="Normal 5 12 2" xfId="2466" xr:uid="{00000000-0005-0000-0000-0000A1090000}"/>
    <cellStyle name="Normal 5 13" xfId="2467" xr:uid="{00000000-0005-0000-0000-0000A2090000}"/>
    <cellStyle name="Normal 5 13 2" xfId="2468" xr:uid="{00000000-0005-0000-0000-0000A3090000}"/>
    <cellStyle name="Normal 5 14" xfId="2469" xr:uid="{00000000-0005-0000-0000-0000A4090000}"/>
    <cellStyle name="Normal 5 14 2" xfId="2470" xr:uid="{00000000-0005-0000-0000-0000A5090000}"/>
    <cellStyle name="Normal 5 15" xfId="2471" xr:uid="{00000000-0005-0000-0000-0000A6090000}"/>
    <cellStyle name="Normal 5 15 2" xfId="2472" xr:uid="{00000000-0005-0000-0000-0000A7090000}"/>
    <cellStyle name="Normal 5 16" xfId="2473" xr:uid="{00000000-0005-0000-0000-0000A8090000}"/>
    <cellStyle name="Normal 5 16 2" xfId="2474" xr:uid="{00000000-0005-0000-0000-0000A9090000}"/>
    <cellStyle name="Normal 5 17" xfId="2475" xr:uid="{00000000-0005-0000-0000-0000AA090000}"/>
    <cellStyle name="Normal 5 17 2" xfId="2476" xr:uid="{00000000-0005-0000-0000-0000AB090000}"/>
    <cellStyle name="Normal 5 18" xfId="2477" xr:uid="{00000000-0005-0000-0000-0000AC090000}"/>
    <cellStyle name="Normal 5 18 2" xfId="2478" xr:uid="{00000000-0005-0000-0000-0000AD090000}"/>
    <cellStyle name="Normal 5 19" xfId="2479" xr:uid="{00000000-0005-0000-0000-0000AE090000}"/>
    <cellStyle name="Normal 5 2" xfId="2480" xr:uid="{00000000-0005-0000-0000-0000AF090000}"/>
    <cellStyle name="Normal 5 2 2" xfId="2481" xr:uid="{00000000-0005-0000-0000-0000B0090000}"/>
    <cellStyle name="Normal 5 2 2 2" xfId="2482" xr:uid="{00000000-0005-0000-0000-0000B1090000}"/>
    <cellStyle name="Normal 5 2 2 2 2" xfId="2483" xr:uid="{00000000-0005-0000-0000-0000B2090000}"/>
    <cellStyle name="Normal 5 2 2 3" xfId="2484" xr:uid="{00000000-0005-0000-0000-0000B3090000}"/>
    <cellStyle name="Normal 5 2 2 4" xfId="2485" xr:uid="{00000000-0005-0000-0000-0000B4090000}"/>
    <cellStyle name="Normal 5 2 3" xfId="2486" xr:uid="{00000000-0005-0000-0000-0000B5090000}"/>
    <cellStyle name="Normal 5 2 3 2" xfId="2487" xr:uid="{00000000-0005-0000-0000-0000B6090000}"/>
    <cellStyle name="Normal 5 2 4" xfId="2488" xr:uid="{00000000-0005-0000-0000-0000B7090000}"/>
    <cellStyle name="Normal 5 2 5" xfId="2489" xr:uid="{00000000-0005-0000-0000-0000B8090000}"/>
    <cellStyle name="Normal 5 20" xfId="2490" xr:uid="{00000000-0005-0000-0000-0000B9090000}"/>
    <cellStyle name="Normal 5 3" xfId="2491" xr:uid="{00000000-0005-0000-0000-0000BA090000}"/>
    <cellStyle name="Normal 5 3 2" xfId="2492" xr:uid="{00000000-0005-0000-0000-0000BB090000}"/>
    <cellStyle name="Normal 5 3 2 2" xfId="2493" xr:uid="{00000000-0005-0000-0000-0000BC090000}"/>
    <cellStyle name="Normal 5 3 3" xfId="2494" xr:uid="{00000000-0005-0000-0000-0000BD090000}"/>
    <cellStyle name="Normal 5 4" xfId="2495" xr:uid="{00000000-0005-0000-0000-0000BE090000}"/>
    <cellStyle name="Normal 5 4 2" xfId="2496" xr:uid="{00000000-0005-0000-0000-0000BF090000}"/>
    <cellStyle name="Normal 5 4 2 2" xfId="2497" xr:uid="{00000000-0005-0000-0000-0000C0090000}"/>
    <cellStyle name="Normal 5 4 2 3" xfId="2498" xr:uid="{00000000-0005-0000-0000-0000C1090000}"/>
    <cellStyle name="Normal 5 4 3" xfId="2499" xr:uid="{00000000-0005-0000-0000-0000C2090000}"/>
    <cellStyle name="Normal 5 4 4" xfId="2500" xr:uid="{00000000-0005-0000-0000-0000C3090000}"/>
    <cellStyle name="Normal 5 5" xfId="2501" xr:uid="{00000000-0005-0000-0000-0000C4090000}"/>
    <cellStyle name="Normal 5 5 2" xfId="2502" xr:uid="{00000000-0005-0000-0000-0000C5090000}"/>
    <cellStyle name="Normal 5 5 2 2" xfId="2503" xr:uid="{00000000-0005-0000-0000-0000C6090000}"/>
    <cellStyle name="Normal 5 5 3" xfId="2504" xr:uid="{00000000-0005-0000-0000-0000C7090000}"/>
    <cellStyle name="Normal 5 6" xfId="2505" xr:uid="{00000000-0005-0000-0000-0000C8090000}"/>
    <cellStyle name="Normal 5 6 2" xfId="2506" xr:uid="{00000000-0005-0000-0000-0000C9090000}"/>
    <cellStyle name="Normal 5 6 3" xfId="2507" xr:uid="{00000000-0005-0000-0000-0000CA090000}"/>
    <cellStyle name="Normal 5 7" xfId="2508" xr:uid="{00000000-0005-0000-0000-0000CB090000}"/>
    <cellStyle name="Normal 5 7 2" xfId="2509" xr:uid="{00000000-0005-0000-0000-0000CC090000}"/>
    <cellStyle name="Normal 5 8" xfId="2510" xr:uid="{00000000-0005-0000-0000-0000CD090000}"/>
    <cellStyle name="Normal 5 8 2" xfId="2511" xr:uid="{00000000-0005-0000-0000-0000CE090000}"/>
    <cellStyle name="Normal 5 9" xfId="2512" xr:uid="{00000000-0005-0000-0000-0000CF090000}"/>
    <cellStyle name="Normal 5 9 2" xfId="2513" xr:uid="{00000000-0005-0000-0000-0000D0090000}"/>
    <cellStyle name="Normal 50" xfId="2514" xr:uid="{00000000-0005-0000-0000-0000D1090000}"/>
    <cellStyle name="Normal 50 2" xfId="2515" xr:uid="{00000000-0005-0000-0000-0000D2090000}"/>
    <cellStyle name="Normal 500" xfId="2516" xr:uid="{00000000-0005-0000-0000-0000D3090000}"/>
    <cellStyle name="Normal 501" xfId="2517" xr:uid="{00000000-0005-0000-0000-0000D4090000}"/>
    <cellStyle name="Normal 502" xfId="2518" xr:uid="{00000000-0005-0000-0000-0000D5090000}"/>
    <cellStyle name="Normal 502 2" xfId="2519" xr:uid="{00000000-0005-0000-0000-0000D6090000}"/>
    <cellStyle name="Normal 503" xfId="2520" xr:uid="{00000000-0005-0000-0000-0000D7090000}"/>
    <cellStyle name="Normal 504" xfId="2521" xr:uid="{00000000-0005-0000-0000-0000D8090000}"/>
    <cellStyle name="Normal 51" xfId="2522" xr:uid="{00000000-0005-0000-0000-0000D9090000}"/>
    <cellStyle name="Normal 51 2" xfId="2523" xr:uid="{00000000-0005-0000-0000-0000DA090000}"/>
    <cellStyle name="Normal 512" xfId="3267" xr:uid="{00000000-0005-0000-0000-0000DB090000}"/>
    <cellStyle name="Normal 52" xfId="2524" xr:uid="{00000000-0005-0000-0000-0000DC090000}"/>
    <cellStyle name="Normal 52 2" xfId="2525" xr:uid="{00000000-0005-0000-0000-0000DD090000}"/>
    <cellStyle name="Normal 53" xfId="2526" xr:uid="{00000000-0005-0000-0000-0000DE090000}"/>
    <cellStyle name="Normal 53 2" xfId="2527" xr:uid="{00000000-0005-0000-0000-0000DF090000}"/>
    <cellStyle name="Normal 54" xfId="2528" xr:uid="{00000000-0005-0000-0000-0000E0090000}"/>
    <cellStyle name="Normal 54 2" xfId="2529" xr:uid="{00000000-0005-0000-0000-0000E1090000}"/>
    <cellStyle name="Normal 55" xfId="2530" xr:uid="{00000000-0005-0000-0000-0000E2090000}"/>
    <cellStyle name="Normal 55 2" xfId="2531" xr:uid="{00000000-0005-0000-0000-0000E3090000}"/>
    <cellStyle name="Normal 56" xfId="2532" xr:uid="{00000000-0005-0000-0000-0000E4090000}"/>
    <cellStyle name="Normal 56 2" xfId="2533" xr:uid="{00000000-0005-0000-0000-0000E5090000}"/>
    <cellStyle name="Normal 57" xfId="2534" xr:uid="{00000000-0005-0000-0000-0000E6090000}"/>
    <cellStyle name="Normal 57 2" xfId="2535" xr:uid="{00000000-0005-0000-0000-0000E7090000}"/>
    <cellStyle name="Normal 58" xfId="2536" xr:uid="{00000000-0005-0000-0000-0000E8090000}"/>
    <cellStyle name="Normal 58 2" xfId="2537" xr:uid="{00000000-0005-0000-0000-0000E9090000}"/>
    <cellStyle name="Normal 59" xfId="2538" xr:uid="{00000000-0005-0000-0000-0000EA090000}"/>
    <cellStyle name="Normal 59 2" xfId="2539" xr:uid="{00000000-0005-0000-0000-0000EB090000}"/>
    <cellStyle name="Normal 6" xfId="5" xr:uid="{00000000-0005-0000-0000-0000EC090000}"/>
    <cellStyle name="Normal 6 10" xfId="2540" xr:uid="{00000000-0005-0000-0000-0000ED090000}"/>
    <cellStyle name="Normal 6 10 2" xfId="2541" xr:uid="{00000000-0005-0000-0000-0000EE090000}"/>
    <cellStyle name="Normal 6 11" xfId="2542" xr:uid="{00000000-0005-0000-0000-0000EF090000}"/>
    <cellStyle name="Normal 6 11 2" xfId="2543" xr:uid="{00000000-0005-0000-0000-0000F0090000}"/>
    <cellStyle name="Normal 6 12" xfId="2544" xr:uid="{00000000-0005-0000-0000-0000F1090000}"/>
    <cellStyle name="Normal 6 12 2" xfId="2545" xr:uid="{00000000-0005-0000-0000-0000F2090000}"/>
    <cellStyle name="Normal 6 13" xfId="2546" xr:uid="{00000000-0005-0000-0000-0000F3090000}"/>
    <cellStyle name="Normal 6 13 2" xfId="2547" xr:uid="{00000000-0005-0000-0000-0000F4090000}"/>
    <cellStyle name="Normal 6 14" xfId="2548" xr:uid="{00000000-0005-0000-0000-0000F5090000}"/>
    <cellStyle name="Normal 6 15" xfId="2549" xr:uid="{00000000-0005-0000-0000-0000F6090000}"/>
    <cellStyle name="Normal 6 2" xfId="2550" xr:uid="{00000000-0005-0000-0000-0000F7090000}"/>
    <cellStyle name="Normal 6 2 2" xfId="2551" xr:uid="{00000000-0005-0000-0000-0000F8090000}"/>
    <cellStyle name="Normal 6 2 2 2" xfId="2552" xr:uid="{00000000-0005-0000-0000-0000F9090000}"/>
    <cellStyle name="Normal 6 2 2 2 2" xfId="2553" xr:uid="{00000000-0005-0000-0000-0000FA090000}"/>
    <cellStyle name="Normal 6 2 2 3" xfId="2554" xr:uid="{00000000-0005-0000-0000-0000FB090000}"/>
    <cellStyle name="Normal 6 2 2 4" xfId="2555" xr:uid="{00000000-0005-0000-0000-0000FC090000}"/>
    <cellStyle name="Normal 6 2 3" xfId="2556" xr:uid="{00000000-0005-0000-0000-0000FD090000}"/>
    <cellStyle name="Normal 6 2 3 2" xfId="2557" xr:uid="{00000000-0005-0000-0000-0000FE090000}"/>
    <cellStyle name="Normal 6 2 4" xfId="2558" xr:uid="{00000000-0005-0000-0000-0000FF090000}"/>
    <cellStyle name="Normal 6 3" xfId="2559" xr:uid="{00000000-0005-0000-0000-0000000A0000}"/>
    <cellStyle name="Normal 6 3 2" xfId="2560" xr:uid="{00000000-0005-0000-0000-0000010A0000}"/>
    <cellStyle name="Normal 6 3 2 2" xfId="2561" xr:uid="{00000000-0005-0000-0000-0000020A0000}"/>
    <cellStyle name="Normal 6 3 2 3" xfId="2562" xr:uid="{00000000-0005-0000-0000-0000030A0000}"/>
    <cellStyle name="Normal 6 3 3" xfId="2563" xr:uid="{00000000-0005-0000-0000-0000040A0000}"/>
    <cellStyle name="Normal 6 3 4" xfId="2564" xr:uid="{00000000-0005-0000-0000-0000050A0000}"/>
    <cellStyle name="Normal 6 4" xfId="2565" xr:uid="{00000000-0005-0000-0000-0000060A0000}"/>
    <cellStyle name="Normal 6 4 2" xfId="2566" xr:uid="{00000000-0005-0000-0000-0000070A0000}"/>
    <cellStyle name="Normal 6 4 2 2" xfId="2567" xr:uid="{00000000-0005-0000-0000-0000080A0000}"/>
    <cellStyle name="Normal 6 4 2 3" xfId="2568" xr:uid="{00000000-0005-0000-0000-0000090A0000}"/>
    <cellStyle name="Normal 6 4 3" xfId="2569" xr:uid="{00000000-0005-0000-0000-00000A0A0000}"/>
    <cellStyle name="Normal 6 4 4" xfId="2570" xr:uid="{00000000-0005-0000-0000-00000B0A0000}"/>
    <cellStyle name="Normal 6 5" xfId="2571" xr:uid="{00000000-0005-0000-0000-00000C0A0000}"/>
    <cellStyle name="Normal 6 5 2" xfId="2572" xr:uid="{00000000-0005-0000-0000-00000D0A0000}"/>
    <cellStyle name="Normal 6 5 2 2" xfId="2573" xr:uid="{00000000-0005-0000-0000-00000E0A0000}"/>
    <cellStyle name="Normal 6 5 2 3" xfId="2574" xr:uid="{00000000-0005-0000-0000-00000F0A0000}"/>
    <cellStyle name="Normal 6 5 3" xfId="2575" xr:uid="{00000000-0005-0000-0000-0000100A0000}"/>
    <cellStyle name="Normal 6 5 4" xfId="2576" xr:uid="{00000000-0005-0000-0000-0000110A0000}"/>
    <cellStyle name="Normal 6 6" xfId="2577" xr:uid="{00000000-0005-0000-0000-0000120A0000}"/>
    <cellStyle name="Normal 6 6 2" xfId="2578" xr:uid="{00000000-0005-0000-0000-0000130A0000}"/>
    <cellStyle name="Normal 6 6 2 2" xfId="2579" xr:uid="{00000000-0005-0000-0000-0000140A0000}"/>
    <cellStyle name="Normal 6 6 2 3" xfId="2580" xr:uid="{00000000-0005-0000-0000-0000150A0000}"/>
    <cellStyle name="Normal 6 6 3" xfId="2581" xr:uid="{00000000-0005-0000-0000-0000160A0000}"/>
    <cellStyle name="Normal 6 6 4" xfId="2582" xr:uid="{00000000-0005-0000-0000-0000170A0000}"/>
    <cellStyle name="Normal 6 7" xfId="2583" xr:uid="{00000000-0005-0000-0000-0000180A0000}"/>
    <cellStyle name="Normal 6 7 2" xfId="2584" xr:uid="{00000000-0005-0000-0000-0000190A0000}"/>
    <cellStyle name="Normal 6 7 2 2" xfId="2585" xr:uid="{00000000-0005-0000-0000-00001A0A0000}"/>
    <cellStyle name="Normal 6 7 3" xfId="2586" xr:uid="{00000000-0005-0000-0000-00001B0A0000}"/>
    <cellStyle name="Normal 6 8" xfId="2587" xr:uid="{00000000-0005-0000-0000-00001C0A0000}"/>
    <cellStyle name="Normal 6 8 2" xfId="2588" xr:uid="{00000000-0005-0000-0000-00001D0A0000}"/>
    <cellStyle name="Normal 6 8 3" xfId="2589" xr:uid="{00000000-0005-0000-0000-00001E0A0000}"/>
    <cellStyle name="Normal 6 9" xfId="2590" xr:uid="{00000000-0005-0000-0000-00001F0A0000}"/>
    <cellStyle name="Normal 6 9 2" xfId="2591" xr:uid="{00000000-0005-0000-0000-0000200A0000}"/>
    <cellStyle name="Normal 60" xfId="2592" xr:uid="{00000000-0005-0000-0000-0000210A0000}"/>
    <cellStyle name="Normal 60 2" xfId="2593" xr:uid="{00000000-0005-0000-0000-0000220A0000}"/>
    <cellStyle name="Normal 61" xfId="2594" xr:uid="{00000000-0005-0000-0000-0000230A0000}"/>
    <cellStyle name="Normal 61 2" xfId="2595" xr:uid="{00000000-0005-0000-0000-0000240A0000}"/>
    <cellStyle name="Normal 62" xfId="2596" xr:uid="{00000000-0005-0000-0000-0000250A0000}"/>
    <cellStyle name="Normal 62 2" xfId="2597" xr:uid="{00000000-0005-0000-0000-0000260A0000}"/>
    <cellStyle name="Normal 63" xfId="2598" xr:uid="{00000000-0005-0000-0000-0000270A0000}"/>
    <cellStyle name="Normal 63 2" xfId="2599" xr:uid="{00000000-0005-0000-0000-0000280A0000}"/>
    <cellStyle name="Normal 64" xfId="2600" xr:uid="{00000000-0005-0000-0000-0000290A0000}"/>
    <cellStyle name="Normal 64 2" xfId="2601" xr:uid="{00000000-0005-0000-0000-00002A0A0000}"/>
    <cellStyle name="Normal 65" xfId="2602" xr:uid="{00000000-0005-0000-0000-00002B0A0000}"/>
    <cellStyle name="Normal 65 2" xfId="2603" xr:uid="{00000000-0005-0000-0000-00002C0A0000}"/>
    <cellStyle name="Normal 66" xfId="2604" xr:uid="{00000000-0005-0000-0000-00002D0A0000}"/>
    <cellStyle name="Normal 66 2" xfId="2605" xr:uid="{00000000-0005-0000-0000-00002E0A0000}"/>
    <cellStyle name="Normal 67" xfId="2606" xr:uid="{00000000-0005-0000-0000-00002F0A0000}"/>
    <cellStyle name="Normal 67 2" xfId="2607" xr:uid="{00000000-0005-0000-0000-0000300A0000}"/>
    <cellStyle name="Normal 68" xfId="2608" xr:uid="{00000000-0005-0000-0000-0000310A0000}"/>
    <cellStyle name="Normal 68 2" xfId="2609" xr:uid="{00000000-0005-0000-0000-0000320A0000}"/>
    <cellStyle name="Normal 69" xfId="2610" xr:uid="{00000000-0005-0000-0000-0000330A0000}"/>
    <cellStyle name="Normal 69 2" xfId="2611" xr:uid="{00000000-0005-0000-0000-0000340A0000}"/>
    <cellStyle name="Normal 7" xfId="2612" xr:uid="{00000000-0005-0000-0000-0000350A0000}"/>
    <cellStyle name="Normal 7 2" xfId="2613" xr:uid="{00000000-0005-0000-0000-0000360A0000}"/>
    <cellStyle name="Normal 7 2 2" xfId="2614" xr:uid="{00000000-0005-0000-0000-0000370A0000}"/>
    <cellStyle name="Normal 7 3" xfId="2615" xr:uid="{00000000-0005-0000-0000-0000380A0000}"/>
    <cellStyle name="Normal 7 3 2" xfId="2616" xr:uid="{00000000-0005-0000-0000-0000390A0000}"/>
    <cellStyle name="Normal 7 3 3" xfId="2617" xr:uid="{00000000-0005-0000-0000-00003A0A0000}"/>
    <cellStyle name="Normal 7 4" xfId="2618" xr:uid="{00000000-0005-0000-0000-00003B0A0000}"/>
    <cellStyle name="Normal 7 5" xfId="2619" xr:uid="{00000000-0005-0000-0000-00003C0A0000}"/>
    <cellStyle name="Normal 70" xfId="2620" xr:uid="{00000000-0005-0000-0000-00003D0A0000}"/>
    <cellStyle name="Normal 70 2" xfId="2621" xr:uid="{00000000-0005-0000-0000-00003E0A0000}"/>
    <cellStyle name="Normal 71" xfId="2622" xr:uid="{00000000-0005-0000-0000-00003F0A0000}"/>
    <cellStyle name="Normal 71 2" xfId="2623" xr:uid="{00000000-0005-0000-0000-0000400A0000}"/>
    <cellStyle name="Normal 72" xfId="2624" xr:uid="{00000000-0005-0000-0000-0000410A0000}"/>
    <cellStyle name="Normal 72 2" xfId="2625" xr:uid="{00000000-0005-0000-0000-0000420A0000}"/>
    <cellStyle name="Normal 73" xfId="2626" xr:uid="{00000000-0005-0000-0000-0000430A0000}"/>
    <cellStyle name="Normal 73 2" xfId="2627" xr:uid="{00000000-0005-0000-0000-0000440A0000}"/>
    <cellStyle name="Normal 74" xfId="2628" xr:uid="{00000000-0005-0000-0000-0000450A0000}"/>
    <cellStyle name="Normal 74 2" xfId="2629" xr:uid="{00000000-0005-0000-0000-0000460A0000}"/>
    <cellStyle name="Normal 75" xfId="2630" xr:uid="{00000000-0005-0000-0000-0000470A0000}"/>
    <cellStyle name="Normal 75 2" xfId="2631" xr:uid="{00000000-0005-0000-0000-0000480A0000}"/>
    <cellStyle name="Normal 76" xfId="2632" xr:uid="{00000000-0005-0000-0000-0000490A0000}"/>
    <cellStyle name="Normal 76 2" xfId="2633" xr:uid="{00000000-0005-0000-0000-00004A0A0000}"/>
    <cellStyle name="Normal 77" xfId="2634" xr:uid="{00000000-0005-0000-0000-00004B0A0000}"/>
    <cellStyle name="Normal 77 2" xfId="2635" xr:uid="{00000000-0005-0000-0000-00004C0A0000}"/>
    <cellStyle name="Normal 78" xfId="2636" xr:uid="{00000000-0005-0000-0000-00004D0A0000}"/>
    <cellStyle name="Normal 78 2" xfId="2637" xr:uid="{00000000-0005-0000-0000-00004E0A0000}"/>
    <cellStyle name="Normal 79" xfId="2638" xr:uid="{00000000-0005-0000-0000-00004F0A0000}"/>
    <cellStyle name="Normal 79 2" xfId="2639" xr:uid="{00000000-0005-0000-0000-0000500A0000}"/>
    <cellStyle name="Normal 8" xfId="7" xr:uid="{00000000-0005-0000-0000-0000510A0000}"/>
    <cellStyle name="Normal 8 10" xfId="2640" xr:uid="{00000000-0005-0000-0000-0000520A0000}"/>
    <cellStyle name="Normal 8 10 2" xfId="2641" xr:uid="{00000000-0005-0000-0000-0000530A0000}"/>
    <cellStyle name="Normal 8 11" xfId="2642" xr:uid="{00000000-0005-0000-0000-0000540A0000}"/>
    <cellStyle name="Normal 8 11 2" xfId="2643" xr:uid="{00000000-0005-0000-0000-0000550A0000}"/>
    <cellStyle name="Normal 8 12" xfId="2644" xr:uid="{00000000-0005-0000-0000-0000560A0000}"/>
    <cellStyle name="Normal 8 12 2" xfId="2645" xr:uid="{00000000-0005-0000-0000-0000570A0000}"/>
    <cellStyle name="Normal 8 13" xfId="2646" xr:uid="{00000000-0005-0000-0000-0000580A0000}"/>
    <cellStyle name="Normal 8 13 2" xfId="2647" xr:uid="{00000000-0005-0000-0000-0000590A0000}"/>
    <cellStyle name="Normal 8 14" xfId="2648" xr:uid="{00000000-0005-0000-0000-00005A0A0000}"/>
    <cellStyle name="Normal 8 2" xfId="2649" xr:uid="{00000000-0005-0000-0000-00005B0A0000}"/>
    <cellStyle name="Normal 8 2 2" xfId="2650" xr:uid="{00000000-0005-0000-0000-00005C0A0000}"/>
    <cellStyle name="Normal 8 2 3" xfId="2651" xr:uid="{00000000-0005-0000-0000-00005D0A0000}"/>
    <cellStyle name="Normal 8 3" xfId="2652" xr:uid="{00000000-0005-0000-0000-00005E0A0000}"/>
    <cellStyle name="Normal 8 3 2" xfId="2653" xr:uid="{00000000-0005-0000-0000-00005F0A0000}"/>
    <cellStyle name="Normal 8 4" xfId="2654" xr:uid="{00000000-0005-0000-0000-0000600A0000}"/>
    <cellStyle name="Normal 8 4 2" xfId="2655" xr:uid="{00000000-0005-0000-0000-0000610A0000}"/>
    <cellStyle name="Normal 8 5" xfId="2656" xr:uid="{00000000-0005-0000-0000-0000620A0000}"/>
    <cellStyle name="Normal 8 5 2" xfId="2657" xr:uid="{00000000-0005-0000-0000-0000630A0000}"/>
    <cellStyle name="Normal 8 6" xfId="2658" xr:uid="{00000000-0005-0000-0000-0000640A0000}"/>
    <cellStyle name="Normal 8 6 2" xfId="2659" xr:uid="{00000000-0005-0000-0000-0000650A0000}"/>
    <cellStyle name="Normal 8 7" xfId="2660" xr:uid="{00000000-0005-0000-0000-0000660A0000}"/>
    <cellStyle name="Normal 8 7 2" xfId="2661" xr:uid="{00000000-0005-0000-0000-0000670A0000}"/>
    <cellStyle name="Normal 8 8" xfId="2662" xr:uid="{00000000-0005-0000-0000-0000680A0000}"/>
    <cellStyle name="Normal 8 8 2" xfId="2663" xr:uid="{00000000-0005-0000-0000-0000690A0000}"/>
    <cellStyle name="Normal 8 9" xfId="2664" xr:uid="{00000000-0005-0000-0000-00006A0A0000}"/>
    <cellStyle name="Normal 8 9 2" xfId="2665" xr:uid="{00000000-0005-0000-0000-00006B0A0000}"/>
    <cellStyle name="Normal 80" xfId="2666" xr:uid="{00000000-0005-0000-0000-00006C0A0000}"/>
    <cellStyle name="Normal 80 2" xfId="2667" xr:uid="{00000000-0005-0000-0000-00006D0A0000}"/>
    <cellStyle name="Normal 81" xfId="2668" xr:uid="{00000000-0005-0000-0000-00006E0A0000}"/>
    <cellStyle name="Normal 81 2" xfId="2669" xr:uid="{00000000-0005-0000-0000-00006F0A0000}"/>
    <cellStyle name="Normal 82" xfId="2670" xr:uid="{00000000-0005-0000-0000-0000700A0000}"/>
    <cellStyle name="Normal 82 2" xfId="2671" xr:uid="{00000000-0005-0000-0000-0000710A0000}"/>
    <cellStyle name="Normal 83" xfId="2672" xr:uid="{00000000-0005-0000-0000-0000720A0000}"/>
    <cellStyle name="Normal 83 2" xfId="2673" xr:uid="{00000000-0005-0000-0000-0000730A0000}"/>
    <cellStyle name="Normal 84" xfId="2674" xr:uid="{00000000-0005-0000-0000-0000740A0000}"/>
    <cellStyle name="Normal 84 2" xfId="2675" xr:uid="{00000000-0005-0000-0000-0000750A0000}"/>
    <cellStyle name="Normal 85" xfId="2676" xr:uid="{00000000-0005-0000-0000-0000760A0000}"/>
    <cellStyle name="Normal 85 2" xfId="2677" xr:uid="{00000000-0005-0000-0000-0000770A0000}"/>
    <cellStyle name="Normal 86" xfId="2678" xr:uid="{00000000-0005-0000-0000-0000780A0000}"/>
    <cellStyle name="Normal 86 2" xfId="2679" xr:uid="{00000000-0005-0000-0000-0000790A0000}"/>
    <cellStyle name="Normal 87" xfId="2680" xr:uid="{00000000-0005-0000-0000-00007A0A0000}"/>
    <cellStyle name="Normal 87 2" xfId="2681" xr:uid="{00000000-0005-0000-0000-00007B0A0000}"/>
    <cellStyle name="Normal 88" xfId="2682" xr:uid="{00000000-0005-0000-0000-00007C0A0000}"/>
    <cellStyle name="Normal 88 2" xfId="2683" xr:uid="{00000000-0005-0000-0000-00007D0A0000}"/>
    <cellStyle name="Normal 89" xfId="2684" xr:uid="{00000000-0005-0000-0000-00007E0A0000}"/>
    <cellStyle name="Normal 89 2" xfId="2685" xr:uid="{00000000-0005-0000-0000-00007F0A0000}"/>
    <cellStyle name="Normal 9" xfId="2686" xr:uid="{00000000-0005-0000-0000-0000800A0000}"/>
    <cellStyle name="Normal 9 2" xfId="2687" xr:uid="{00000000-0005-0000-0000-0000810A0000}"/>
    <cellStyle name="Normal 9 2 2" xfId="2688" xr:uid="{00000000-0005-0000-0000-0000820A0000}"/>
    <cellStyle name="Normal 9 3" xfId="2689" xr:uid="{00000000-0005-0000-0000-0000830A0000}"/>
    <cellStyle name="Normal 90" xfId="2690" xr:uid="{00000000-0005-0000-0000-0000840A0000}"/>
    <cellStyle name="Normal 90 2" xfId="2691" xr:uid="{00000000-0005-0000-0000-0000850A0000}"/>
    <cellStyle name="Normal 91" xfId="2692" xr:uid="{00000000-0005-0000-0000-0000860A0000}"/>
    <cellStyle name="Normal 91 2" xfId="2693" xr:uid="{00000000-0005-0000-0000-0000870A0000}"/>
    <cellStyle name="Normal 92" xfId="2694" xr:uid="{00000000-0005-0000-0000-0000880A0000}"/>
    <cellStyle name="Normal 92 2" xfId="2695" xr:uid="{00000000-0005-0000-0000-0000890A0000}"/>
    <cellStyle name="Normal 93" xfId="2696" xr:uid="{00000000-0005-0000-0000-00008A0A0000}"/>
    <cellStyle name="Normal 93 2" xfId="2697" xr:uid="{00000000-0005-0000-0000-00008B0A0000}"/>
    <cellStyle name="Normal 94" xfId="2698" xr:uid="{00000000-0005-0000-0000-00008C0A0000}"/>
    <cellStyle name="Normal 94 2" xfId="2699" xr:uid="{00000000-0005-0000-0000-00008D0A0000}"/>
    <cellStyle name="Normal 95" xfId="2700" xr:uid="{00000000-0005-0000-0000-00008E0A0000}"/>
    <cellStyle name="Normal 95 2" xfId="2701" xr:uid="{00000000-0005-0000-0000-00008F0A0000}"/>
    <cellStyle name="Normal 96" xfId="2702" xr:uid="{00000000-0005-0000-0000-0000900A0000}"/>
    <cellStyle name="Normal 96 2" xfId="2703" xr:uid="{00000000-0005-0000-0000-0000910A0000}"/>
    <cellStyle name="Normal 97" xfId="2704" xr:uid="{00000000-0005-0000-0000-0000920A0000}"/>
    <cellStyle name="Normal 97 2" xfId="2705" xr:uid="{00000000-0005-0000-0000-0000930A0000}"/>
    <cellStyle name="Normal 98" xfId="2706" xr:uid="{00000000-0005-0000-0000-0000940A0000}"/>
    <cellStyle name="Normal 98 2" xfId="2707" xr:uid="{00000000-0005-0000-0000-0000950A0000}"/>
    <cellStyle name="Normal 99" xfId="2708" xr:uid="{00000000-0005-0000-0000-0000960A0000}"/>
    <cellStyle name="Normal 99 2" xfId="2709" xr:uid="{00000000-0005-0000-0000-0000970A0000}"/>
    <cellStyle name="Normal2" xfId="2710" xr:uid="{00000000-0005-0000-0000-0000980A0000}"/>
    <cellStyle name="Note 2" xfId="2711" xr:uid="{00000000-0005-0000-0000-0000990A0000}"/>
    <cellStyle name="Note 2 2" xfId="2712" xr:uid="{00000000-0005-0000-0000-00009A0A0000}"/>
    <cellStyle name="OddBodyShade" xfId="2713" xr:uid="{00000000-0005-0000-0000-00009B0A0000}"/>
    <cellStyle name="Output 2" xfId="2714" xr:uid="{00000000-0005-0000-0000-00009C0A0000}"/>
    <cellStyle name="Overscore" xfId="2715" xr:uid="{00000000-0005-0000-0000-00009D0A0000}"/>
    <cellStyle name="Overunder" xfId="2716" xr:uid="{00000000-0005-0000-0000-00009E0A0000}"/>
    <cellStyle name="P" xfId="2717" xr:uid="{00000000-0005-0000-0000-00009F0A0000}"/>
    <cellStyle name="Page Heading Large" xfId="2718" xr:uid="{00000000-0005-0000-0000-0000A00A0000}"/>
    <cellStyle name="Page Heading Small" xfId="2719" xr:uid="{00000000-0005-0000-0000-0000A10A0000}"/>
    <cellStyle name="peoplesoft" xfId="2720" xr:uid="{00000000-0005-0000-0000-0000A20A0000}"/>
    <cellStyle name="Percent" xfId="3266" builtinId="5"/>
    <cellStyle name="Percent (0)" xfId="2721" xr:uid="{00000000-0005-0000-0000-0000A40A0000}"/>
    <cellStyle name="Percent (2)" xfId="2722" xr:uid="{00000000-0005-0000-0000-0000A50A0000}"/>
    <cellStyle name="Percent [0%]" xfId="2723" xr:uid="{00000000-0005-0000-0000-0000A60A0000}"/>
    <cellStyle name="Percent [0.00%]" xfId="2724" xr:uid="{00000000-0005-0000-0000-0000A70A0000}"/>
    <cellStyle name="Percent [0]" xfId="2725" xr:uid="{00000000-0005-0000-0000-0000A80A0000}"/>
    <cellStyle name="Percent [00]" xfId="2726" xr:uid="{00000000-0005-0000-0000-0000A90A0000}"/>
    <cellStyle name="Percent [2]" xfId="2727" xr:uid="{00000000-0005-0000-0000-0000AA0A0000}"/>
    <cellStyle name="Percent 0%" xfId="2728" xr:uid="{00000000-0005-0000-0000-0000AB0A0000}"/>
    <cellStyle name="Percent 0.0%" xfId="2729" xr:uid="{00000000-0005-0000-0000-0000AC0A0000}"/>
    <cellStyle name="Percent 0.00%" xfId="2730" xr:uid="{00000000-0005-0000-0000-0000AD0A0000}"/>
    <cellStyle name="Percent 10" xfId="2731" xr:uid="{00000000-0005-0000-0000-0000AE0A0000}"/>
    <cellStyle name="Percent 10 2" xfId="2732" xr:uid="{00000000-0005-0000-0000-0000AF0A0000}"/>
    <cellStyle name="Percent 10 3" xfId="2733" xr:uid="{00000000-0005-0000-0000-0000B00A0000}"/>
    <cellStyle name="Percent 100" xfId="2734" xr:uid="{00000000-0005-0000-0000-0000B10A0000}"/>
    <cellStyle name="Percent 101" xfId="2735" xr:uid="{00000000-0005-0000-0000-0000B20A0000}"/>
    <cellStyle name="Percent 102" xfId="2736" xr:uid="{00000000-0005-0000-0000-0000B30A0000}"/>
    <cellStyle name="Percent 103" xfId="2737" xr:uid="{00000000-0005-0000-0000-0000B40A0000}"/>
    <cellStyle name="Percent 104" xfId="2738" xr:uid="{00000000-0005-0000-0000-0000B50A0000}"/>
    <cellStyle name="Percent 105" xfId="2739" xr:uid="{00000000-0005-0000-0000-0000B60A0000}"/>
    <cellStyle name="Percent 106" xfId="2740" xr:uid="{00000000-0005-0000-0000-0000B70A0000}"/>
    <cellStyle name="Percent 107" xfId="2741" xr:uid="{00000000-0005-0000-0000-0000B80A0000}"/>
    <cellStyle name="Percent 108" xfId="2742" xr:uid="{00000000-0005-0000-0000-0000B90A0000}"/>
    <cellStyle name="Percent 109" xfId="2743" xr:uid="{00000000-0005-0000-0000-0000BA0A0000}"/>
    <cellStyle name="Percent 11" xfId="2744" xr:uid="{00000000-0005-0000-0000-0000BB0A0000}"/>
    <cellStyle name="Percent 11 2" xfId="2745" xr:uid="{00000000-0005-0000-0000-0000BC0A0000}"/>
    <cellStyle name="Percent 110" xfId="2746" xr:uid="{00000000-0005-0000-0000-0000BD0A0000}"/>
    <cellStyle name="Percent 111" xfId="2747" xr:uid="{00000000-0005-0000-0000-0000BE0A0000}"/>
    <cellStyle name="Percent 112" xfId="2748" xr:uid="{00000000-0005-0000-0000-0000BF0A0000}"/>
    <cellStyle name="Percent 113" xfId="2749" xr:uid="{00000000-0005-0000-0000-0000C00A0000}"/>
    <cellStyle name="Percent 114" xfId="2750" xr:uid="{00000000-0005-0000-0000-0000C10A0000}"/>
    <cellStyle name="Percent 115" xfId="2751" xr:uid="{00000000-0005-0000-0000-0000C20A0000}"/>
    <cellStyle name="Percent 116" xfId="2752" xr:uid="{00000000-0005-0000-0000-0000C30A0000}"/>
    <cellStyle name="Percent 117" xfId="2753" xr:uid="{00000000-0005-0000-0000-0000C40A0000}"/>
    <cellStyle name="Percent 118" xfId="2754" xr:uid="{00000000-0005-0000-0000-0000C50A0000}"/>
    <cellStyle name="Percent 119" xfId="2755" xr:uid="{00000000-0005-0000-0000-0000C60A0000}"/>
    <cellStyle name="Percent 12" xfId="2756" xr:uid="{00000000-0005-0000-0000-0000C70A0000}"/>
    <cellStyle name="Percent 12 2" xfId="2757" xr:uid="{00000000-0005-0000-0000-0000C80A0000}"/>
    <cellStyle name="Percent 12 3" xfId="2758" xr:uid="{00000000-0005-0000-0000-0000C90A0000}"/>
    <cellStyle name="Percent 120" xfId="2759" xr:uid="{00000000-0005-0000-0000-0000CA0A0000}"/>
    <cellStyle name="Percent 121" xfId="2760" xr:uid="{00000000-0005-0000-0000-0000CB0A0000}"/>
    <cellStyle name="Percent 122" xfId="2761" xr:uid="{00000000-0005-0000-0000-0000CC0A0000}"/>
    <cellStyle name="Percent 123" xfId="2762" xr:uid="{00000000-0005-0000-0000-0000CD0A0000}"/>
    <cellStyle name="Percent 124" xfId="2763" xr:uid="{00000000-0005-0000-0000-0000CE0A0000}"/>
    <cellStyle name="Percent 125" xfId="2764" xr:uid="{00000000-0005-0000-0000-0000CF0A0000}"/>
    <cellStyle name="Percent 126" xfId="2765" xr:uid="{00000000-0005-0000-0000-0000D00A0000}"/>
    <cellStyle name="Percent 127" xfId="2766" xr:uid="{00000000-0005-0000-0000-0000D10A0000}"/>
    <cellStyle name="Percent 128" xfId="2767" xr:uid="{00000000-0005-0000-0000-0000D20A0000}"/>
    <cellStyle name="Percent 129" xfId="2768" xr:uid="{00000000-0005-0000-0000-0000D30A0000}"/>
    <cellStyle name="Percent 13" xfId="2769" xr:uid="{00000000-0005-0000-0000-0000D40A0000}"/>
    <cellStyle name="Percent 13 2" xfId="2770" xr:uid="{00000000-0005-0000-0000-0000D50A0000}"/>
    <cellStyle name="Percent 13 3" xfId="2771" xr:uid="{00000000-0005-0000-0000-0000D60A0000}"/>
    <cellStyle name="Percent 130" xfId="2772" xr:uid="{00000000-0005-0000-0000-0000D70A0000}"/>
    <cellStyle name="Percent 131" xfId="2773" xr:uid="{00000000-0005-0000-0000-0000D80A0000}"/>
    <cellStyle name="Percent 132" xfId="2774" xr:uid="{00000000-0005-0000-0000-0000D90A0000}"/>
    <cellStyle name="Percent 133" xfId="2775" xr:uid="{00000000-0005-0000-0000-0000DA0A0000}"/>
    <cellStyle name="Percent 134" xfId="2776" xr:uid="{00000000-0005-0000-0000-0000DB0A0000}"/>
    <cellStyle name="Percent 135" xfId="2777" xr:uid="{00000000-0005-0000-0000-0000DC0A0000}"/>
    <cellStyle name="Percent 136" xfId="2778" xr:uid="{00000000-0005-0000-0000-0000DD0A0000}"/>
    <cellStyle name="Percent 137" xfId="2779" xr:uid="{00000000-0005-0000-0000-0000DE0A0000}"/>
    <cellStyle name="Percent 138" xfId="2780" xr:uid="{00000000-0005-0000-0000-0000DF0A0000}"/>
    <cellStyle name="Percent 139" xfId="2781" xr:uid="{00000000-0005-0000-0000-0000E00A0000}"/>
    <cellStyle name="Percent 14" xfId="2782" xr:uid="{00000000-0005-0000-0000-0000E10A0000}"/>
    <cellStyle name="Percent 14 2" xfId="2783" xr:uid="{00000000-0005-0000-0000-0000E20A0000}"/>
    <cellStyle name="Percent 14 3" xfId="2784" xr:uid="{00000000-0005-0000-0000-0000E30A0000}"/>
    <cellStyle name="Percent 140" xfId="2785" xr:uid="{00000000-0005-0000-0000-0000E40A0000}"/>
    <cellStyle name="Percent 141" xfId="2786" xr:uid="{00000000-0005-0000-0000-0000E50A0000}"/>
    <cellStyle name="Percent 142" xfId="2787" xr:uid="{00000000-0005-0000-0000-0000E60A0000}"/>
    <cellStyle name="Percent 143" xfId="2788" xr:uid="{00000000-0005-0000-0000-0000E70A0000}"/>
    <cellStyle name="Percent 144" xfId="2789" xr:uid="{00000000-0005-0000-0000-0000E80A0000}"/>
    <cellStyle name="Percent 145" xfId="2790" xr:uid="{00000000-0005-0000-0000-0000E90A0000}"/>
    <cellStyle name="Percent 146" xfId="2791" xr:uid="{00000000-0005-0000-0000-0000EA0A0000}"/>
    <cellStyle name="Percent 147" xfId="2792" xr:uid="{00000000-0005-0000-0000-0000EB0A0000}"/>
    <cellStyle name="Percent 148" xfId="2793" xr:uid="{00000000-0005-0000-0000-0000EC0A0000}"/>
    <cellStyle name="Percent 149" xfId="2794" xr:uid="{00000000-0005-0000-0000-0000ED0A0000}"/>
    <cellStyle name="Percent 15" xfId="2795" xr:uid="{00000000-0005-0000-0000-0000EE0A0000}"/>
    <cellStyle name="Percent 15 2" xfId="2796" xr:uid="{00000000-0005-0000-0000-0000EF0A0000}"/>
    <cellStyle name="Percent 150" xfId="2797" xr:uid="{00000000-0005-0000-0000-0000F00A0000}"/>
    <cellStyle name="Percent 151" xfId="2798" xr:uid="{00000000-0005-0000-0000-0000F10A0000}"/>
    <cellStyle name="Percent 152" xfId="2799" xr:uid="{00000000-0005-0000-0000-0000F20A0000}"/>
    <cellStyle name="Percent 153" xfId="2800" xr:uid="{00000000-0005-0000-0000-0000F30A0000}"/>
    <cellStyle name="Percent 154" xfId="2801" xr:uid="{00000000-0005-0000-0000-0000F40A0000}"/>
    <cellStyle name="Percent 155" xfId="2802" xr:uid="{00000000-0005-0000-0000-0000F50A0000}"/>
    <cellStyle name="Percent 156" xfId="2803" xr:uid="{00000000-0005-0000-0000-0000F60A0000}"/>
    <cellStyle name="Percent 157" xfId="2804" xr:uid="{00000000-0005-0000-0000-0000F70A0000}"/>
    <cellStyle name="Percent 158" xfId="2805" xr:uid="{00000000-0005-0000-0000-0000F80A0000}"/>
    <cellStyle name="Percent 159" xfId="2806" xr:uid="{00000000-0005-0000-0000-0000F90A0000}"/>
    <cellStyle name="Percent 16" xfId="2807" xr:uid="{00000000-0005-0000-0000-0000FA0A0000}"/>
    <cellStyle name="Percent 160" xfId="2808" xr:uid="{00000000-0005-0000-0000-0000FB0A0000}"/>
    <cellStyle name="Percent 161" xfId="2809" xr:uid="{00000000-0005-0000-0000-0000FC0A0000}"/>
    <cellStyle name="Percent 162" xfId="2810" xr:uid="{00000000-0005-0000-0000-0000FD0A0000}"/>
    <cellStyle name="Percent 163" xfId="2811" xr:uid="{00000000-0005-0000-0000-0000FE0A0000}"/>
    <cellStyle name="Percent 164" xfId="2812" xr:uid="{00000000-0005-0000-0000-0000FF0A0000}"/>
    <cellStyle name="Percent 165" xfId="2813" xr:uid="{00000000-0005-0000-0000-0000000B0000}"/>
    <cellStyle name="Percent 166" xfId="2814" xr:uid="{00000000-0005-0000-0000-0000010B0000}"/>
    <cellStyle name="Percent 167" xfId="2815" xr:uid="{00000000-0005-0000-0000-0000020B0000}"/>
    <cellStyle name="Percent 168" xfId="2816" xr:uid="{00000000-0005-0000-0000-0000030B0000}"/>
    <cellStyle name="Percent 169" xfId="2817" xr:uid="{00000000-0005-0000-0000-0000040B0000}"/>
    <cellStyle name="Percent 17" xfId="2818" xr:uid="{00000000-0005-0000-0000-0000050B0000}"/>
    <cellStyle name="Percent 170" xfId="2819" xr:uid="{00000000-0005-0000-0000-0000060B0000}"/>
    <cellStyle name="Percent 171" xfId="2820" xr:uid="{00000000-0005-0000-0000-0000070B0000}"/>
    <cellStyle name="Percent 172" xfId="2821" xr:uid="{00000000-0005-0000-0000-0000080B0000}"/>
    <cellStyle name="Percent 173" xfId="2822" xr:uid="{00000000-0005-0000-0000-0000090B0000}"/>
    <cellStyle name="Percent 174" xfId="2823" xr:uid="{00000000-0005-0000-0000-00000A0B0000}"/>
    <cellStyle name="Percent 175" xfId="2824" xr:uid="{00000000-0005-0000-0000-00000B0B0000}"/>
    <cellStyle name="Percent 176" xfId="2825" xr:uid="{00000000-0005-0000-0000-00000C0B0000}"/>
    <cellStyle name="Percent 177" xfId="2826" xr:uid="{00000000-0005-0000-0000-00000D0B0000}"/>
    <cellStyle name="Percent 178" xfId="2827" xr:uid="{00000000-0005-0000-0000-00000E0B0000}"/>
    <cellStyle name="Percent 179" xfId="2828" xr:uid="{00000000-0005-0000-0000-00000F0B0000}"/>
    <cellStyle name="Percent 18" xfId="2829" xr:uid="{00000000-0005-0000-0000-0000100B0000}"/>
    <cellStyle name="Percent 180" xfId="2830" xr:uid="{00000000-0005-0000-0000-0000110B0000}"/>
    <cellStyle name="Percent 181" xfId="2831" xr:uid="{00000000-0005-0000-0000-0000120B0000}"/>
    <cellStyle name="Percent 182" xfId="2832" xr:uid="{00000000-0005-0000-0000-0000130B0000}"/>
    <cellStyle name="Percent 183" xfId="2833" xr:uid="{00000000-0005-0000-0000-0000140B0000}"/>
    <cellStyle name="Percent 184" xfId="2834" xr:uid="{00000000-0005-0000-0000-0000150B0000}"/>
    <cellStyle name="Percent 185" xfId="2835" xr:uid="{00000000-0005-0000-0000-0000160B0000}"/>
    <cellStyle name="Percent 186" xfId="2836" xr:uid="{00000000-0005-0000-0000-0000170B0000}"/>
    <cellStyle name="Percent 187" xfId="2837" xr:uid="{00000000-0005-0000-0000-0000180B0000}"/>
    <cellStyle name="Percent 188" xfId="2838" xr:uid="{00000000-0005-0000-0000-0000190B0000}"/>
    <cellStyle name="Percent 189" xfId="2839" xr:uid="{00000000-0005-0000-0000-00001A0B0000}"/>
    <cellStyle name="Percent 19" xfId="2840" xr:uid="{00000000-0005-0000-0000-00001B0B0000}"/>
    <cellStyle name="Percent 190" xfId="2841" xr:uid="{00000000-0005-0000-0000-00001C0B0000}"/>
    <cellStyle name="Percent 191" xfId="2842" xr:uid="{00000000-0005-0000-0000-00001D0B0000}"/>
    <cellStyle name="Percent 192" xfId="2843" xr:uid="{00000000-0005-0000-0000-00001E0B0000}"/>
    <cellStyle name="Percent 193" xfId="2844" xr:uid="{00000000-0005-0000-0000-00001F0B0000}"/>
    <cellStyle name="Percent 194" xfId="2845" xr:uid="{00000000-0005-0000-0000-0000200B0000}"/>
    <cellStyle name="Percent 195" xfId="2846" xr:uid="{00000000-0005-0000-0000-0000210B0000}"/>
    <cellStyle name="Percent 196" xfId="2847" xr:uid="{00000000-0005-0000-0000-0000220B0000}"/>
    <cellStyle name="Percent 197" xfId="2848" xr:uid="{00000000-0005-0000-0000-0000230B0000}"/>
    <cellStyle name="Percent 198" xfId="2849" xr:uid="{00000000-0005-0000-0000-0000240B0000}"/>
    <cellStyle name="Percent 199" xfId="2850" xr:uid="{00000000-0005-0000-0000-0000250B0000}"/>
    <cellStyle name="Percent 2" xfId="2" xr:uid="{00000000-0005-0000-0000-0000260B0000}"/>
    <cellStyle name="Percent 2 10" xfId="2851" xr:uid="{00000000-0005-0000-0000-0000270B0000}"/>
    <cellStyle name="Percent 2 10 2" xfId="2852" xr:uid="{00000000-0005-0000-0000-0000280B0000}"/>
    <cellStyle name="Percent 2 11" xfId="2853" xr:uid="{00000000-0005-0000-0000-0000290B0000}"/>
    <cellStyle name="Percent 2 11 2" xfId="2854" xr:uid="{00000000-0005-0000-0000-00002A0B0000}"/>
    <cellStyle name="Percent 2 12" xfId="2855" xr:uid="{00000000-0005-0000-0000-00002B0B0000}"/>
    <cellStyle name="Percent 2 12 2" xfId="2856" xr:uid="{00000000-0005-0000-0000-00002C0B0000}"/>
    <cellStyle name="Percent 2 13" xfId="2857" xr:uid="{00000000-0005-0000-0000-00002D0B0000}"/>
    <cellStyle name="Percent 2 13 2" xfId="2858" xr:uid="{00000000-0005-0000-0000-00002E0B0000}"/>
    <cellStyle name="Percent 2 14" xfId="2859" xr:uid="{00000000-0005-0000-0000-00002F0B0000}"/>
    <cellStyle name="Percent 2 14 2" xfId="2860" xr:uid="{00000000-0005-0000-0000-0000300B0000}"/>
    <cellStyle name="Percent 2 15" xfId="2861" xr:uid="{00000000-0005-0000-0000-0000310B0000}"/>
    <cellStyle name="Percent 2 15 2" xfId="2862" xr:uid="{00000000-0005-0000-0000-0000320B0000}"/>
    <cellStyle name="Percent 2 16" xfId="2863" xr:uid="{00000000-0005-0000-0000-0000330B0000}"/>
    <cellStyle name="Percent 2 16 2" xfId="2864" xr:uid="{00000000-0005-0000-0000-0000340B0000}"/>
    <cellStyle name="Percent 2 17" xfId="2865" xr:uid="{00000000-0005-0000-0000-0000350B0000}"/>
    <cellStyle name="Percent 2 17 2" xfId="2866" xr:uid="{00000000-0005-0000-0000-0000360B0000}"/>
    <cellStyle name="Percent 2 18" xfId="2867" xr:uid="{00000000-0005-0000-0000-0000370B0000}"/>
    <cellStyle name="Percent 2 18 2" xfId="2868" xr:uid="{00000000-0005-0000-0000-0000380B0000}"/>
    <cellStyle name="Percent 2 19" xfId="2869" xr:uid="{00000000-0005-0000-0000-0000390B0000}"/>
    <cellStyle name="Percent 2 19 2" xfId="2870" xr:uid="{00000000-0005-0000-0000-00003A0B0000}"/>
    <cellStyle name="Percent 2 2" xfId="2871" xr:uid="{00000000-0005-0000-0000-00003B0B0000}"/>
    <cellStyle name="Percent 2 2 2" xfId="2872" xr:uid="{00000000-0005-0000-0000-00003C0B0000}"/>
    <cellStyle name="Percent 2 20" xfId="2873" xr:uid="{00000000-0005-0000-0000-00003D0B0000}"/>
    <cellStyle name="Percent 2 20 2" xfId="2874" xr:uid="{00000000-0005-0000-0000-00003E0B0000}"/>
    <cellStyle name="Percent 2 21" xfId="2875" xr:uid="{00000000-0005-0000-0000-00003F0B0000}"/>
    <cellStyle name="Percent 2 22" xfId="2876" xr:uid="{00000000-0005-0000-0000-0000400B0000}"/>
    <cellStyle name="Percent 2 23" xfId="2877" xr:uid="{00000000-0005-0000-0000-0000410B0000}"/>
    <cellStyle name="Percent 2 24" xfId="2878" xr:uid="{00000000-0005-0000-0000-0000420B0000}"/>
    <cellStyle name="Percent 2 25" xfId="2879" xr:uid="{00000000-0005-0000-0000-0000430B0000}"/>
    <cellStyle name="Percent 2 26" xfId="2880" xr:uid="{00000000-0005-0000-0000-0000440B0000}"/>
    <cellStyle name="Percent 2 27" xfId="2881" xr:uid="{00000000-0005-0000-0000-0000450B0000}"/>
    <cellStyle name="Percent 2 28" xfId="2882" xr:uid="{00000000-0005-0000-0000-0000460B0000}"/>
    <cellStyle name="Percent 2 29" xfId="2883" xr:uid="{00000000-0005-0000-0000-0000470B0000}"/>
    <cellStyle name="Percent 2 3" xfId="2884" xr:uid="{00000000-0005-0000-0000-0000480B0000}"/>
    <cellStyle name="Percent 2 3 2" xfId="2885" xr:uid="{00000000-0005-0000-0000-0000490B0000}"/>
    <cellStyle name="Percent 2 3 3" xfId="2886" xr:uid="{00000000-0005-0000-0000-00004A0B0000}"/>
    <cellStyle name="Percent 2 4" xfId="2887" xr:uid="{00000000-0005-0000-0000-00004B0B0000}"/>
    <cellStyle name="Percent 2 4 2" xfId="2888" xr:uid="{00000000-0005-0000-0000-00004C0B0000}"/>
    <cellStyle name="Percent 2 5" xfId="2889" xr:uid="{00000000-0005-0000-0000-00004D0B0000}"/>
    <cellStyle name="Percent 2 5 2" xfId="2890" xr:uid="{00000000-0005-0000-0000-00004E0B0000}"/>
    <cellStyle name="Percent 2 6" xfId="2891" xr:uid="{00000000-0005-0000-0000-00004F0B0000}"/>
    <cellStyle name="Percent 2 6 2" xfId="2892" xr:uid="{00000000-0005-0000-0000-0000500B0000}"/>
    <cellStyle name="Percent 2 7" xfId="2893" xr:uid="{00000000-0005-0000-0000-0000510B0000}"/>
    <cellStyle name="Percent 2 7 2" xfId="2894" xr:uid="{00000000-0005-0000-0000-0000520B0000}"/>
    <cellStyle name="Percent 2 8" xfId="2895" xr:uid="{00000000-0005-0000-0000-0000530B0000}"/>
    <cellStyle name="Percent 2 8 2" xfId="2896" xr:uid="{00000000-0005-0000-0000-0000540B0000}"/>
    <cellStyle name="Percent 2 9" xfId="2897" xr:uid="{00000000-0005-0000-0000-0000550B0000}"/>
    <cellStyle name="Percent 2 9 2" xfId="2898" xr:uid="{00000000-0005-0000-0000-0000560B0000}"/>
    <cellStyle name="Percent 20" xfId="2899" xr:uid="{00000000-0005-0000-0000-0000570B0000}"/>
    <cellStyle name="Percent 200" xfId="2900" xr:uid="{00000000-0005-0000-0000-0000580B0000}"/>
    <cellStyle name="Percent 201" xfId="2901" xr:uid="{00000000-0005-0000-0000-0000590B0000}"/>
    <cellStyle name="Percent 202" xfId="2902" xr:uid="{00000000-0005-0000-0000-00005A0B0000}"/>
    <cellStyle name="Percent 203" xfId="2903" xr:uid="{00000000-0005-0000-0000-00005B0B0000}"/>
    <cellStyle name="Percent 204" xfId="2904" xr:uid="{00000000-0005-0000-0000-00005C0B0000}"/>
    <cellStyle name="Percent 205" xfId="2905" xr:uid="{00000000-0005-0000-0000-00005D0B0000}"/>
    <cellStyle name="Percent 206" xfId="2906" xr:uid="{00000000-0005-0000-0000-00005E0B0000}"/>
    <cellStyle name="Percent 207" xfId="2907" xr:uid="{00000000-0005-0000-0000-00005F0B0000}"/>
    <cellStyle name="Percent 208" xfId="2908" xr:uid="{00000000-0005-0000-0000-0000600B0000}"/>
    <cellStyle name="Percent 209" xfId="2909" xr:uid="{00000000-0005-0000-0000-0000610B0000}"/>
    <cellStyle name="Percent 21" xfId="2910" xr:uid="{00000000-0005-0000-0000-0000620B0000}"/>
    <cellStyle name="Percent 210" xfId="2911" xr:uid="{00000000-0005-0000-0000-0000630B0000}"/>
    <cellStyle name="Percent 211" xfId="2912" xr:uid="{00000000-0005-0000-0000-0000640B0000}"/>
    <cellStyle name="Percent 212" xfId="2913" xr:uid="{00000000-0005-0000-0000-0000650B0000}"/>
    <cellStyle name="Percent 213" xfId="2914" xr:uid="{00000000-0005-0000-0000-0000660B0000}"/>
    <cellStyle name="Percent 214" xfId="2915" xr:uid="{00000000-0005-0000-0000-0000670B0000}"/>
    <cellStyle name="Percent 215" xfId="2916" xr:uid="{00000000-0005-0000-0000-0000680B0000}"/>
    <cellStyle name="Percent 216" xfId="2917" xr:uid="{00000000-0005-0000-0000-0000690B0000}"/>
    <cellStyle name="Percent 217" xfId="2918" xr:uid="{00000000-0005-0000-0000-00006A0B0000}"/>
    <cellStyle name="Percent 218" xfId="2919" xr:uid="{00000000-0005-0000-0000-00006B0B0000}"/>
    <cellStyle name="Percent 219" xfId="2920" xr:uid="{00000000-0005-0000-0000-00006C0B0000}"/>
    <cellStyle name="Percent 22" xfId="2921" xr:uid="{00000000-0005-0000-0000-00006D0B0000}"/>
    <cellStyle name="Percent 220" xfId="2922" xr:uid="{00000000-0005-0000-0000-00006E0B0000}"/>
    <cellStyle name="Percent 221" xfId="2923" xr:uid="{00000000-0005-0000-0000-00006F0B0000}"/>
    <cellStyle name="Percent 222" xfId="2924" xr:uid="{00000000-0005-0000-0000-0000700B0000}"/>
    <cellStyle name="Percent 223" xfId="2925" xr:uid="{00000000-0005-0000-0000-0000710B0000}"/>
    <cellStyle name="Percent 224" xfId="2926" xr:uid="{00000000-0005-0000-0000-0000720B0000}"/>
    <cellStyle name="Percent 225" xfId="2927" xr:uid="{00000000-0005-0000-0000-0000730B0000}"/>
    <cellStyle name="Percent 226" xfId="2928" xr:uid="{00000000-0005-0000-0000-0000740B0000}"/>
    <cellStyle name="Percent 227" xfId="2929" xr:uid="{00000000-0005-0000-0000-0000750B0000}"/>
    <cellStyle name="Percent 228" xfId="2930" xr:uid="{00000000-0005-0000-0000-0000760B0000}"/>
    <cellStyle name="Percent 229" xfId="2931" xr:uid="{00000000-0005-0000-0000-0000770B0000}"/>
    <cellStyle name="Percent 23" xfId="2932" xr:uid="{00000000-0005-0000-0000-0000780B0000}"/>
    <cellStyle name="Percent 230" xfId="2933" xr:uid="{00000000-0005-0000-0000-0000790B0000}"/>
    <cellStyle name="Percent 231" xfId="2934" xr:uid="{00000000-0005-0000-0000-00007A0B0000}"/>
    <cellStyle name="Percent 232" xfId="2935" xr:uid="{00000000-0005-0000-0000-00007B0B0000}"/>
    <cellStyle name="Percent 233" xfId="2936" xr:uid="{00000000-0005-0000-0000-00007C0B0000}"/>
    <cellStyle name="Percent 234" xfId="2937" xr:uid="{00000000-0005-0000-0000-00007D0B0000}"/>
    <cellStyle name="Percent 235" xfId="2938" xr:uid="{00000000-0005-0000-0000-00007E0B0000}"/>
    <cellStyle name="Percent 236" xfId="2939" xr:uid="{00000000-0005-0000-0000-00007F0B0000}"/>
    <cellStyle name="Percent 237" xfId="2940" xr:uid="{00000000-0005-0000-0000-0000800B0000}"/>
    <cellStyle name="Percent 238" xfId="2941" xr:uid="{00000000-0005-0000-0000-0000810B0000}"/>
    <cellStyle name="Percent 239" xfId="2942" xr:uid="{00000000-0005-0000-0000-0000820B0000}"/>
    <cellStyle name="Percent 24" xfId="2943" xr:uid="{00000000-0005-0000-0000-0000830B0000}"/>
    <cellStyle name="Percent 240" xfId="2944" xr:uid="{00000000-0005-0000-0000-0000840B0000}"/>
    <cellStyle name="Percent 241" xfId="2945" xr:uid="{00000000-0005-0000-0000-0000850B0000}"/>
    <cellStyle name="Percent 242" xfId="2946" xr:uid="{00000000-0005-0000-0000-0000860B0000}"/>
    <cellStyle name="Percent 243" xfId="2947" xr:uid="{00000000-0005-0000-0000-0000870B0000}"/>
    <cellStyle name="Percent 244" xfId="2948" xr:uid="{00000000-0005-0000-0000-0000880B0000}"/>
    <cellStyle name="Percent 245" xfId="2949" xr:uid="{00000000-0005-0000-0000-0000890B0000}"/>
    <cellStyle name="Percent 246" xfId="2950" xr:uid="{00000000-0005-0000-0000-00008A0B0000}"/>
    <cellStyle name="Percent 247" xfId="2951" xr:uid="{00000000-0005-0000-0000-00008B0B0000}"/>
    <cellStyle name="Percent 248" xfId="2952" xr:uid="{00000000-0005-0000-0000-00008C0B0000}"/>
    <cellStyle name="Percent 249" xfId="2953" xr:uid="{00000000-0005-0000-0000-00008D0B0000}"/>
    <cellStyle name="Percent 25" xfId="2954" xr:uid="{00000000-0005-0000-0000-00008E0B0000}"/>
    <cellStyle name="Percent 250" xfId="2955" xr:uid="{00000000-0005-0000-0000-00008F0B0000}"/>
    <cellStyle name="Percent 251" xfId="2956" xr:uid="{00000000-0005-0000-0000-0000900B0000}"/>
    <cellStyle name="Percent 252" xfId="2957" xr:uid="{00000000-0005-0000-0000-0000910B0000}"/>
    <cellStyle name="Percent 252 2" xfId="2958" xr:uid="{00000000-0005-0000-0000-0000920B0000}"/>
    <cellStyle name="Percent 252 2 2" xfId="2959" xr:uid="{00000000-0005-0000-0000-0000930B0000}"/>
    <cellStyle name="Percent 252 3" xfId="2960" xr:uid="{00000000-0005-0000-0000-0000940B0000}"/>
    <cellStyle name="Percent 253" xfId="2961" xr:uid="{00000000-0005-0000-0000-0000950B0000}"/>
    <cellStyle name="Percent 254" xfId="2962" xr:uid="{00000000-0005-0000-0000-0000960B0000}"/>
    <cellStyle name="Percent 255" xfId="2963" xr:uid="{00000000-0005-0000-0000-0000970B0000}"/>
    <cellStyle name="Percent 256" xfId="2964" xr:uid="{00000000-0005-0000-0000-0000980B0000}"/>
    <cellStyle name="Percent 257" xfId="2965" xr:uid="{00000000-0005-0000-0000-0000990B0000}"/>
    <cellStyle name="Percent 258" xfId="2966" xr:uid="{00000000-0005-0000-0000-00009A0B0000}"/>
    <cellStyle name="Percent 259" xfId="2967" xr:uid="{00000000-0005-0000-0000-00009B0B0000}"/>
    <cellStyle name="Percent 26" xfId="2968" xr:uid="{00000000-0005-0000-0000-00009C0B0000}"/>
    <cellStyle name="Percent 260" xfId="2969" xr:uid="{00000000-0005-0000-0000-00009D0B0000}"/>
    <cellStyle name="Percent 261" xfId="2970" xr:uid="{00000000-0005-0000-0000-00009E0B0000}"/>
    <cellStyle name="Percent 262" xfId="2971" xr:uid="{00000000-0005-0000-0000-00009F0B0000}"/>
    <cellStyle name="Percent 263" xfId="2972" xr:uid="{00000000-0005-0000-0000-0000A00B0000}"/>
    <cellStyle name="Percent 264" xfId="2973" xr:uid="{00000000-0005-0000-0000-0000A10B0000}"/>
    <cellStyle name="Percent 265" xfId="2974" xr:uid="{00000000-0005-0000-0000-0000A20B0000}"/>
    <cellStyle name="Percent 266" xfId="2975" xr:uid="{00000000-0005-0000-0000-0000A30B0000}"/>
    <cellStyle name="Percent 267" xfId="2976" xr:uid="{00000000-0005-0000-0000-0000A40B0000}"/>
    <cellStyle name="Percent 268" xfId="2977" xr:uid="{00000000-0005-0000-0000-0000A50B0000}"/>
    <cellStyle name="Percent 269" xfId="2978" xr:uid="{00000000-0005-0000-0000-0000A60B0000}"/>
    <cellStyle name="Percent 27" xfId="2979" xr:uid="{00000000-0005-0000-0000-0000A70B0000}"/>
    <cellStyle name="Percent 270" xfId="2980" xr:uid="{00000000-0005-0000-0000-0000A80B0000}"/>
    <cellStyle name="Percent 271" xfId="2981" xr:uid="{00000000-0005-0000-0000-0000A90B0000}"/>
    <cellStyle name="Percent 272" xfId="2982" xr:uid="{00000000-0005-0000-0000-0000AA0B0000}"/>
    <cellStyle name="Percent 273" xfId="2983" xr:uid="{00000000-0005-0000-0000-0000AB0B0000}"/>
    <cellStyle name="Percent 274" xfId="2984" xr:uid="{00000000-0005-0000-0000-0000AC0B0000}"/>
    <cellStyle name="Percent 275" xfId="2985" xr:uid="{00000000-0005-0000-0000-0000AD0B0000}"/>
    <cellStyle name="Percent 276" xfId="2986" xr:uid="{00000000-0005-0000-0000-0000AE0B0000}"/>
    <cellStyle name="Percent 277" xfId="2987" xr:uid="{00000000-0005-0000-0000-0000AF0B0000}"/>
    <cellStyle name="Percent 278" xfId="2988" xr:uid="{00000000-0005-0000-0000-0000B00B0000}"/>
    <cellStyle name="Percent 279" xfId="2989" xr:uid="{00000000-0005-0000-0000-0000B10B0000}"/>
    <cellStyle name="Percent 28" xfId="2990" xr:uid="{00000000-0005-0000-0000-0000B20B0000}"/>
    <cellStyle name="Percent 280" xfId="2991" xr:uid="{00000000-0005-0000-0000-0000B30B0000}"/>
    <cellStyle name="Percent 281" xfId="2992" xr:uid="{00000000-0005-0000-0000-0000B40B0000}"/>
    <cellStyle name="Percent 282" xfId="2993" xr:uid="{00000000-0005-0000-0000-0000B50B0000}"/>
    <cellStyle name="Percent 283" xfId="2994" xr:uid="{00000000-0005-0000-0000-0000B60B0000}"/>
    <cellStyle name="Percent 284" xfId="2995" xr:uid="{00000000-0005-0000-0000-0000B70B0000}"/>
    <cellStyle name="Percent 285" xfId="2996" xr:uid="{00000000-0005-0000-0000-0000B80B0000}"/>
    <cellStyle name="Percent 286" xfId="2997" xr:uid="{00000000-0005-0000-0000-0000B90B0000}"/>
    <cellStyle name="Percent 287" xfId="2998" xr:uid="{00000000-0005-0000-0000-0000BA0B0000}"/>
    <cellStyle name="Percent 288" xfId="2999" xr:uid="{00000000-0005-0000-0000-0000BB0B0000}"/>
    <cellStyle name="Percent 289" xfId="3000" xr:uid="{00000000-0005-0000-0000-0000BC0B0000}"/>
    <cellStyle name="Percent 29" xfId="3001" xr:uid="{00000000-0005-0000-0000-0000BD0B0000}"/>
    <cellStyle name="Percent 290" xfId="3002" xr:uid="{00000000-0005-0000-0000-0000BE0B0000}"/>
    <cellStyle name="Percent 290 2" xfId="3003" xr:uid="{00000000-0005-0000-0000-0000BF0B0000}"/>
    <cellStyle name="Percent 290 2 2" xfId="3004" xr:uid="{00000000-0005-0000-0000-0000C00B0000}"/>
    <cellStyle name="Percent 290 3" xfId="3005" xr:uid="{00000000-0005-0000-0000-0000C10B0000}"/>
    <cellStyle name="Percent 291" xfId="3006" xr:uid="{00000000-0005-0000-0000-0000C20B0000}"/>
    <cellStyle name="Percent 292" xfId="3007" xr:uid="{00000000-0005-0000-0000-0000C30B0000}"/>
    <cellStyle name="Percent 293" xfId="3008" xr:uid="{00000000-0005-0000-0000-0000C40B0000}"/>
    <cellStyle name="Percent 294" xfId="3009" xr:uid="{00000000-0005-0000-0000-0000C50B0000}"/>
    <cellStyle name="Percent 295" xfId="3010" xr:uid="{00000000-0005-0000-0000-0000C60B0000}"/>
    <cellStyle name="Percent 295 2" xfId="3011" xr:uid="{00000000-0005-0000-0000-0000C70B0000}"/>
    <cellStyle name="Percent 295 2 2" xfId="3012" xr:uid="{00000000-0005-0000-0000-0000C80B0000}"/>
    <cellStyle name="Percent 295 3" xfId="3013" xr:uid="{00000000-0005-0000-0000-0000C90B0000}"/>
    <cellStyle name="Percent 296" xfId="3014" xr:uid="{00000000-0005-0000-0000-0000CA0B0000}"/>
    <cellStyle name="Percent 296 2" xfId="3015" xr:uid="{00000000-0005-0000-0000-0000CB0B0000}"/>
    <cellStyle name="Percent 296 2 2" xfId="3016" xr:uid="{00000000-0005-0000-0000-0000CC0B0000}"/>
    <cellStyle name="Percent 296 3" xfId="3017" xr:uid="{00000000-0005-0000-0000-0000CD0B0000}"/>
    <cellStyle name="Percent 297" xfId="3018" xr:uid="{00000000-0005-0000-0000-0000CE0B0000}"/>
    <cellStyle name="Percent 298" xfId="3019" xr:uid="{00000000-0005-0000-0000-0000CF0B0000}"/>
    <cellStyle name="Percent 299" xfId="3020" xr:uid="{00000000-0005-0000-0000-0000D00B0000}"/>
    <cellStyle name="Percent 3" xfId="3021" xr:uid="{00000000-0005-0000-0000-0000D10B0000}"/>
    <cellStyle name="Percent 3 2" xfId="3022" xr:uid="{00000000-0005-0000-0000-0000D20B0000}"/>
    <cellStyle name="Percent 30" xfId="3023" xr:uid="{00000000-0005-0000-0000-0000D30B0000}"/>
    <cellStyle name="Percent 300" xfId="3024" xr:uid="{00000000-0005-0000-0000-0000D40B0000}"/>
    <cellStyle name="Percent 301" xfId="3025" xr:uid="{00000000-0005-0000-0000-0000D50B0000}"/>
    <cellStyle name="Percent 302" xfId="3026" xr:uid="{00000000-0005-0000-0000-0000D60B0000}"/>
    <cellStyle name="Percent 303" xfId="3027" xr:uid="{00000000-0005-0000-0000-0000D70B0000}"/>
    <cellStyle name="Percent 304" xfId="3028" xr:uid="{00000000-0005-0000-0000-0000D80B0000}"/>
    <cellStyle name="Percent 305" xfId="3029" xr:uid="{00000000-0005-0000-0000-0000D90B0000}"/>
    <cellStyle name="Percent 305 2" xfId="8" xr:uid="{00000000-0005-0000-0000-0000DA0B0000}"/>
    <cellStyle name="Percent 306" xfId="3030" xr:uid="{00000000-0005-0000-0000-0000DB0B0000}"/>
    <cellStyle name="Percent 307" xfId="3031" xr:uid="{00000000-0005-0000-0000-0000DC0B0000}"/>
    <cellStyle name="Percent 308" xfId="3032" xr:uid="{00000000-0005-0000-0000-0000DD0B0000}"/>
    <cellStyle name="Percent 309" xfId="3033" xr:uid="{00000000-0005-0000-0000-0000DE0B0000}"/>
    <cellStyle name="Percent 31" xfId="3034" xr:uid="{00000000-0005-0000-0000-0000DF0B0000}"/>
    <cellStyle name="Percent 310" xfId="3035" xr:uid="{00000000-0005-0000-0000-0000E00B0000}"/>
    <cellStyle name="Percent 311" xfId="3036" xr:uid="{00000000-0005-0000-0000-0000E10B0000}"/>
    <cellStyle name="Percent 312" xfId="3037" xr:uid="{00000000-0005-0000-0000-0000E20B0000}"/>
    <cellStyle name="Percent 313" xfId="3038" xr:uid="{00000000-0005-0000-0000-0000E30B0000}"/>
    <cellStyle name="Percent 314" xfId="3039" xr:uid="{00000000-0005-0000-0000-0000E40B0000}"/>
    <cellStyle name="Percent 315" xfId="3040" xr:uid="{00000000-0005-0000-0000-0000E50B0000}"/>
    <cellStyle name="Percent 316" xfId="3041" xr:uid="{00000000-0005-0000-0000-0000E60B0000}"/>
    <cellStyle name="Percent 317" xfId="3042" xr:uid="{00000000-0005-0000-0000-0000E70B0000}"/>
    <cellStyle name="Percent 318" xfId="3043" xr:uid="{00000000-0005-0000-0000-0000E80B0000}"/>
    <cellStyle name="Percent 319" xfId="3044" xr:uid="{00000000-0005-0000-0000-0000E90B0000}"/>
    <cellStyle name="Percent 32" xfId="3045" xr:uid="{00000000-0005-0000-0000-0000EA0B0000}"/>
    <cellStyle name="Percent 320" xfId="3046" xr:uid="{00000000-0005-0000-0000-0000EB0B0000}"/>
    <cellStyle name="Percent 321" xfId="3047" xr:uid="{00000000-0005-0000-0000-0000EC0B0000}"/>
    <cellStyle name="Percent 322" xfId="3048" xr:uid="{00000000-0005-0000-0000-0000ED0B0000}"/>
    <cellStyle name="Percent 323" xfId="3049" xr:uid="{00000000-0005-0000-0000-0000EE0B0000}"/>
    <cellStyle name="Percent 324" xfId="3050" xr:uid="{00000000-0005-0000-0000-0000EF0B0000}"/>
    <cellStyle name="Percent 325" xfId="3051" xr:uid="{00000000-0005-0000-0000-0000F00B0000}"/>
    <cellStyle name="Percent 326" xfId="3052" xr:uid="{00000000-0005-0000-0000-0000F10B0000}"/>
    <cellStyle name="Percent 327" xfId="3053" xr:uid="{00000000-0005-0000-0000-0000F20B0000}"/>
    <cellStyle name="Percent 328" xfId="3054" xr:uid="{00000000-0005-0000-0000-0000F30B0000}"/>
    <cellStyle name="Percent 329" xfId="3055" xr:uid="{00000000-0005-0000-0000-0000F40B0000}"/>
    <cellStyle name="Percent 33" xfId="3056" xr:uid="{00000000-0005-0000-0000-0000F50B0000}"/>
    <cellStyle name="Percent 330" xfId="3057" xr:uid="{00000000-0005-0000-0000-0000F60B0000}"/>
    <cellStyle name="Percent 331" xfId="3058" xr:uid="{00000000-0005-0000-0000-0000F70B0000}"/>
    <cellStyle name="Percent 332" xfId="3059" xr:uid="{00000000-0005-0000-0000-0000F80B0000}"/>
    <cellStyle name="Percent 333" xfId="3060" xr:uid="{00000000-0005-0000-0000-0000F90B0000}"/>
    <cellStyle name="Percent 334" xfId="3061" xr:uid="{00000000-0005-0000-0000-0000FA0B0000}"/>
    <cellStyle name="Percent 335" xfId="3062" xr:uid="{00000000-0005-0000-0000-0000FB0B0000}"/>
    <cellStyle name="Percent 336" xfId="3063" xr:uid="{00000000-0005-0000-0000-0000FC0B0000}"/>
    <cellStyle name="Percent 337" xfId="3064" xr:uid="{00000000-0005-0000-0000-0000FD0B0000}"/>
    <cellStyle name="Percent 338" xfId="3065" xr:uid="{00000000-0005-0000-0000-0000FE0B0000}"/>
    <cellStyle name="Percent 339" xfId="3066" xr:uid="{00000000-0005-0000-0000-0000FF0B0000}"/>
    <cellStyle name="Percent 34" xfId="3067" xr:uid="{00000000-0005-0000-0000-0000000C0000}"/>
    <cellStyle name="Percent 340" xfId="3068" xr:uid="{00000000-0005-0000-0000-0000010C0000}"/>
    <cellStyle name="Percent 341" xfId="3069" xr:uid="{00000000-0005-0000-0000-0000020C0000}"/>
    <cellStyle name="Percent 342" xfId="3070" xr:uid="{00000000-0005-0000-0000-0000030C0000}"/>
    <cellStyle name="Percent 343" xfId="3071" xr:uid="{00000000-0005-0000-0000-0000040C0000}"/>
    <cellStyle name="Percent 344" xfId="3072" xr:uid="{00000000-0005-0000-0000-0000050C0000}"/>
    <cellStyle name="Percent 345" xfId="3073" xr:uid="{00000000-0005-0000-0000-0000060C0000}"/>
    <cellStyle name="Percent 346" xfId="3074" xr:uid="{00000000-0005-0000-0000-0000070C0000}"/>
    <cellStyle name="Percent 347" xfId="3075" xr:uid="{00000000-0005-0000-0000-0000080C0000}"/>
    <cellStyle name="Percent 348" xfId="3076" xr:uid="{00000000-0005-0000-0000-0000090C0000}"/>
    <cellStyle name="Percent 349" xfId="3077" xr:uid="{00000000-0005-0000-0000-00000A0C0000}"/>
    <cellStyle name="Percent 35" xfId="3078" xr:uid="{00000000-0005-0000-0000-00000B0C0000}"/>
    <cellStyle name="Percent 350" xfId="3079" xr:uid="{00000000-0005-0000-0000-00000C0C0000}"/>
    <cellStyle name="Percent 351" xfId="3080" xr:uid="{00000000-0005-0000-0000-00000D0C0000}"/>
    <cellStyle name="Percent 352" xfId="3081" xr:uid="{00000000-0005-0000-0000-00000E0C0000}"/>
    <cellStyle name="Percent 353" xfId="3082" xr:uid="{00000000-0005-0000-0000-00000F0C0000}"/>
    <cellStyle name="Percent 354" xfId="3083" xr:uid="{00000000-0005-0000-0000-0000100C0000}"/>
    <cellStyle name="Percent 355" xfId="3084" xr:uid="{00000000-0005-0000-0000-0000110C0000}"/>
    <cellStyle name="Percent 356" xfId="3085" xr:uid="{00000000-0005-0000-0000-0000120C0000}"/>
    <cellStyle name="Percent 357" xfId="3086" xr:uid="{00000000-0005-0000-0000-0000130C0000}"/>
    <cellStyle name="Percent 358" xfId="3087" xr:uid="{00000000-0005-0000-0000-0000140C0000}"/>
    <cellStyle name="Percent 359" xfId="3088" xr:uid="{00000000-0005-0000-0000-0000150C0000}"/>
    <cellStyle name="Percent 36" xfId="3089" xr:uid="{00000000-0005-0000-0000-0000160C0000}"/>
    <cellStyle name="Percent 360" xfId="3090" xr:uid="{00000000-0005-0000-0000-0000170C0000}"/>
    <cellStyle name="Percent 361" xfId="3091" xr:uid="{00000000-0005-0000-0000-0000180C0000}"/>
    <cellStyle name="Percent 362" xfId="3092" xr:uid="{00000000-0005-0000-0000-0000190C0000}"/>
    <cellStyle name="Percent 363" xfId="3093" xr:uid="{00000000-0005-0000-0000-00001A0C0000}"/>
    <cellStyle name="Percent 364" xfId="3094" xr:uid="{00000000-0005-0000-0000-00001B0C0000}"/>
    <cellStyle name="Percent 365" xfId="3095" xr:uid="{00000000-0005-0000-0000-00001C0C0000}"/>
    <cellStyle name="Percent 366" xfId="3096" xr:uid="{00000000-0005-0000-0000-00001D0C0000}"/>
    <cellStyle name="Percent 367" xfId="3097" xr:uid="{00000000-0005-0000-0000-00001E0C0000}"/>
    <cellStyle name="Percent 368" xfId="3098" xr:uid="{00000000-0005-0000-0000-00001F0C0000}"/>
    <cellStyle name="Percent 369" xfId="3099" xr:uid="{00000000-0005-0000-0000-0000200C0000}"/>
    <cellStyle name="Percent 37" xfId="3100" xr:uid="{00000000-0005-0000-0000-0000210C0000}"/>
    <cellStyle name="Percent 370" xfId="3101" xr:uid="{00000000-0005-0000-0000-0000220C0000}"/>
    <cellStyle name="Percent 371" xfId="3102" xr:uid="{00000000-0005-0000-0000-0000230C0000}"/>
    <cellStyle name="Percent 372" xfId="3103" xr:uid="{00000000-0005-0000-0000-0000240C0000}"/>
    <cellStyle name="Percent 373" xfId="3104" xr:uid="{00000000-0005-0000-0000-0000250C0000}"/>
    <cellStyle name="Percent 374" xfId="3105" xr:uid="{00000000-0005-0000-0000-0000260C0000}"/>
    <cellStyle name="Percent 375" xfId="3106" xr:uid="{00000000-0005-0000-0000-0000270C0000}"/>
    <cellStyle name="Percent 376" xfId="3107" xr:uid="{00000000-0005-0000-0000-0000280C0000}"/>
    <cellStyle name="Percent 377" xfId="3108" xr:uid="{00000000-0005-0000-0000-0000290C0000}"/>
    <cellStyle name="Percent 378" xfId="3109" xr:uid="{00000000-0005-0000-0000-00002A0C0000}"/>
    <cellStyle name="Percent 379" xfId="3110" xr:uid="{00000000-0005-0000-0000-00002B0C0000}"/>
    <cellStyle name="Percent 38" xfId="3111" xr:uid="{00000000-0005-0000-0000-00002C0C0000}"/>
    <cellStyle name="Percent 380" xfId="3112" xr:uid="{00000000-0005-0000-0000-00002D0C0000}"/>
    <cellStyle name="Percent 381" xfId="3113" xr:uid="{00000000-0005-0000-0000-00002E0C0000}"/>
    <cellStyle name="Percent 382" xfId="3114" xr:uid="{00000000-0005-0000-0000-00002F0C0000}"/>
    <cellStyle name="Percent 383" xfId="3115" xr:uid="{00000000-0005-0000-0000-0000300C0000}"/>
    <cellStyle name="Percent 384" xfId="3116" xr:uid="{00000000-0005-0000-0000-0000310C0000}"/>
    <cellStyle name="Percent 385" xfId="3117" xr:uid="{00000000-0005-0000-0000-0000320C0000}"/>
    <cellStyle name="Percent 386" xfId="3118" xr:uid="{00000000-0005-0000-0000-0000330C0000}"/>
    <cellStyle name="Percent 39" xfId="3119" xr:uid="{00000000-0005-0000-0000-0000340C0000}"/>
    <cellStyle name="Percent 4" xfId="3120" xr:uid="{00000000-0005-0000-0000-0000350C0000}"/>
    <cellStyle name="Percent 4 2" xfId="3121" xr:uid="{00000000-0005-0000-0000-0000360C0000}"/>
    <cellStyle name="Percent 40" xfId="3122" xr:uid="{00000000-0005-0000-0000-0000370C0000}"/>
    <cellStyle name="Percent 41" xfId="3123" xr:uid="{00000000-0005-0000-0000-0000380C0000}"/>
    <cellStyle name="Percent 42" xfId="3124" xr:uid="{00000000-0005-0000-0000-0000390C0000}"/>
    <cellStyle name="Percent 43" xfId="3125" xr:uid="{00000000-0005-0000-0000-00003A0C0000}"/>
    <cellStyle name="Percent 44" xfId="3126" xr:uid="{00000000-0005-0000-0000-00003B0C0000}"/>
    <cellStyle name="Percent 45" xfId="3127" xr:uid="{00000000-0005-0000-0000-00003C0C0000}"/>
    <cellStyle name="Percent 46" xfId="3128" xr:uid="{00000000-0005-0000-0000-00003D0C0000}"/>
    <cellStyle name="Percent 47" xfId="3129" xr:uid="{00000000-0005-0000-0000-00003E0C0000}"/>
    <cellStyle name="Percent 48" xfId="3130" xr:uid="{00000000-0005-0000-0000-00003F0C0000}"/>
    <cellStyle name="Percent 49" xfId="3131" xr:uid="{00000000-0005-0000-0000-0000400C0000}"/>
    <cellStyle name="Percent 5" xfId="11" xr:uid="{00000000-0005-0000-0000-0000410C0000}"/>
    <cellStyle name="Percent 5 2" xfId="3132" xr:uid="{00000000-0005-0000-0000-0000420C0000}"/>
    <cellStyle name="Percent 5 2 2" xfId="3133" xr:uid="{00000000-0005-0000-0000-0000430C0000}"/>
    <cellStyle name="Percent 5 3" xfId="3134" xr:uid="{00000000-0005-0000-0000-0000440C0000}"/>
    <cellStyle name="Percent 5 4" xfId="3135" xr:uid="{00000000-0005-0000-0000-0000450C0000}"/>
    <cellStyle name="Percent 50" xfId="3136" xr:uid="{00000000-0005-0000-0000-0000460C0000}"/>
    <cellStyle name="Percent 51" xfId="3137" xr:uid="{00000000-0005-0000-0000-0000470C0000}"/>
    <cellStyle name="Percent 52" xfId="3138" xr:uid="{00000000-0005-0000-0000-0000480C0000}"/>
    <cellStyle name="Percent 53" xfId="3139" xr:uid="{00000000-0005-0000-0000-0000490C0000}"/>
    <cellStyle name="Percent 54" xfId="3140" xr:uid="{00000000-0005-0000-0000-00004A0C0000}"/>
    <cellStyle name="Percent 55" xfId="3141" xr:uid="{00000000-0005-0000-0000-00004B0C0000}"/>
    <cellStyle name="Percent 56" xfId="3142" xr:uid="{00000000-0005-0000-0000-00004C0C0000}"/>
    <cellStyle name="Percent 57" xfId="3143" xr:uid="{00000000-0005-0000-0000-00004D0C0000}"/>
    <cellStyle name="Percent 58" xfId="3144" xr:uid="{00000000-0005-0000-0000-00004E0C0000}"/>
    <cellStyle name="Percent 59" xfId="3145" xr:uid="{00000000-0005-0000-0000-00004F0C0000}"/>
    <cellStyle name="Percent 6" xfId="3146" xr:uid="{00000000-0005-0000-0000-0000500C0000}"/>
    <cellStyle name="Percent 6 2" xfId="3147" xr:uid="{00000000-0005-0000-0000-0000510C0000}"/>
    <cellStyle name="Percent 6 2 2" xfId="3148" xr:uid="{00000000-0005-0000-0000-0000520C0000}"/>
    <cellStyle name="Percent 6 3" xfId="3149" xr:uid="{00000000-0005-0000-0000-0000530C0000}"/>
    <cellStyle name="Percent 60" xfId="3150" xr:uid="{00000000-0005-0000-0000-0000540C0000}"/>
    <cellStyle name="Percent 61" xfId="3151" xr:uid="{00000000-0005-0000-0000-0000550C0000}"/>
    <cellStyle name="Percent 62" xfId="3152" xr:uid="{00000000-0005-0000-0000-0000560C0000}"/>
    <cellStyle name="Percent 63" xfId="3153" xr:uid="{00000000-0005-0000-0000-0000570C0000}"/>
    <cellStyle name="Percent 64" xfId="3154" xr:uid="{00000000-0005-0000-0000-0000580C0000}"/>
    <cellStyle name="Percent 65" xfId="3155" xr:uid="{00000000-0005-0000-0000-0000590C0000}"/>
    <cellStyle name="Percent 66" xfId="3156" xr:uid="{00000000-0005-0000-0000-00005A0C0000}"/>
    <cellStyle name="Percent 67" xfId="3157" xr:uid="{00000000-0005-0000-0000-00005B0C0000}"/>
    <cellStyle name="Percent 68" xfId="3158" xr:uid="{00000000-0005-0000-0000-00005C0C0000}"/>
    <cellStyle name="Percent 69" xfId="3159" xr:uid="{00000000-0005-0000-0000-00005D0C0000}"/>
    <cellStyle name="Percent 7" xfId="3160" xr:uid="{00000000-0005-0000-0000-00005E0C0000}"/>
    <cellStyle name="Percent 7 2" xfId="3161" xr:uid="{00000000-0005-0000-0000-00005F0C0000}"/>
    <cellStyle name="Percent 70" xfId="3162" xr:uid="{00000000-0005-0000-0000-0000600C0000}"/>
    <cellStyle name="Percent 71" xfId="3163" xr:uid="{00000000-0005-0000-0000-0000610C0000}"/>
    <cellStyle name="Percent 72" xfId="3164" xr:uid="{00000000-0005-0000-0000-0000620C0000}"/>
    <cellStyle name="Percent 73" xfId="3165" xr:uid="{00000000-0005-0000-0000-0000630C0000}"/>
    <cellStyle name="Percent 74" xfId="3166" xr:uid="{00000000-0005-0000-0000-0000640C0000}"/>
    <cellStyle name="Percent 75" xfId="3167" xr:uid="{00000000-0005-0000-0000-0000650C0000}"/>
    <cellStyle name="Percent 76" xfId="3168" xr:uid="{00000000-0005-0000-0000-0000660C0000}"/>
    <cellStyle name="Percent 77" xfId="3169" xr:uid="{00000000-0005-0000-0000-0000670C0000}"/>
    <cellStyle name="Percent 78" xfId="3170" xr:uid="{00000000-0005-0000-0000-0000680C0000}"/>
    <cellStyle name="Percent 79" xfId="3171" xr:uid="{00000000-0005-0000-0000-0000690C0000}"/>
    <cellStyle name="Percent 8" xfId="3172" xr:uid="{00000000-0005-0000-0000-00006A0C0000}"/>
    <cellStyle name="Percent 8 2" xfId="3173" xr:uid="{00000000-0005-0000-0000-00006B0C0000}"/>
    <cellStyle name="Percent 8 3" xfId="3174" xr:uid="{00000000-0005-0000-0000-00006C0C0000}"/>
    <cellStyle name="Percent 80" xfId="3175" xr:uid="{00000000-0005-0000-0000-00006D0C0000}"/>
    <cellStyle name="Percent 81" xfId="3176" xr:uid="{00000000-0005-0000-0000-00006E0C0000}"/>
    <cellStyle name="Percent 82" xfId="3177" xr:uid="{00000000-0005-0000-0000-00006F0C0000}"/>
    <cellStyle name="Percent 83" xfId="3178" xr:uid="{00000000-0005-0000-0000-0000700C0000}"/>
    <cellStyle name="Percent 84" xfId="3179" xr:uid="{00000000-0005-0000-0000-0000710C0000}"/>
    <cellStyle name="Percent 85" xfId="3180" xr:uid="{00000000-0005-0000-0000-0000720C0000}"/>
    <cellStyle name="Percent 86" xfId="3181" xr:uid="{00000000-0005-0000-0000-0000730C0000}"/>
    <cellStyle name="Percent 87" xfId="3182" xr:uid="{00000000-0005-0000-0000-0000740C0000}"/>
    <cellStyle name="Percent 88" xfId="3183" xr:uid="{00000000-0005-0000-0000-0000750C0000}"/>
    <cellStyle name="Percent 89" xfId="3184" xr:uid="{00000000-0005-0000-0000-0000760C0000}"/>
    <cellStyle name="Percent 9" xfId="3185" xr:uid="{00000000-0005-0000-0000-0000770C0000}"/>
    <cellStyle name="Percent 9 2" xfId="3186" xr:uid="{00000000-0005-0000-0000-0000780C0000}"/>
    <cellStyle name="Percent 9 3" xfId="3187" xr:uid="{00000000-0005-0000-0000-0000790C0000}"/>
    <cellStyle name="Percent 90" xfId="3188" xr:uid="{00000000-0005-0000-0000-00007A0C0000}"/>
    <cellStyle name="Percent 91" xfId="3189" xr:uid="{00000000-0005-0000-0000-00007B0C0000}"/>
    <cellStyle name="Percent 92" xfId="3190" xr:uid="{00000000-0005-0000-0000-00007C0C0000}"/>
    <cellStyle name="Percent 93" xfId="3191" xr:uid="{00000000-0005-0000-0000-00007D0C0000}"/>
    <cellStyle name="Percent 94" xfId="3192" xr:uid="{00000000-0005-0000-0000-00007E0C0000}"/>
    <cellStyle name="Percent 95" xfId="3193" xr:uid="{00000000-0005-0000-0000-00007F0C0000}"/>
    <cellStyle name="Percent 96" xfId="3194" xr:uid="{00000000-0005-0000-0000-0000800C0000}"/>
    <cellStyle name="Percent 97" xfId="3195" xr:uid="{00000000-0005-0000-0000-0000810C0000}"/>
    <cellStyle name="Percent 98" xfId="3196" xr:uid="{00000000-0005-0000-0000-0000820C0000}"/>
    <cellStyle name="Percent 99" xfId="3197" xr:uid="{00000000-0005-0000-0000-0000830C0000}"/>
    <cellStyle name="Percent Hard" xfId="3198" xr:uid="{00000000-0005-0000-0000-0000840C0000}"/>
    <cellStyle name="PrePop Currency (0)" xfId="3199" xr:uid="{00000000-0005-0000-0000-0000850C0000}"/>
    <cellStyle name="PrePop Currency (2)" xfId="3200" xr:uid="{00000000-0005-0000-0000-0000860C0000}"/>
    <cellStyle name="PrePop Units (0)" xfId="3201" xr:uid="{00000000-0005-0000-0000-0000870C0000}"/>
    <cellStyle name="PrePop Units (1)" xfId="3202" xr:uid="{00000000-0005-0000-0000-0000880C0000}"/>
    <cellStyle name="PrePop Units (2)" xfId="3203" xr:uid="{00000000-0005-0000-0000-0000890C0000}"/>
    <cellStyle name="Procent_BINV" xfId="3204" xr:uid="{00000000-0005-0000-0000-00008A0C0000}"/>
    <cellStyle name="PSChar" xfId="3205" xr:uid="{00000000-0005-0000-0000-00008B0C0000}"/>
    <cellStyle name="PSDate" xfId="3206" xr:uid="{00000000-0005-0000-0000-00008C0C0000}"/>
    <cellStyle name="PSDec" xfId="3207" xr:uid="{00000000-0005-0000-0000-00008D0C0000}"/>
    <cellStyle name="PSHeading" xfId="3208" xr:uid="{00000000-0005-0000-0000-00008E0C0000}"/>
    <cellStyle name="PSInt" xfId="3209" xr:uid="{00000000-0005-0000-0000-00008F0C0000}"/>
    <cellStyle name="PSSpacer" xfId="3210" xr:uid="{00000000-0005-0000-0000-0000900C0000}"/>
    <cellStyle name="Reg1" xfId="3211" xr:uid="{00000000-0005-0000-0000-0000910C0000}"/>
    <cellStyle name="Reg2" xfId="3212" xr:uid="{00000000-0005-0000-0000-0000920C0000}"/>
    <cellStyle name="Reg3" xfId="3213" xr:uid="{00000000-0005-0000-0000-0000930C0000}"/>
    <cellStyle name="Reg4" xfId="3214" xr:uid="{00000000-0005-0000-0000-0000940C0000}"/>
    <cellStyle name="Reg5" xfId="3215" xr:uid="{00000000-0005-0000-0000-0000950C0000}"/>
    <cellStyle name="Reg6" xfId="3216" xr:uid="{00000000-0005-0000-0000-0000960C0000}"/>
    <cellStyle name="Reg7" xfId="3217" xr:uid="{00000000-0005-0000-0000-0000970C0000}"/>
    <cellStyle name="Reg8" xfId="3218" xr:uid="{00000000-0005-0000-0000-0000980C0000}"/>
    <cellStyle name="Reg9" xfId="3219" xr:uid="{00000000-0005-0000-0000-0000990C0000}"/>
    <cellStyle name="s" xfId="3220" xr:uid="{00000000-0005-0000-0000-00009A0C0000}"/>
    <cellStyle name="Shaded" xfId="3221" xr:uid="{00000000-0005-0000-0000-00009B0C0000}"/>
    <cellStyle name="Short $" xfId="3222" xr:uid="{00000000-0005-0000-0000-00009C0C0000}"/>
    <cellStyle name="SpecialHeader" xfId="3223" xr:uid="{00000000-0005-0000-0000-00009D0C0000}"/>
    <cellStyle name="Standaard_BINV" xfId="3224" xr:uid="{00000000-0005-0000-0000-00009E0C0000}"/>
    <cellStyle name="Standard_Anpassen der Amortisation" xfId="3225" xr:uid="{00000000-0005-0000-0000-00009F0C0000}"/>
    <cellStyle name="Standrd - 10 font" xfId="3226" xr:uid="{00000000-0005-0000-0000-0000A00C0000}"/>
    <cellStyle name="Standrd - 10 font 2" xfId="3227" xr:uid="{00000000-0005-0000-0000-0000A10C0000}"/>
    <cellStyle name="STYL1 - Style1" xfId="3228" xr:uid="{00000000-0005-0000-0000-0000A20C0000}"/>
    <cellStyle name="Style 1" xfId="3229" xr:uid="{00000000-0005-0000-0000-0000A30C0000}"/>
    <cellStyle name="SubHeader" xfId="3230" xr:uid="{00000000-0005-0000-0000-0000A40C0000}"/>
    <cellStyle name="SubTotal" xfId="3231" xr:uid="{00000000-0005-0000-0000-0000A50C0000}"/>
    <cellStyle name="T" xfId="3232" xr:uid="{00000000-0005-0000-0000-0000A60C0000}"/>
    <cellStyle name="Table Col Head" xfId="3233" xr:uid="{00000000-0005-0000-0000-0000A70C0000}"/>
    <cellStyle name="Table Heading" xfId="3234" xr:uid="{00000000-0005-0000-0000-0000A80C0000}"/>
    <cellStyle name="Table Sub Head" xfId="3235" xr:uid="{00000000-0005-0000-0000-0000A90C0000}"/>
    <cellStyle name="Table Title" xfId="3236" xr:uid="{00000000-0005-0000-0000-0000AA0C0000}"/>
    <cellStyle name="Table Units" xfId="3237" xr:uid="{00000000-0005-0000-0000-0000AB0C0000}"/>
    <cellStyle name="Text" xfId="3238" xr:uid="{00000000-0005-0000-0000-0000AC0C0000}"/>
    <cellStyle name="Text Indent A" xfId="3239" xr:uid="{00000000-0005-0000-0000-0000AD0C0000}"/>
    <cellStyle name="Text Indent B" xfId="3240" xr:uid="{00000000-0005-0000-0000-0000AE0C0000}"/>
    <cellStyle name="Text Indent C" xfId="3241" xr:uid="{00000000-0005-0000-0000-0000AF0C0000}"/>
    <cellStyle name="TIME" xfId="3242" xr:uid="{00000000-0005-0000-0000-0000B00C0000}"/>
    <cellStyle name="Times New Roman" xfId="3243" xr:uid="{00000000-0005-0000-0000-0000B10C0000}"/>
    <cellStyle name="Title 2" xfId="3244" xr:uid="{00000000-0005-0000-0000-0000B20C0000}"/>
    <cellStyle name="Title1" xfId="3245" xr:uid="{00000000-0005-0000-0000-0000B30C0000}"/>
    <cellStyle name="TitleOther" xfId="3246" xr:uid="{00000000-0005-0000-0000-0000B40C0000}"/>
    <cellStyle name="Total 2" xfId="3247" xr:uid="{00000000-0005-0000-0000-0000B50C0000}"/>
    <cellStyle name="Total1" xfId="3248" xr:uid="{00000000-0005-0000-0000-0000B60C0000}"/>
    <cellStyle name="Total2" xfId="3249" xr:uid="{00000000-0005-0000-0000-0000B70C0000}"/>
    <cellStyle name="Total3" xfId="3250" xr:uid="{00000000-0005-0000-0000-0000B80C0000}"/>
    <cellStyle name="Total4" xfId="3251" xr:uid="{00000000-0005-0000-0000-0000B90C0000}"/>
    <cellStyle name="Total5" xfId="3252" xr:uid="{00000000-0005-0000-0000-0000BA0C0000}"/>
    <cellStyle name="Total6" xfId="3253" xr:uid="{00000000-0005-0000-0000-0000BB0C0000}"/>
    <cellStyle name="Total7" xfId="3254" xr:uid="{00000000-0005-0000-0000-0000BC0C0000}"/>
    <cellStyle name="Total8" xfId="3255" xr:uid="{00000000-0005-0000-0000-0000BD0C0000}"/>
    <cellStyle name="Total9" xfId="3256" xr:uid="{00000000-0005-0000-0000-0000BE0C0000}"/>
    <cellStyle name="TotShade" xfId="3257" xr:uid="{00000000-0005-0000-0000-0000BF0C0000}"/>
    <cellStyle name="Underline" xfId="3258" xr:uid="{00000000-0005-0000-0000-0000C00C0000}"/>
    <cellStyle name="Underscore" xfId="3259" xr:uid="{00000000-0005-0000-0000-0000C10C0000}"/>
    <cellStyle name="Valuta [0]_BINV" xfId="3260" xr:uid="{00000000-0005-0000-0000-0000C20C0000}"/>
    <cellStyle name="Valuta_BINV" xfId="3261" xr:uid="{00000000-0005-0000-0000-0000C30C0000}"/>
    <cellStyle name="Währung [0]_Compiling Utility Macros" xfId="3262" xr:uid="{00000000-0005-0000-0000-0000C40C0000}"/>
    <cellStyle name="Währung_Compiling Utility Macros" xfId="3263" xr:uid="{00000000-0005-0000-0000-0000C50C0000}"/>
    <cellStyle name="Warning Text 2" xfId="3264" xr:uid="{00000000-0005-0000-0000-0000C60C0000}"/>
    <cellStyle name="Year" xfId="3265" xr:uid="{00000000-0005-0000-0000-0000C70C0000}"/>
  </cellStyles>
  <dxfs count="187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</dxf>
    <dxf>
      <font>
        <color theme="0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0000D4"/>
      <color rgb="FF0000FF"/>
      <color rgb="FFFF0000"/>
      <color rgb="FFFFFFAF"/>
      <color rgb="FFFF3399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2161951978224943E-3"/>
          <c:y val="0.1338975428267713"/>
          <c:w val="0.84222824924662198"/>
          <c:h val="0.7063374501127475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B4F7-4CE9-ACD0-591442EC8555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rgbClr val="FFC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4F7-4CE9-ACD0-591442EC8555}"/>
              </c:ext>
            </c:extLst>
          </c:dPt>
          <c:dPt>
            <c:idx val="2"/>
            <c:bubble3D val="0"/>
            <c:spPr>
              <a:solidFill>
                <a:srgbClr val="70AD47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B4F7-4CE9-ACD0-591442EC855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Dashboard!$AE$6:$AE$10</c15:sqref>
                  </c15:fullRef>
                </c:ext>
              </c:extLst>
              <c:f>(Dashboard!$AE$7:$AE$8,Dashboard!$AE$10)</c:f>
              <c:strCache>
                <c:ptCount val="3"/>
                <c:pt idx="0">
                  <c:v>1BR/1BA</c:v>
                </c:pt>
                <c:pt idx="1">
                  <c:v>2BR/2BA</c:v>
                </c:pt>
                <c:pt idx="2">
                  <c:v>3BR/3BA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Dashboard!$AF$6:$AF$10</c15:sqref>
                  </c15:fullRef>
                </c:ext>
              </c:extLst>
              <c:f>(Dashboard!$AF$7:$AF$8,Dashboard!$AF$10)</c:f>
              <c:numCache>
                <c:formatCode>General</c:formatCode>
                <c:ptCount val="3"/>
                <c:pt idx="0">
                  <c:v>222</c:v>
                </c:pt>
                <c:pt idx="1">
                  <c:v>382</c:v>
                </c:pt>
                <c:pt idx="2">
                  <c:v>302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Dashboard!$AF$6</c15:sqref>
                  <c15:spPr xmlns:c15="http://schemas.microsoft.com/office/drawing/2012/chart">
                    <a:solidFill>
                      <a:sysClr val="window" lastClr="FFFFFF">
                        <a:lumMod val="65000"/>
                      </a:sysClr>
                    </a:soli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  <a:sp3d/>
                  </c15:spPr>
                  <c15:bubble3D val="0"/>
                </c15:categoryFilterException>
                <c15:categoryFilterException>
                  <c15:sqref>Dashboard!$AF$9</c15:sqref>
                  <c15:spPr xmlns:c15="http://schemas.microsoft.com/office/drawing/2012/chart">
                    <a:solidFill>
                      <a:srgbClr val="5B9BD5"/>
                    </a:soli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  <a:sp3d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A-B4F7-4CE9-ACD0-591442EC8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2203055917046632"/>
          <c:y val="2.0816929133858266E-2"/>
          <c:w val="0.24317275534929783"/>
          <c:h val="0.87733121901428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solidFill>
        <a:srgbClr val="000000"/>
      </a:solidFill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201708</xdr:colOff>
      <xdr:row>5</xdr:row>
      <xdr:rowOff>100853</xdr:rowOff>
    </xdr:from>
    <xdr:to>
      <xdr:col>25</xdr:col>
      <xdr:colOff>224118</xdr:colOff>
      <xdr:row>5</xdr:row>
      <xdr:rowOff>100853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21134296" y="1030941"/>
          <a:ext cx="874057" cy="0"/>
        </a:xfrm>
        <a:prstGeom prst="straightConnector1">
          <a:avLst/>
        </a:prstGeom>
        <a:ln>
          <a:solidFill>
            <a:srgbClr val="0000D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549088</xdr:colOff>
      <xdr:row>13</xdr:row>
      <xdr:rowOff>134471</xdr:rowOff>
    </xdr:from>
    <xdr:to>
      <xdr:col>38</xdr:col>
      <xdr:colOff>246529</xdr:colOff>
      <xdr:row>26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00D4"/>
    <pageSetUpPr fitToPage="1"/>
  </sheetPr>
  <dimension ref="A1:AF189"/>
  <sheetViews>
    <sheetView showGridLines="0" tabSelected="1" zoomScale="85" zoomScaleNormal="85" zoomScaleSheetLayoutView="55" workbookViewId="0">
      <selection activeCell="B1" sqref="B1"/>
    </sheetView>
  </sheetViews>
  <sheetFormatPr defaultRowHeight="15"/>
  <cols>
    <col min="1" max="1" width="1.85546875" customWidth="1"/>
    <col min="2" max="2" width="61.140625" bestFit="1" customWidth="1"/>
    <col min="3" max="3" width="35.7109375" bestFit="1" customWidth="1"/>
    <col min="4" max="4" width="15" bestFit="1" customWidth="1"/>
    <col min="5" max="5" width="38" bestFit="1" customWidth="1"/>
    <col min="6" max="6" width="20.5703125" bestFit="1" customWidth="1"/>
    <col min="7" max="7" width="26.42578125" bestFit="1" customWidth="1"/>
    <col min="8" max="8" width="12.28515625" customWidth="1"/>
    <col min="9" max="9" width="2.85546875" bestFit="1" customWidth="1"/>
    <col min="10" max="10" width="33.7109375" customWidth="1"/>
    <col min="11" max="11" width="13.5703125" customWidth="1"/>
    <col min="12" max="12" width="22.7109375" customWidth="1"/>
    <col min="13" max="13" width="6.85546875" bestFit="1" customWidth="1"/>
    <col min="14" max="14" width="24.28515625" customWidth="1"/>
    <col min="15" max="15" width="9.28515625" bestFit="1" customWidth="1"/>
    <col min="16" max="16" width="26.42578125" customWidth="1"/>
    <col min="17" max="17" width="14.28515625" customWidth="1"/>
    <col min="18" max="18" width="20.5703125" bestFit="1" customWidth="1"/>
    <col min="19" max="19" width="1.5703125" customWidth="1"/>
    <col min="20" max="20" width="1.7109375" customWidth="1"/>
    <col min="21" max="21" width="70.85546875" hidden="1" customWidth="1"/>
    <col min="22" max="22" width="15.28515625" hidden="1" customWidth="1"/>
    <col min="23" max="25" width="12.7109375" hidden="1" customWidth="1"/>
    <col min="26" max="26" width="9.7109375" hidden="1" customWidth="1"/>
    <col min="27" max="27" width="9.140625" hidden="1" customWidth="1"/>
    <col min="28" max="28" width="10" hidden="1" customWidth="1"/>
    <col min="29" max="29" width="9.140625" hidden="1" customWidth="1"/>
    <col min="30" max="30" width="0" hidden="1" customWidth="1"/>
    <col min="31" max="31" width="10.5703125" bestFit="1" customWidth="1"/>
    <col min="32" max="32" width="5" bestFit="1" customWidth="1"/>
    <col min="36" max="36" width="8.7109375" customWidth="1"/>
    <col min="40" max="40" width="10.140625" customWidth="1"/>
  </cols>
  <sheetData>
    <row r="1" spans="2:32" ht="15.75" thickBot="1"/>
    <row r="2" spans="2:32" ht="18.75" customHeight="1" thickBot="1">
      <c r="B2" s="636" t="s">
        <v>378</v>
      </c>
      <c r="C2" s="637"/>
      <c r="D2" s="637"/>
      <c r="E2" s="637"/>
      <c r="F2" s="637"/>
      <c r="G2" s="637"/>
      <c r="H2" s="637"/>
      <c r="I2" s="637"/>
      <c r="J2" s="637"/>
      <c r="K2" s="637"/>
      <c r="L2" s="637"/>
      <c r="M2" s="637"/>
      <c r="N2" s="637"/>
      <c r="O2" s="637"/>
      <c r="P2" s="637"/>
      <c r="Q2" s="638"/>
      <c r="R2" s="639" t="str">
        <f>+IF(W6="Upside","UPSIDE SCENARIO",IF(W6="Base","BASE CASE SCENARIO",IF(W6="Downside","DOWNSIDE SCENARIO",0)))</f>
        <v>BASE CASE SCENARIO</v>
      </c>
    </row>
    <row r="3" spans="2:32" ht="9" customHeight="1" thickBot="1"/>
    <row r="4" spans="2:32">
      <c r="B4" s="61" t="s">
        <v>15</v>
      </c>
      <c r="C4" s="91"/>
      <c r="D4" s="92"/>
      <c r="E4" s="61" t="s">
        <v>40</v>
      </c>
      <c r="F4" s="92"/>
      <c r="G4" s="61" t="s">
        <v>52</v>
      </c>
      <c r="H4" s="91"/>
      <c r="I4" s="93"/>
      <c r="J4" s="93"/>
      <c r="K4" s="93"/>
      <c r="L4" s="93"/>
      <c r="M4" s="93"/>
      <c r="N4" s="93"/>
      <c r="O4" s="93"/>
      <c r="P4" s="93"/>
      <c r="Q4" s="93"/>
      <c r="R4" s="94"/>
      <c r="U4" s="998" t="s">
        <v>197</v>
      </c>
      <c r="V4" s="999"/>
      <c r="W4" s="999"/>
      <c r="X4" s="999"/>
      <c r="Y4" s="999"/>
      <c r="Z4" s="1000"/>
      <c r="AB4" s="634" t="s">
        <v>222</v>
      </c>
    </row>
    <row r="5" spans="2:32">
      <c r="B5" s="16" t="s">
        <v>381</v>
      </c>
      <c r="D5" s="27"/>
      <c r="E5" s="51" t="s">
        <v>43</v>
      </c>
      <c r="F5" s="27"/>
      <c r="G5" s="51" t="s">
        <v>53</v>
      </c>
      <c r="J5" s="18" t="s">
        <v>54</v>
      </c>
      <c r="K5" s="18" t="s">
        <v>55</v>
      </c>
      <c r="L5" s="18" t="s">
        <v>51</v>
      </c>
      <c r="M5" s="18" t="s">
        <v>57</v>
      </c>
      <c r="N5" s="18" t="s">
        <v>18</v>
      </c>
      <c r="O5" s="18" t="s">
        <v>19</v>
      </c>
      <c r="P5" s="18" t="s">
        <v>56</v>
      </c>
      <c r="Q5" s="18" t="s">
        <v>58</v>
      </c>
      <c r="R5" s="19" t="s">
        <v>69</v>
      </c>
      <c r="U5" s="16"/>
      <c r="Z5" s="27"/>
      <c r="AB5" s="632" t="s">
        <v>198</v>
      </c>
    </row>
    <row r="6" spans="2:32">
      <c r="B6" s="20" t="s">
        <v>382</v>
      </c>
      <c r="C6" s="642" t="s">
        <v>383</v>
      </c>
      <c r="D6" s="37"/>
      <c r="E6" s="20" t="s">
        <v>42</v>
      </c>
      <c r="F6" s="510">
        <f>F33</f>
        <v>69030676.896352127</v>
      </c>
      <c r="G6" s="749"/>
      <c r="J6" s="21"/>
      <c r="K6" s="58"/>
      <c r="L6" s="22"/>
      <c r="M6" s="44"/>
      <c r="N6" s="23"/>
      <c r="O6" s="837"/>
      <c r="P6" s="24"/>
      <c r="Q6" s="837"/>
      <c r="R6" s="25"/>
      <c r="U6" s="616" t="s">
        <v>219</v>
      </c>
      <c r="V6" s="615"/>
      <c r="W6" s="1001" t="s">
        <v>199</v>
      </c>
      <c r="X6" s="1002"/>
      <c r="Y6" s="528"/>
      <c r="Z6" s="649" t="s">
        <v>201</v>
      </c>
      <c r="AB6" s="632" t="s">
        <v>199</v>
      </c>
      <c r="AE6" t="s">
        <v>342</v>
      </c>
      <c r="AF6">
        <v>0</v>
      </c>
    </row>
    <row r="7" spans="2:32">
      <c r="B7" s="20" t="s">
        <v>384</v>
      </c>
      <c r="C7" s="642" t="s">
        <v>399</v>
      </c>
      <c r="D7" s="37"/>
      <c r="E7" s="20"/>
      <c r="F7" s="510"/>
      <c r="G7" s="749" t="s">
        <v>390</v>
      </c>
      <c r="J7" s="21">
        <v>222</v>
      </c>
      <c r="K7" s="58">
        <f>+J7*1</f>
        <v>222</v>
      </c>
      <c r="L7" s="22">
        <f t="shared" ref="L7" si="0">K7/$K$16</f>
        <v>0.24503311258278146</v>
      </c>
      <c r="M7" s="44">
        <v>690</v>
      </c>
      <c r="N7" s="837">
        <f>O7/1</f>
        <v>994</v>
      </c>
      <c r="O7" s="23">
        <v>994</v>
      </c>
      <c r="P7" s="24">
        <f t="shared" ref="P7" si="1">O7/M7</f>
        <v>1.4405797101449276</v>
      </c>
      <c r="Q7" s="837">
        <f t="shared" ref="Q7" si="2">N7*K7</f>
        <v>220668</v>
      </c>
      <c r="R7" s="25">
        <f t="shared" ref="R7" si="3">Q7*12</f>
        <v>2648016</v>
      </c>
      <c r="U7" s="26"/>
      <c r="Z7" s="27"/>
      <c r="AB7" s="632" t="s">
        <v>200</v>
      </c>
      <c r="AE7" t="s">
        <v>262</v>
      </c>
      <c r="AF7">
        <f>SUM(K7:K8)</f>
        <v>222</v>
      </c>
    </row>
    <row r="8" spans="2:32">
      <c r="B8" s="20" t="s">
        <v>397</v>
      </c>
      <c r="C8" s="643">
        <v>96096</v>
      </c>
      <c r="D8" s="38"/>
      <c r="E8" s="20" t="s">
        <v>41</v>
      </c>
      <c r="F8" s="510">
        <f>+SUM(F9:F10)</f>
        <v>24033944.982098967</v>
      </c>
      <c r="G8" s="749"/>
      <c r="J8" s="21"/>
      <c r="K8" s="58"/>
      <c r="L8" s="22"/>
      <c r="M8" s="44"/>
      <c r="N8" s="837"/>
      <c r="O8" s="23"/>
      <c r="P8" s="24"/>
      <c r="Q8" s="837"/>
      <c r="R8" s="25"/>
      <c r="U8" s="635" t="s">
        <v>198</v>
      </c>
      <c r="Z8" s="27"/>
      <c r="AE8" t="s">
        <v>343</v>
      </c>
      <c r="AF8">
        <f>+SUM(K9:K12)</f>
        <v>382</v>
      </c>
    </row>
    <row r="9" spans="2:32">
      <c r="B9" s="20" t="s">
        <v>385</v>
      </c>
      <c r="C9" s="642" t="s">
        <v>386</v>
      </c>
      <c r="D9" s="37"/>
      <c r="E9" s="897">
        <v>0.85</v>
      </c>
      <c r="F9" s="510">
        <f>($C$43-$F$33-$F$7+$C$55)*E9</f>
        <v>20428853.234784123</v>
      </c>
      <c r="G9" s="749"/>
      <c r="J9" s="21"/>
      <c r="K9" s="58"/>
      <c r="L9" s="22"/>
      <c r="M9" s="44"/>
      <c r="N9" s="837"/>
      <c r="O9" s="23"/>
      <c r="P9" s="24"/>
      <c r="Q9" s="837"/>
      <c r="R9" s="25"/>
      <c r="U9" s="26" t="s">
        <v>221</v>
      </c>
      <c r="Z9" s="27"/>
      <c r="AE9" t="s">
        <v>344</v>
      </c>
      <c r="AF9">
        <v>0</v>
      </c>
    </row>
    <row r="10" spans="2:32">
      <c r="B10" s="20" t="s">
        <v>387</v>
      </c>
      <c r="C10" s="642">
        <v>26.78</v>
      </c>
      <c r="D10" s="37"/>
      <c r="E10" s="898">
        <f>100%-E9</f>
        <v>0.15000000000000002</v>
      </c>
      <c r="F10" s="510">
        <f>($C$43-$F$33-$F$7+$C$55)*E10</f>
        <v>3605091.7473148457</v>
      </c>
      <c r="G10" s="749"/>
      <c r="J10" s="21"/>
      <c r="K10" s="58"/>
      <c r="L10" s="22"/>
      <c r="M10" s="44"/>
      <c r="N10" s="837"/>
      <c r="O10" s="23"/>
      <c r="P10" s="24"/>
      <c r="Q10" s="837"/>
      <c r="R10" s="25"/>
      <c r="U10" s="26" t="s">
        <v>239</v>
      </c>
      <c r="Y10" s="613"/>
      <c r="Z10" s="529"/>
      <c r="AE10" t="s">
        <v>389</v>
      </c>
      <c r="AF10">
        <f>+SUM(K14:K15)</f>
        <v>302</v>
      </c>
    </row>
    <row r="11" spans="2:32" ht="15.75" thickBot="1">
      <c r="B11" s="26"/>
      <c r="C11" s="644"/>
      <c r="D11" s="27"/>
      <c r="E11" s="830" t="s">
        <v>22</v>
      </c>
      <c r="F11" s="843">
        <f>SUM(F9:F10)+F6+F7</f>
        <v>93064621.878451094</v>
      </c>
      <c r="G11" s="749" t="s">
        <v>391</v>
      </c>
      <c r="J11" s="21">
        <v>191</v>
      </c>
      <c r="K11" s="58">
        <f>+J11*2</f>
        <v>382</v>
      </c>
      <c r="L11" s="22">
        <f t="shared" ref="L11" si="4">K11/$K$16</f>
        <v>0.4216335540838852</v>
      </c>
      <c r="M11" s="44">
        <v>1010</v>
      </c>
      <c r="N11" s="837">
        <f>O11/2</f>
        <v>647</v>
      </c>
      <c r="O11" s="23">
        <v>1294</v>
      </c>
      <c r="P11" s="24">
        <f t="shared" ref="P11" si="5">O11/M11</f>
        <v>1.2811881188118812</v>
      </c>
      <c r="Q11" s="837">
        <f t="shared" ref="Q11" si="6">N11*K11</f>
        <v>247154</v>
      </c>
      <c r="R11" s="25">
        <f t="shared" ref="R11" si="7">Q11*12</f>
        <v>2965848</v>
      </c>
      <c r="U11" s="26" t="s">
        <v>223</v>
      </c>
      <c r="Z11" s="27"/>
    </row>
    <row r="12" spans="2:32" ht="15.75" thickTop="1">
      <c r="B12" s="16" t="s">
        <v>0</v>
      </c>
      <c r="C12" s="644"/>
      <c r="D12" s="27"/>
      <c r="E12" s="51" t="s">
        <v>44</v>
      </c>
      <c r="F12" s="27"/>
      <c r="G12" s="749"/>
      <c r="J12" s="21"/>
      <c r="K12" s="58"/>
      <c r="L12" s="22"/>
      <c r="M12" s="44"/>
      <c r="N12" s="837"/>
      <c r="O12" s="23"/>
      <c r="P12" s="24"/>
      <c r="Q12" s="837"/>
      <c r="R12" s="25"/>
      <c r="U12" s="26" t="s">
        <v>247</v>
      </c>
      <c r="Y12" s="613"/>
      <c r="Z12" s="529"/>
    </row>
    <row r="13" spans="2:32">
      <c r="B13" s="20" t="s">
        <v>5</v>
      </c>
      <c r="C13" s="642" t="s">
        <v>261</v>
      </c>
      <c r="D13" s="37"/>
      <c r="E13" s="693" t="s">
        <v>48</v>
      </c>
      <c r="F13" s="648" t="s">
        <v>47</v>
      </c>
      <c r="G13" s="749"/>
      <c r="J13" s="21"/>
      <c r="K13" s="58"/>
      <c r="L13" s="22"/>
      <c r="M13" s="44"/>
      <c r="N13" s="837"/>
      <c r="O13" s="23"/>
      <c r="P13" s="24"/>
      <c r="Q13" s="837"/>
      <c r="R13" s="25"/>
      <c r="U13" s="26"/>
      <c r="Z13" s="27"/>
    </row>
    <row r="14" spans="2:32">
      <c r="B14" s="20" t="s">
        <v>6</v>
      </c>
      <c r="C14" s="642" t="s">
        <v>379</v>
      </c>
      <c r="D14" s="37"/>
      <c r="E14" s="668">
        <v>1</v>
      </c>
      <c r="F14" s="669">
        <v>0.1</v>
      </c>
      <c r="G14" s="749"/>
      <c r="J14" s="21"/>
      <c r="K14" s="58"/>
      <c r="L14" s="22"/>
      <c r="M14" s="44"/>
      <c r="N14" s="837"/>
      <c r="O14" s="23"/>
      <c r="P14" s="24"/>
      <c r="Q14" s="837"/>
      <c r="R14" s="25"/>
      <c r="U14" s="635" t="s">
        <v>199</v>
      </c>
      <c r="Y14" s="614"/>
      <c r="Z14" s="530"/>
    </row>
    <row r="15" spans="2:32">
      <c r="B15" s="20" t="s">
        <v>1</v>
      </c>
      <c r="C15" s="645">
        <f>+'Unit Mix'!C14</f>
        <v>564</v>
      </c>
      <c r="D15" s="903">
        <f>+(C15*45)+C15*18</f>
        <v>35532</v>
      </c>
      <c r="E15" s="663" t="s">
        <v>46</v>
      </c>
      <c r="F15" s="617" t="s">
        <v>49</v>
      </c>
      <c r="G15" s="749" t="s">
        <v>392</v>
      </c>
      <c r="J15" s="21">
        <v>151</v>
      </c>
      <c r="K15" s="58">
        <f>+J15*2</f>
        <v>302</v>
      </c>
      <c r="L15" s="22">
        <f t="shared" ref="L15" si="8">K15/$K$16</f>
        <v>0.33333333333333331</v>
      </c>
      <c r="M15" s="44">
        <v>1275</v>
      </c>
      <c r="N15" s="837">
        <f>O15/3</f>
        <v>486.33333333333331</v>
      </c>
      <c r="O15" s="23">
        <v>1459</v>
      </c>
      <c r="P15" s="24">
        <f t="shared" ref="P15" si="9">O15/M15</f>
        <v>1.1443137254901961</v>
      </c>
      <c r="Q15" s="837">
        <f t="shared" ref="Q15" si="10">N15*K15</f>
        <v>146872.66666666666</v>
      </c>
      <c r="R15" s="25">
        <f t="shared" ref="R15" si="11">Q15*12</f>
        <v>1762472</v>
      </c>
      <c r="U15" s="26" t="s">
        <v>243</v>
      </c>
      <c r="Z15" s="27"/>
    </row>
    <row r="16" spans="2:32" ht="15.75" thickBot="1">
      <c r="B16" s="20" t="s">
        <v>2</v>
      </c>
      <c r="C16" s="645">
        <f>+'Unit Mix'!D14</f>
        <v>906</v>
      </c>
      <c r="D16" s="903"/>
      <c r="E16" s="670">
        <v>0.85</v>
      </c>
      <c r="F16" s="669">
        <v>0.18</v>
      </c>
      <c r="G16" s="830" t="s">
        <v>220</v>
      </c>
      <c r="H16" s="623"/>
      <c r="I16" s="623"/>
      <c r="J16" s="831">
        <f>SUM(J6:J15)</f>
        <v>564</v>
      </c>
      <c r="K16" s="831">
        <f>SUM(K6:K15)</f>
        <v>906</v>
      </c>
      <c r="L16" s="832">
        <f>SUM(L6:L15)</f>
        <v>1</v>
      </c>
      <c r="M16" s="833">
        <f>SUMPRODUCT(J6:J15,M6:M15)/J16</f>
        <v>954.99113475177307</v>
      </c>
      <c r="N16" s="834">
        <f>SUMPRODUCT(K6:K15,N6:N15)/K16</f>
        <v>678.47093451066962</v>
      </c>
      <c r="O16" s="834">
        <f>SUMPRODUCT(J6:J15,O6:O15)/J16</f>
        <v>1220.0904255319149</v>
      </c>
      <c r="P16" s="835">
        <f>SUMPRODUCT(P6:P14,J6:J14)/J16</f>
        <v>1.0009142311085875</v>
      </c>
      <c r="Q16" s="834">
        <f>SUM(Q6:Q15)</f>
        <v>614694.66666666663</v>
      </c>
      <c r="R16" s="619">
        <f>SUM(R6:R15)</f>
        <v>7376336</v>
      </c>
      <c r="U16" s="26" t="s">
        <v>238</v>
      </c>
      <c r="Z16" s="27"/>
    </row>
    <row r="17" spans="2:28" ht="16.5" thickTop="1" thickBot="1">
      <c r="B17" s="20" t="s">
        <v>3</v>
      </c>
      <c r="C17" s="793">
        <f>+J16*M16</f>
        <v>538615</v>
      </c>
      <c r="D17" s="903">
        <f>+((C17*81)/100)*0.375</f>
        <v>163604.30625000002</v>
      </c>
      <c r="E17" s="660">
        <f>100%-E16</f>
        <v>0.15000000000000002</v>
      </c>
      <c r="F17" s="27"/>
      <c r="G17" s="836"/>
      <c r="H17" s="519"/>
      <c r="I17" s="519"/>
      <c r="J17" s="519"/>
      <c r="K17" s="519"/>
      <c r="L17" s="519"/>
      <c r="M17" s="519"/>
      <c r="N17" s="519"/>
      <c r="O17" s="519"/>
      <c r="P17" s="519"/>
      <c r="Q17" s="519"/>
      <c r="R17" s="531"/>
      <c r="U17" s="26" t="s">
        <v>224</v>
      </c>
      <c r="Z17" s="27"/>
    </row>
    <row r="18" spans="2:28">
      <c r="B18" s="20" t="s">
        <v>4</v>
      </c>
      <c r="C18" s="811">
        <f>C10*43560</f>
        <v>1166536.8</v>
      </c>
      <c r="D18" s="903">
        <f>+C43/C17</f>
        <v>169.97785408585185</v>
      </c>
      <c r="E18" s="671">
        <v>0.75</v>
      </c>
      <c r="F18" s="669">
        <v>0.22</v>
      </c>
      <c r="G18" s="61" t="s">
        <v>59</v>
      </c>
      <c r="H18" s="91"/>
      <c r="I18" s="93"/>
      <c r="J18" s="93"/>
      <c r="K18" s="93"/>
      <c r="L18" s="93"/>
      <c r="M18" s="93"/>
      <c r="N18" s="93"/>
      <c r="O18" s="93"/>
      <c r="P18" s="93"/>
      <c r="Q18" s="93"/>
      <c r="R18" s="94"/>
      <c r="U18" s="26" t="s">
        <v>231</v>
      </c>
      <c r="Z18" s="27"/>
    </row>
    <row r="19" spans="2:28">
      <c r="B19" s="20"/>
      <c r="C19" s="646"/>
      <c r="D19" s="903">
        <f>+I55/C17</f>
        <v>191.60564430812798</v>
      </c>
      <c r="E19" s="660">
        <f>100%-E18</f>
        <v>0.25</v>
      </c>
      <c r="F19" s="27"/>
      <c r="G19" s="610" t="s">
        <v>380</v>
      </c>
      <c r="H19" s="28"/>
      <c r="I19" s="987">
        <f>F56</f>
        <v>46266</v>
      </c>
      <c r="J19" s="987"/>
      <c r="K19" s="987">
        <f>EDATE(I19,12)</f>
        <v>46631</v>
      </c>
      <c r="L19" s="987"/>
      <c r="M19" s="987">
        <f t="shared" ref="M19" si="12">EDATE(K19,12)</f>
        <v>46997</v>
      </c>
      <c r="N19" s="987"/>
      <c r="O19" s="987">
        <f t="shared" ref="O19" si="13">EDATE(M19,12)</f>
        <v>47362</v>
      </c>
      <c r="P19" s="987"/>
      <c r="Q19" s="987">
        <f t="shared" ref="Q19" si="14">EDATE(O19,12)</f>
        <v>47727</v>
      </c>
      <c r="R19" s="1007"/>
      <c r="U19" s="26"/>
      <c r="Z19" s="27"/>
    </row>
    <row r="20" spans="2:28">
      <c r="B20" s="20"/>
      <c r="C20" s="646"/>
      <c r="D20" s="39"/>
      <c r="E20" s="672">
        <v>0.65</v>
      </c>
      <c r="F20" s="669">
        <v>2</v>
      </c>
      <c r="G20" s="611" t="s">
        <v>70</v>
      </c>
      <c r="H20" s="10"/>
      <c r="I20" s="986">
        <v>1</v>
      </c>
      <c r="J20" s="986"/>
      <c r="K20" s="986">
        <f>I20+1</f>
        <v>2</v>
      </c>
      <c r="L20" s="986"/>
      <c r="M20" s="986">
        <f>K20+1</f>
        <v>3</v>
      </c>
      <c r="N20" s="986"/>
      <c r="O20" s="986">
        <f>M20+1</f>
        <v>4</v>
      </c>
      <c r="P20" s="986"/>
      <c r="Q20" s="986">
        <f t="shared" ref="Q20" si="15">O20+1</f>
        <v>5</v>
      </c>
      <c r="R20" s="1008"/>
      <c r="U20" s="635" t="s">
        <v>200</v>
      </c>
      <c r="Z20" s="27"/>
    </row>
    <row r="21" spans="2:28" ht="15.75" thickBot="1">
      <c r="B21" s="26"/>
      <c r="D21" s="27"/>
      <c r="E21" s="844">
        <f>100%-E20</f>
        <v>0.35</v>
      </c>
      <c r="F21" s="531"/>
      <c r="G21" s="51" t="s">
        <v>61</v>
      </c>
      <c r="I21" s="2"/>
      <c r="J21" s="2"/>
      <c r="K21" s="2"/>
      <c r="L21" s="2"/>
      <c r="M21" s="2"/>
      <c r="N21" s="2"/>
      <c r="O21" s="2"/>
      <c r="P21" s="2"/>
      <c r="Q21" s="2"/>
      <c r="R21" s="712"/>
      <c r="U21" s="26" t="s">
        <v>244</v>
      </c>
      <c r="Z21" s="27"/>
    </row>
    <row r="22" spans="2:28">
      <c r="B22" s="89" t="s">
        <v>16</v>
      </c>
      <c r="C22" s="90"/>
      <c r="D22" s="90"/>
      <c r="E22" s="661" t="s">
        <v>34</v>
      </c>
      <c r="F22" s="662"/>
      <c r="G22" s="20" t="s">
        <v>62</v>
      </c>
      <c r="I22" s="983">
        <v>0</v>
      </c>
      <c r="J22" s="983"/>
      <c r="K22" s="983">
        <v>0.03</v>
      </c>
      <c r="L22" s="983"/>
      <c r="M22" s="983">
        <v>0.03</v>
      </c>
      <c r="N22" s="983"/>
      <c r="O22" s="983">
        <v>0.03</v>
      </c>
      <c r="P22" s="983"/>
      <c r="Q22" s="983">
        <v>0.03</v>
      </c>
      <c r="R22" s="1003"/>
      <c r="U22" s="26" t="s">
        <v>245</v>
      </c>
      <c r="Z22" s="27"/>
    </row>
    <row r="23" spans="2:28">
      <c r="B23" s="62"/>
      <c r="C23" s="96" t="s">
        <v>232</v>
      </c>
      <c r="D23" s="97" t="s">
        <v>19</v>
      </c>
      <c r="E23" s="29" t="s">
        <v>11</v>
      </c>
      <c r="F23" s="27"/>
      <c r="G23" s="20" t="s">
        <v>60</v>
      </c>
      <c r="I23" s="984">
        <v>0</v>
      </c>
      <c r="J23" s="984"/>
      <c r="K23" s="984">
        <v>0.02</v>
      </c>
      <c r="L23" s="984"/>
      <c r="M23" s="983">
        <f>+K23</f>
        <v>0.02</v>
      </c>
      <c r="N23" s="983"/>
      <c r="O23" s="983">
        <f>+M23</f>
        <v>0.02</v>
      </c>
      <c r="P23" s="983"/>
      <c r="Q23" s="983">
        <f>+O23</f>
        <v>0.02</v>
      </c>
      <c r="R23" s="1003"/>
      <c r="U23" s="26" t="s">
        <v>240</v>
      </c>
      <c r="Z23" s="27"/>
    </row>
    <row r="24" spans="2:28" ht="15.75" thickBot="1">
      <c r="B24" s="16" t="s">
        <v>20</v>
      </c>
      <c r="D24" s="98"/>
      <c r="E24" s="5" t="s">
        <v>12</v>
      </c>
      <c r="F24" s="755">
        <v>0.754</v>
      </c>
      <c r="G24" s="20" t="s">
        <v>63</v>
      </c>
      <c r="I24" s="984">
        <v>0</v>
      </c>
      <c r="J24" s="984"/>
      <c r="K24" s="984">
        <v>0.02</v>
      </c>
      <c r="L24" s="984"/>
      <c r="M24" s="983">
        <f>+K24</f>
        <v>0.02</v>
      </c>
      <c r="N24" s="983"/>
      <c r="O24" s="983">
        <f>+M24</f>
        <v>0.02</v>
      </c>
      <c r="P24" s="983"/>
      <c r="Q24" s="983">
        <f>+O24</f>
        <v>0.02</v>
      </c>
      <c r="R24" s="1003"/>
      <c r="T24" s="632"/>
      <c r="U24" s="518" t="s">
        <v>230</v>
      </c>
      <c r="V24" s="34"/>
      <c r="W24" s="34"/>
      <c r="X24" s="34"/>
      <c r="Y24" s="34"/>
      <c r="Z24" s="531"/>
      <c r="AA24" s="632"/>
      <c r="AB24" s="632"/>
    </row>
    <row r="25" spans="2:28">
      <c r="B25" s="20" t="s">
        <v>21</v>
      </c>
      <c r="C25" s="53">
        <f>'Construction Budget'!C7</f>
        <v>7582489.1999999993</v>
      </c>
      <c r="D25" s="55">
        <f>C25/$C$15</f>
        <v>13444.129787234042</v>
      </c>
      <c r="E25" s="5" t="s">
        <v>227</v>
      </c>
      <c r="F25" s="617">
        <f>+F33/(I44/F37)</f>
        <v>0.7770863402065078</v>
      </c>
      <c r="G25" s="51" t="s">
        <v>68</v>
      </c>
      <c r="I25" s="2"/>
      <c r="J25" s="2"/>
      <c r="K25" s="2"/>
      <c r="L25" s="2"/>
      <c r="M25" s="2"/>
      <c r="N25" s="2"/>
      <c r="O25" s="2"/>
      <c r="P25" s="2"/>
      <c r="Q25" s="2"/>
      <c r="R25" s="712"/>
      <c r="T25" s="632"/>
      <c r="U25" s="632"/>
      <c r="V25" s="632"/>
      <c r="W25" s="632"/>
      <c r="X25" s="632"/>
      <c r="Y25" s="632"/>
      <c r="Z25" s="632"/>
      <c r="AA25" s="632"/>
      <c r="AB25" s="632"/>
    </row>
    <row r="26" spans="2:28">
      <c r="B26" s="20" t="s">
        <v>25</v>
      </c>
      <c r="C26" s="53">
        <f>'Construction Budget'!C9+'Construction Budget'!C24</f>
        <v>64136125.65445026</v>
      </c>
      <c r="D26" s="55">
        <f t="shared" ref="D26:D29" si="16">C26/$C$15</f>
        <v>113716.53484831606</v>
      </c>
      <c r="E26" s="5" t="s">
        <v>37</v>
      </c>
      <c r="F26" s="87">
        <v>30</v>
      </c>
      <c r="G26" s="20" t="s">
        <v>64</v>
      </c>
      <c r="I26" s="984">
        <v>5.5E-2</v>
      </c>
      <c r="J26" s="984"/>
      <c r="K26" s="984">
        <v>5.5E-2</v>
      </c>
      <c r="L26" s="984"/>
      <c r="M26" s="984">
        <v>5.5E-2</v>
      </c>
      <c r="N26" s="984"/>
      <c r="O26" s="984">
        <v>5.5E-2</v>
      </c>
      <c r="P26" s="984"/>
      <c r="Q26" s="984">
        <v>5.5E-2</v>
      </c>
      <c r="R26" s="1009"/>
      <c r="T26" s="632"/>
      <c r="U26" s="632"/>
      <c r="V26" s="632"/>
      <c r="W26" s="632"/>
      <c r="X26" s="632"/>
      <c r="Y26" s="632"/>
      <c r="Z26" s="632"/>
      <c r="AA26" s="632"/>
      <c r="AB26" s="632"/>
    </row>
    <row r="27" spans="2:28">
      <c r="B27" s="20" t="s">
        <v>114</v>
      </c>
      <c r="C27" s="53">
        <f>'Construction Budget'!C17</f>
        <v>4350785.3403141359</v>
      </c>
      <c r="D27" s="55">
        <f t="shared" si="16"/>
        <v>7714.1584048122977</v>
      </c>
      <c r="E27" s="5" t="s">
        <v>112</v>
      </c>
      <c r="F27" s="87">
        <v>36</v>
      </c>
      <c r="G27" s="20" t="s">
        <v>65</v>
      </c>
      <c r="I27" s="984">
        <v>0.01</v>
      </c>
      <c r="J27" s="984"/>
      <c r="K27" s="984">
        <v>0.01</v>
      </c>
      <c r="L27" s="984"/>
      <c r="M27" s="984">
        <v>0.01</v>
      </c>
      <c r="N27" s="984"/>
      <c r="O27" s="984">
        <v>0.01</v>
      </c>
      <c r="P27" s="984"/>
      <c r="Q27" s="984">
        <v>0.01</v>
      </c>
      <c r="R27" s="1009"/>
      <c r="T27" s="632"/>
      <c r="U27" s="632"/>
      <c r="V27" s="632"/>
      <c r="W27" s="632"/>
      <c r="X27" s="632"/>
      <c r="Y27" s="632"/>
      <c r="Z27" s="632"/>
      <c r="AA27" s="632"/>
      <c r="AB27" s="632"/>
    </row>
    <row r="28" spans="2:28">
      <c r="B28" s="20" t="s">
        <v>250</v>
      </c>
      <c r="C28" s="53">
        <f>'Construction Budget'!C23</f>
        <v>2359370.0018143202</v>
      </c>
      <c r="D28" s="55">
        <f t="shared" si="16"/>
        <v>4183.2801450608513</v>
      </c>
      <c r="E28" s="5" t="s">
        <v>38</v>
      </c>
      <c r="F28" s="88">
        <v>30</v>
      </c>
      <c r="G28" s="20" t="s">
        <v>67</v>
      </c>
      <c r="I28" s="984">
        <v>5.0000000000000001E-3</v>
      </c>
      <c r="J28" s="984"/>
      <c r="K28" s="985">
        <v>5.0000000000000001E-3</v>
      </c>
      <c r="L28" s="985"/>
      <c r="M28" s="983">
        <f>+K28</f>
        <v>5.0000000000000001E-3</v>
      </c>
      <c r="N28" s="983"/>
      <c r="O28" s="983">
        <f>+M28</f>
        <v>5.0000000000000001E-3</v>
      </c>
      <c r="P28" s="983"/>
      <c r="Q28" s="983">
        <f>+O28</f>
        <v>5.0000000000000001E-3</v>
      </c>
      <c r="R28" s="1003"/>
      <c r="T28" s="632"/>
      <c r="U28" s="632"/>
      <c r="V28" s="632"/>
      <c r="W28" s="632"/>
      <c r="X28" s="632"/>
      <c r="Y28" s="632"/>
      <c r="Z28" s="632"/>
      <c r="AA28" s="632"/>
      <c r="AB28" s="632"/>
    </row>
    <row r="29" spans="2:28">
      <c r="B29" s="49" t="s">
        <v>28</v>
      </c>
      <c r="C29" s="99">
        <f>SUM(C25:C28)</f>
        <v>78428770.196578711</v>
      </c>
      <c r="D29" s="100">
        <f t="shared" si="16"/>
        <v>139058.10318542324</v>
      </c>
      <c r="E29" s="5" t="s">
        <v>13</v>
      </c>
      <c r="F29" s="86">
        <v>6.25E-2</v>
      </c>
      <c r="G29" s="20" t="s">
        <v>66</v>
      </c>
      <c r="I29" s="984">
        <v>1.2500000000000001E-2</v>
      </c>
      <c r="J29" s="984"/>
      <c r="K29" s="983">
        <f>+I29</f>
        <v>1.2500000000000001E-2</v>
      </c>
      <c r="L29" s="983"/>
      <c r="M29" s="983">
        <f>+K29</f>
        <v>1.2500000000000001E-2</v>
      </c>
      <c r="N29" s="983"/>
      <c r="O29" s="983">
        <f>+M29</f>
        <v>1.2500000000000001E-2</v>
      </c>
      <c r="P29" s="983"/>
      <c r="Q29" s="983">
        <f>+O29</f>
        <v>1.2500000000000001E-2</v>
      </c>
      <c r="R29" s="1003"/>
      <c r="T29" s="632"/>
      <c r="U29" s="632"/>
      <c r="V29" s="632"/>
      <c r="W29" s="632"/>
      <c r="X29" s="632"/>
      <c r="Y29" s="632"/>
      <c r="Z29" s="632"/>
      <c r="AA29" s="632"/>
      <c r="AB29" s="632"/>
    </row>
    <row r="30" spans="2:28" ht="15.75" thickBot="1">
      <c r="B30" s="26"/>
      <c r="C30" s="81"/>
      <c r="D30" s="55"/>
      <c r="E30" s="5" t="s">
        <v>121</v>
      </c>
      <c r="F30" s="114">
        <v>5.0000000000000001E-3</v>
      </c>
      <c r="G30" s="612" t="s">
        <v>143</v>
      </c>
      <c r="H30" s="519"/>
      <c r="I30" s="988">
        <v>25</v>
      </c>
      <c r="J30" s="988"/>
      <c r="K30" s="996">
        <f>+I30</f>
        <v>25</v>
      </c>
      <c r="L30" s="996"/>
      <c r="M30" s="996">
        <f>+K30</f>
        <v>25</v>
      </c>
      <c r="N30" s="996"/>
      <c r="O30" s="996">
        <f>+M30</f>
        <v>25</v>
      </c>
      <c r="P30" s="996"/>
      <c r="Q30" s="996">
        <f>+O30</f>
        <v>25</v>
      </c>
      <c r="R30" s="1004"/>
      <c r="T30" s="632"/>
      <c r="U30" s="632"/>
      <c r="V30" s="632"/>
      <c r="W30" s="632"/>
      <c r="X30" s="632"/>
      <c r="Y30" s="632"/>
      <c r="Z30" s="632"/>
      <c r="AA30" s="632"/>
      <c r="AB30" s="632"/>
    </row>
    <row r="31" spans="2:28">
      <c r="B31" s="16" t="s">
        <v>23</v>
      </c>
      <c r="C31" s="81"/>
      <c r="D31" s="55"/>
      <c r="E31" s="5" t="s">
        <v>113</v>
      </c>
      <c r="F31" s="84">
        <f>YEARFRAC(F53,F36)*12</f>
        <v>24</v>
      </c>
      <c r="G31" s="606" t="s">
        <v>71</v>
      </c>
      <c r="H31" s="607"/>
      <c r="I31" s="608"/>
      <c r="J31" s="608"/>
      <c r="K31" s="608"/>
      <c r="L31" s="608"/>
      <c r="M31" s="608"/>
      <c r="N31" s="608"/>
      <c r="O31" s="608"/>
      <c r="P31" s="608"/>
      <c r="Q31" s="608"/>
      <c r="R31" s="609"/>
      <c r="T31" s="632"/>
      <c r="U31" s="632"/>
      <c r="V31" s="632"/>
      <c r="W31" s="632"/>
      <c r="X31" s="632"/>
      <c r="Y31" s="632"/>
      <c r="Z31" s="632"/>
      <c r="AA31" s="632"/>
      <c r="AB31" s="632"/>
    </row>
    <row r="32" spans="2:28">
      <c r="B32" s="20" t="s">
        <v>23</v>
      </c>
      <c r="C32" s="53">
        <f>'Construction Budget'!C63-'Construction Budget'!C59-'Construction Budget'!C48-'Construction Budget'!C61</f>
        <v>6181151.832460735</v>
      </c>
      <c r="D32" s="55">
        <f t="shared" ref="D32:D35" si="17">C32/$C$15</f>
        <v>10959.489064646694</v>
      </c>
      <c r="E32" s="5" t="s">
        <v>141</v>
      </c>
      <c r="F32" s="149">
        <f>'Construction Budget'!C61</f>
        <v>3217026.1780104712</v>
      </c>
      <c r="G32" s="11" t="s">
        <v>380</v>
      </c>
      <c r="H32" s="11"/>
      <c r="I32" s="989">
        <f>I19</f>
        <v>46266</v>
      </c>
      <c r="J32" s="989"/>
      <c r="K32" s="989">
        <f>K19</f>
        <v>46631</v>
      </c>
      <c r="L32" s="989"/>
      <c r="M32" s="989">
        <f>M19</f>
        <v>46997</v>
      </c>
      <c r="N32" s="989"/>
      <c r="O32" s="989">
        <f>O19</f>
        <v>47362</v>
      </c>
      <c r="P32" s="989"/>
      <c r="Q32" s="989">
        <f>Q19</f>
        <v>47727</v>
      </c>
      <c r="R32" s="1005"/>
      <c r="T32" s="632"/>
      <c r="U32" s="776"/>
      <c r="V32" s="632"/>
      <c r="W32" s="632"/>
      <c r="X32" s="632"/>
      <c r="Y32" s="632"/>
      <c r="Z32" s="632"/>
      <c r="AA32" s="632"/>
      <c r="AB32" s="632"/>
    </row>
    <row r="33" spans="1:28">
      <c r="B33" s="20" t="s">
        <v>29</v>
      </c>
      <c r="C33" s="53">
        <v>0</v>
      </c>
      <c r="D33" s="55">
        <f t="shared" si="17"/>
        <v>0</v>
      </c>
      <c r="E33" s="30" t="s">
        <v>14</v>
      </c>
      <c r="F33" s="756">
        <f>F24*C43</f>
        <v>69030676.896352127</v>
      </c>
      <c r="G33" s="17" t="s">
        <v>72</v>
      </c>
      <c r="K33" s="2"/>
      <c r="L33" s="2"/>
      <c r="R33" s="27"/>
      <c r="T33" s="632"/>
      <c r="V33" s="632"/>
      <c r="W33" s="632"/>
      <c r="X33" s="632"/>
      <c r="Y33" s="632"/>
      <c r="Z33" s="632"/>
      <c r="AA33" s="632"/>
      <c r="AB33" s="632"/>
    </row>
    <row r="34" spans="1:28">
      <c r="B34" s="20" t="s">
        <v>26</v>
      </c>
      <c r="C34" s="53">
        <f>'Construction Budget'!C59</f>
        <v>1375000</v>
      </c>
      <c r="D34" s="55">
        <f t="shared" si="17"/>
        <v>2437.9432624113474</v>
      </c>
      <c r="F34" s="113"/>
      <c r="G34" s="74" t="s">
        <v>62</v>
      </c>
      <c r="I34" s="992">
        <f>SUM('Monthly CF''s'!P7:AA7)</f>
        <v>7376336.0000000009</v>
      </c>
      <c r="J34" s="992"/>
      <c r="K34" s="992">
        <f>SUM('Monthly CF''s'!AB7:AM7)</f>
        <v>7597626.080000001</v>
      </c>
      <c r="L34" s="992"/>
      <c r="M34" s="992">
        <f>SUM('Monthly CF''s'!AN7:AY7)</f>
        <v>7825554.8624000018</v>
      </c>
      <c r="N34" s="992"/>
      <c r="O34" s="992">
        <f>SUM('Monthly CF''s'!AZ7:BK7)</f>
        <v>8060321.5082720034</v>
      </c>
      <c r="P34" s="992"/>
      <c r="Q34" s="992">
        <f>SUM('Monthly CF''s'!BL7:BW7)</f>
        <v>8302131.1535201631</v>
      </c>
      <c r="R34" s="1006"/>
      <c r="T34" s="632"/>
      <c r="V34" s="632"/>
      <c r="W34" s="632"/>
      <c r="X34" s="632"/>
      <c r="Y34" s="632"/>
      <c r="Z34" s="632"/>
      <c r="AA34" s="632"/>
      <c r="AB34" s="632"/>
    </row>
    <row r="35" spans="1:28">
      <c r="B35" s="49" t="s">
        <v>32</v>
      </c>
      <c r="C35" s="99">
        <f>SUM(C32:C34)</f>
        <v>7556151.832460735</v>
      </c>
      <c r="D35" s="100">
        <f t="shared" si="17"/>
        <v>13397.432327058041</v>
      </c>
      <c r="E35" s="29" t="s">
        <v>35</v>
      </c>
      <c r="F35" s="27"/>
      <c r="G35" s="74" t="str">
        <f>G26</f>
        <v>Vacancy Loss</v>
      </c>
      <c r="I35" s="970">
        <f>SUM('Monthly CF''s'!P8:AA8)</f>
        <v>-405698.48000000021</v>
      </c>
      <c r="J35" s="970"/>
      <c r="K35" s="970">
        <f>SUM('Monthly CF''s'!AB8:AM8)</f>
        <v>-417869.43440000055</v>
      </c>
      <c r="L35" s="970"/>
      <c r="M35" s="970">
        <f>SUM('Monthly CF''s'!AN8:AY8)</f>
        <v>-430405.51743200043</v>
      </c>
      <c r="N35" s="970"/>
      <c r="O35" s="970">
        <f>SUM('Monthly CF''s'!AZ8:BK8)</f>
        <v>-443317.6829549605</v>
      </c>
      <c r="P35" s="970"/>
      <c r="Q35" s="970">
        <f>SUM('Monthly CF''s'!BL8:BW8)</f>
        <v>-456617.21344360919</v>
      </c>
      <c r="R35" s="995"/>
      <c r="T35" s="632"/>
      <c r="U35" s="632"/>
      <c r="V35" s="632"/>
      <c r="W35" s="632"/>
      <c r="X35" s="632"/>
      <c r="Y35" s="632"/>
      <c r="Z35" s="632"/>
      <c r="AA35" s="632"/>
      <c r="AB35" s="632"/>
    </row>
    <row r="36" spans="1:28">
      <c r="B36" s="26"/>
      <c r="C36" s="81"/>
      <c r="D36" s="55"/>
      <c r="E36" s="5" t="s">
        <v>234</v>
      </c>
      <c r="F36" s="85">
        <v>46447</v>
      </c>
      <c r="G36" s="74" t="str">
        <f>G27</f>
        <v>Rent Concessions</v>
      </c>
      <c r="I36" s="970">
        <f>SUM('Monthly CF''s'!P9:AA9)</f>
        <v>-73763.360000000015</v>
      </c>
      <c r="J36" s="970"/>
      <c r="K36" s="970">
        <f>SUM('Monthly CF''s'!AB9:AM9)</f>
        <v>-75976.260800000018</v>
      </c>
      <c r="L36" s="970"/>
      <c r="M36" s="970">
        <f>SUM('Monthly CF''s'!AN9:AY9)</f>
        <v>-78255.548624000003</v>
      </c>
      <c r="N36" s="970"/>
      <c r="O36" s="970">
        <f>SUM('Monthly CF''s'!AZ9:BK9)</f>
        <v>-80603.215082719995</v>
      </c>
      <c r="P36" s="970"/>
      <c r="Q36" s="970">
        <f>SUM('Monthly CF''s'!BL9:BW9)</f>
        <v>-83021.311535201618</v>
      </c>
      <c r="R36" s="995"/>
      <c r="T36" s="632"/>
      <c r="U36" s="632"/>
      <c r="V36" s="632"/>
      <c r="W36" s="632"/>
      <c r="X36" s="632"/>
      <c r="Y36" s="632"/>
      <c r="Z36" s="632"/>
      <c r="AA36" s="632"/>
      <c r="AB36" s="632"/>
    </row>
    <row r="37" spans="1:28">
      <c r="B37" s="16" t="s">
        <v>10</v>
      </c>
      <c r="C37" s="81"/>
      <c r="D37" s="55"/>
      <c r="E37" s="5" t="s">
        <v>235</v>
      </c>
      <c r="F37" s="86">
        <v>0.06</v>
      </c>
      <c r="G37" s="74" t="str">
        <f>G28</f>
        <v>Non-Revenue Units</v>
      </c>
      <c r="I37" s="970">
        <f>SUM('Monthly CF''s'!P10:AA10)</f>
        <v>-36881.680000000008</v>
      </c>
      <c r="J37" s="970"/>
      <c r="K37" s="970">
        <f>SUM('Monthly CF''s'!AB10:AM10)</f>
        <v>-37988.130400000009</v>
      </c>
      <c r="L37" s="970"/>
      <c r="M37" s="970">
        <f>SUM('Monthly CF''s'!AN10:AY10)</f>
        <v>-39127.774312000001</v>
      </c>
      <c r="N37" s="970"/>
      <c r="O37" s="970">
        <f>SUM('Monthly CF''s'!AZ10:BK10)</f>
        <v>-40301.607541359997</v>
      </c>
      <c r="P37" s="970"/>
      <c r="Q37" s="970">
        <f>SUM('Monthly CF''s'!BL10:BW10)</f>
        <v>-41510.655767600809</v>
      </c>
      <c r="R37" s="995"/>
      <c r="T37" s="632"/>
      <c r="U37" s="632"/>
      <c r="V37" s="632"/>
      <c r="W37" s="632"/>
      <c r="X37" s="632"/>
      <c r="Y37" s="632"/>
      <c r="Z37" s="632"/>
      <c r="AA37" s="632"/>
      <c r="AB37" s="632"/>
    </row>
    <row r="38" spans="1:28">
      <c r="B38" s="20" t="s">
        <v>31</v>
      </c>
      <c r="C38" s="53">
        <f>'Construction Budget'!C61</f>
        <v>3217026.1780104712</v>
      </c>
      <c r="D38" s="55">
        <f t="shared" ref="D38:D41" si="18">C38/$C$15</f>
        <v>5703.9471241320407</v>
      </c>
      <c r="E38" s="5" t="s">
        <v>36</v>
      </c>
      <c r="F38" s="83">
        <v>0.754</v>
      </c>
      <c r="G38" s="74" t="s">
        <v>66</v>
      </c>
      <c r="I38" s="990">
        <f>SUM('Monthly CF''s'!P11:AA11)</f>
        <v>-92204.2</v>
      </c>
      <c r="J38" s="990"/>
      <c r="K38" s="990">
        <f>SUM('Monthly CF''s'!AB11:AM11)</f>
        <v>-94970.326000000045</v>
      </c>
      <c r="L38" s="990"/>
      <c r="M38" s="990">
        <f>SUM('Monthly CF''s'!AN11:AY11)</f>
        <v>-97819.43578</v>
      </c>
      <c r="N38" s="990"/>
      <c r="O38" s="990">
        <f>SUM('Monthly CF''s'!AZ11:BK11)</f>
        <v>-100754.01885340002</v>
      </c>
      <c r="P38" s="991"/>
      <c r="Q38" s="991">
        <f>SUM('Monthly CF''s'!BL11:BW11)</f>
        <v>-103776.63941900204</v>
      </c>
      <c r="R38" s="997"/>
      <c r="T38" s="632"/>
      <c r="U38" s="632"/>
      <c r="V38" s="734"/>
      <c r="W38" s="632"/>
      <c r="X38" s="632"/>
      <c r="Y38" s="632"/>
      <c r="Z38" s="632"/>
      <c r="AA38" s="632"/>
      <c r="AB38" s="632"/>
    </row>
    <row r="39" spans="1:28">
      <c r="B39" s="20" t="s">
        <v>30</v>
      </c>
      <c r="C39" s="53">
        <f>SUM('Construction Budget'!C49:C49)</f>
        <v>1907980.602094241</v>
      </c>
      <c r="D39" s="55">
        <f t="shared" si="18"/>
        <v>3382.9443299543277</v>
      </c>
      <c r="E39" s="5" t="s">
        <v>37</v>
      </c>
      <c r="F39" s="87">
        <v>12</v>
      </c>
      <c r="G39" s="46" t="s">
        <v>73</v>
      </c>
      <c r="H39" s="1"/>
      <c r="I39" s="972">
        <f>SUM(I34:J38)</f>
        <v>6767788.2800000003</v>
      </c>
      <c r="J39" s="972"/>
      <c r="K39" s="972">
        <f t="shared" ref="K39" si="19">SUM(K34:L38)</f>
        <v>6970821.9283999996</v>
      </c>
      <c r="L39" s="972"/>
      <c r="M39" s="972">
        <f t="shared" ref="M39" si="20">SUM(M34:N38)</f>
        <v>7179946.586252002</v>
      </c>
      <c r="N39" s="972"/>
      <c r="O39" s="972">
        <f>SUM(O34:P38)</f>
        <v>7395344.9838395631</v>
      </c>
      <c r="P39" s="972"/>
      <c r="Q39" s="972">
        <f>SUM(Q34:R38)</f>
        <v>7617205.3333547488</v>
      </c>
      <c r="R39" s="993"/>
      <c r="T39" s="632"/>
      <c r="U39" s="633"/>
      <c r="V39" s="632"/>
      <c r="W39" s="632"/>
      <c r="X39" s="632"/>
      <c r="Y39" s="632"/>
      <c r="Z39" s="632"/>
      <c r="AA39" s="632"/>
      <c r="AB39" s="632"/>
    </row>
    <row r="40" spans="1:28">
      <c r="B40" s="20" t="s">
        <v>368</v>
      </c>
      <c r="C40" s="895">
        <f>'Construction Budget'!C50</f>
        <v>442693.06930693076</v>
      </c>
      <c r="D40" s="55">
        <f t="shared" si="18"/>
        <v>784.91678955129566</v>
      </c>
      <c r="E40" s="5" t="s">
        <v>38</v>
      </c>
      <c r="F40" s="88">
        <v>30</v>
      </c>
      <c r="G40" s="5" t="s">
        <v>60</v>
      </c>
      <c r="I40" s="970">
        <f>SUM('Monthly CF''s'!P19:AA19)</f>
        <v>187813</v>
      </c>
      <c r="J40" s="970"/>
      <c r="K40" s="970">
        <f>SUM('Monthly CF''s'!AB19:AM19)</f>
        <v>191569.26</v>
      </c>
      <c r="L40" s="970"/>
      <c r="M40" s="970">
        <f>SUM('Monthly CF''s'!AN19:AY19)</f>
        <v>195400.64519999994</v>
      </c>
      <c r="N40" s="970"/>
      <c r="O40" s="970">
        <f>SUM('Monthly CF''s'!AZ19:BK19)</f>
        <v>199308.65810399989</v>
      </c>
      <c r="P40" s="970"/>
      <c r="Q40" s="970">
        <f>SUM('Monthly CF''s'!BL19:BW19)</f>
        <v>202990.33192731004</v>
      </c>
      <c r="R40" s="995"/>
      <c r="T40" s="632"/>
      <c r="U40" s="633"/>
      <c r="V40" s="632"/>
      <c r="W40" s="632"/>
      <c r="X40" s="632"/>
      <c r="Y40" s="632"/>
      <c r="Z40" s="632"/>
      <c r="AA40" s="632"/>
      <c r="AB40" s="632"/>
    </row>
    <row r="41" spans="1:28">
      <c r="B41" s="49" t="s">
        <v>33</v>
      </c>
      <c r="C41" s="99">
        <f>SUM(C38:C40)</f>
        <v>5567699.8494116422</v>
      </c>
      <c r="D41" s="100">
        <f t="shared" si="18"/>
        <v>9871.8082436376626</v>
      </c>
      <c r="E41" s="5" t="s">
        <v>13</v>
      </c>
      <c r="F41" s="86">
        <v>0.05</v>
      </c>
      <c r="G41" s="1" t="s">
        <v>74</v>
      </c>
      <c r="H41" s="4"/>
      <c r="I41" s="972">
        <f>SUM(I39:J40)</f>
        <v>6955601.2800000003</v>
      </c>
      <c r="J41" s="972"/>
      <c r="K41" s="972">
        <f>SUM(K39:L40)</f>
        <v>7162391.1883999994</v>
      </c>
      <c r="L41" s="972"/>
      <c r="M41" s="972">
        <f>SUM(M39:N40)</f>
        <v>7375347.2314520022</v>
      </c>
      <c r="N41" s="972"/>
      <c r="O41" s="972">
        <f>SUM(O39:P40)</f>
        <v>7594653.6419435628</v>
      </c>
      <c r="P41" s="972"/>
      <c r="Q41" s="972">
        <f>SUM(Q39:R40)</f>
        <v>7820195.6652820585</v>
      </c>
      <c r="R41" s="993"/>
      <c r="T41" s="656"/>
      <c r="U41" s="656"/>
      <c r="V41" s="632"/>
      <c r="W41" s="632"/>
      <c r="X41" s="632"/>
      <c r="Y41" s="632"/>
      <c r="Z41" s="632"/>
      <c r="AA41" s="632"/>
      <c r="AB41" s="632"/>
    </row>
    <row r="42" spans="1:28">
      <c r="B42" s="26"/>
      <c r="C42" s="81"/>
      <c r="D42" s="55"/>
      <c r="E42" s="5" t="s">
        <v>39</v>
      </c>
      <c r="F42" s="86">
        <v>0.01</v>
      </c>
      <c r="G42" s="31" t="s">
        <v>75</v>
      </c>
      <c r="H42" s="47"/>
      <c r="I42" s="975"/>
      <c r="J42" s="975"/>
      <c r="K42" s="971">
        <f>K41/I41-1</f>
        <v>2.9729983084941791E-2</v>
      </c>
      <c r="L42" s="971"/>
      <c r="M42" s="971">
        <f>M41/K41-1</f>
        <v>2.973253449167923E-2</v>
      </c>
      <c r="N42" s="971"/>
      <c r="O42" s="971">
        <f>O41/M41-1</f>
        <v>2.973506244646118E-2</v>
      </c>
      <c r="P42" s="971"/>
      <c r="Q42" s="971">
        <f>Q41/O41-1</f>
        <v>2.9697473245241524E-2</v>
      </c>
      <c r="R42" s="994"/>
      <c r="T42" s="632"/>
      <c r="U42" s="632"/>
      <c r="V42" s="632"/>
      <c r="W42" s="632"/>
      <c r="X42" s="632"/>
      <c r="Y42" s="632"/>
      <c r="Z42" s="632"/>
      <c r="AA42" s="632"/>
      <c r="AB42" s="632"/>
    </row>
    <row r="43" spans="1:28" ht="15.75" thickBot="1">
      <c r="A43" s="27"/>
      <c r="B43" s="110" t="s">
        <v>24</v>
      </c>
      <c r="C43" s="111">
        <f>+C41+C35+C29</f>
        <v>91552621.878451094</v>
      </c>
      <c r="D43" s="112">
        <f>C43/$C$15</f>
        <v>162327.34375611896</v>
      </c>
      <c r="E43" s="30" t="s">
        <v>14</v>
      </c>
      <c r="F43" s="109">
        <f>((I44/F37)*F38)+(((I44/F37)*F38)*(F42))</f>
        <v>67649653.537440658</v>
      </c>
      <c r="G43" t="s">
        <v>63</v>
      </c>
      <c r="I43" s="970">
        <f>SUM('Monthly CF''s'!P36:AA36)</f>
        <v>1625639.3446499994</v>
      </c>
      <c r="J43" s="970"/>
      <c r="K43" s="970">
        <f>SUM('Monthly CF''s'!AB36:AM36)</f>
        <v>1660182.4680269996</v>
      </c>
      <c r="L43" s="970"/>
      <c r="M43" s="970">
        <f>SUM('Monthly CF''s'!AN36:AY36)</f>
        <v>1695477.3639660599</v>
      </c>
      <c r="N43" s="970"/>
      <c r="O43" s="970">
        <f>SUM('Monthly CF''s'!AZ36:BK36)</f>
        <v>1731540.8952212567</v>
      </c>
      <c r="P43" s="970"/>
      <c r="Q43" s="970">
        <f>SUM('Monthly CF''s'!BL36:BW36)</f>
        <v>1768381.1816406709</v>
      </c>
      <c r="R43" s="995"/>
      <c r="T43" s="632"/>
      <c r="U43" s="632"/>
      <c r="V43" s="632"/>
      <c r="W43" s="632"/>
      <c r="X43" s="632"/>
      <c r="Y43" s="632"/>
      <c r="Z43" s="632"/>
      <c r="AA43" s="632"/>
      <c r="AB43" s="632"/>
    </row>
    <row r="44" spans="1:28" ht="15.75" thickTop="1">
      <c r="B44" s="753"/>
      <c r="C44" s="508"/>
      <c r="D44" s="747"/>
      <c r="E44" s="30"/>
      <c r="F44" s="109"/>
      <c r="G44" s="6" t="s">
        <v>76</v>
      </c>
      <c r="H44" s="7"/>
      <c r="I44" s="972">
        <f>I41-I43</f>
        <v>5329961.9353500009</v>
      </c>
      <c r="J44" s="972"/>
      <c r="K44" s="972">
        <f>K41-K43</f>
        <v>5502208.720373</v>
      </c>
      <c r="L44" s="972"/>
      <c r="M44" s="972">
        <f>M41-M43</f>
        <v>5679869.8674859423</v>
      </c>
      <c r="N44" s="972"/>
      <c r="O44" s="972">
        <f>O41-O43</f>
        <v>5863112.7467223061</v>
      </c>
      <c r="P44" s="972"/>
      <c r="Q44" s="972">
        <f>Q41-Q43</f>
        <v>6051814.4836413879</v>
      </c>
      <c r="R44" s="993"/>
      <c r="T44" s="632"/>
      <c r="U44" s="632"/>
      <c r="V44" s="632"/>
      <c r="W44" s="632"/>
      <c r="X44" s="632"/>
      <c r="Y44" s="632"/>
      <c r="Z44" s="632"/>
      <c r="AA44" s="632"/>
      <c r="AB44" s="632"/>
    </row>
    <row r="45" spans="1:28" ht="15.75" thickBot="1">
      <c r="B45" s="753"/>
      <c r="C45" s="508"/>
      <c r="D45" s="747"/>
      <c r="E45" s="30"/>
      <c r="F45" s="109"/>
      <c r="G45" s="45" t="s">
        <v>77</v>
      </c>
      <c r="I45" s="970">
        <f>SUM('Monthly CF''s'!P40:AA40)</f>
        <v>4021026.6836878993</v>
      </c>
      <c r="J45" s="970"/>
      <c r="K45" s="970">
        <f>SUM('Monthly CF''s'!AB40:AM40)</f>
        <v>3870189.1469266838</v>
      </c>
      <c r="L45" s="970"/>
      <c r="M45" s="970">
        <f>SUM('Monthly CF''s'!AN40:AY40)</f>
        <v>4357895.616981335</v>
      </c>
      <c r="N45" s="970"/>
      <c r="O45" s="970">
        <f>SUM('Monthly CF''s'!AZ40:BK40)</f>
        <v>4357895.616981335</v>
      </c>
      <c r="P45" s="970"/>
      <c r="Q45" s="970">
        <f>SUM('Monthly CF''s'!BL40:BW40)</f>
        <v>4357895.616981335</v>
      </c>
      <c r="R45" s="995"/>
      <c r="T45" s="632"/>
      <c r="U45" s="632"/>
      <c r="V45" s="632"/>
      <c r="W45" s="632"/>
      <c r="X45" s="632"/>
      <c r="Y45" s="632"/>
      <c r="Z45" s="632"/>
      <c r="AA45" s="632"/>
      <c r="AB45" s="632"/>
    </row>
    <row r="46" spans="1:28">
      <c r="B46" s="61" t="s">
        <v>304</v>
      </c>
      <c r="C46" s="91"/>
      <c r="D46" s="92"/>
      <c r="E46" s="61" t="s">
        <v>305</v>
      </c>
      <c r="F46" s="94"/>
      <c r="G46" s="45" t="s">
        <v>143</v>
      </c>
      <c r="I46" s="970">
        <f>SUM('Monthly CF''s'!P45:AA45)</f>
        <v>11325</v>
      </c>
      <c r="J46" s="970"/>
      <c r="K46" s="970">
        <f>SUM('Monthly CF''s'!AB45:AM45)</f>
        <v>22650</v>
      </c>
      <c r="L46" s="970"/>
      <c r="M46" s="970">
        <f>SUM('Monthly CF''s'!AN45:AY45)</f>
        <v>22650</v>
      </c>
      <c r="N46" s="970"/>
      <c r="O46" s="970">
        <f>SUM('Monthly CF''s'!AZ45:BK45)</f>
        <v>22650</v>
      </c>
      <c r="P46" s="970"/>
      <c r="Q46" s="970">
        <f>SUM('Monthly CF''s'!BL45:BW45)</f>
        <v>22650</v>
      </c>
      <c r="R46" s="995"/>
      <c r="T46" s="632"/>
      <c r="U46" s="632"/>
      <c r="V46" s="632"/>
      <c r="W46" s="632"/>
      <c r="X46" s="632"/>
      <c r="Y46" s="632"/>
      <c r="Z46" s="632"/>
      <c r="AA46" s="632"/>
      <c r="AB46" s="632"/>
    </row>
    <row r="47" spans="1:28">
      <c r="B47" s="26" t="s">
        <v>120</v>
      </c>
      <c r="C47" s="977">
        <f>(((I44)-('Tax Abatement'!C6*(1-'Tax Abatement'!C4)))-K46)/(C43-'RE Tax Abatement NPV'!D7-'Construction Budget'!C62)</f>
        <v>6.0255483191662705E-2</v>
      </c>
      <c r="D47" s="978"/>
      <c r="E47" s="26" t="s">
        <v>120</v>
      </c>
      <c r="F47" s="805">
        <f>((K44+'Year-1 Proforma'!I3-M46-'Tax Abatement'!C7)/(C43-'Construction Budget'!C62))</f>
        <v>7.3631466926287276E-2</v>
      </c>
      <c r="G47" s="907" t="str">
        <f>+'Annual CF''s (Fiscal Year)'!B50</f>
        <v>Tax Abatement Savings</v>
      </c>
      <c r="H47" s="904"/>
      <c r="I47" s="946">
        <f>SUM('Monthly CF''s'!P47:AA47)</f>
        <v>0</v>
      </c>
      <c r="J47" s="946"/>
      <c r="K47" s="946">
        <f>SUM('Monthly CF''s'!AB47:AM47)</f>
        <v>0</v>
      </c>
      <c r="L47" s="946"/>
      <c r="M47" s="946">
        <f>SUM('Monthly CF''s'!AN47:AY47)</f>
        <v>0</v>
      </c>
      <c r="N47" s="946"/>
      <c r="O47" s="946">
        <f>SUM('Monthly CF''s'!AZ47:BK47)</f>
        <v>0</v>
      </c>
      <c r="P47" s="946"/>
      <c r="Q47" s="946">
        <f>SUM('Monthly CF''s'!BL47:BW47)</f>
        <v>0</v>
      </c>
      <c r="R47" s="947"/>
      <c r="T47" s="632"/>
      <c r="U47" s="632"/>
      <c r="V47" s="632"/>
      <c r="W47" s="632"/>
      <c r="X47" s="632"/>
      <c r="Y47" s="632"/>
      <c r="Z47" s="632"/>
      <c r="AA47" s="632"/>
      <c r="AB47" s="632"/>
    </row>
    <row r="48" spans="1:28" ht="15.75" thickBot="1">
      <c r="B48" s="26" t="s">
        <v>118</v>
      </c>
      <c r="C48" s="973">
        <f>F48</f>
        <v>5.8500000000000003E-2</v>
      </c>
      <c r="D48" s="974"/>
      <c r="E48" s="26" t="s">
        <v>118</v>
      </c>
      <c r="F48" s="806">
        <f>K54</f>
        <v>5.8500000000000003E-2</v>
      </c>
      <c r="G48" s="8" t="s">
        <v>78</v>
      </c>
      <c r="H48" s="3"/>
      <c r="I48" s="979">
        <f>I44-I45-I46+I47</f>
        <v>1297610.2516621016</v>
      </c>
      <c r="J48" s="979"/>
      <c r="K48" s="979">
        <f>K44-K45-K46+K47</f>
        <v>1609369.5734463162</v>
      </c>
      <c r="L48" s="979"/>
      <c r="M48" s="979">
        <f>M44-M45-M46+M47</f>
        <v>1299324.2505046073</v>
      </c>
      <c r="N48" s="979"/>
      <c r="O48" s="962">
        <f>O44-O45-O46+O47</f>
        <v>1482567.1297409711</v>
      </c>
      <c r="P48" s="962"/>
      <c r="Q48" s="962">
        <f>Q44-Q45-Q46+Q47</f>
        <v>1671268.8666600529</v>
      </c>
      <c r="R48" s="963"/>
      <c r="T48" s="632"/>
      <c r="U48" s="632"/>
      <c r="V48" s="632"/>
      <c r="W48" s="632"/>
      <c r="X48" s="632"/>
      <c r="Y48" s="632"/>
      <c r="Z48" s="632"/>
      <c r="AA48" s="632"/>
      <c r="AB48" s="632"/>
    </row>
    <row r="49" spans="2:28" ht="15.75" thickTop="1">
      <c r="B49" s="688" t="s">
        <v>119</v>
      </c>
      <c r="C49" s="953">
        <f>C47-C48</f>
        <v>1.7554831916627017E-3</v>
      </c>
      <c r="D49" s="954"/>
      <c r="E49" s="688" t="s">
        <v>119</v>
      </c>
      <c r="F49" s="804">
        <f>+F47-F48</f>
        <v>1.5131466926287272E-2</v>
      </c>
      <c r="G49" s="41" t="s">
        <v>86</v>
      </c>
      <c r="I49" s="925">
        <f>I44/$F$11</f>
        <v>5.7271622962282102E-2</v>
      </c>
      <c r="J49" s="925"/>
      <c r="K49" s="925">
        <f>K44/$F$11</f>
        <v>5.9122452864626363E-2</v>
      </c>
      <c r="L49" s="925"/>
      <c r="M49" s="925">
        <f>M44/$F$11</f>
        <v>6.1031461288310503E-2</v>
      </c>
      <c r="N49" s="925"/>
      <c r="O49" s="964">
        <f>O44/$F$11</f>
        <v>6.3000446661460055E-2</v>
      </c>
      <c r="P49" s="964"/>
      <c r="Q49" s="964">
        <f>Q44/$F$11</f>
        <v>6.5028088670961146E-2</v>
      </c>
      <c r="R49" s="965"/>
      <c r="T49" s="632"/>
      <c r="U49" s="632"/>
      <c r="V49" s="632"/>
      <c r="W49" s="632"/>
      <c r="X49" s="632"/>
      <c r="Y49" s="632"/>
      <c r="Z49" s="632"/>
      <c r="AA49" s="632"/>
      <c r="AB49" s="632"/>
    </row>
    <row r="50" spans="2:28" ht="15.75" customHeight="1" thickBot="1">
      <c r="B50" s="838"/>
      <c r="C50" s="839"/>
      <c r="D50" s="840"/>
      <c r="E50" s="519"/>
      <c r="F50" s="531"/>
      <c r="G50" s="41" t="s">
        <v>87</v>
      </c>
      <c r="I50" s="971">
        <f>AVERAGE('Monthly CF''s'!P53:AA53)</f>
        <v>0.11472580253125038</v>
      </c>
      <c r="J50" s="971"/>
      <c r="K50" s="971">
        <f>AVERAGE('Monthly CF''s'!AB53:AM53)</f>
        <v>6.3323689876464848E-2</v>
      </c>
      <c r="L50" s="971"/>
      <c r="M50" s="971">
        <f>AVERAGE('Monthly CF''s'!AN53:AY53)</f>
        <v>5.1124370216427684E-2</v>
      </c>
      <c r="N50" s="971"/>
      <c r="O50" s="966">
        <f>AVERAGE('Monthly CF''s'!AZ53:BK53)</f>
        <v>5.8334407890984846E-2</v>
      </c>
      <c r="P50" s="966"/>
      <c r="Q50" s="966">
        <f>AVERAGE('Monthly CF''s'!BL53:BW53)</f>
        <v>6.5759234646113537E-2</v>
      </c>
      <c r="R50" s="967"/>
      <c r="T50" s="632"/>
      <c r="U50" s="632"/>
      <c r="V50" s="632"/>
      <c r="W50" s="632"/>
      <c r="X50" s="632"/>
      <c r="Y50" s="632"/>
      <c r="Z50" s="632"/>
      <c r="AA50" s="632"/>
      <c r="AB50" s="632"/>
    </row>
    <row r="51" spans="2:28">
      <c r="B51" s="606" t="s">
        <v>236</v>
      </c>
      <c r="C51" s="607"/>
      <c r="D51" s="662"/>
      <c r="E51" s="606" t="s">
        <v>50</v>
      </c>
      <c r="F51" s="609"/>
      <c r="G51" s="89" t="s">
        <v>79</v>
      </c>
      <c r="H51" s="95"/>
      <c r="I51" s="95"/>
      <c r="J51" s="95"/>
      <c r="K51" s="95"/>
      <c r="L51" s="95"/>
      <c r="M51" s="95"/>
      <c r="N51" s="95"/>
      <c r="O51" s="95"/>
      <c r="P51" s="618"/>
      <c r="Q51" s="620"/>
      <c r="R51" s="621"/>
      <c r="T51" s="632"/>
      <c r="U51" s="632"/>
      <c r="V51" s="632"/>
      <c r="W51" s="632"/>
      <c r="X51" s="632"/>
      <c r="Y51" s="632"/>
      <c r="Z51" s="632"/>
      <c r="AA51" s="632"/>
      <c r="AB51" s="632"/>
    </row>
    <row r="52" spans="2:28">
      <c r="B52" s="520" t="s">
        <v>241</v>
      </c>
      <c r="C52" s="795">
        <f>+C43/C17</f>
        <v>169.97785408585185</v>
      </c>
      <c r="D52" s="505"/>
      <c r="E52" s="20" t="s">
        <v>195</v>
      </c>
      <c r="F52" s="647">
        <v>45658</v>
      </c>
      <c r="G52" s="28" t="s">
        <v>80</v>
      </c>
      <c r="H52" s="32"/>
      <c r="I52" s="980">
        <f>F57+162</f>
        <v>46447</v>
      </c>
      <c r="J52" s="980"/>
      <c r="K52" s="961">
        <f>EDATE(I52,12)</f>
        <v>46813</v>
      </c>
      <c r="L52" s="961"/>
      <c r="M52" s="961">
        <f>EDATE(K52,12)</f>
        <v>47178</v>
      </c>
      <c r="N52" s="961"/>
      <c r="O52" s="961">
        <f>EDATE(M52,11)</f>
        <v>47515</v>
      </c>
      <c r="P52" s="961"/>
      <c r="Q52" s="961">
        <f>EDATE(O52,12)</f>
        <v>47880</v>
      </c>
      <c r="R52" s="968"/>
      <c r="T52" s="632"/>
      <c r="U52" s="632"/>
      <c r="V52" s="632"/>
      <c r="W52" s="632"/>
      <c r="X52" s="632"/>
      <c r="Y52" s="632"/>
      <c r="Z52" s="632"/>
      <c r="AA52" s="632"/>
      <c r="AB52" s="632"/>
    </row>
    <row r="53" spans="2:28">
      <c r="B53" s="26" t="s">
        <v>257</v>
      </c>
      <c r="C53" s="752">
        <v>0.03</v>
      </c>
      <c r="D53" s="504"/>
      <c r="E53" s="20" t="s">
        <v>7</v>
      </c>
      <c r="F53" s="85">
        <v>45717</v>
      </c>
      <c r="G53" s="9" t="s">
        <v>81</v>
      </c>
      <c r="H53" s="10"/>
      <c r="I53" s="945">
        <f>YEARFRAC($F$54,I52)</f>
        <v>2.1666666666666665</v>
      </c>
      <c r="J53" s="945"/>
      <c r="K53" s="945">
        <f>YEARFRAC($F$54,K52)</f>
        <v>3.1666666666666665</v>
      </c>
      <c r="L53" s="945"/>
      <c r="M53" s="945">
        <f>YEARFRAC($F$54,M52)</f>
        <v>4.166666666666667</v>
      </c>
      <c r="N53" s="945"/>
      <c r="O53" s="981">
        <f>YEARFRAC($F$54,O52)</f>
        <v>5.083333333333333</v>
      </c>
      <c r="P53" s="945"/>
      <c r="Q53" s="945">
        <f>YEARFRAC($F$54,Q52)</f>
        <v>6.083333333333333</v>
      </c>
      <c r="R53" s="969"/>
      <c r="T53" s="632"/>
      <c r="U53" s="632"/>
      <c r="V53" s="632"/>
      <c r="W53" s="632"/>
      <c r="X53" s="632"/>
      <c r="Y53" s="632"/>
      <c r="Z53" s="632"/>
      <c r="AA53" s="632"/>
      <c r="AB53" s="632"/>
    </row>
    <row r="54" spans="2:28">
      <c r="B54" s="26" t="s">
        <v>340</v>
      </c>
      <c r="C54" s="752">
        <v>0.03</v>
      </c>
      <c r="D54" s="504"/>
      <c r="E54" s="20" t="s">
        <v>8</v>
      </c>
      <c r="F54" s="85">
        <v>45658</v>
      </c>
      <c r="G54" s="12" t="s">
        <v>85</v>
      </c>
      <c r="H54" s="12"/>
      <c r="I54" s="948">
        <v>0.06</v>
      </c>
      <c r="J54" s="948"/>
      <c r="K54" s="948">
        <v>5.8500000000000003E-2</v>
      </c>
      <c r="L54" s="948"/>
      <c r="M54" s="948">
        <v>5.7500000000000002E-2</v>
      </c>
      <c r="N54" s="948"/>
      <c r="O54" s="948">
        <v>5.7500000000000002E-2</v>
      </c>
      <c r="P54" s="948"/>
      <c r="Q54" s="948">
        <v>5.7500000000000002E-2</v>
      </c>
      <c r="R54" s="949"/>
    </row>
    <row r="55" spans="2:28">
      <c r="B55" s="26" t="s">
        <v>347</v>
      </c>
      <c r="C55" s="892">
        <v>1512000</v>
      </c>
      <c r="D55" s="27"/>
      <c r="E55" s="5" t="s">
        <v>228</v>
      </c>
      <c r="F55" s="85">
        <v>45962</v>
      </c>
      <c r="G55" s="5" t="s">
        <v>82</v>
      </c>
      <c r="I55" s="982">
        <f>(((I44)-K46)/I54)+'RE Tax Abatement NPV'!D7</f>
        <v>103201674.10902235</v>
      </c>
      <c r="J55" s="921"/>
      <c r="K55" s="921">
        <f>(K44-K46)/K54+'RE Tax Abatement NPV'!F7</f>
        <v>108258536.12975293</v>
      </c>
      <c r="L55" s="921"/>
      <c r="M55" s="921">
        <f>(M44-M46)/M54+'RE Tax Abatement NPV'!H7</f>
        <v>112053060.89406872</v>
      </c>
      <c r="N55" s="921"/>
      <c r="O55" s="921">
        <f>(O44-O46)/O54+'RE Tax Abatement NPV'!J7</f>
        <v>114175689.17321694</v>
      </c>
      <c r="P55" s="921"/>
      <c r="Q55" s="921">
        <f>(O44-O46)/Q54+'RE Tax Abatement NPV'!L7</f>
        <v>112958547.38604692</v>
      </c>
      <c r="R55" s="922"/>
    </row>
    <row r="56" spans="2:28">
      <c r="B56" s="26"/>
      <c r="C56" s="503">
        <f>+C55+C43</f>
        <v>93064621.878451094</v>
      </c>
      <c r="D56" s="27"/>
      <c r="E56" s="5" t="s">
        <v>9</v>
      </c>
      <c r="F56" s="85">
        <v>46266</v>
      </c>
      <c r="G56" s="5" t="s">
        <v>83</v>
      </c>
      <c r="I56" s="923">
        <f>-VLOOKUP(I52,'AM Table - Construction Loan'!$C$11:$L$71,'AM Table - Construction Loan'!$E$1,FALSE)</f>
        <v>-69030676.896352112</v>
      </c>
      <c r="J56" s="923"/>
      <c r="K56" s="923">
        <f>-VLOOKUP(K52,'AM Table - Perm Loan'!$C$10:$G$70,'AM Table - Perm Loan'!$D$1,FALSE)</f>
        <v>-67649653.537440658</v>
      </c>
      <c r="L56" s="923"/>
      <c r="M56" s="923">
        <f>-VLOOKUP(M52,'AM Table - Perm Loan'!$C$10:$G$70,'AM Table - Perm Loan'!$D$1,FALSE)</f>
        <v>-66651573.992752813</v>
      </c>
      <c r="N56" s="923"/>
      <c r="O56" s="923">
        <f>-VLOOKUP(O52,'AM Table - Perm Loan'!$C$10:$G$70,'AM Table - Perm Loan'!$D$1,FALSE)</f>
        <v>-65691872.636418484</v>
      </c>
      <c r="P56" s="923"/>
      <c r="Q56" s="923">
        <f>-VLOOKUP(Q52,'AM Table - Perm Loan'!$C$10:$G$70,'AM Table - Perm Loan'!$D$1,FALSE)</f>
        <v>-64593629.305197716</v>
      </c>
      <c r="R56" s="924"/>
    </row>
    <row r="57" spans="2:28">
      <c r="B57" s="26"/>
      <c r="D57" s="27"/>
      <c r="E57" s="5" t="s">
        <v>229</v>
      </c>
      <c r="F57" s="85">
        <v>46285</v>
      </c>
      <c r="G57" s="1030">
        <v>6.0000000000000001E-3</v>
      </c>
      <c r="H57" s="1031"/>
      <c r="I57" s="976">
        <f>-(I55*$G$57)</f>
        <v>-619210.04465413408</v>
      </c>
      <c r="J57" s="976"/>
      <c r="K57" s="976">
        <f>-(K55*$G$57)</f>
        <v>-649551.21677851758</v>
      </c>
      <c r="L57" s="976"/>
      <c r="M57" s="976">
        <f>-(M55*$G$57)</f>
        <v>-672318.36536441231</v>
      </c>
      <c r="N57" s="976"/>
      <c r="O57" s="923">
        <f>-(O55*$G$57)</f>
        <v>-685054.13503930171</v>
      </c>
      <c r="P57" s="923"/>
      <c r="Q57" s="923">
        <f t="shared" ref="Q57" si="21">-(Q55*$G$57)</f>
        <v>-677751.28431628156</v>
      </c>
      <c r="R57" s="924"/>
      <c r="U57" s="708"/>
      <c r="V57" s="708"/>
      <c r="W57" s="708"/>
      <c r="X57" s="709"/>
      <c r="Y57" s="709"/>
    </row>
    <row r="58" spans="2:28" ht="20.25" customHeight="1" thickBot="1">
      <c r="B58" s="518"/>
      <c r="C58" s="519"/>
      <c r="D58" s="531"/>
      <c r="E58" s="519"/>
      <c r="F58" s="40"/>
      <c r="G58" s="35" t="s">
        <v>84</v>
      </c>
      <c r="H58" s="35"/>
      <c r="I58" s="952">
        <f>SUM(I55:J57)</f>
        <v>33551787.168016102</v>
      </c>
      <c r="J58" s="952"/>
      <c r="K58" s="952">
        <f>SUM(K55:L57)</f>
        <v>39959331.37553376</v>
      </c>
      <c r="L58" s="952"/>
      <c r="M58" s="952">
        <f>SUM(M55:N57)</f>
        <v>44729168.535951495</v>
      </c>
      <c r="N58" s="952"/>
      <c r="O58" s="952">
        <f>SUM(O55:P57)</f>
        <v>47798762.401759155</v>
      </c>
      <c r="P58" s="919"/>
      <c r="Q58" s="919">
        <f t="shared" ref="Q58" si="22">SUM(Q55:R57)</f>
        <v>47687166.796532921</v>
      </c>
      <c r="R58" s="920"/>
      <c r="U58" s="708"/>
      <c r="V58" s="708"/>
      <c r="W58" s="708"/>
      <c r="X58" s="709"/>
      <c r="Y58" s="709"/>
    </row>
    <row r="59" spans="2:28" ht="20.25" customHeight="1" thickBot="1">
      <c r="B59" s="26" t="s">
        <v>398</v>
      </c>
      <c r="C59" s="752"/>
      <c r="D59" s="794"/>
      <c r="G59" s="739"/>
      <c r="H59" s="613"/>
      <c r="I59" s="640"/>
      <c r="J59" s="640"/>
      <c r="K59" s="640"/>
      <c r="L59" s="640"/>
      <c r="M59" s="640"/>
      <c r="N59" s="640"/>
      <c r="O59" s="640"/>
      <c r="P59" s="640"/>
      <c r="Q59" s="641"/>
      <c r="R59" s="641"/>
      <c r="U59" s="708"/>
      <c r="V59" s="708"/>
      <c r="W59" s="708"/>
      <c r="X59" s="709"/>
      <c r="Y59" s="709"/>
    </row>
    <row r="60" spans="2:28" ht="20.25" customHeight="1">
      <c r="B60" s="673" t="s">
        <v>242</v>
      </c>
      <c r="C60" s="674"/>
      <c r="D60" s="674"/>
      <c r="E60" s="674"/>
      <c r="F60" s="674"/>
      <c r="G60" s="674"/>
      <c r="H60" s="675"/>
      <c r="I60" s="674"/>
      <c r="J60" s="674"/>
      <c r="K60" s="674"/>
      <c r="L60" s="674"/>
      <c r="M60" s="674"/>
      <c r="N60" s="674"/>
      <c r="O60" s="674"/>
      <c r="P60" s="674"/>
      <c r="Q60" s="674"/>
      <c r="R60" s="675"/>
      <c r="U60" s="708"/>
      <c r="V60" s="708"/>
      <c r="W60" s="708"/>
      <c r="X60" s="709"/>
      <c r="Y60" s="709"/>
    </row>
    <row r="61" spans="2:28" ht="20.25" customHeight="1">
      <c r="B61" s="1013" t="s">
        <v>89</v>
      </c>
      <c r="C61" s="959" t="s">
        <v>81</v>
      </c>
      <c r="D61" s="959"/>
      <c r="E61" s="959" t="s">
        <v>233</v>
      </c>
      <c r="F61" s="957" t="s">
        <v>19</v>
      </c>
      <c r="G61" s="1021" t="s">
        <v>19</v>
      </c>
      <c r="H61" s="1022"/>
      <c r="I61" s="1028" t="s">
        <v>90</v>
      </c>
      <c r="J61" s="1028"/>
      <c r="K61" s="1028"/>
      <c r="L61" s="1028"/>
      <c r="M61" s="1028"/>
      <c r="N61" s="938" t="s">
        <v>369</v>
      </c>
      <c r="O61" s="939"/>
      <c r="P61" s="939"/>
      <c r="Q61" s="939"/>
      <c r="R61" s="940"/>
      <c r="U61" s="708"/>
      <c r="V61" s="708"/>
      <c r="W61" s="708"/>
      <c r="X61" s="709"/>
      <c r="Y61" s="709"/>
    </row>
    <row r="62" spans="2:28" ht="15.75">
      <c r="B62" s="1014"/>
      <c r="C62" s="960"/>
      <c r="D62" s="960"/>
      <c r="E62" s="960"/>
      <c r="F62" s="958"/>
      <c r="G62" s="1023"/>
      <c r="H62" s="1024"/>
      <c r="I62" s="1026" t="s">
        <v>225</v>
      </c>
      <c r="J62" s="1026"/>
      <c r="K62" s="1026"/>
      <c r="L62" s="1029" t="s">
        <v>226</v>
      </c>
      <c r="M62" s="1029"/>
      <c r="N62" s="928" t="s">
        <v>91</v>
      </c>
      <c r="O62" s="929"/>
      <c r="P62" s="929"/>
      <c r="Q62" s="943" t="s">
        <v>92</v>
      </c>
      <c r="R62" s="944"/>
    </row>
    <row r="63" spans="2:28">
      <c r="B63" s="545">
        <f>I52</f>
        <v>46447</v>
      </c>
      <c r="C63" s="1011">
        <f>$I$53</f>
        <v>2.1666666666666665</v>
      </c>
      <c r="D63" s="1011"/>
      <c r="E63" s="676">
        <f>I55</f>
        <v>103201674.10902235</v>
      </c>
      <c r="F63" s="912">
        <f>E63/$C$15</f>
        <v>182981.69168266375</v>
      </c>
      <c r="G63" s="1019">
        <f>E63/$C$16</f>
        <v>113909.13257066485</v>
      </c>
      <c r="H63" s="1020"/>
      <c r="I63" s="931">
        <f>+Summary!E5</f>
        <v>0.19708642363548279</v>
      </c>
      <c r="J63" s="931"/>
      <c r="K63" s="931"/>
      <c r="L63" s="926">
        <f>+Summary!G5</f>
        <v>1.4728744193600007</v>
      </c>
      <c r="M63" s="926"/>
      <c r="N63" s="930">
        <f>Summary!I5</f>
        <v>0.182702785730362</v>
      </c>
      <c r="O63" s="931"/>
      <c r="P63" s="931"/>
      <c r="Q63" s="926">
        <f>+Summary!K5</f>
        <v>1.4349888140171319</v>
      </c>
      <c r="R63" s="941"/>
    </row>
    <row r="64" spans="2:28">
      <c r="B64" s="914">
        <f>K52</f>
        <v>46813</v>
      </c>
      <c r="C64" s="1012">
        <f>$K$53</f>
        <v>3.1666666666666665</v>
      </c>
      <c r="D64" s="1012"/>
      <c r="E64" s="915">
        <f>K55</f>
        <v>108258536.12975293</v>
      </c>
      <c r="F64" s="916">
        <f>E64/$C$15</f>
        <v>191947.75909530662</v>
      </c>
      <c r="G64" s="1017">
        <f>E64/$C$16</f>
        <v>119490.65797985975</v>
      </c>
      <c r="H64" s="1018"/>
      <c r="I64" s="933">
        <f>+Summary!E6</f>
        <v>0.20005646347999576</v>
      </c>
      <c r="J64" s="933"/>
      <c r="K64" s="933"/>
      <c r="L64" s="927">
        <f>+Summary!G6</f>
        <v>1.7656883346301457</v>
      </c>
      <c r="M64" s="927"/>
      <c r="N64" s="932">
        <f>Summary!I6</f>
        <v>0.18493979573249819</v>
      </c>
      <c r="O64" s="933"/>
      <c r="P64" s="933"/>
      <c r="Q64" s="927">
        <f>+Summary!K6</f>
        <v>1.6968203806849746</v>
      </c>
      <c r="R64" s="942"/>
    </row>
    <row r="65" spans="2:18">
      <c r="B65" s="545">
        <f>M52</f>
        <v>47178</v>
      </c>
      <c r="C65" s="1011">
        <f>$M$53</f>
        <v>4.166666666666667</v>
      </c>
      <c r="D65" s="1011"/>
      <c r="E65" s="676">
        <f>M55</f>
        <v>112053060.89406872</v>
      </c>
      <c r="F65" s="912">
        <f>E65/$C$15</f>
        <v>198675.63988310055</v>
      </c>
      <c r="G65" s="1019">
        <f>E65/$C$16</f>
        <v>123678.87515901624</v>
      </c>
      <c r="H65" s="1020"/>
      <c r="I65" s="931">
        <f>+Summary!E7</f>
        <v>0.1888221204280853</v>
      </c>
      <c r="J65" s="931"/>
      <c r="K65" s="931"/>
      <c r="L65" s="926">
        <f>+Summary!G7</f>
        <v>2.0145168495418742</v>
      </c>
      <c r="M65" s="926"/>
      <c r="N65" s="930">
        <f>Summary!I7</f>
        <v>0.17590917944908144</v>
      </c>
      <c r="O65" s="931"/>
      <c r="P65" s="931"/>
      <c r="Q65" s="926">
        <f>+Summary!K7</f>
        <v>1.9260893210495937</v>
      </c>
      <c r="R65" s="941"/>
    </row>
    <row r="66" spans="2:18" ht="15.75" thickBot="1">
      <c r="B66" s="546">
        <f>O52</f>
        <v>47515</v>
      </c>
      <c r="C66" s="1010">
        <f>$O$53</f>
        <v>5.083333333333333</v>
      </c>
      <c r="D66" s="1010"/>
      <c r="E66" s="677">
        <f>O55</f>
        <v>114175689.17321694</v>
      </c>
      <c r="F66" s="913">
        <f>E66/$C$15</f>
        <v>202439.16520073925</v>
      </c>
      <c r="G66" s="955">
        <f>E66/$C$16</f>
        <v>126021.73197926814</v>
      </c>
      <c r="H66" s="956"/>
      <c r="I66" s="935">
        <f>+Summary!E8</f>
        <v>0.17446634173393252</v>
      </c>
      <c r="J66" s="935"/>
      <c r="K66" s="935"/>
      <c r="L66" s="950">
        <f>+Summary!G8</f>
        <v>2.1949696340659703</v>
      </c>
      <c r="M66" s="950"/>
      <c r="N66" s="934">
        <f>Summary!I8</f>
        <v>0.16337835192680361</v>
      </c>
      <c r="O66" s="935"/>
      <c r="P66" s="935"/>
      <c r="Q66" s="950">
        <f>+Summary!K8</f>
        <v>2.0932241878950753</v>
      </c>
      <c r="R66" s="951"/>
    </row>
    <row r="67" spans="2:18" ht="15.75" hidden="1" customHeight="1" thickBot="1">
      <c r="B67" s="777">
        <f>Q52</f>
        <v>47880</v>
      </c>
      <c r="C67" s="1025">
        <f>+Q53</f>
        <v>6.083333333333333</v>
      </c>
      <c r="D67" s="1025"/>
      <c r="E67" s="893">
        <f>+Q55</f>
        <v>112958547.38604692</v>
      </c>
      <c r="F67" s="894">
        <f>E67/$C$15</f>
        <v>200281.112386608</v>
      </c>
      <c r="G67" s="1015">
        <f>E67/$C$16</f>
        <v>124678.30837312022</v>
      </c>
      <c r="H67" s="1016"/>
      <c r="I67" s="1027">
        <f>+Summary!E9</f>
        <v>-0.26943729259073734</v>
      </c>
      <c r="J67" s="1027"/>
      <c r="K67" s="1027"/>
      <c r="L67" s="917">
        <f>+Summary!G9</f>
        <v>0.27112480664439687</v>
      </c>
      <c r="M67" s="917"/>
      <c r="N67" s="936">
        <f>Summary!I9</f>
        <v>-0.26943729259073734</v>
      </c>
      <c r="O67" s="937"/>
      <c r="P67" s="937"/>
      <c r="Q67" s="917">
        <f>+Summary!K9</f>
        <v>0.27112480664439692</v>
      </c>
      <c r="R67" s="918"/>
    </row>
    <row r="72" spans="2:18">
      <c r="D72" s="807"/>
      <c r="E72" s="807"/>
    </row>
    <row r="73" spans="2:18" ht="15" customHeight="1">
      <c r="C73" s="796"/>
      <c r="E73" s="796"/>
    </row>
    <row r="74" spans="2:18" ht="15" customHeight="1"/>
    <row r="75" spans="2:18" ht="15" customHeight="1">
      <c r="D75" s="808"/>
    </row>
    <row r="76" spans="2:18" ht="15" customHeight="1"/>
    <row r="77" spans="2:18" ht="15" customHeight="1"/>
    <row r="78" spans="2:18" ht="15" customHeight="1"/>
    <row r="79" spans="2:18" ht="15.75" customHeight="1"/>
    <row r="84" ht="21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.75" customHeight="1"/>
    <row r="96" ht="21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.75" customHeight="1"/>
    <row r="108" ht="21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.75" customHeight="1"/>
    <row r="121" ht="15" customHeight="1"/>
    <row r="122" ht="15" customHeight="1"/>
    <row r="123" ht="15" customHeight="1"/>
    <row r="124" ht="15" customHeight="1"/>
    <row r="125" ht="15" customHeight="1"/>
    <row r="126" ht="15" customHeight="1"/>
    <row r="127" ht="15.75" customHeight="1"/>
    <row r="134" ht="21" customHeight="1"/>
    <row r="135" ht="15" customHeight="1"/>
    <row r="136" ht="15" customHeight="1"/>
    <row r="137" ht="15" customHeight="1"/>
    <row r="138" ht="15" customHeight="1"/>
    <row r="139" ht="15" customHeight="1"/>
    <row r="140" ht="15" customHeight="1"/>
    <row r="141" ht="15.75" customHeight="1"/>
    <row r="146" spans="9:18" ht="21" customHeight="1"/>
    <row r="147" spans="9:18" ht="15" customHeight="1"/>
    <row r="148" spans="9:18" ht="15" customHeight="1"/>
    <row r="149" spans="9:18" ht="15" customHeight="1"/>
    <row r="150" spans="9:18" ht="15" customHeight="1"/>
    <row r="151" spans="9:18" ht="15" customHeight="1"/>
    <row r="152" spans="9:18" ht="15" customHeight="1"/>
    <row r="153" spans="9:18" ht="15.75" customHeight="1"/>
    <row r="154" spans="9:18">
      <c r="I154" s="716"/>
    </row>
    <row r="155" spans="9:18" ht="15.75" thickBot="1">
      <c r="I155" s="716"/>
    </row>
    <row r="156" spans="9:18" ht="15.75" thickBot="1">
      <c r="I156" s="716">
        <v>8</v>
      </c>
      <c r="J156" s="1039">
        <f>+B65</f>
        <v>47178</v>
      </c>
      <c r="K156" s="1040"/>
      <c r="L156" s="1040"/>
      <c r="M156" s="717"/>
      <c r="N156" s="717"/>
      <c r="O156" s="717"/>
      <c r="P156" s="717"/>
      <c r="Q156" s="1041">
        <f>+C65</f>
        <v>4.166666666666667</v>
      </c>
      <c r="R156" s="1042"/>
    </row>
    <row r="157" spans="9:18">
      <c r="I157" s="716"/>
      <c r="J157" s="1032" t="s">
        <v>370</v>
      </c>
      <c r="K157" s="1033"/>
      <c r="L157" s="1033"/>
      <c r="M157" s="1033"/>
      <c r="N157" s="1033"/>
      <c r="O157" s="1033"/>
      <c r="P157" s="1033"/>
      <c r="Q157" s="1033"/>
      <c r="R157" s="1034"/>
    </row>
    <row r="158" spans="9:18" ht="21" customHeight="1">
      <c r="I158" s="716"/>
      <c r="J158" s="1035" t="s">
        <v>366</v>
      </c>
      <c r="K158" s="718"/>
      <c r="L158" s="1037" t="s">
        <v>248</v>
      </c>
      <c r="M158" s="1037"/>
      <c r="N158" s="1037"/>
      <c r="O158" s="1037"/>
      <c r="P158" s="1037"/>
      <c r="Q158" s="1037"/>
      <c r="R158" s="1038"/>
    </row>
    <row r="159" spans="9:18" ht="15" customHeight="1">
      <c r="I159" s="716"/>
      <c r="J159" s="1035"/>
      <c r="K159" s="719">
        <f>+N65</f>
        <v>0.17590917944908144</v>
      </c>
      <c r="L159" s="722">
        <v>0.18</v>
      </c>
      <c r="M159" s="722">
        <v>0.15</v>
      </c>
      <c r="N159" s="722">
        <v>0.12</v>
      </c>
      <c r="O159" s="896">
        <v>0.09</v>
      </c>
      <c r="P159" s="722">
        <v>0.06</v>
      </c>
      <c r="Q159" s="722">
        <v>0.03</v>
      </c>
      <c r="R159" s="723">
        <v>0</v>
      </c>
    </row>
    <row r="160" spans="9:18" ht="15" customHeight="1">
      <c r="I160" s="716"/>
      <c r="J160" s="1035"/>
      <c r="K160" s="720">
        <v>0.06</v>
      </c>
      <c r="L160" s="724"/>
      <c r="M160" s="725"/>
      <c r="N160" s="725"/>
      <c r="O160" s="725"/>
      <c r="P160" s="725"/>
      <c r="Q160" s="725"/>
      <c r="R160" s="726"/>
    </row>
    <row r="161" spans="9:18" ht="15" customHeight="1">
      <c r="I161" s="716"/>
      <c r="J161" s="1035"/>
      <c r="K161" s="720">
        <v>6.25E-2</v>
      </c>
      <c r="L161" s="727"/>
      <c r="M161" s="728"/>
      <c r="N161" s="728"/>
      <c r="O161" s="728"/>
      <c r="P161" s="728"/>
      <c r="Q161" s="728"/>
      <c r="R161" s="729"/>
    </row>
    <row r="162" spans="9:18" ht="15" customHeight="1">
      <c r="I162" s="716"/>
      <c r="J162" s="1035"/>
      <c r="K162" s="720">
        <v>6.5000000000000002E-2</v>
      </c>
      <c r="L162" s="727"/>
      <c r="M162" s="728"/>
      <c r="N162" s="728"/>
      <c r="O162" s="728"/>
      <c r="P162" s="728"/>
      <c r="Q162" s="728"/>
      <c r="R162" s="729"/>
    </row>
    <row r="163" spans="9:18" ht="15" customHeight="1">
      <c r="I163" s="716"/>
      <c r="J163" s="1035"/>
      <c r="K163" s="720">
        <v>6.7500000000000004E-2</v>
      </c>
      <c r="L163" s="727"/>
      <c r="M163" s="728"/>
      <c r="N163" s="728"/>
      <c r="O163" s="728"/>
      <c r="P163" s="728"/>
      <c r="Q163" s="728"/>
      <c r="R163" s="729"/>
    </row>
    <row r="164" spans="9:18" ht="15" customHeight="1">
      <c r="I164" s="716"/>
      <c r="J164" s="1035"/>
      <c r="K164" s="720">
        <v>7.0000000000000007E-2</v>
      </c>
      <c r="L164" s="727"/>
      <c r="M164" s="728"/>
      <c r="N164" s="728"/>
      <c r="O164" s="728"/>
      <c r="P164" s="728"/>
      <c r="Q164" s="728"/>
      <c r="R164" s="729"/>
    </row>
    <row r="165" spans="9:18" ht="15.75" customHeight="1" thickBot="1">
      <c r="I165" s="716"/>
      <c r="J165" s="1036"/>
      <c r="K165" s="721">
        <v>7.2499999999999995E-2</v>
      </c>
      <c r="L165" s="730"/>
      <c r="M165" s="731"/>
      <c r="N165" s="731"/>
      <c r="O165" s="731"/>
      <c r="P165" s="731"/>
      <c r="Q165" s="731"/>
      <c r="R165" s="732"/>
    </row>
    <row r="166" spans="9:18">
      <c r="I166" s="716"/>
    </row>
    <row r="167" spans="9:18" ht="15.75" thickBot="1">
      <c r="I167" s="716"/>
    </row>
    <row r="168" spans="9:18" ht="15.75" thickBot="1">
      <c r="I168" s="716">
        <v>9</v>
      </c>
      <c r="J168" s="1039">
        <f>+B66</f>
        <v>47515</v>
      </c>
      <c r="K168" s="1040"/>
      <c r="L168" s="1040"/>
      <c r="M168" s="717"/>
      <c r="N168" s="717"/>
      <c r="O168" s="717"/>
      <c r="P168" s="717"/>
      <c r="Q168" s="1041">
        <f>+C66</f>
        <v>5.083333333333333</v>
      </c>
      <c r="R168" s="1042"/>
    </row>
    <row r="169" spans="9:18">
      <c r="I169" s="716"/>
      <c r="J169" s="1032" t="s">
        <v>370</v>
      </c>
      <c r="K169" s="1033"/>
      <c r="L169" s="1033"/>
      <c r="M169" s="1033"/>
      <c r="N169" s="1033"/>
      <c r="O169" s="1033"/>
      <c r="P169" s="1033"/>
      <c r="Q169" s="1033"/>
      <c r="R169" s="1034"/>
    </row>
    <row r="170" spans="9:18" ht="21" customHeight="1">
      <c r="I170" s="716"/>
      <c r="J170" s="1035" t="s">
        <v>366</v>
      </c>
      <c r="K170" s="718"/>
      <c r="L170" s="1037" t="s">
        <v>248</v>
      </c>
      <c r="M170" s="1037"/>
      <c r="N170" s="1037"/>
      <c r="O170" s="1037"/>
      <c r="P170" s="1037"/>
      <c r="Q170" s="1037"/>
      <c r="R170" s="1038"/>
    </row>
    <row r="171" spans="9:18" ht="15" customHeight="1">
      <c r="I171" s="716"/>
      <c r="J171" s="1035"/>
      <c r="K171" s="719">
        <f>+N66</f>
        <v>0.16337835192680361</v>
      </c>
      <c r="L171" s="722">
        <v>0.18</v>
      </c>
      <c r="M171" s="722">
        <v>0.15</v>
      </c>
      <c r="N171" s="722">
        <v>0.12</v>
      </c>
      <c r="O171" s="896">
        <v>0.09</v>
      </c>
      <c r="P171" s="722">
        <v>0.06</v>
      </c>
      <c r="Q171" s="722">
        <v>0.03</v>
      </c>
      <c r="R171" s="723">
        <v>0</v>
      </c>
    </row>
    <row r="172" spans="9:18" ht="15" customHeight="1">
      <c r="I172" s="716"/>
      <c r="J172" s="1035"/>
      <c r="K172" s="720">
        <v>0.06</v>
      </c>
      <c r="L172" s="724"/>
      <c r="M172" s="725"/>
      <c r="N172" s="725"/>
      <c r="O172" s="725"/>
      <c r="P172" s="725"/>
      <c r="Q172" s="725"/>
      <c r="R172" s="733"/>
    </row>
    <row r="173" spans="9:18" ht="15" customHeight="1">
      <c r="I173" s="716"/>
      <c r="J173" s="1035"/>
      <c r="K173" s="720">
        <v>6.25E-2</v>
      </c>
      <c r="L173" s="727"/>
      <c r="M173" s="728"/>
      <c r="N173" s="728"/>
      <c r="O173" s="728"/>
      <c r="P173" s="728"/>
      <c r="Q173" s="728"/>
      <c r="R173" s="729"/>
    </row>
    <row r="174" spans="9:18" ht="15" customHeight="1">
      <c r="I174" s="716"/>
      <c r="J174" s="1035"/>
      <c r="K174" s="720">
        <v>6.5000000000000002E-2</v>
      </c>
      <c r="L174" s="727"/>
      <c r="M174" s="728"/>
      <c r="N174" s="728"/>
      <c r="O174" s="728"/>
      <c r="P174" s="728"/>
      <c r="Q174" s="728"/>
      <c r="R174" s="729"/>
    </row>
    <row r="175" spans="9:18" ht="15" customHeight="1">
      <c r="I175" s="716"/>
      <c r="J175" s="1035"/>
      <c r="K175" s="720">
        <v>6.7500000000000004E-2</v>
      </c>
      <c r="L175" s="727"/>
      <c r="M175" s="728"/>
      <c r="N175" s="728"/>
      <c r="O175" s="728"/>
      <c r="P175" s="728"/>
      <c r="Q175" s="728"/>
      <c r="R175" s="729"/>
    </row>
    <row r="176" spans="9:18" ht="15" customHeight="1">
      <c r="I176" s="716"/>
      <c r="J176" s="1035"/>
      <c r="K176" s="720">
        <v>7.0000000000000007E-2</v>
      </c>
      <c r="L176" s="727"/>
      <c r="M176" s="728"/>
      <c r="N176" s="728"/>
      <c r="O176" s="728"/>
      <c r="P176" s="728"/>
      <c r="Q176" s="728"/>
      <c r="R176" s="729"/>
    </row>
    <row r="177" spans="9:18" ht="15.75" customHeight="1" thickBot="1">
      <c r="I177" s="716"/>
      <c r="J177" s="1036"/>
      <c r="K177" s="721">
        <v>7.2499999999999995E-2</v>
      </c>
      <c r="L177" s="730"/>
      <c r="M177" s="731"/>
      <c r="N177" s="731"/>
      <c r="O177" s="731"/>
      <c r="P177" s="731"/>
      <c r="Q177" s="731"/>
      <c r="R177" s="732"/>
    </row>
    <row r="178" spans="9:18">
      <c r="I178" s="716"/>
    </row>
    <row r="179" spans="9:18" ht="15.75" thickBot="1">
      <c r="I179" s="716"/>
    </row>
    <row r="180" spans="9:18" ht="15.75" thickBot="1">
      <c r="I180" s="716">
        <v>10</v>
      </c>
      <c r="J180" s="1039">
        <f>+B67</f>
        <v>47880</v>
      </c>
      <c r="K180" s="1040"/>
      <c r="L180" s="1040"/>
      <c r="M180" s="717"/>
      <c r="N180" s="717"/>
      <c r="O180" s="717"/>
      <c r="P180" s="717"/>
      <c r="Q180" s="1041">
        <f>+C67</f>
        <v>6.083333333333333</v>
      </c>
      <c r="R180" s="1042"/>
    </row>
    <row r="181" spans="9:18">
      <c r="I181" s="716"/>
      <c r="J181" s="1032" t="s">
        <v>370</v>
      </c>
      <c r="K181" s="1033"/>
      <c r="L181" s="1033"/>
      <c r="M181" s="1033"/>
      <c r="N181" s="1033"/>
      <c r="O181" s="1033"/>
      <c r="P181" s="1033"/>
      <c r="Q181" s="1033"/>
      <c r="R181" s="1034"/>
    </row>
    <row r="182" spans="9:18" ht="21">
      <c r="I182" s="716"/>
      <c r="J182" s="1035" t="s">
        <v>366</v>
      </c>
      <c r="K182" s="718"/>
      <c r="L182" s="1037" t="s">
        <v>248</v>
      </c>
      <c r="M182" s="1037"/>
      <c r="N182" s="1037"/>
      <c r="O182" s="1037"/>
      <c r="P182" s="1037"/>
      <c r="Q182" s="1037"/>
      <c r="R182" s="1038"/>
    </row>
    <row r="183" spans="9:18">
      <c r="I183" s="716"/>
      <c r="J183" s="1035"/>
      <c r="K183" s="719">
        <f>+N67</f>
        <v>-0.26943729259073734</v>
      </c>
      <c r="L183" s="722">
        <v>0.18</v>
      </c>
      <c r="M183" s="722">
        <v>0.15</v>
      </c>
      <c r="N183" s="722">
        <v>0.12</v>
      </c>
      <c r="O183" s="896">
        <v>0.09</v>
      </c>
      <c r="P183" s="722">
        <v>0.06</v>
      </c>
      <c r="Q183" s="722">
        <v>0.03</v>
      </c>
      <c r="R183" s="723">
        <v>0</v>
      </c>
    </row>
    <row r="184" spans="9:18">
      <c r="J184" s="1035"/>
      <c r="K184" s="720">
        <v>0.06</v>
      </c>
      <c r="L184" s="724"/>
      <c r="M184" s="725"/>
      <c r="N184" s="725"/>
      <c r="O184" s="725"/>
      <c r="P184" s="725"/>
      <c r="Q184" s="725"/>
      <c r="R184" s="726"/>
    </row>
    <row r="185" spans="9:18">
      <c r="J185" s="1035"/>
      <c r="K185" s="720">
        <v>6.25E-2</v>
      </c>
      <c r="L185" s="727"/>
      <c r="M185" s="728"/>
      <c r="N185" s="728"/>
      <c r="O185" s="728"/>
      <c r="P185" s="728"/>
      <c r="Q185" s="728"/>
      <c r="R185" s="729"/>
    </row>
    <row r="186" spans="9:18">
      <c r="J186" s="1035"/>
      <c r="K186" s="720">
        <v>6.5000000000000002E-2</v>
      </c>
      <c r="L186" s="727"/>
      <c r="M186" s="728"/>
      <c r="N186" s="728"/>
      <c r="O186" s="728"/>
      <c r="P186" s="728"/>
      <c r="Q186" s="728"/>
      <c r="R186" s="729"/>
    </row>
    <row r="187" spans="9:18">
      <c r="J187" s="1035"/>
      <c r="K187" s="720">
        <v>6.7500000000000004E-2</v>
      </c>
      <c r="L187" s="727"/>
      <c r="M187" s="728"/>
      <c r="N187" s="728"/>
      <c r="O187" s="728"/>
      <c r="P187" s="728"/>
      <c r="Q187" s="728"/>
      <c r="R187" s="729"/>
    </row>
    <row r="188" spans="9:18">
      <c r="J188" s="1035"/>
      <c r="K188" s="720">
        <v>7.0000000000000007E-2</v>
      </c>
      <c r="L188" s="727"/>
      <c r="M188" s="728"/>
      <c r="N188" s="728"/>
      <c r="O188" s="728"/>
      <c r="P188" s="728"/>
      <c r="Q188" s="728"/>
      <c r="R188" s="729"/>
    </row>
    <row r="189" spans="9:18" ht="15.75" thickBot="1">
      <c r="J189" s="1036"/>
      <c r="K189" s="721">
        <v>7.2499999999999995E-2</v>
      </c>
      <c r="L189" s="730"/>
      <c r="M189" s="731"/>
      <c r="N189" s="731"/>
      <c r="O189" s="731"/>
      <c r="P189" s="731"/>
      <c r="Q189" s="731"/>
      <c r="R189" s="732"/>
    </row>
  </sheetData>
  <mergeCells count="237">
    <mergeCell ref="J169:R169"/>
    <mergeCell ref="J170:J177"/>
    <mergeCell ref="L170:R170"/>
    <mergeCell ref="J180:L180"/>
    <mergeCell ref="Q180:R180"/>
    <mergeCell ref="J181:R181"/>
    <mergeCell ref="J182:J189"/>
    <mergeCell ref="L182:R182"/>
    <mergeCell ref="J156:L156"/>
    <mergeCell ref="Q156:R156"/>
    <mergeCell ref="J157:R157"/>
    <mergeCell ref="J158:J165"/>
    <mergeCell ref="L158:R158"/>
    <mergeCell ref="J168:L168"/>
    <mergeCell ref="Q168:R168"/>
    <mergeCell ref="C66:D66"/>
    <mergeCell ref="C65:D65"/>
    <mergeCell ref="C64:D64"/>
    <mergeCell ref="C63:D63"/>
    <mergeCell ref="I58:J58"/>
    <mergeCell ref="I54:J54"/>
    <mergeCell ref="B61:B62"/>
    <mergeCell ref="G67:H67"/>
    <mergeCell ref="G64:H64"/>
    <mergeCell ref="G65:H65"/>
    <mergeCell ref="G63:H63"/>
    <mergeCell ref="G61:H62"/>
    <mergeCell ref="C61:D62"/>
    <mergeCell ref="C67:D67"/>
    <mergeCell ref="I62:K62"/>
    <mergeCell ref="I63:K63"/>
    <mergeCell ref="I64:K64"/>
    <mergeCell ref="I65:K65"/>
    <mergeCell ref="I66:K66"/>
    <mergeCell ref="I67:K67"/>
    <mergeCell ref="I61:M61"/>
    <mergeCell ref="L62:M62"/>
    <mergeCell ref="G57:H57"/>
    <mergeCell ref="K58:L58"/>
    <mergeCell ref="U4:Z4"/>
    <mergeCell ref="W6:X6"/>
    <mergeCell ref="Q29:R29"/>
    <mergeCell ref="Q30:R30"/>
    <mergeCell ref="Q32:R32"/>
    <mergeCell ref="Q34:R34"/>
    <mergeCell ref="Q35:R35"/>
    <mergeCell ref="Q36:R36"/>
    <mergeCell ref="Q37:R37"/>
    <mergeCell ref="Q19:R19"/>
    <mergeCell ref="Q20:R20"/>
    <mergeCell ref="Q22:R22"/>
    <mergeCell ref="Q23:R23"/>
    <mergeCell ref="Q24:R24"/>
    <mergeCell ref="Q26:R26"/>
    <mergeCell ref="Q27:R27"/>
    <mergeCell ref="Q28:R28"/>
    <mergeCell ref="Q41:R41"/>
    <mergeCell ref="Q42:R42"/>
    <mergeCell ref="Q43:R43"/>
    <mergeCell ref="Q44:R44"/>
    <mergeCell ref="Q45:R45"/>
    <mergeCell ref="Q46:R46"/>
    <mergeCell ref="O30:P30"/>
    <mergeCell ref="M30:N30"/>
    <mergeCell ref="K30:L30"/>
    <mergeCell ref="M35:N35"/>
    <mergeCell ref="O35:P35"/>
    <mergeCell ref="M41:N41"/>
    <mergeCell ref="Q38:R38"/>
    <mergeCell ref="Q39:R39"/>
    <mergeCell ref="Q40:R40"/>
    <mergeCell ref="O45:P45"/>
    <mergeCell ref="K43:L43"/>
    <mergeCell ref="K42:L42"/>
    <mergeCell ref="K41:L41"/>
    <mergeCell ref="I30:J30"/>
    <mergeCell ref="O32:P32"/>
    <mergeCell ref="M32:N32"/>
    <mergeCell ref="K32:L32"/>
    <mergeCell ref="I32:J32"/>
    <mergeCell ref="O40:P40"/>
    <mergeCell ref="M40:N40"/>
    <mergeCell ref="K40:L40"/>
    <mergeCell ref="I40:J40"/>
    <mergeCell ref="I39:J39"/>
    <mergeCell ref="K39:L39"/>
    <mergeCell ref="M39:N39"/>
    <mergeCell ref="O39:P39"/>
    <mergeCell ref="I38:J38"/>
    <mergeCell ref="O38:P38"/>
    <mergeCell ref="M38:N38"/>
    <mergeCell ref="K38:L38"/>
    <mergeCell ref="O37:P37"/>
    <mergeCell ref="O34:P34"/>
    <mergeCell ref="M34:N34"/>
    <mergeCell ref="K34:L34"/>
    <mergeCell ref="I34:J34"/>
    <mergeCell ref="I35:J35"/>
    <mergeCell ref="K35:L35"/>
    <mergeCell ref="O28:P28"/>
    <mergeCell ref="O29:P29"/>
    <mergeCell ref="I23:J23"/>
    <mergeCell ref="I20:J20"/>
    <mergeCell ref="I19:J19"/>
    <mergeCell ref="K19:L19"/>
    <mergeCell ref="K20:L20"/>
    <mergeCell ref="K23:L23"/>
    <mergeCell ref="M19:N19"/>
    <mergeCell ref="M20:N20"/>
    <mergeCell ref="M23:N23"/>
    <mergeCell ref="M27:N27"/>
    <mergeCell ref="O19:P19"/>
    <mergeCell ref="O20:P20"/>
    <mergeCell ref="O23:P23"/>
    <mergeCell ref="O27:P27"/>
    <mergeCell ref="O26:P26"/>
    <mergeCell ref="O24:P24"/>
    <mergeCell ref="M22:N22"/>
    <mergeCell ref="O22:P22"/>
    <mergeCell ref="I26:J26"/>
    <mergeCell ref="I24:J24"/>
    <mergeCell ref="K24:L24"/>
    <mergeCell ref="I22:J22"/>
    <mergeCell ref="K22:L22"/>
    <mergeCell ref="K26:L26"/>
    <mergeCell ref="K28:L28"/>
    <mergeCell ref="K29:L29"/>
    <mergeCell ref="M24:N24"/>
    <mergeCell ref="M26:N26"/>
    <mergeCell ref="M28:N28"/>
    <mergeCell ref="M29:N29"/>
    <mergeCell ref="I27:J27"/>
    <mergeCell ref="K27:L27"/>
    <mergeCell ref="I29:J29"/>
    <mergeCell ref="I28:J28"/>
    <mergeCell ref="I56:J56"/>
    <mergeCell ref="O55:P55"/>
    <mergeCell ref="O46:P46"/>
    <mergeCell ref="O48:P48"/>
    <mergeCell ref="M48:N48"/>
    <mergeCell ref="K48:L48"/>
    <mergeCell ref="I48:J48"/>
    <mergeCell ref="I53:J53"/>
    <mergeCell ref="I52:J52"/>
    <mergeCell ref="K52:L52"/>
    <mergeCell ref="M54:N54"/>
    <mergeCell ref="O52:P52"/>
    <mergeCell ref="O53:P53"/>
    <mergeCell ref="O54:P54"/>
    <mergeCell ref="O56:P56"/>
    <mergeCell ref="M56:N56"/>
    <mergeCell ref="K56:L56"/>
    <mergeCell ref="O49:P49"/>
    <mergeCell ref="M46:N46"/>
    <mergeCell ref="I55:J55"/>
    <mergeCell ref="I36:J36"/>
    <mergeCell ref="K36:L36"/>
    <mergeCell ref="M36:N36"/>
    <mergeCell ref="O36:P36"/>
    <mergeCell ref="I37:J37"/>
    <mergeCell ref="K37:L37"/>
    <mergeCell ref="M37:N37"/>
    <mergeCell ref="I44:J44"/>
    <mergeCell ref="K44:L44"/>
    <mergeCell ref="M44:N44"/>
    <mergeCell ref="O44:P44"/>
    <mergeCell ref="M42:N42"/>
    <mergeCell ref="I45:J45"/>
    <mergeCell ref="O43:P43"/>
    <mergeCell ref="O42:P42"/>
    <mergeCell ref="O41:P41"/>
    <mergeCell ref="C48:D48"/>
    <mergeCell ref="O58:P58"/>
    <mergeCell ref="I43:J43"/>
    <mergeCell ref="I42:J42"/>
    <mergeCell ref="I41:J41"/>
    <mergeCell ref="I46:J46"/>
    <mergeCell ref="K46:L46"/>
    <mergeCell ref="M43:N43"/>
    <mergeCell ref="K45:L45"/>
    <mergeCell ref="M45:N45"/>
    <mergeCell ref="M50:N50"/>
    <mergeCell ref="K50:L50"/>
    <mergeCell ref="I50:J50"/>
    <mergeCell ref="I49:J49"/>
    <mergeCell ref="I47:J47"/>
    <mergeCell ref="O57:P57"/>
    <mergeCell ref="M57:N57"/>
    <mergeCell ref="K57:L57"/>
    <mergeCell ref="C47:D47"/>
    <mergeCell ref="I57:J57"/>
    <mergeCell ref="Q47:R47"/>
    <mergeCell ref="Q54:R54"/>
    <mergeCell ref="K47:L47"/>
    <mergeCell ref="M47:N47"/>
    <mergeCell ref="O47:P47"/>
    <mergeCell ref="Q66:R66"/>
    <mergeCell ref="M58:N58"/>
    <mergeCell ref="C49:D49"/>
    <mergeCell ref="M55:N55"/>
    <mergeCell ref="K55:L55"/>
    <mergeCell ref="M49:N49"/>
    <mergeCell ref="G66:H66"/>
    <mergeCell ref="L66:M66"/>
    <mergeCell ref="F61:F62"/>
    <mergeCell ref="E61:E62"/>
    <mergeCell ref="K53:L53"/>
    <mergeCell ref="M52:N52"/>
    <mergeCell ref="K54:L54"/>
    <mergeCell ref="Q48:R48"/>
    <mergeCell ref="Q49:R49"/>
    <mergeCell ref="Q50:R50"/>
    <mergeCell ref="Q52:R52"/>
    <mergeCell ref="Q53:R53"/>
    <mergeCell ref="O50:P50"/>
    <mergeCell ref="Q67:R67"/>
    <mergeCell ref="Q58:R58"/>
    <mergeCell ref="Q55:R55"/>
    <mergeCell ref="Q56:R56"/>
    <mergeCell ref="Q57:R57"/>
    <mergeCell ref="K49:L49"/>
    <mergeCell ref="L63:M63"/>
    <mergeCell ref="L64:M64"/>
    <mergeCell ref="L65:M65"/>
    <mergeCell ref="L67:M67"/>
    <mergeCell ref="N62:P62"/>
    <mergeCell ref="N63:P63"/>
    <mergeCell ref="N64:P64"/>
    <mergeCell ref="N65:P65"/>
    <mergeCell ref="N66:P66"/>
    <mergeCell ref="N67:P67"/>
    <mergeCell ref="N61:R61"/>
    <mergeCell ref="Q63:R63"/>
    <mergeCell ref="Q64:R64"/>
    <mergeCell ref="Q65:R65"/>
    <mergeCell ref="Q62:R62"/>
    <mergeCell ref="M53:N53"/>
  </mergeCells>
  <dataValidations count="2">
    <dataValidation type="list" allowBlank="1" showInputMessage="1" showErrorMessage="1" sqref="D13" xr:uid="{00000000-0002-0000-0000-000000000000}">
      <formula1>#REF!</formula1>
    </dataValidation>
    <dataValidation type="list" allowBlank="1" showInputMessage="1" showErrorMessage="1" sqref="W6" xr:uid="{00000000-0002-0000-0000-000001000000}">
      <formula1>$AB$5:$AB$7</formula1>
    </dataValidation>
  </dataValidations>
  <printOptions horizontalCentered="1"/>
  <pageMargins left="0.25" right="0.25" top="0.5" bottom="0.5" header="0.3" footer="0.3"/>
  <pageSetup paperSize="5" scale="44" orientation="landscape" r:id="rId1"/>
  <ignoredErrors>
    <ignoredError sqref="I47:R47" formulaRange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00D4"/>
  </sheetPr>
  <dimension ref="B1:R103"/>
  <sheetViews>
    <sheetView showGridLines="0" zoomScale="85" zoomScaleNormal="85" zoomScaleSheetLayoutView="90" workbookViewId="0"/>
  </sheetViews>
  <sheetFormatPr defaultRowHeight="15" outlineLevelRow="1"/>
  <cols>
    <col min="1" max="1" width="1.85546875" customWidth="1"/>
    <col min="2" max="2" width="41.85546875" customWidth="1"/>
    <col min="3" max="3" width="14.85546875" customWidth="1"/>
    <col min="4" max="4" width="12.5703125" bestFit="1" customWidth="1"/>
    <col min="5" max="5" width="12.5703125" customWidth="1"/>
    <col min="6" max="6" width="12.140625" customWidth="1"/>
    <col min="7" max="7" width="3.42578125" customWidth="1"/>
    <col min="8" max="8" width="41.85546875" hidden="1" customWidth="1"/>
    <col min="9" max="9" width="14.42578125" hidden="1" customWidth="1"/>
    <col min="10" max="10" width="11.140625" hidden="1" customWidth="1"/>
    <col min="11" max="12" width="10" hidden="1" customWidth="1"/>
    <col min="13" max="13" width="1.85546875" hidden="1" customWidth="1"/>
    <col min="14" max="15" width="32.85546875" hidden="1" customWidth="1"/>
    <col min="16" max="17" width="15.85546875" hidden="1" customWidth="1"/>
    <col min="18" max="18" width="15.7109375" hidden="1" customWidth="1"/>
  </cols>
  <sheetData>
    <row r="1" spans="2:18" ht="9" customHeight="1" thickBot="1"/>
    <row r="2" spans="2:18" ht="15" customHeight="1">
      <c r="B2" s="13" t="s">
        <v>93</v>
      </c>
      <c r="C2" s="15"/>
      <c r="D2" s="15"/>
      <c r="E2" s="15"/>
      <c r="F2" s="50"/>
      <c r="G2" s="57"/>
      <c r="H2" s="13" t="s">
        <v>93</v>
      </c>
      <c r="I2" s="15"/>
      <c r="J2" s="15"/>
      <c r="K2" s="15"/>
      <c r="L2" s="50"/>
      <c r="N2" s="13" t="s">
        <v>93</v>
      </c>
      <c r="O2" s="15"/>
      <c r="P2" s="50"/>
      <c r="Q2" s="782"/>
      <c r="R2" s="782"/>
    </row>
    <row r="3" spans="2:18">
      <c r="B3" s="511"/>
      <c r="C3" s="512" t="s">
        <v>17</v>
      </c>
      <c r="D3" s="512" t="s">
        <v>19</v>
      </c>
      <c r="E3" s="512" t="s">
        <v>18</v>
      </c>
      <c r="F3" s="513" t="s">
        <v>306</v>
      </c>
      <c r="G3" s="863"/>
      <c r="H3" s="511"/>
      <c r="I3" s="512" t="s">
        <v>17</v>
      </c>
      <c r="J3" s="512" t="s">
        <v>19</v>
      </c>
      <c r="K3" s="512" t="s">
        <v>18</v>
      </c>
      <c r="L3" s="513" t="s">
        <v>306</v>
      </c>
      <c r="N3" s="817"/>
      <c r="O3" s="814" t="s">
        <v>367</v>
      </c>
      <c r="P3" s="818" t="s">
        <v>306</v>
      </c>
      <c r="Q3" s="782"/>
      <c r="R3" s="782"/>
    </row>
    <row r="4" spans="2:18">
      <c r="B4" s="51" t="s">
        <v>20</v>
      </c>
      <c r="F4" s="27"/>
      <c r="H4" s="51" t="s">
        <v>20</v>
      </c>
      <c r="L4" s="27"/>
      <c r="N4" s="26"/>
      <c r="O4" s="783"/>
      <c r="P4" s="828">
        <v>305076</v>
      </c>
      <c r="Q4" s="782"/>
      <c r="R4" s="782"/>
    </row>
    <row r="5" spans="2:18">
      <c r="B5" s="749" t="s">
        <v>21</v>
      </c>
      <c r="C5" s="53">
        <f>6.5*Dashboard!$C$10*43560</f>
        <v>7582489.1999999993</v>
      </c>
      <c r="D5" s="54">
        <f>C5/Dashboard!$C$15</f>
        <v>13444.129787234042</v>
      </c>
      <c r="E5" s="54">
        <f>C5/Dashboard!$C$16</f>
        <v>8369.1933774834433</v>
      </c>
      <c r="F5" s="101">
        <f>+C5/Dashboard!$C$17</f>
        <v>14.077753497396097</v>
      </c>
      <c r="G5" s="864"/>
      <c r="H5" s="749" t="s">
        <v>21</v>
      </c>
      <c r="I5" s="861">
        <v>10000000</v>
      </c>
      <c r="J5" s="54">
        <v>52356.020942408381</v>
      </c>
      <c r="K5" s="54">
        <v>18832.391713747646</v>
      </c>
      <c r="L5" s="101">
        <v>47.965311486732794</v>
      </c>
      <c r="N5" s="26" t="str">
        <f>+B5</f>
        <v>Land</v>
      </c>
      <c r="O5" s="54">
        <v>6808240</v>
      </c>
      <c r="P5" s="819">
        <f>+O5/$P$4</f>
        <v>22.316537518519976</v>
      </c>
      <c r="Q5" s="782"/>
      <c r="R5" s="782"/>
    </row>
    <row r="6" spans="2:18">
      <c r="B6" s="52"/>
      <c r="C6" s="53"/>
      <c r="D6" s="54"/>
      <c r="E6" s="54"/>
      <c r="F6" s="55"/>
      <c r="G6" s="54"/>
      <c r="H6" s="52"/>
      <c r="I6" s="53"/>
      <c r="J6" s="54"/>
      <c r="K6" s="54"/>
      <c r="L6" s="55"/>
      <c r="N6" s="26"/>
      <c r="O6" s="54"/>
      <c r="P6" s="820"/>
      <c r="Q6" s="784"/>
      <c r="R6" s="784"/>
    </row>
    <row r="7" spans="2:18">
      <c r="B7" s="744" t="s">
        <v>193</v>
      </c>
      <c r="C7" s="745">
        <f>SUM(C5:C6)</f>
        <v>7582489.1999999993</v>
      </c>
      <c r="D7" s="745">
        <f>C7/Dashboard!$C$15</f>
        <v>13444.129787234042</v>
      </c>
      <c r="E7" s="745">
        <f>C7/Dashboard!$C$16</f>
        <v>8369.1933774834433</v>
      </c>
      <c r="F7" s="812">
        <f>+C7/Dashboard!$C$17</f>
        <v>14.077753497396097</v>
      </c>
      <c r="G7" s="865"/>
      <c r="H7" s="744" t="s">
        <v>193</v>
      </c>
      <c r="I7" s="745">
        <v>10000000</v>
      </c>
      <c r="J7" s="745">
        <v>52356.020942408381</v>
      </c>
      <c r="K7" s="745">
        <v>18832.391713747646</v>
      </c>
      <c r="L7" s="812">
        <v>47.965311486732794</v>
      </c>
      <c r="N7" s="26"/>
      <c r="O7" s="745"/>
      <c r="P7" s="820"/>
      <c r="Q7" s="784"/>
      <c r="R7" s="784"/>
    </row>
    <row r="8" spans="2:18">
      <c r="B8" s="26"/>
      <c r="F8" s="27"/>
      <c r="H8" s="26"/>
      <c r="L8" s="27"/>
      <c r="N8" s="26"/>
      <c r="P8" s="820"/>
      <c r="Q8" s="784"/>
      <c r="R8" s="784"/>
    </row>
    <row r="9" spans="2:18">
      <c r="B9" s="788" t="s">
        <v>275</v>
      </c>
      <c r="C9" s="54">
        <f>+SUM(C10:C16)</f>
        <v>63089005.235602096</v>
      </c>
      <c r="D9" s="54">
        <f>C9/Dashboard!$C$15</f>
        <v>111859.93836099662</v>
      </c>
      <c r="E9" s="54">
        <f>C9/Dashboard!$C$16</f>
        <v>69634.663615454847</v>
      </c>
      <c r="F9" s="101">
        <f>+C9/Dashboard!$C$17</f>
        <v>117.13191284238667</v>
      </c>
      <c r="G9" s="864"/>
      <c r="H9" s="788" t="s">
        <v>275</v>
      </c>
      <c r="I9" s="54">
        <f>J9*Dashboard!$J$16</f>
        <v>71149633.507853404</v>
      </c>
      <c r="J9" s="54">
        <v>126151.83246073299</v>
      </c>
      <c r="K9" s="54">
        <v>45376.647834274954</v>
      </c>
      <c r="L9" s="101">
        <v>115.57241802728267</v>
      </c>
      <c r="N9" s="26" t="str">
        <f>+B9</f>
        <v xml:space="preserve">Construction </v>
      </c>
      <c r="O9" s="54">
        <v>35889540</v>
      </c>
      <c r="P9" s="819">
        <f>+O9/$P$4</f>
        <v>117.64130905085946</v>
      </c>
      <c r="Q9" s="784"/>
      <c r="R9" s="784"/>
    </row>
    <row r="10" spans="2:18" outlineLevel="1">
      <c r="B10" s="52" t="s">
        <v>276</v>
      </c>
      <c r="C10" s="53">
        <v>61518324.607329845</v>
      </c>
      <c r="D10" s="54">
        <f>C10/Dashboard!$C$15</f>
        <v>109075.04363001746</v>
      </c>
      <c r="E10" s="54">
        <f>C10/Dashboard!$C$16</f>
        <v>67901.020537891658</v>
      </c>
      <c r="F10" s="101">
        <f>+C10/Dashboard!$C$17</f>
        <v>114.2157656346924</v>
      </c>
      <c r="G10" s="864"/>
      <c r="H10" s="52" t="s">
        <v>276</v>
      </c>
      <c r="I10" s="53">
        <f>J10*Dashboard!$J$16</f>
        <v>69392670.157068059</v>
      </c>
      <c r="J10" s="54">
        <v>123036.64921465969</v>
      </c>
      <c r="K10" s="54">
        <v>44256.120527306965</v>
      </c>
      <c r="L10" s="101">
        <v>112.71848199382207</v>
      </c>
      <c r="N10" s="26" t="s">
        <v>308</v>
      </c>
      <c r="O10" s="54">
        <v>912700</v>
      </c>
      <c r="P10" s="819">
        <f>+O10/$P$4</f>
        <v>2.9917135402325976</v>
      </c>
      <c r="Q10" s="784"/>
      <c r="R10" s="784"/>
    </row>
    <row r="11" spans="2:18" outlineLevel="1">
      <c r="B11" s="52" t="s">
        <v>263</v>
      </c>
      <c r="C11" s="53">
        <v>523560.2094240837</v>
      </c>
      <c r="D11" s="54">
        <f>C11/Dashboard!$C$15</f>
        <v>928.29824365972286</v>
      </c>
      <c r="E11" s="54">
        <f>C11/Dashboard!$C$16</f>
        <v>577.88102585439697</v>
      </c>
      <c r="F11" s="101">
        <f>+C11/Dashboard!$C$17</f>
        <v>0.97204906923142453</v>
      </c>
      <c r="G11" s="864"/>
      <c r="H11" s="52" t="s">
        <v>263</v>
      </c>
      <c r="I11" s="53">
        <f>J11*Dashboard!$J$16</f>
        <v>590575.91623036645</v>
      </c>
      <c r="J11" s="54">
        <v>1047.1204188481674</v>
      </c>
      <c r="K11" s="54">
        <v>376.64783427495291</v>
      </c>
      <c r="L11" s="101">
        <v>0.95930622973465585</v>
      </c>
      <c r="N11" s="26" t="s">
        <v>309</v>
      </c>
      <c r="O11" s="54">
        <f>8285000</f>
        <v>8285000</v>
      </c>
      <c r="P11" s="819">
        <f>+O11/$P$4</f>
        <v>27.157167394354193</v>
      </c>
      <c r="Q11" s="784"/>
      <c r="R11" s="784"/>
    </row>
    <row r="12" spans="2:18" outlineLevel="1">
      <c r="B12" s="52" t="s">
        <v>292</v>
      </c>
      <c r="C12" s="53">
        <v>392670.15706806286</v>
      </c>
      <c r="D12" s="54">
        <f>C12/Dashboard!$C$15</f>
        <v>696.22368274479231</v>
      </c>
      <c r="E12" s="54">
        <f>C12/Dashboard!$C$16</f>
        <v>433.41076939079784</v>
      </c>
      <c r="F12" s="101">
        <f>+C12/Dashboard!$C$17</f>
        <v>0.72903680192356857</v>
      </c>
      <c r="G12" s="864"/>
      <c r="H12" s="52" t="s">
        <v>292</v>
      </c>
      <c r="I12" s="53">
        <f>J12*Dashboard!$J$16</f>
        <v>442931.93717277487</v>
      </c>
      <c r="J12" s="54">
        <v>785.3403141361257</v>
      </c>
      <c r="K12" s="54">
        <v>282.4858757062147</v>
      </c>
      <c r="L12" s="101">
        <v>0.71947967230099197</v>
      </c>
      <c r="N12" s="821" t="s">
        <v>330</v>
      </c>
      <c r="O12" s="815">
        <v>350000</v>
      </c>
      <c r="P12" s="829">
        <f t="shared" ref="P12:P16" si="0">+O12/$P$4</f>
        <v>1.1472551102020481</v>
      </c>
      <c r="Q12" s="784"/>
      <c r="R12" s="784"/>
    </row>
    <row r="13" spans="2:18" outlineLevel="1">
      <c r="B13" s="52" t="s">
        <v>293</v>
      </c>
      <c r="C13" s="53">
        <v>261780.10471204185</v>
      </c>
      <c r="D13" s="54">
        <f>C13/Dashboard!$C$15</f>
        <v>464.14912182986143</v>
      </c>
      <c r="E13" s="54">
        <f>C13/Dashboard!$C$16</f>
        <v>288.94051292719848</v>
      </c>
      <c r="F13" s="101">
        <f>+C13/Dashboard!$C$17</f>
        <v>0.48602453461571227</v>
      </c>
      <c r="G13" s="864"/>
      <c r="H13" s="52" t="s">
        <v>293</v>
      </c>
      <c r="I13" s="53">
        <f>J13*Dashboard!$J$16</f>
        <v>295287.95811518322</v>
      </c>
      <c r="J13" s="54">
        <v>523.56020942408372</v>
      </c>
      <c r="K13" s="54">
        <v>188.32391713747646</v>
      </c>
      <c r="L13" s="101">
        <v>0.47965311486732792</v>
      </c>
      <c r="N13" s="821" t="s">
        <v>331</v>
      </c>
      <c r="O13" s="815">
        <v>100000</v>
      </c>
      <c r="P13" s="829">
        <f t="shared" si="0"/>
        <v>0.32778717434344229</v>
      </c>
      <c r="Q13" s="784"/>
      <c r="R13" s="784"/>
    </row>
    <row r="14" spans="2:18" outlineLevel="1">
      <c r="B14" s="52" t="s">
        <v>294</v>
      </c>
      <c r="C14" s="53">
        <v>65445.026178010463</v>
      </c>
      <c r="D14" s="54">
        <f>C14/Dashboard!$C$15</f>
        <v>116.03728045746536</v>
      </c>
      <c r="E14" s="54">
        <f>C14/Dashboard!$C$16</f>
        <v>72.235128231799621</v>
      </c>
      <c r="F14" s="101">
        <f>+C14/Dashboard!$C$17</f>
        <v>0.12150613365392807</v>
      </c>
      <c r="G14" s="864"/>
      <c r="H14" s="52" t="s">
        <v>294</v>
      </c>
      <c r="I14" s="861">
        <f>J14*Dashboard!$J$16</f>
        <v>147643.97905759161</v>
      </c>
      <c r="J14" s="54">
        <v>261.78010471204186</v>
      </c>
      <c r="K14" s="54">
        <v>94.161958568738228</v>
      </c>
      <c r="L14" s="101">
        <v>0.23982655743366396</v>
      </c>
      <c r="N14" s="821" t="s">
        <v>332</v>
      </c>
      <c r="O14" s="815">
        <v>10000</v>
      </c>
      <c r="P14" s="829">
        <f t="shared" si="0"/>
        <v>3.2778717434344226E-2</v>
      </c>
      <c r="Q14" s="784"/>
      <c r="R14" s="784"/>
    </row>
    <row r="15" spans="2:18" outlineLevel="1">
      <c r="B15" s="52" t="s">
        <v>295</v>
      </c>
      <c r="C15" s="53">
        <v>130890.05235602093</v>
      </c>
      <c r="D15" s="54">
        <f>C15/Dashboard!$C$15</f>
        <v>232.07456091493071</v>
      </c>
      <c r="E15" s="54">
        <f>C15/Dashboard!$C$16</f>
        <v>144.47025646359924</v>
      </c>
      <c r="F15" s="101">
        <f>+C15/Dashboard!$C$17</f>
        <v>0.24301226730785613</v>
      </c>
      <c r="G15" s="864"/>
      <c r="H15" s="52" t="s">
        <v>295</v>
      </c>
      <c r="I15" s="861">
        <f>J15*Dashboard!$J$16</f>
        <v>59057.591623036649</v>
      </c>
      <c r="J15" s="54">
        <v>104.71204188481676</v>
      </c>
      <c r="K15" s="54">
        <v>37.664783427495294</v>
      </c>
      <c r="L15" s="101">
        <v>9.5930622973465593E-2</v>
      </c>
      <c r="N15" s="821" t="s">
        <v>333</v>
      </c>
      <c r="O15" s="815">
        <v>332700</v>
      </c>
      <c r="P15" s="829">
        <f t="shared" si="0"/>
        <v>1.0905479290406326</v>
      </c>
      <c r="Q15" s="784"/>
      <c r="R15" s="784"/>
    </row>
    <row r="16" spans="2:18" outlineLevel="1">
      <c r="B16" s="52" t="s">
        <v>296</v>
      </c>
      <c r="C16" s="53">
        <v>196335.07853403143</v>
      </c>
      <c r="D16" s="54">
        <f>C16/Dashboard!$C$15</f>
        <v>348.11184137239616</v>
      </c>
      <c r="E16" s="54">
        <f>C16/Dashboard!$C$16</f>
        <v>216.70538469539892</v>
      </c>
      <c r="F16" s="101">
        <f>+C16/Dashboard!$C$17</f>
        <v>0.36451840096178428</v>
      </c>
      <c r="G16" s="864"/>
      <c r="H16" s="52" t="s">
        <v>296</v>
      </c>
      <c r="I16" s="53">
        <f>J16*Dashboard!$J$16</f>
        <v>221465.96858638743</v>
      </c>
      <c r="J16" s="54">
        <v>392.67015706806285</v>
      </c>
      <c r="K16" s="54">
        <v>141.24293785310735</v>
      </c>
      <c r="L16" s="101">
        <v>0.35973983615049598</v>
      </c>
      <c r="N16" s="821" t="s">
        <v>334</v>
      </c>
      <c r="O16" s="815">
        <v>120000</v>
      </c>
      <c r="P16" s="829">
        <f t="shared" si="0"/>
        <v>0.39334460921213077</v>
      </c>
      <c r="Q16" s="784"/>
      <c r="R16" s="784"/>
    </row>
    <row r="17" spans="2:18">
      <c r="B17" s="789" t="s">
        <v>114</v>
      </c>
      <c r="C17" s="54">
        <f>+SUM(C18:C22)</f>
        <v>4350785.3403141359</v>
      </c>
      <c r="D17" s="54">
        <f>C17/Dashboard!$C$15</f>
        <v>7714.1584048122977</v>
      </c>
      <c r="E17" s="54">
        <f>C17/Dashboard!$C$16</f>
        <v>4802.1913248500396</v>
      </c>
      <c r="F17" s="101">
        <f>+C17/Dashboard!$C$17</f>
        <v>8.0777277653131385</v>
      </c>
      <c r="G17" s="864"/>
      <c r="H17" s="789" t="s">
        <v>114</v>
      </c>
      <c r="I17" s="54">
        <f>J17*Dashboard!$J$16</f>
        <v>4907685.863874346</v>
      </c>
      <c r="J17" s="54">
        <v>8701.5706806282724</v>
      </c>
      <c r="K17" s="54">
        <v>3129.9435028248586</v>
      </c>
      <c r="L17" s="101">
        <v>7.9718347690949907</v>
      </c>
      <c r="N17" s="26" t="str">
        <f>+B17</f>
        <v>FF&amp;E</v>
      </c>
      <c r="O17" s="54">
        <v>1446877</v>
      </c>
      <c r="P17" s="819">
        <f>+O17/$P$4</f>
        <v>4.7426772345251678</v>
      </c>
      <c r="Q17" s="784"/>
      <c r="R17" s="784"/>
    </row>
    <row r="18" spans="2:18" outlineLevel="1">
      <c r="B18" s="790" t="s">
        <v>270</v>
      </c>
      <c r="C18" s="53">
        <v>2780104.7120418847</v>
      </c>
      <c r="D18" s="54">
        <f>C18/Dashboard!$C$15</f>
        <v>4929.2636738331285</v>
      </c>
      <c r="E18" s="54">
        <f>C18/Dashboard!$C$16</f>
        <v>3068.5482472868484</v>
      </c>
      <c r="F18" s="101">
        <f>+C18/Dashboard!$C$17</f>
        <v>5.1615805576188647</v>
      </c>
      <c r="G18" s="864"/>
      <c r="H18" s="790" t="s">
        <v>270</v>
      </c>
      <c r="I18" s="53">
        <f>J18*Dashboard!$J$16</f>
        <v>3135958.1151832459</v>
      </c>
      <c r="J18" s="54">
        <v>5560.2094240837696</v>
      </c>
      <c r="K18" s="54">
        <v>2000</v>
      </c>
      <c r="L18" s="101">
        <v>5.0939160798910228</v>
      </c>
      <c r="N18" s="821" t="s">
        <v>335</v>
      </c>
      <c r="O18" s="815">
        <v>141000</v>
      </c>
      <c r="P18" s="829">
        <f t="shared" ref="P18:P20" si="1">+O18/$P$4</f>
        <v>0.46217991582425361</v>
      </c>
      <c r="Q18" s="784"/>
      <c r="R18" s="784"/>
    </row>
    <row r="19" spans="2:18" outlineLevel="1">
      <c r="B19" s="790" t="s">
        <v>271</v>
      </c>
      <c r="C19" s="53">
        <v>261780.10471204185</v>
      </c>
      <c r="D19" s="54">
        <f>C19/Dashboard!$C$15</f>
        <v>464.14912182986143</v>
      </c>
      <c r="E19" s="54">
        <f>C19/Dashboard!$C$16</f>
        <v>288.94051292719848</v>
      </c>
      <c r="F19" s="101">
        <f>+C19/Dashboard!$C$17</f>
        <v>0.48602453461571227</v>
      </c>
      <c r="G19" s="864"/>
      <c r="H19" s="790" t="s">
        <v>271</v>
      </c>
      <c r="I19" s="53">
        <f>J19*Dashboard!$J$16</f>
        <v>295287.95811518322</v>
      </c>
      <c r="J19" s="54">
        <v>523.56020942408372</v>
      </c>
      <c r="K19" s="54">
        <v>188.32391713747646</v>
      </c>
      <c r="L19" s="101">
        <v>0.47965311486732792</v>
      </c>
      <c r="N19" s="821" t="s">
        <v>336</v>
      </c>
      <c r="O19" s="815">
        <v>905877.3</v>
      </c>
      <c r="P19" s="829">
        <f t="shared" si="1"/>
        <v>2.9693496046886678</v>
      </c>
      <c r="Q19" s="784"/>
      <c r="R19" s="784"/>
    </row>
    <row r="20" spans="2:18" outlineLevel="1">
      <c r="B20" s="790" t="s">
        <v>272</v>
      </c>
      <c r="C20" s="53">
        <v>196335.07853403143</v>
      </c>
      <c r="D20" s="54">
        <f>C20/Dashboard!$C$15</f>
        <v>348.11184137239616</v>
      </c>
      <c r="E20" s="54">
        <f>C20/Dashboard!$C$16</f>
        <v>216.70538469539892</v>
      </c>
      <c r="F20" s="101">
        <f>+C20/Dashboard!$C$17</f>
        <v>0.36451840096178428</v>
      </c>
      <c r="G20" s="864"/>
      <c r="H20" s="790" t="s">
        <v>272</v>
      </c>
      <c r="I20" s="53">
        <f>J20*Dashboard!$J$16</f>
        <v>221465.96858638743</v>
      </c>
      <c r="J20" s="54">
        <v>392.67015706806285</v>
      </c>
      <c r="K20" s="54">
        <v>141.24293785310735</v>
      </c>
      <c r="L20" s="101">
        <v>0.35973983615049598</v>
      </c>
      <c r="N20" s="821" t="s">
        <v>337</v>
      </c>
      <c r="O20" s="815">
        <v>400000</v>
      </c>
      <c r="P20" s="829">
        <f t="shared" si="1"/>
        <v>1.3111486973737692</v>
      </c>
      <c r="Q20" s="784"/>
      <c r="R20" s="784"/>
    </row>
    <row r="21" spans="2:18" outlineLevel="1">
      <c r="B21" s="790" t="s">
        <v>273</v>
      </c>
      <c r="C21" s="53">
        <v>719895.28795811522</v>
      </c>
      <c r="D21" s="54">
        <f>C21/Dashboard!$C$15</f>
        <v>1276.4100850321192</v>
      </c>
      <c r="E21" s="54">
        <f>C21/Dashboard!$C$16</f>
        <v>794.58641054979603</v>
      </c>
      <c r="F21" s="101">
        <f>+C21/Dashboard!$C$17</f>
        <v>1.3365674701932089</v>
      </c>
      <c r="G21" s="864"/>
      <c r="H21" s="790" t="s">
        <v>273</v>
      </c>
      <c r="I21" s="53">
        <f>J21*Dashboard!$J$16</f>
        <v>812041.88481675391</v>
      </c>
      <c r="J21" s="54">
        <v>1439.7905759162304</v>
      </c>
      <c r="K21" s="54">
        <v>517.89077212806023</v>
      </c>
      <c r="L21" s="101">
        <v>1.3190460658851519</v>
      </c>
      <c r="N21" s="26"/>
      <c r="O21" s="54"/>
      <c r="P21" s="820"/>
      <c r="Q21" s="784"/>
      <c r="R21" s="784"/>
    </row>
    <row r="22" spans="2:18" outlineLevel="1">
      <c r="B22" s="790" t="s">
        <v>274</v>
      </c>
      <c r="C22" s="53">
        <v>392670.15706806286</v>
      </c>
      <c r="D22" s="54">
        <f>C22/Dashboard!$C$15</f>
        <v>696.22368274479231</v>
      </c>
      <c r="E22" s="54">
        <f>C22/Dashboard!$C$16</f>
        <v>433.41076939079784</v>
      </c>
      <c r="F22" s="101">
        <f>+C22/Dashboard!$C$17</f>
        <v>0.72903680192356857</v>
      </c>
      <c r="G22" s="864"/>
      <c r="H22" s="790" t="s">
        <v>274</v>
      </c>
      <c r="I22" s="53">
        <f>J22*Dashboard!$J$16</f>
        <v>442931.93717277487</v>
      </c>
      <c r="J22" s="54">
        <v>785.3403141361257</v>
      </c>
      <c r="K22" s="54">
        <v>282.4858757062147</v>
      </c>
      <c r="L22" s="101">
        <v>0.71947967230099197</v>
      </c>
      <c r="N22" s="26"/>
      <c r="O22" s="54"/>
      <c r="P22" s="820"/>
      <c r="Q22" s="784"/>
      <c r="R22" s="784"/>
    </row>
    <row r="23" spans="2:18">
      <c r="B23" s="789" t="s">
        <v>250</v>
      </c>
      <c r="C23" s="53">
        <v>2359370.0018143202</v>
      </c>
      <c r="D23" s="54">
        <f>C23/Dashboard!$C$15</f>
        <v>4183.2801450608513</v>
      </c>
      <c r="E23" s="54">
        <f>C23/Dashboard!$C$16</f>
        <v>2604.1611499054306</v>
      </c>
      <c r="F23" s="101">
        <f>+C23/Dashboard!$C$17</f>
        <v>4.3804387211910552</v>
      </c>
      <c r="G23" s="864"/>
      <c r="H23" s="789" t="s">
        <v>250</v>
      </c>
      <c r="I23" s="53">
        <f>J23*Dashboard!$J$16</f>
        <v>2719442.6387434555</v>
      </c>
      <c r="J23" s="54">
        <v>4821.7068062827229</v>
      </c>
      <c r="K23" s="54">
        <v>1734.361581920904</v>
      </c>
      <c r="L23" s="101">
        <v>4.4173461752460623</v>
      </c>
      <c r="N23" s="26" t="str">
        <f>+B23</f>
        <v>Hard Cost Contingency</v>
      </c>
      <c r="O23" s="54">
        <v>1000000</v>
      </c>
      <c r="P23" s="819">
        <f>+O23/$P$4</f>
        <v>3.2778717434344231</v>
      </c>
      <c r="Q23" s="784"/>
      <c r="R23" s="785"/>
    </row>
    <row r="24" spans="2:18">
      <c r="B24" s="789" t="s">
        <v>297</v>
      </c>
      <c r="C24" s="815">
        <v>1047120.4188481674</v>
      </c>
      <c r="D24" s="54">
        <f>C24/Dashboard!$C$15</f>
        <v>1856.5964873194457</v>
      </c>
      <c r="E24" s="54">
        <f>C24/Dashboard!$C$16</f>
        <v>1155.7620517087939</v>
      </c>
      <c r="F24" s="101">
        <f>+C24/Dashboard!$C$17</f>
        <v>1.9440981384628491</v>
      </c>
      <c r="G24" s="864"/>
      <c r="H24" s="789" t="s">
        <v>297</v>
      </c>
      <c r="I24" s="862">
        <f>J24*Dashboard!$J$16</f>
        <v>0</v>
      </c>
      <c r="J24" s="54">
        <v>0</v>
      </c>
      <c r="K24" s="54">
        <v>0</v>
      </c>
      <c r="L24" s="101">
        <v>0</v>
      </c>
      <c r="N24" s="26" t="s">
        <v>27</v>
      </c>
      <c r="O24" s="54">
        <v>2800807</v>
      </c>
      <c r="P24" s="819">
        <f>+O24/$P$4</f>
        <v>9.1806861241133362</v>
      </c>
      <c r="Q24" s="784"/>
      <c r="R24" s="841"/>
    </row>
    <row r="25" spans="2:18">
      <c r="B25" s="514"/>
      <c r="C25" s="507"/>
      <c r="D25" s="891"/>
      <c r="E25" s="515"/>
      <c r="F25" s="756"/>
      <c r="G25" s="866"/>
      <c r="H25" s="514"/>
      <c r="I25" s="507"/>
      <c r="J25" s="515"/>
      <c r="K25" s="515"/>
      <c r="L25" s="756"/>
      <c r="N25" s="26"/>
      <c r="O25" s="515"/>
      <c r="P25" s="820"/>
      <c r="Q25" s="784"/>
      <c r="R25" s="785"/>
    </row>
    <row r="26" spans="2:18">
      <c r="B26" s="744" t="s">
        <v>28</v>
      </c>
      <c r="C26" s="745">
        <f>SUM(C9,C17,C23,C24)</f>
        <v>70846280.996578723</v>
      </c>
      <c r="D26" s="745">
        <f>C26/Dashboard!$C$15</f>
        <v>125613.97339818922</v>
      </c>
      <c r="E26" s="745">
        <f>C26/Dashboard!$C$16</f>
        <v>78196.778141919116</v>
      </c>
      <c r="F26" s="812">
        <f>+C26/Dashboard!$C$17</f>
        <v>131.53417746735371</v>
      </c>
      <c r="G26" s="865"/>
      <c r="H26" s="744" t="s">
        <v>28</v>
      </c>
      <c r="I26" s="745">
        <v>26677946</v>
      </c>
      <c r="J26" s="745">
        <v>139675.10994764397</v>
      </c>
      <c r="K26" s="745">
        <v>50240.952919020718</v>
      </c>
      <c r="L26" s="812">
        <v>127.96159897162372</v>
      </c>
      <c r="N26" s="26"/>
      <c r="O26" s="745"/>
      <c r="P26" s="820"/>
      <c r="Q26" s="784"/>
      <c r="R26" s="785"/>
    </row>
    <row r="27" spans="2:18">
      <c r="B27" s="52"/>
      <c r="C27" s="53"/>
      <c r="D27" s="54"/>
      <c r="E27" s="54"/>
      <c r="F27" s="101"/>
      <c r="G27" s="864"/>
      <c r="H27" s="52"/>
      <c r="I27" s="53"/>
      <c r="J27" s="54"/>
      <c r="K27" s="54"/>
      <c r="L27" s="101"/>
      <c r="N27" s="26"/>
      <c r="O27" s="54"/>
      <c r="P27" s="820"/>
      <c r="Q27" s="784"/>
      <c r="R27" s="785"/>
    </row>
    <row r="28" spans="2:18">
      <c r="B28" s="51" t="s">
        <v>23</v>
      </c>
      <c r="D28" s="54"/>
      <c r="E28" s="54"/>
      <c r="F28" s="101"/>
      <c r="G28" s="864"/>
      <c r="H28" s="51" t="s">
        <v>23</v>
      </c>
      <c r="J28" s="54"/>
      <c r="K28" s="54"/>
      <c r="L28" s="101"/>
      <c r="N28" s="26"/>
      <c r="O28" s="54"/>
      <c r="P28" s="820"/>
      <c r="Q28" s="784"/>
      <c r="R28" s="785"/>
    </row>
    <row r="29" spans="2:18">
      <c r="B29" s="789" t="s">
        <v>194</v>
      </c>
      <c r="C29" s="54">
        <f>+SUM(C30:C38)</f>
        <v>291099.47643979057</v>
      </c>
      <c r="D29" s="54">
        <f>C29/Dashboard!$C$15</f>
        <v>516.13382347480592</v>
      </c>
      <c r="E29" s="54">
        <f>C29/Dashboard!$C$16</f>
        <v>321.30185037504475</v>
      </c>
      <c r="F29" s="101">
        <f>+C29/Dashboard!$C$17</f>
        <v>0.54045928249267206</v>
      </c>
      <c r="G29" s="864"/>
      <c r="H29" s="789" t="s">
        <v>194</v>
      </c>
      <c r="I29" s="54">
        <f>J29*Dashboard!$J$16</f>
        <v>328360.20942408376</v>
      </c>
      <c r="J29" s="54">
        <v>582.19895287958116</v>
      </c>
      <c r="K29" s="54">
        <v>209.41619585687383</v>
      </c>
      <c r="L29" s="101">
        <v>0.53337426373246866</v>
      </c>
      <c r="N29" s="26" t="str">
        <f>+B29</f>
        <v>Pre-Development</v>
      </c>
      <c r="O29" s="54">
        <v>62000</v>
      </c>
      <c r="P29" s="819">
        <f>+O29/$P$4</f>
        <v>0.20322804809293421</v>
      </c>
      <c r="Q29" s="784"/>
      <c r="R29" s="785"/>
    </row>
    <row r="30" spans="2:18" outlineLevel="1">
      <c r="B30" s="52" t="s">
        <v>280</v>
      </c>
      <c r="C30" s="53">
        <v>15706.806282722513</v>
      </c>
      <c r="D30" s="54">
        <f>C30/Dashboard!$C$15</f>
        <v>27.84894730979169</v>
      </c>
      <c r="E30" s="54">
        <f>C30/Dashboard!$C$16</f>
        <v>17.336430775631914</v>
      </c>
      <c r="F30" s="101">
        <f>+C30/Dashboard!$C$17</f>
        <v>2.9161472076942738E-2</v>
      </c>
      <c r="G30" s="864"/>
      <c r="H30" s="52" t="s">
        <v>280</v>
      </c>
      <c r="I30" s="53">
        <f>J30*Dashboard!$J$16</f>
        <v>17717.277486910993</v>
      </c>
      <c r="J30" s="54">
        <v>31.413612565445025</v>
      </c>
      <c r="K30" s="54">
        <v>11.299435028248588</v>
      </c>
      <c r="L30" s="101">
        <v>2.8779186892039677E-2</v>
      </c>
      <c r="N30" s="821" t="s">
        <v>313</v>
      </c>
      <c r="O30" s="815">
        <v>1500</v>
      </c>
      <c r="P30" s="829">
        <f t="shared" ref="P30:P36" si="2">+O30/$P$4</f>
        <v>4.9168076151516341E-3</v>
      </c>
      <c r="Q30" s="784"/>
      <c r="R30" s="785"/>
    </row>
    <row r="31" spans="2:18" outlineLevel="1">
      <c r="B31" s="52" t="s">
        <v>281</v>
      </c>
      <c r="C31" s="53">
        <v>13612.565445026177</v>
      </c>
      <c r="D31" s="54">
        <f>C31/Dashboard!$C$15</f>
        <v>24.135754335152797</v>
      </c>
      <c r="E31" s="54">
        <f>C31/Dashboard!$C$16</f>
        <v>15.024906672214323</v>
      </c>
      <c r="F31" s="101">
        <f>+C31/Dashboard!$C$17</f>
        <v>2.527327580001704E-2</v>
      </c>
      <c r="G31" s="864"/>
      <c r="H31" s="52" t="s">
        <v>281</v>
      </c>
      <c r="I31" s="53">
        <f>J31*Dashboard!$J$16</f>
        <v>15354.973821989528</v>
      </c>
      <c r="J31" s="54">
        <v>27.225130890052355</v>
      </c>
      <c r="K31" s="54">
        <v>9.7928436911487751</v>
      </c>
      <c r="L31" s="101">
        <v>2.4941961973101053E-2</v>
      </c>
      <c r="N31" s="821" t="s">
        <v>314</v>
      </c>
      <c r="O31" s="815">
        <v>8000</v>
      </c>
      <c r="P31" s="829">
        <f t="shared" si="2"/>
        <v>2.6222973947475383E-2</v>
      </c>
      <c r="Q31" s="784"/>
      <c r="R31" s="785"/>
    </row>
    <row r="32" spans="2:18" outlineLevel="1">
      <c r="B32" s="52" t="s">
        <v>282</v>
      </c>
      <c r="C32" s="53">
        <v>26178.01047120419</v>
      </c>
      <c r="D32" s="54">
        <f>C32/Dashboard!$C$15</f>
        <v>46.41491218298615</v>
      </c>
      <c r="E32" s="54">
        <f>C32/Dashboard!$C$16</f>
        <v>28.894051292719858</v>
      </c>
      <c r="F32" s="101">
        <f>+C32/Dashboard!$C$17</f>
        <v>4.8602453461571236E-2</v>
      </c>
      <c r="G32" s="864"/>
      <c r="H32" s="52" t="s">
        <v>282</v>
      </c>
      <c r="I32" s="53">
        <f>J32*Dashboard!$J$16</f>
        <v>29528.795811518325</v>
      </c>
      <c r="J32" s="54">
        <v>52.356020942408378</v>
      </c>
      <c r="K32" s="54">
        <v>18.832391713747647</v>
      </c>
      <c r="L32" s="101">
        <v>4.7965311486732796E-2</v>
      </c>
      <c r="N32" s="821" t="s">
        <v>315</v>
      </c>
      <c r="O32" s="815">
        <v>15000</v>
      </c>
      <c r="P32" s="829">
        <f t="shared" si="2"/>
        <v>4.9168076151516346E-2</v>
      </c>
      <c r="Q32" s="784"/>
      <c r="R32" s="785"/>
    </row>
    <row r="33" spans="2:18" outlineLevel="1">
      <c r="B33" s="52" t="s">
        <v>283</v>
      </c>
      <c r="C33" s="53">
        <v>26178.01047120419</v>
      </c>
      <c r="D33" s="54">
        <f>C33/Dashboard!$C$15</f>
        <v>46.41491218298615</v>
      </c>
      <c r="E33" s="54">
        <f>C33/Dashboard!$C$16</f>
        <v>28.894051292719858</v>
      </c>
      <c r="F33" s="101">
        <f>+C33/Dashboard!$C$17</f>
        <v>4.8602453461571236E-2</v>
      </c>
      <c r="G33" s="864"/>
      <c r="H33" s="52" t="s">
        <v>283</v>
      </c>
      <c r="I33" s="53">
        <f>J33*Dashboard!$J$16</f>
        <v>29528.795811518325</v>
      </c>
      <c r="J33" s="54">
        <v>52.356020942408378</v>
      </c>
      <c r="K33" s="54">
        <v>18.832391713747647</v>
      </c>
      <c r="L33" s="101">
        <v>4.7965311486732796E-2</v>
      </c>
      <c r="N33" s="821" t="s">
        <v>316</v>
      </c>
      <c r="O33" s="815">
        <v>8500</v>
      </c>
      <c r="P33" s="829">
        <f t="shared" si="2"/>
        <v>2.7861909819192593E-2</v>
      </c>
      <c r="Q33" s="784"/>
      <c r="R33" s="785"/>
    </row>
    <row r="34" spans="2:18" outlineLevel="1">
      <c r="B34" s="52" t="s">
        <v>284</v>
      </c>
      <c r="C34" s="53">
        <v>13089.005235602095</v>
      </c>
      <c r="D34" s="54">
        <f>C34/Dashboard!$C$15</f>
        <v>23.207456091493075</v>
      </c>
      <c r="E34" s="54">
        <f>C34/Dashboard!$C$16</f>
        <v>14.447025646359929</v>
      </c>
      <c r="F34" s="101">
        <f>+C34/Dashboard!$C$17</f>
        <v>2.4301226730785618E-2</v>
      </c>
      <c r="G34" s="864"/>
      <c r="H34" s="52" t="s">
        <v>284</v>
      </c>
      <c r="I34" s="53">
        <f>J34*Dashboard!$J$16</f>
        <v>14764.397905759162</v>
      </c>
      <c r="J34" s="54">
        <v>26.178010471204189</v>
      </c>
      <c r="K34" s="54">
        <v>9.4161958568738235</v>
      </c>
      <c r="L34" s="101">
        <v>2.3982655743366398E-2</v>
      </c>
      <c r="N34" s="821" t="s">
        <v>317</v>
      </c>
      <c r="O34" s="815">
        <v>23000</v>
      </c>
      <c r="P34" s="829">
        <f t="shared" si="2"/>
        <v>7.5391050098991733E-2</v>
      </c>
      <c r="Q34" s="784"/>
      <c r="R34" s="785"/>
    </row>
    <row r="35" spans="2:18" outlineLevel="1">
      <c r="B35" s="52" t="s">
        <v>285</v>
      </c>
      <c r="C35" s="53">
        <v>26178.01047120419</v>
      </c>
      <c r="D35" s="54">
        <f>C35/Dashboard!$C$15</f>
        <v>46.41491218298615</v>
      </c>
      <c r="E35" s="54">
        <f>C35/Dashboard!$C$16</f>
        <v>28.894051292719858</v>
      </c>
      <c r="F35" s="101">
        <f>+C35/Dashboard!$C$17</f>
        <v>4.8602453461571236E-2</v>
      </c>
      <c r="G35" s="864"/>
      <c r="H35" s="52" t="s">
        <v>285</v>
      </c>
      <c r="I35" s="53">
        <f>J35*Dashboard!$J$16</f>
        <v>29528.795811518325</v>
      </c>
      <c r="J35" s="54">
        <v>52.356020942408378</v>
      </c>
      <c r="K35" s="54">
        <v>18.832391713747647</v>
      </c>
      <c r="L35" s="101">
        <v>4.7965311486732796E-2</v>
      </c>
      <c r="N35" s="821" t="s">
        <v>318</v>
      </c>
      <c r="O35" s="815">
        <v>6000</v>
      </c>
      <c r="P35" s="829">
        <f t="shared" si="2"/>
        <v>1.9667230460606536E-2</v>
      </c>
      <c r="Q35" s="784"/>
      <c r="R35" s="785"/>
    </row>
    <row r="36" spans="2:18" outlineLevel="1">
      <c r="B36" s="52" t="s">
        <v>286</v>
      </c>
      <c r="C36" s="53">
        <v>0</v>
      </c>
      <c r="D36" s="54">
        <f>C36/Dashboard!$C$15</f>
        <v>0</v>
      </c>
      <c r="E36" s="54">
        <f>C36/Dashboard!$C$16</f>
        <v>0</v>
      </c>
      <c r="F36" s="101">
        <f>+C36/Dashboard!$C$17</f>
        <v>0</v>
      </c>
      <c r="G36" s="864"/>
      <c r="H36" s="52" t="s">
        <v>286</v>
      </c>
      <c r="I36" s="53">
        <f>J36*Dashboard!$J$16</f>
        <v>0</v>
      </c>
      <c r="J36" s="54">
        <v>0</v>
      </c>
      <c r="K36" s="54">
        <v>0</v>
      </c>
      <c r="L36" s="101">
        <v>0</v>
      </c>
      <c r="N36" s="821" t="s">
        <v>319</v>
      </c>
      <c r="O36" s="815">
        <v>0</v>
      </c>
      <c r="P36" s="829">
        <f t="shared" si="2"/>
        <v>0</v>
      </c>
      <c r="Q36" s="784"/>
      <c r="R36" s="785"/>
    </row>
    <row r="37" spans="2:18" outlineLevel="1">
      <c r="B37" s="52" t="s">
        <v>287</v>
      </c>
      <c r="C37" s="53">
        <v>39267.015706806284</v>
      </c>
      <c r="D37" s="54">
        <f>C37/Dashboard!$C$15</f>
        <v>69.622368274479228</v>
      </c>
      <c r="E37" s="54">
        <f>C37/Dashboard!$C$16</f>
        <v>43.341076939079784</v>
      </c>
      <c r="F37" s="101">
        <f>+C37/Dashboard!$C$17</f>
        <v>7.2903680192356851E-2</v>
      </c>
      <c r="G37" s="864"/>
      <c r="H37" s="52" t="s">
        <v>287</v>
      </c>
      <c r="I37" s="53">
        <f>J37*Dashboard!$J$16</f>
        <v>44293.193717277485</v>
      </c>
      <c r="J37" s="54">
        <v>78.534031413612567</v>
      </c>
      <c r="K37" s="54">
        <v>28.248587570621471</v>
      </c>
      <c r="L37" s="101">
        <v>7.1947967230099191E-2</v>
      </c>
      <c r="N37" s="26"/>
      <c r="O37" s="54"/>
      <c r="P37" s="820"/>
      <c r="Q37" s="784"/>
      <c r="R37" s="785"/>
    </row>
    <row r="38" spans="2:18" outlineLevel="1">
      <c r="B38" s="52" t="s">
        <v>288</v>
      </c>
      <c r="C38" s="53">
        <v>130890.05235602093</v>
      </c>
      <c r="D38" s="54">
        <f>C38/Dashboard!$C$15</f>
        <v>232.07456091493071</v>
      </c>
      <c r="E38" s="54">
        <f>C38/Dashboard!$C$16</f>
        <v>144.47025646359924</v>
      </c>
      <c r="F38" s="101">
        <f>+C38/Dashboard!$C$17</f>
        <v>0.24301226730785613</v>
      </c>
      <c r="G38" s="864"/>
      <c r="H38" s="52" t="s">
        <v>288</v>
      </c>
      <c r="I38" s="53">
        <f>J38*Dashboard!$J$16</f>
        <v>147643.97905759161</v>
      </c>
      <c r="J38" s="54">
        <v>261.78010471204186</v>
      </c>
      <c r="K38" s="54">
        <v>94.161958568738228</v>
      </c>
      <c r="L38" s="101">
        <v>0.23982655743366396</v>
      </c>
      <c r="N38" s="26"/>
      <c r="O38" s="54"/>
      <c r="P38" s="820"/>
      <c r="Q38" s="784"/>
      <c r="R38" s="785"/>
    </row>
    <row r="39" spans="2:18">
      <c r="B39" s="789" t="s">
        <v>251</v>
      </c>
      <c r="C39" s="54">
        <f>+SUM(C40:C47)</f>
        <v>1688481.6753926703</v>
      </c>
      <c r="D39" s="54">
        <f>C39/Dashboard!$C$15</f>
        <v>2993.761835802607</v>
      </c>
      <c r="E39" s="54">
        <f>C39/Dashboard!$C$16</f>
        <v>1863.6663083804308</v>
      </c>
      <c r="F39" s="101">
        <f>+C39/Dashboard!$C$17</f>
        <v>3.1348582482713447</v>
      </c>
      <c r="G39" s="864"/>
      <c r="H39" s="789" t="s">
        <v>251</v>
      </c>
      <c r="I39" s="54">
        <f>J39*Dashboard!$J$16</f>
        <v>1904607.3298429321</v>
      </c>
      <c r="J39" s="54">
        <v>3376.9633507853405</v>
      </c>
      <c r="K39" s="54">
        <v>1214.6892655367233</v>
      </c>
      <c r="L39" s="101">
        <v>3.0937625908942654</v>
      </c>
      <c r="N39" s="26" t="str">
        <f>+B39</f>
        <v>Design Costs</v>
      </c>
      <c r="O39" s="54">
        <v>827525</v>
      </c>
      <c r="P39" s="819">
        <f>+O39/$P$4</f>
        <v>2.712520814485571</v>
      </c>
      <c r="Q39" s="782"/>
      <c r="R39" s="782"/>
    </row>
    <row r="40" spans="2:18" outlineLevel="1">
      <c r="B40" s="52" t="s">
        <v>264</v>
      </c>
      <c r="C40" s="53">
        <v>824607.32984293194</v>
      </c>
      <c r="D40" s="54">
        <f>C40/Dashboard!$C$15</f>
        <v>1462.0697337640638</v>
      </c>
      <c r="E40" s="54">
        <f>C40/Dashboard!$C$16</f>
        <v>910.16261572067538</v>
      </c>
      <c r="F40" s="101">
        <f>+C40/Dashboard!$C$17</f>
        <v>1.5309772840394937</v>
      </c>
      <c r="G40" s="864"/>
      <c r="H40" s="52" t="s">
        <v>264</v>
      </c>
      <c r="I40" s="53">
        <f>J40*Dashboard!$J$16</f>
        <v>930157.06806282722</v>
      </c>
      <c r="J40" s="54">
        <v>1649.2146596858638</v>
      </c>
      <c r="K40" s="54">
        <v>593.22033898305085</v>
      </c>
      <c r="L40" s="101">
        <v>1.510907311832083</v>
      </c>
      <c r="N40" s="26" t="s">
        <v>309</v>
      </c>
      <c r="O40" s="54">
        <f>68000+13000</f>
        <v>81000</v>
      </c>
      <c r="P40" s="819">
        <f>+O40/$P$4</f>
        <v>0.26550761121818828</v>
      </c>
      <c r="Q40" s="782"/>
      <c r="R40" s="782"/>
    </row>
    <row r="41" spans="2:18" outlineLevel="1">
      <c r="B41" s="52" t="s">
        <v>265</v>
      </c>
      <c r="C41" s="53">
        <v>65445.026178010463</v>
      </c>
      <c r="D41" s="54">
        <f>C41/Dashboard!$C$15</f>
        <v>116.03728045746536</v>
      </c>
      <c r="E41" s="54">
        <f>C41/Dashboard!$C$16</f>
        <v>72.235128231799621</v>
      </c>
      <c r="F41" s="101">
        <f>+C41/Dashboard!$C$17</f>
        <v>0.12150613365392807</v>
      </c>
      <c r="G41" s="864"/>
      <c r="H41" s="52" t="s">
        <v>265</v>
      </c>
      <c r="I41" s="53">
        <f>J41*Dashboard!$J$16</f>
        <v>73821.989528795806</v>
      </c>
      <c r="J41" s="54">
        <v>130.89005235602093</v>
      </c>
      <c r="K41" s="54">
        <v>47.080979284369114</v>
      </c>
      <c r="L41" s="101">
        <v>0.11991327871683198</v>
      </c>
      <c r="N41" s="821" t="s">
        <v>320</v>
      </c>
      <c r="O41" s="815">
        <v>30000</v>
      </c>
      <c r="P41" s="822" t="s">
        <v>327</v>
      </c>
      <c r="Q41" s="816"/>
      <c r="R41" s="782"/>
    </row>
    <row r="42" spans="2:18" outlineLevel="1">
      <c r="B42" s="52" t="s">
        <v>260</v>
      </c>
      <c r="C42" s="53">
        <v>65445.026178010463</v>
      </c>
      <c r="D42" s="54">
        <f>C42/Dashboard!$C$15</f>
        <v>116.03728045746536</v>
      </c>
      <c r="E42" s="54">
        <f>C42/Dashboard!$C$16</f>
        <v>72.235128231799621</v>
      </c>
      <c r="F42" s="101">
        <f>+C42/Dashboard!$C$17</f>
        <v>0.12150613365392807</v>
      </c>
      <c r="G42" s="864"/>
      <c r="H42" s="52" t="s">
        <v>260</v>
      </c>
      <c r="I42" s="53">
        <f>J42*Dashboard!$J$16</f>
        <v>73821.989528795806</v>
      </c>
      <c r="J42" s="54">
        <v>130.89005235602093</v>
      </c>
      <c r="K42" s="54">
        <v>47.080979284369114</v>
      </c>
      <c r="L42" s="101">
        <v>0.11991327871683198</v>
      </c>
      <c r="N42" s="821" t="s">
        <v>321</v>
      </c>
      <c r="O42" s="815">
        <v>90500</v>
      </c>
      <c r="P42" s="822" t="s">
        <v>328</v>
      </c>
      <c r="Q42" s="816">
        <v>113500</v>
      </c>
      <c r="R42" s="782"/>
    </row>
    <row r="43" spans="2:18" outlineLevel="1">
      <c r="B43" s="52" t="s">
        <v>266</v>
      </c>
      <c r="C43" s="53">
        <v>209424.08376963352</v>
      </c>
      <c r="D43" s="54">
        <f>C43/Dashboard!$C$15</f>
        <v>371.3192974638892</v>
      </c>
      <c r="E43" s="54">
        <f>C43/Dashboard!$C$16</f>
        <v>231.15241034175887</v>
      </c>
      <c r="F43" s="101">
        <f>+C43/Dashboard!$C$17</f>
        <v>0.38881962769256989</v>
      </c>
      <c r="G43" s="864"/>
      <c r="H43" s="52" t="s">
        <v>266</v>
      </c>
      <c r="I43" s="53">
        <f>J43*Dashboard!$J$16</f>
        <v>236230.3664921466</v>
      </c>
      <c r="J43" s="54">
        <v>418.84816753926702</v>
      </c>
      <c r="K43" s="54">
        <v>150.65913370998118</v>
      </c>
      <c r="L43" s="101">
        <v>0.38372249189386237</v>
      </c>
      <c r="N43" s="821" t="s">
        <v>322</v>
      </c>
      <c r="O43" s="815">
        <v>68000</v>
      </c>
      <c r="P43" s="822" t="s">
        <v>329</v>
      </c>
      <c r="Q43" s="816">
        <v>10000</v>
      </c>
      <c r="R43" s="782"/>
    </row>
    <row r="44" spans="2:18" outlineLevel="1">
      <c r="B44" s="52" t="s">
        <v>267</v>
      </c>
      <c r="C44" s="53">
        <v>52356.020942408381</v>
      </c>
      <c r="D44" s="54">
        <f>C44/Dashboard!$C$15</f>
        <v>92.8298243659723</v>
      </c>
      <c r="E44" s="54">
        <f>C44/Dashboard!$C$16</f>
        <v>57.788102585439717</v>
      </c>
      <c r="F44" s="101">
        <f>+C44/Dashboard!$C$17</f>
        <v>9.7204906923142473E-2</v>
      </c>
      <c r="G44" s="864"/>
      <c r="H44" s="52" t="s">
        <v>267</v>
      </c>
      <c r="I44" s="53">
        <f>J44*Dashboard!$J$16</f>
        <v>59057.591623036649</v>
      </c>
      <c r="J44" s="54">
        <v>104.71204188481676</v>
      </c>
      <c r="K44" s="54">
        <v>37.664783427495294</v>
      </c>
      <c r="L44" s="101">
        <v>9.5930622973465593E-2</v>
      </c>
      <c r="N44" s="821" t="s">
        <v>323</v>
      </c>
      <c r="O44" s="815">
        <v>35000</v>
      </c>
      <c r="P44" s="822" t="s">
        <v>321</v>
      </c>
      <c r="Q44" s="816">
        <v>9500</v>
      </c>
      <c r="R44" s="782"/>
    </row>
    <row r="45" spans="2:18" outlineLevel="1">
      <c r="B45" s="52" t="s">
        <v>259</v>
      </c>
      <c r="C45" s="53">
        <v>287958.11518324609</v>
      </c>
      <c r="D45" s="54">
        <f>C45/Dashboard!$C$15</f>
        <v>510.56403401284769</v>
      </c>
      <c r="E45" s="54">
        <f>C45/Dashboard!$C$16</f>
        <v>317.83456421991843</v>
      </c>
      <c r="F45" s="101">
        <f>+C45/Dashboard!$C$17</f>
        <v>0.53462698807728359</v>
      </c>
      <c r="G45" s="864"/>
      <c r="H45" s="52" t="s">
        <v>259</v>
      </c>
      <c r="I45" s="53">
        <f>J45*Dashboard!$J$16</f>
        <v>324816.75392670161</v>
      </c>
      <c r="J45" s="54">
        <v>575.91623036649219</v>
      </c>
      <c r="K45" s="54">
        <v>207.15630885122411</v>
      </c>
      <c r="L45" s="101">
        <v>0.52761842635406075</v>
      </c>
      <c r="N45" s="821" t="s">
        <v>324</v>
      </c>
      <c r="O45" s="815">
        <v>67000</v>
      </c>
      <c r="P45" s="822" t="s">
        <v>322</v>
      </c>
      <c r="Q45" s="816">
        <v>13000</v>
      </c>
      <c r="R45" s="782"/>
    </row>
    <row r="46" spans="2:18" outlineLevel="1">
      <c r="B46" s="52" t="s">
        <v>268</v>
      </c>
      <c r="C46" s="53">
        <v>117801.04712041884</v>
      </c>
      <c r="D46" s="54">
        <f>C46/Dashboard!$C$15</f>
        <v>208.86710482343764</v>
      </c>
      <c r="E46" s="54">
        <f>C46/Dashboard!$C$16</f>
        <v>130.02323081723932</v>
      </c>
      <c r="F46" s="101">
        <f>+C46/Dashboard!$C$17</f>
        <v>0.21871104057707053</v>
      </c>
      <c r="G46" s="864"/>
      <c r="H46" s="52" t="s">
        <v>268</v>
      </c>
      <c r="I46" s="53">
        <f>J46*Dashboard!$J$16</f>
        <v>132879.58115183245</v>
      </c>
      <c r="J46" s="54">
        <v>235.60209424083769</v>
      </c>
      <c r="K46" s="54">
        <v>84.745762711864401</v>
      </c>
      <c r="L46" s="101">
        <v>0.21584390169029757</v>
      </c>
      <c r="N46" s="821" t="s">
        <v>325</v>
      </c>
      <c r="O46" s="815">
        <v>398850</v>
      </c>
      <c r="P46" s="823"/>
      <c r="Q46" s="782"/>
      <c r="R46" s="782"/>
    </row>
    <row r="47" spans="2:18" outlineLevel="1">
      <c r="B47" s="52" t="s">
        <v>269</v>
      </c>
      <c r="C47" s="53">
        <v>65445.026178010463</v>
      </c>
      <c r="D47" s="54">
        <f>C47/Dashboard!$C$15</f>
        <v>116.03728045746536</v>
      </c>
      <c r="E47" s="54">
        <f>C47/Dashboard!$C$16</f>
        <v>72.235128231799621</v>
      </c>
      <c r="F47" s="101">
        <f>+C47/Dashboard!$C$17</f>
        <v>0.12150613365392807</v>
      </c>
      <c r="G47" s="864"/>
      <c r="H47" s="52" t="s">
        <v>269</v>
      </c>
      <c r="I47" s="53">
        <f>J47*Dashboard!$J$16</f>
        <v>73821.989528795806</v>
      </c>
      <c r="J47" s="54">
        <v>130.89005235602093</v>
      </c>
      <c r="K47" s="54">
        <v>47.080979284369114</v>
      </c>
      <c r="L47" s="101">
        <v>0.11991327871683198</v>
      </c>
      <c r="N47" s="821" t="s">
        <v>326</v>
      </c>
      <c r="O47" s="815">
        <v>73175</v>
      </c>
      <c r="P47" s="823"/>
      <c r="Q47" s="782"/>
      <c r="R47" s="782"/>
    </row>
    <row r="48" spans="2:18">
      <c r="B48" s="789" t="s">
        <v>252</v>
      </c>
      <c r="C48" s="54">
        <f>SUM(C49:C50)</f>
        <v>2350673.6714011719</v>
      </c>
      <c r="D48" s="54">
        <f>C48/Dashboard!$C$15</f>
        <v>4167.8611195056237</v>
      </c>
      <c r="E48" s="54">
        <f>C48/Dashboard!$C$16</f>
        <v>2594.5625512154215</v>
      </c>
      <c r="F48" s="101">
        <f>+C48/Dashboard!$C$17</f>
        <v>4.3642929948129403</v>
      </c>
      <c r="G48" s="864"/>
      <c r="H48" s="789" t="s">
        <v>252</v>
      </c>
      <c r="I48" s="54">
        <f>J48*Dashboard!$J$16</f>
        <v>3486864.9480628273</v>
      </c>
      <c r="J48" s="54">
        <v>6182.3846596858639</v>
      </c>
      <c r="K48" s="54">
        <v>2223.7956120527306</v>
      </c>
      <c r="L48" s="101">
        <v>5.6639141133132513</v>
      </c>
      <c r="N48" s="26"/>
      <c r="O48" s="54"/>
      <c r="P48" s="823"/>
      <c r="Q48" s="782"/>
      <c r="R48" s="785"/>
    </row>
    <row r="49" spans="2:18" outlineLevel="1">
      <c r="B49" s="790" t="s">
        <v>30</v>
      </c>
      <c r="C49" s="53">
        <v>1907980.602094241</v>
      </c>
      <c r="D49" s="54">
        <f>C49/Dashboard!$C$15</f>
        <v>3382.9443299543277</v>
      </c>
      <c r="E49" s="54">
        <f>C49/Dashboard!$C$16</f>
        <v>2105.9388544086546</v>
      </c>
      <c r="F49" s="101">
        <f>+C49/Dashboard!$C$17</f>
        <v>3.5423829676006813</v>
      </c>
      <c r="G49" s="864"/>
      <c r="H49" s="790" t="s">
        <v>30</v>
      </c>
      <c r="I49" s="53">
        <f>J49*Dashboard!$J$16</f>
        <v>2237302.3664921466</v>
      </c>
      <c r="J49" s="54">
        <v>3966.8481675392668</v>
      </c>
      <c r="K49" s="54">
        <v>1426.870056497175</v>
      </c>
      <c r="L49" s="101">
        <v>3.6341781623529865</v>
      </c>
      <c r="N49" s="26" t="s">
        <v>310</v>
      </c>
      <c r="O49" s="54">
        <v>199967</v>
      </c>
      <c r="P49" s="819">
        <f>+O49/$P$4</f>
        <v>0.65546617891935122</v>
      </c>
      <c r="Q49" s="782"/>
      <c r="R49" s="860"/>
    </row>
    <row r="50" spans="2:18" outlineLevel="1">
      <c r="B50" s="790" t="s">
        <v>371</v>
      </c>
      <c r="C50" s="54">
        <v>442693.06930693076</v>
      </c>
      <c r="D50" s="54">
        <f>C50/Dashboard!$C$15</f>
        <v>784.91678955129566</v>
      </c>
      <c r="E50" s="54">
        <f>C50/Dashboard!$C$16</f>
        <v>488.62369680676682</v>
      </c>
      <c r="F50" s="101">
        <f>+C50/Dashboard!$C$17</f>
        <v>0.82191002721225881</v>
      </c>
      <c r="G50" s="864"/>
      <c r="H50" s="790" t="s">
        <v>371</v>
      </c>
      <c r="I50" s="54">
        <f>J50*Dashboard!$J$16</f>
        <v>1249562.5815706807</v>
      </c>
      <c r="J50" s="54">
        <v>2215.5364921465971</v>
      </c>
      <c r="K50" s="54">
        <v>796.92555555555566</v>
      </c>
      <c r="L50" s="101">
        <v>2.0297359509602657</v>
      </c>
      <c r="N50" s="26" t="s">
        <v>311</v>
      </c>
      <c r="O50" s="54">
        <v>75000</v>
      </c>
      <c r="P50" s="819">
        <f>+O50/$P$4</f>
        <v>0.24584038075758172</v>
      </c>
      <c r="Q50" s="782"/>
      <c r="R50" s="785"/>
    </row>
    <row r="51" spans="2:18">
      <c r="B51" s="789" t="s">
        <v>253</v>
      </c>
      <c r="C51" s="54">
        <f>+SUM(C52:C55)</f>
        <v>1060209.4240837696</v>
      </c>
      <c r="D51" s="54">
        <f>C51/Dashboard!$C$15</f>
        <v>1879.8039434109389</v>
      </c>
      <c r="E51" s="54">
        <f>C51/Dashboard!$C$16</f>
        <v>1170.209077355154</v>
      </c>
      <c r="F51" s="101">
        <f>+C51/Dashboard!$C$17</f>
        <v>1.9683993651936347</v>
      </c>
      <c r="G51" s="864"/>
      <c r="H51" s="789" t="s">
        <v>253</v>
      </c>
      <c r="I51" s="54">
        <f>J51*Dashboard!$J$16</f>
        <v>989214.65968586388</v>
      </c>
      <c r="J51" s="54">
        <v>1753.9267015706807</v>
      </c>
      <c r="K51" s="54">
        <v>630.88512241054616</v>
      </c>
      <c r="L51" s="101">
        <v>1.6068379348055486</v>
      </c>
      <c r="N51" s="26"/>
      <c r="O51" s="54"/>
      <c r="P51" s="820"/>
      <c r="Q51" s="784"/>
      <c r="R51" s="785"/>
    </row>
    <row r="52" spans="2:18" outlineLevel="1">
      <c r="B52" s="52" t="s">
        <v>253</v>
      </c>
      <c r="C52" s="53">
        <v>458115.18324607331</v>
      </c>
      <c r="D52" s="54">
        <f>C52/Dashboard!$C$15</f>
        <v>812.2609632022577</v>
      </c>
      <c r="E52" s="54">
        <f>C52/Dashboard!$C$16</f>
        <v>505.64589762259749</v>
      </c>
      <c r="F52" s="101">
        <f>+C52/Dashboard!$C$17</f>
        <v>0.85054293557749661</v>
      </c>
      <c r="G52" s="864"/>
      <c r="H52" s="52" t="s">
        <v>253</v>
      </c>
      <c r="I52" s="53">
        <f>J52*Dashboard!$J$16</f>
        <v>516753.92670157069</v>
      </c>
      <c r="J52" s="54">
        <v>916.23036649214657</v>
      </c>
      <c r="K52" s="54">
        <v>329.56685499058381</v>
      </c>
      <c r="L52" s="101">
        <v>0.83939295101782396</v>
      </c>
      <c r="N52" s="26" t="str">
        <f t="shared" ref="N52:N57" si="3">+B52</f>
        <v>Legal</v>
      </c>
      <c r="O52" s="54">
        <v>50000</v>
      </c>
      <c r="P52" s="819">
        <f>+O52/$P$4</f>
        <v>0.16389358717172114</v>
      </c>
      <c r="Q52" s="784"/>
      <c r="R52" s="785"/>
    </row>
    <row r="53" spans="2:18" outlineLevel="1">
      <c r="B53" s="52" t="s">
        <v>277</v>
      </c>
      <c r="C53" s="53">
        <v>78534.031413612567</v>
      </c>
      <c r="D53" s="54">
        <f>C53/Dashboard!$C$15</f>
        <v>139.24473654895846</v>
      </c>
      <c r="E53" s="54">
        <f>C53/Dashboard!$C$16</f>
        <v>86.682153878159568</v>
      </c>
      <c r="F53" s="101">
        <f>+C53/Dashboard!$C$17</f>
        <v>0.1458073603847137</v>
      </c>
      <c r="G53" s="864"/>
      <c r="H53" s="52" t="s">
        <v>277</v>
      </c>
      <c r="I53" s="53">
        <f>J53*Dashboard!$J$16</f>
        <v>88586.38743455497</v>
      </c>
      <c r="J53" s="54">
        <v>157.06806282722513</v>
      </c>
      <c r="K53" s="54">
        <v>56.497175141242941</v>
      </c>
      <c r="L53" s="101">
        <v>0.14389593446019838</v>
      </c>
      <c r="N53" s="26" t="str">
        <f t="shared" si="3"/>
        <v>Lender Legal</v>
      </c>
      <c r="O53" s="54">
        <v>50000</v>
      </c>
      <c r="P53" s="819">
        <f>+O53/$P$4</f>
        <v>0.16389358717172114</v>
      </c>
      <c r="Q53" s="784"/>
      <c r="R53" s="785"/>
    </row>
    <row r="54" spans="2:18" outlineLevel="1">
      <c r="B54" s="790" t="s">
        <v>278</v>
      </c>
      <c r="C54" s="53">
        <v>130890.05235602093</v>
      </c>
      <c r="D54" s="54">
        <f>C54/Dashboard!$C$15</f>
        <v>232.07456091493071</v>
      </c>
      <c r="E54" s="54">
        <f>C54/Dashboard!$C$16</f>
        <v>144.47025646359924</v>
      </c>
      <c r="F54" s="101">
        <f>+C54/Dashboard!$C$17</f>
        <v>0.24301226730785613</v>
      </c>
      <c r="G54" s="864"/>
      <c r="H54" s="790" t="s">
        <v>278</v>
      </c>
      <c r="I54" s="861">
        <f>J54*Dashboard!$J$16</f>
        <v>88586.38743455497</v>
      </c>
      <c r="J54" s="54">
        <v>157.06806282722513</v>
      </c>
      <c r="K54" s="54">
        <v>56.497175141242941</v>
      </c>
      <c r="L54" s="101">
        <v>0.14389593446019838</v>
      </c>
      <c r="N54" s="26"/>
      <c r="O54" s="54"/>
      <c r="P54" s="820"/>
      <c r="Q54" s="784"/>
      <c r="R54" s="785"/>
    </row>
    <row r="55" spans="2:18" outlineLevel="1">
      <c r="B55" s="790" t="s">
        <v>279</v>
      </c>
      <c r="C55" s="53">
        <v>392670.15706806286</v>
      </c>
      <c r="D55" s="54">
        <f>C55/Dashboard!$C$15</f>
        <v>696.22368274479231</v>
      </c>
      <c r="E55" s="54">
        <f>C55/Dashboard!$C$16</f>
        <v>433.41076939079784</v>
      </c>
      <c r="F55" s="101">
        <f>+C55/Dashboard!$C$17</f>
        <v>0.72903680192356857</v>
      </c>
      <c r="G55" s="864"/>
      <c r="H55" s="790" t="s">
        <v>279</v>
      </c>
      <c r="I55" s="861">
        <f>J55*Dashboard!$J$16</f>
        <v>295287.95811518322</v>
      </c>
      <c r="J55" s="54">
        <v>523.56020942408372</v>
      </c>
      <c r="K55" s="54">
        <v>188.32391713747646</v>
      </c>
      <c r="L55" s="101">
        <v>0.47965311486732792</v>
      </c>
      <c r="N55" s="26" t="str">
        <f t="shared" si="3"/>
        <v>Title Insurance &amp; Closing Costs</v>
      </c>
      <c r="O55" s="54">
        <v>75000</v>
      </c>
      <c r="P55" s="819">
        <f t="shared" ref="P55:P61" si="4">+O55/$P$4</f>
        <v>0.24584038075758172</v>
      </c>
      <c r="Q55" s="784"/>
      <c r="R55" s="785"/>
    </row>
    <row r="56" spans="2:18">
      <c r="B56" s="789" t="s">
        <v>289</v>
      </c>
      <c r="C56" s="53">
        <v>916230.36649214663</v>
      </c>
      <c r="D56" s="54">
        <f>C56/Dashboard!$C$15</f>
        <v>1624.5219264045154</v>
      </c>
      <c r="E56" s="54">
        <f>C56/Dashboard!$C$16</f>
        <v>1011.291795245195</v>
      </c>
      <c r="F56" s="101">
        <f>+C56/Dashboard!$C$17</f>
        <v>1.7010858711549932</v>
      </c>
      <c r="G56" s="864"/>
      <c r="H56" s="789" t="s">
        <v>289</v>
      </c>
      <c r="I56" s="53">
        <f>J56*Dashboard!$J$16</f>
        <v>1033507.8534031414</v>
      </c>
      <c r="J56" s="54">
        <v>1832.4607329842931</v>
      </c>
      <c r="K56" s="54">
        <v>659.13370998116761</v>
      </c>
      <c r="L56" s="101">
        <v>1.6787859020356479</v>
      </c>
      <c r="N56" s="26" t="str">
        <f t="shared" si="3"/>
        <v>Total of Permit, Fee &amp; Meter Costs</v>
      </c>
      <c r="O56" s="54">
        <v>438923</v>
      </c>
      <c r="P56" s="819">
        <f t="shared" si="4"/>
        <v>1.4387332992434672</v>
      </c>
      <c r="Q56" s="784"/>
      <c r="R56" s="785"/>
    </row>
    <row r="57" spans="2:18">
      <c r="B57" s="789" t="s">
        <v>254</v>
      </c>
      <c r="C57" s="53">
        <v>523560.2094240837</v>
      </c>
      <c r="D57" s="54">
        <f>C57/Dashboard!$C$15</f>
        <v>928.29824365972286</v>
      </c>
      <c r="E57" s="54">
        <f>C57/Dashboard!$C$16</f>
        <v>577.88102585439697</v>
      </c>
      <c r="F57" s="101">
        <f>+C57/Dashboard!$C$17</f>
        <v>0.97204906923142453</v>
      </c>
      <c r="G57" s="864"/>
      <c r="H57" s="789" t="s">
        <v>254</v>
      </c>
      <c r="I57" s="53">
        <f>J57*Dashboard!$J$16</f>
        <v>590575.91623036645</v>
      </c>
      <c r="J57" s="54">
        <v>1047.1204188481674</v>
      </c>
      <c r="K57" s="54">
        <v>376.64783427495291</v>
      </c>
      <c r="L57" s="101">
        <v>0.95930622973465585</v>
      </c>
      <c r="N57" s="26" t="str">
        <f t="shared" si="3"/>
        <v>Marketing/Advertising</v>
      </c>
      <c r="O57" s="54">
        <v>494000</v>
      </c>
      <c r="P57" s="819">
        <f t="shared" si="4"/>
        <v>1.6192686412566049</v>
      </c>
      <c r="Q57" s="784"/>
      <c r="R57" s="785"/>
    </row>
    <row r="58" spans="2:18">
      <c r="B58" s="789" t="s">
        <v>290</v>
      </c>
      <c r="C58" s="53">
        <v>1047120.4188481674</v>
      </c>
      <c r="D58" s="54">
        <f>C58/Dashboard!$C$15</f>
        <v>1856.5964873194457</v>
      </c>
      <c r="E58" s="54">
        <f>C58/Dashboard!$C$16</f>
        <v>1155.7620517087939</v>
      </c>
      <c r="F58" s="101">
        <f>+C58/Dashboard!$C$17</f>
        <v>1.9440981384628491</v>
      </c>
      <c r="G58" s="864"/>
      <c r="H58" s="789" t="s">
        <v>290</v>
      </c>
      <c r="I58" s="53">
        <f>J58*Dashboard!$J$16</f>
        <v>1181151.8324607329</v>
      </c>
      <c r="J58" s="54">
        <v>2094.2408376963349</v>
      </c>
      <c r="K58" s="54">
        <v>753.29566854990583</v>
      </c>
      <c r="L58" s="101">
        <v>1.9186124594693117</v>
      </c>
      <c r="N58" s="26" t="s">
        <v>307</v>
      </c>
      <c r="O58" s="54">
        <v>500000</v>
      </c>
      <c r="P58" s="819">
        <f t="shared" si="4"/>
        <v>1.6389358717172116</v>
      </c>
      <c r="Q58" s="784"/>
      <c r="R58" s="785"/>
    </row>
    <row r="59" spans="2:18">
      <c r="B59" s="789" t="s">
        <v>255</v>
      </c>
      <c r="C59" s="54">
        <v>1375000</v>
      </c>
      <c r="D59" s="54">
        <f>C59/Dashboard!$C$15</f>
        <v>2437.9432624113474</v>
      </c>
      <c r="E59" s="54">
        <f>C59/Dashboard!$C$16</f>
        <v>1517.6600441501105</v>
      </c>
      <c r="F59" s="101">
        <f>+C59/Dashboard!$C$17</f>
        <v>2.5528438680690289</v>
      </c>
      <c r="G59" s="864"/>
      <c r="H59" s="789" t="s">
        <v>255</v>
      </c>
      <c r="I59" s="54">
        <f>J59*Dashboard!$J$16</f>
        <v>4060209.4240837698</v>
      </c>
      <c r="J59" s="54">
        <v>7198.952879581152</v>
      </c>
      <c r="K59" s="54">
        <v>2589.4538606403012</v>
      </c>
      <c r="L59" s="101">
        <v>6.5952303294257595</v>
      </c>
      <c r="N59" s="26" t="str">
        <f>+B59</f>
        <v>Fee to Developer</v>
      </c>
      <c r="O59" s="54">
        <v>1789101</v>
      </c>
      <c r="P59" s="819">
        <f t="shared" si="4"/>
        <v>5.8644436140502698</v>
      </c>
      <c r="Q59" s="786"/>
      <c r="R59" s="786"/>
    </row>
    <row r="60" spans="2:18">
      <c r="B60" s="789" t="s">
        <v>291</v>
      </c>
      <c r="C60" s="53">
        <v>654450.26178010472</v>
      </c>
      <c r="D60" s="54">
        <f>C60/Dashboard!$C$15</f>
        <v>1160.3728045746539</v>
      </c>
      <c r="E60" s="54">
        <f>C60/Dashboard!$C$16</f>
        <v>722.35128231799638</v>
      </c>
      <c r="F60" s="101">
        <f>+C60/Dashboard!$C$17</f>
        <v>1.2150613365392808</v>
      </c>
      <c r="G60" s="864"/>
      <c r="H60" s="789" t="s">
        <v>291</v>
      </c>
      <c r="I60" s="861">
        <f>J60*Dashboard!$J$16</f>
        <v>354345.54973821988</v>
      </c>
      <c r="J60" s="54">
        <v>628.27225130890054</v>
      </c>
      <c r="K60" s="54">
        <v>225.98870056497177</v>
      </c>
      <c r="L60" s="101">
        <v>0.57558373784079353</v>
      </c>
      <c r="N60" s="26" t="str">
        <f t="shared" ref="N60" si="5">+B60</f>
        <v>Taxes During Construction</v>
      </c>
      <c r="O60" s="54">
        <v>40088</v>
      </c>
      <c r="P60" s="819">
        <f t="shared" si="4"/>
        <v>0.13140332245079914</v>
      </c>
    </row>
    <row r="61" spans="2:18">
      <c r="B61" s="789" t="s">
        <v>256</v>
      </c>
      <c r="C61" s="53">
        <v>3217026.1780104712</v>
      </c>
      <c r="D61" s="54">
        <f>C61/Dashboard!$C$15</f>
        <v>5703.9471241320407</v>
      </c>
      <c r="E61" s="54">
        <f>C61/Dashboard!$C$16</f>
        <v>3550.80152098286</v>
      </c>
      <c r="F61" s="101">
        <f>+C61/Dashboard!$C$17</f>
        <v>5.9727749468738729</v>
      </c>
      <c r="G61" s="864"/>
      <c r="H61" s="789" t="s">
        <v>256</v>
      </c>
      <c r="I61" s="861">
        <f>J61*Dashboard!$J$16</f>
        <v>3971425.1937172776</v>
      </c>
      <c r="J61" s="54">
        <v>7041.5340314136129</v>
      </c>
      <c r="K61" s="54">
        <v>2532.8305084745762</v>
      </c>
      <c r="L61" s="101">
        <v>6.4510130273785995</v>
      </c>
      <c r="N61" s="26" t="str">
        <f>+B61</f>
        <v>Interest Reserve</v>
      </c>
      <c r="O61" s="54">
        <v>749536</v>
      </c>
      <c r="P61" s="824">
        <f t="shared" si="4"/>
        <v>2.4568828750868636</v>
      </c>
    </row>
    <row r="62" spans="2:18" ht="15" customHeight="1" outlineLevel="1">
      <c r="B62" s="746"/>
      <c r="C62" s="507"/>
      <c r="D62" s="515"/>
      <c r="E62" s="515"/>
      <c r="F62" s="756"/>
      <c r="G62" s="866"/>
      <c r="H62" s="746" t="s">
        <v>347</v>
      </c>
      <c r="I62" s="507">
        <f>J62*Dashboard!$J$16</f>
        <v>0</v>
      </c>
      <c r="J62" s="515"/>
      <c r="K62" s="515"/>
      <c r="L62" s="756"/>
      <c r="N62" s="26">
        <f>+B62</f>
        <v>0</v>
      </c>
      <c r="O62" s="515"/>
      <c r="P62" s="27"/>
    </row>
    <row r="63" spans="2:18">
      <c r="B63" s="744" t="s">
        <v>32</v>
      </c>
      <c r="C63" s="745">
        <f>SUM(C29,C39,C48,C51,C56,C59,C60,C61,C58,C57,C62)</f>
        <v>13123851.681872377</v>
      </c>
      <c r="D63" s="745">
        <f>C63/Dashboard!$C$15</f>
        <v>23269.240570695703</v>
      </c>
      <c r="E63" s="745">
        <f>C63/Dashboard!$C$16</f>
        <v>14485.487507585405</v>
      </c>
      <c r="F63" s="812">
        <f>+C63/Dashboard!$C$17</f>
        <v>24.365923121102043</v>
      </c>
      <c r="G63" s="865"/>
      <c r="H63" s="744" t="s">
        <v>32</v>
      </c>
      <c r="I63" s="745">
        <f>J63*Dashboard!$J$16</f>
        <v>22329582.288376965</v>
      </c>
      <c r="J63" s="745">
        <v>39591.457958115185</v>
      </c>
      <c r="K63" s="745">
        <v>14240.995235404896</v>
      </c>
      <c r="L63" s="812">
        <v>36.271217311640221</v>
      </c>
      <c r="N63" s="26"/>
      <c r="O63" s="745"/>
      <c r="P63" s="27"/>
    </row>
    <row r="64" spans="2:18">
      <c r="B64" s="26"/>
      <c r="F64" s="113"/>
      <c r="G64" s="867"/>
      <c r="H64" s="26"/>
      <c r="L64" s="113"/>
      <c r="N64" s="26"/>
      <c r="P64" s="27"/>
    </row>
    <row r="65" spans="2:16" ht="15.75" thickBot="1">
      <c r="B65" s="787" t="s">
        <v>24</v>
      </c>
      <c r="C65" s="517">
        <f>SUM(C63,C26,C7)</f>
        <v>91552621.878451109</v>
      </c>
      <c r="D65" s="517">
        <f>C65/Dashboard!$C$15</f>
        <v>162327.34375611899</v>
      </c>
      <c r="E65" s="517">
        <f>C65/Dashboard!$C$16</f>
        <v>101051.45902698798</v>
      </c>
      <c r="F65" s="813">
        <f>+(C65-C5)/(Dashboard!$C$17)</f>
        <v>155.90010058845579</v>
      </c>
      <c r="G65" s="865"/>
      <c r="H65" s="787" t="s">
        <v>24</v>
      </c>
      <c r="I65" s="517">
        <f>J65*Dashboard!$J$16</f>
        <v>130635140.11036649</v>
      </c>
      <c r="J65" s="517">
        <v>231622.58884816754</v>
      </c>
      <c r="K65" s="517">
        <v>83314.339868173251</v>
      </c>
      <c r="L65" s="813">
        <v>164.23281628326393</v>
      </c>
      <c r="N65" s="825" t="str">
        <f>+B65</f>
        <v>Total Project Costs</v>
      </c>
      <c r="O65" s="517">
        <f>62575303.9883136</f>
        <v>62575303.9883136</v>
      </c>
      <c r="P65" s="819">
        <f>+O65/$P$4</f>
        <v>205.11382078011249</v>
      </c>
    </row>
    <row r="66" spans="2:16" ht="16.5" thickTop="1" thickBot="1">
      <c r="B66" s="518"/>
      <c r="C66" s="519"/>
      <c r="D66" s="519"/>
      <c r="E66" s="519"/>
      <c r="F66" s="531"/>
      <c r="H66" s="518"/>
      <c r="I66" s="519"/>
      <c r="J66" s="519"/>
      <c r="K66" s="519"/>
      <c r="L66" s="531"/>
      <c r="N66" s="26"/>
      <c r="O66" s="519"/>
      <c r="P66" s="27"/>
    </row>
    <row r="67" spans="2:16">
      <c r="N67" s="26"/>
      <c r="P67" s="27"/>
    </row>
    <row r="68" spans="2:16">
      <c r="C68" s="76"/>
      <c r="H68" s="708"/>
      <c r="N68" s="26" t="s">
        <v>312</v>
      </c>
      <c r="O68" s="76">
        <f>57401063.9883136</f>
        <v>57401063.9883136</v>
      </c>
      <c r="P68" s="819">
        <f>+O68/$P$4</f>
        <v>188.15332569036437</v>
      </c>
    </row>
    <row r="69" spans="2:16" ht="15.75" thickBot="1">
      <c r="N69" s="518" t="s">
        <v>338</v>
      </c>
      <c r="O69" s="826">
        <f>57401063.9883136-O5</f>
        <v>50592823.9883136</v>
      </c>
      <c r="P69" s="827">
        <f>+O69/$P$4</f>
        <v>165.8367881718444</v>
      </c>
    </row>
    <row r="93" ht="6" customHeight="1"/>
    <row r="103" ht="6.75" customHeight="1"/>
  </sheetData>
  <pageMargins left="0.7" right="0.7" top="0.75" bottom="0.75" header="0.3" footer="0.3"/>
  <pageSetup scale="39" orientation="portrait" r:id="rId1"/>
  <ignoredErrors>
    <ignoredError sqref="C51 C17" formulaRange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00D4"/>
    <pageSetUpPr fitToPage="1"/>
  </sheetPr>
  <dimension ref="B1:P48"/>
  <sheetViews>
    <sheetView showGridLines="0" zoomScale="85" zoomScaleNormal="85" zoomScaleSheetLayoutView="85" workbookViewId="0"/>
  </sheetViews>
  <sheetFormatPr defaultRowHeight="15"/>
  <cols>
    <col min="1" max="1" width="1.85546875" customWidth="1"/>
    <col min="2" max="2" width="32" customWidth="1"/>
    <col min="3" max="5" width="15.5703125" customWidth="1"/>
    <col min="6" max="6" width="1.7109375" customWidth="1"/>
    <col min="8" max="8" width="21.42578125" customWidth="1"/>
    <col min="9" max="9" width="25" customWidth="1"/>
    <col min="10" max="10" width="9.85546875" bestFit="1" customWidth="1"/>
    <col min="11" max="11" width="43" hidden="1" customWidth="1"/>
    <col min="12" max="12" width="8.7109375" hidden="1" customWidth="1"/>
    <col min="13" max="14" width="0" hidden="1" customWidth="1"/>
    <col min="15" max="15" width="48.5703125" bestFit="1" customWidth="1"/>
    <col min="16" max="16" width="10.28515625" bestFit="1" customWidth="1"/>
  </cols>
  <sheetData>
    <row r="1" spans="2:16" ht="9" customHeight="1" thickBot="1"/>
    <row r="2" spans="2:16">
      <c r="B2" s="13" t="s">
        <v>99</v>
      </c>
      <c r="C2" s="14"/>
      <c r="D2" s="14"/>
      <c r="E2" s="36"/>
      <c r="H2" s="13" t="s">
        <v>302</v>
      </c>
      <c r="I2" s="50"/>
      <c r="K2" s="13" t="s">
        <v>349</v>
      </c>
      <c r="L2" s="50"/>
      <c r="O2" s="13" t="s">
        <v>303</v>
      </c>
      <c r="P2" s="50"/>
    </row>
    <row r="3" spans="2:16">
      <c r="B3" s="532"/>
      <c r="C3" s="512" t="s">
        <v>101</v>
      </c>
      <c r="D3" s="512" t="s">
        <v>19</v>
      </c>
      <c r="E3" s="513" t="s">
        <v>18</v>
      </c>
      <c r="H3" s="650">
        <v>2026</v>
      </c>
      <c r="I3" s="651">
        <f>+'Tax Abatement'!C6*'Tax Abatement'!C4</f>
        <v>1261595.1294850563</v>
      </c>
      <c r="K3" s="650">
        <v>2026</v>
      </c>
      <c r="L3" s="651">
        <f>+'Tax Abatement'!C9</f>
        <v>0</v>
      </c>
      <c r="O3" s="650">
        <v>2026</v>
      </c>
      <c r="P3" s="651">
        <f>+I3-L3</f>
        <v>1261595.1294850563</v>
      </c>
    </row>
    <row r="4" spans="2:16">
      <c r="B4" s="51" t="str">
        <f>Dashboard!G33</f>
        <v>Rental Revenue</v>
      </c>
      <c r="E4" s="27"/>
      <c r="H4" s="650">
        <f>H3+1</f>
        <v>2027</v>
      </c>
      <c r="I4" s="651">
        <f>+'Tax Abatement'!D6</f>
        <v>2018552.20717609</v>
      </c>
      <c r="K4" s="650">
        <f>K3+1</f>
        <v>2027</v>
      </c>
      <c r="L4" s="651">
        <f>+'Tax Abatement'!D9</f>
        <v>0</v>
      </c>
      <c r="O4" s="650">
        <f>O3+1</f>
        <v>2027</v>
      </c>
      <c r="P4" s="651">
        <f t="shared" ref="P4:P8" si="0">+I4-L4</f>
        <v>2018552.20717609</v>
      </c>
    </row>
    <row r="5" spans="2:16">
      <c r="B5" s="663" t="str">
        <f>Dashboard!G34</f>
        <v>Gross Potential Rent</v>
      </c>
      <c r="C5" s="526">
        <f>'Unit Mix'!E29</f>
        <v>7376336</v>
      </c>
      <c r="D5" s="526">
        <f>C5/Dashboard!$C$15</f>
        <v>13078.609929078015</v>
      </c>
      <c r="E5" s="527">
        <f>C5/Dashboard!$C$16</f>
        <v>8141.6512141280355</v>
      </c>
      <c r="H5" s="650">
        <f>H4+1</f>
        <v>2028</v>
      </c>
      <c r="I5" s="651">
        <f>+'Tax Abatement'!E6</f>
        <v>2089201.5344272531</v>
      </c>
      <c r="J5" s="868"/>
      <c r="K5" s="650">
        <f>K4+1</f>
        <v>2028</v>
      </c>
      <c r="L5" s="651">
        <f>+'Tax Abatement'!E9</f>
        <v>0</v>
      </c>
      <c r="O5" s="650">
        <f>O4+1</f>
        <v>2028</v>
      </c>
      <c r="P5" s="651">
        <f t="shared" si="0"/>
        <v>2089201.5344272531</v>
      </c>
    </row>
    <row r="6" spans="2:16">
      <c r="B6" s="663" t="str">
        <f>Dashboard!G35</f>
        <v>Vacancy Loss</v>
      </c>
      <c r="C6" s="526">
        <f>-($C$5*Dashboard!I26)</f>
        <v>-405698.48</v>
      </c>
      <c r="D6" s="526">
        <f>C6/Dashboard!$C$15</f>
        <v>-719.32354609929075</v>
      </c>
      <c r="E6" s="527">
        <f>C6/Dashboard!$C$16</f>
        <v>-447.79081677704193</v>
      </c>
      <c r="H6" s="650">
        <f>H5+1</f>
        <v>2029</v>
      </c>
      <c r="I6" s="651">
        <f>+'Tax Abatement'!F6</f>
        <v>2162323.5881322068</v>
      </c>
      <c r="K6" s="650">
        <f>K5+1</f>
        <v>2029</v>
      </c>
      <c r="L6" s="651">
        <f>+'Tax Abatement'!F9</f>
        <v>0</v>
      </c>
      <c r="O6" s="650">
        <f>O5+1</f>
        <v>2029</v>
      </c>
      <c r="P6" s="651">
        <f t="shared" si="0"/>
        <v>2162323.5881322068</v>
      </c>
    </row>
    <row r="7" spans="2:16">
      <c r="B7" s="663" t="str">
        <f>Dashboard!G36</f>
        <v>Rent Concessions</v>
      </c>
      <c r="C7" s="526">
        <f>-($C$5*Dashboard!I27)</f>
        <v>-73763.360000000001</v>
      </c>
      <c r="D7" s="526">
        <f>C7/Dashboard!$C$15</f>
        <v>-130.78609929078013</v>
      </c>
      <c r="E7" s="527">
        <f>C7/Dashboard!$C$16</f>
        <v>-81.41651214128035</v>
      </c>
      <c r="H7" s="652">
        <f>H6+1</f>
        <v>2030</v>
      </c>
      <c r="I7" s="653">
        <f>+'Tax Abatement'!G6</f>
        <v>2238004.913716834</v>
      </c>
      <c r="K7" s="652">
        <f>K6+1</f>
        <v>2030</v>
      </c>
      <c r="L7" s="653">
        <f>+'Tax Abatement'!G9</f>
        <v>0</v>
      </c>
      <c r="O7" s="652">
        <f>O6+1</f>
        <v>2030</v>
      </c>
      <c r="P7" s="653">
        <f t="shared" si="0"/>
        <v>2238004.913716834</v>
      </c>
    </row>
    <row r="8" spans="2:16" ht="15.75" thickBot="1">
      <c r="B8" s="663" t="str">
        <f>Dashboard!G37</f>
        <v>Non-Revenue Units</v>
      </c>
      <c r="C8" s="526">
        <f>-($C$5*Dashboard!I28)</f>
        <v>-36881.68</v>
      </c>
      <c r="D8" s="526">
        <f>C8/Dashboard!$C$15</f>
        <v>-65.393049645390064</v>
      </c>
      <c r="E8" s="527">
        <f>C8/Dashboard!$C$16</f>
        <v>-40.708256070640175</v>
      </c>
      <c r="H8" s="654">
        <f>H7+1</f>
        <v>2031</v>
      </c>
      <c r="I8" s="655">
        <f>+'Tax Abatement'!H6</f>
        <v>2316335.0856969231</v>
      </c>
      <c r="K8" s="654">
        <f>K7+1</f>
        <v>2031</v>
      </c>
      <c r="L8" s="655">
        <f>+'Tax Abatement'!H9</f>
        <v>0</v>
      </c>
      <c r="O8" s="654">
        <f>O7+1</f>
        <v>2031</v>
      </c>
      <c r="P8" s="655">
        <f t="shared" si="0"/>
        <v>2316335.0856969231</v>
      </c>
    </row>
    <row r="9" spans="2:16">
      <c r="B9" s="663" t="str">
        <f>Dashboard!G38</f>
        <v>Credit Loss / Bad Debt</v>
      </c>
      <c r="C9" s="526">
        <f>-($C$5*Dashboard!I29)</f>
        <v>-92204.200000000012</v>
      </c>
      <c r="D9" s="526">
        <f>C9/Dashboard!$C$15</f>
        <v>-163.4826241134752</v>
      </c>
      <c r="E9" s="527">
        <f>C9/Dashboard!$C$16</f>
        <v>-101.77064017660045</v>
      </c>
      <c r="H9" s="1043" t="s">
        <v>388</v>
      </c>
      <c r="I9" s="1043"/>
      <c r="K9" s="890"/>
      <c r="L9" s="889"/>
      <c r="O9" s="890"/>
      <c r="P9" s="889"/>
    </row>
    <row r="10" spans="2:16">
      <c r="B10" s="79" t="s">
        <v>73</v>
      </c>
      <c r="C10" s="75">
        <f>SUM(C5:C9)</f>
        <v>6767788.2799999993</v>
      </c>
      <c r="D10" s="75">
        <f>C10/Dashboard!$C$15</f>
        <v>11999.624609929077</v>
      </c>
      <c r="E10" s="80">
        <f>C10/Dashboard!$C$16</f>
        <v>7469.9649889624716</v>
      </c>
      <c r="H10" s="1044"/>
      <c r="I10" s="1044"/>
    </row>
    <row r="11" spans="2:16" ht="6" customHeight="1">
      <c r="B11" s="26"/>
      <c r="E11" s="27"/>
    </row>
    <row r="12" spans="2:16">
      <c r="B12" s="51" t="s">
        <v>60</v>
      </c>
      <c r="E12" s="27"/>
      <c r="K12" s="634"/>
    </row>
    <row r="13" spans="2:16">
      <c r="B13" s="663" t="s">
        <v>360</v>
      </c>
      <c r="C13" s="791">
        <v>45552</v>
      </c>
      <c r="D13" s="526">
        <f>C13/Dashboard!$C$15</f>
        <v>80.765957446808514</v>
      </c>
      <c r="E13" s="527">
        <f>C13/Dashboard!$C$16</f>
        <v>50.278145695364238</v>
      </c>
      <c r="I13" s="1045"/>
    </row>
    <row r="14" spans="2:16">
      <c r="B14" s="663" t="s">
        <v>298</v>
      </c>
      <c r="C14" s="791">
        <v>21187</v>
      </c>
      <c r="D14" s="526">
        <f>C14/Dashboard!$C$15</f>
        <v>37.565602836879435</v>
      </c>
      <c r="E14" s="527">
        <f>C14/Dashboard!$C$16</f>
        <v>23.385209713024281</v>
      </c>
      <c r="H14" s="76"/>
      <c r="I14" s="1045"/>
    </row>
    <row r="15" spans="2:16">
      <c r="B15" s="663" t="s">
        <v>60</v>
      </c>
      <c r="C15" s="791">
        <v>33294</v>
      </c>
      <c r="D15" s="526">
        <f>C15/Dashboard!$C$15</f>
        <v>59.031914893617021</v>
      </c>
      <c r="E15" s="527">
        <f>C15/Dashboard!$C$16</f>
        <v>36.748344370860927</v>
      </c>
      <c r="I15" s="1045"/>
    </row>
    <row r="16" spans="2:16">
      <c r="B16" s="663" t="s">
        <v>299</v>
      </c>
      <c r="C16" s="791">
        <v>87780</v>
      </c>
      <c r="D16" s="526">
        <f>C16/Dashboard!$C$15</f>
        <v>155.63829787234042</v>
      </c>
      <c r="E16" s="527">
        <f>C16/Dashboard!$C$16</f>
        <v>96.88741721854305</v>
      </c>
      <c r="I16" s="1045"/>
    </row>
    <row r="17" spans="2:9">
      <c r="B17" s="79" t="s">
        <v>100</v>
      </c>
      <c r="C17" s="75">
        <f>SUM(C13,C14,C15,C16)</f>
        <v>187813</v>
      </c>
      <c r="D17" s="75">
        <f>C17/Dashboard!$C$15</f>
        <v>333.00177304964541</v>
      </c>
      <c r="E17" s="80">
        <f>C17/Dashboard!$C$16</f>
        <v>207.29911699779248</v>
      </c>
      <c r="I17" s="1045"/>
    </row>
    <row r="18" spans="2:9">
      <c r="B18" s="26"/>
      <c r="E18" s="27"/>
      <c r="I18" s="1045"/>
    </row>
    <row r="19" spans="2:9">
      <c r="B19" s="523" t="s">
        <v>74</v>
      </c>
      <c r="C19" s="524">
        <f>C10+C17</f>
        <v>6955601.2799999993</v>
      </c>
      <c r="D19" s="524">
        <f>C19/Dashboard!$C$15</f>
        <v>12332.626382978722</v>
      </c>
      <c r="E19" s="525">
        <f>C19/Dashboard!$C$16</f>
        <v>7677.2641059602638</v>
      </c>
    </row>
    <row r="20" spans="2:9">
      <c r="B20" s="26"/>
      <c r="E20" s="27"/>
    </row>
    <row r="21" spans="2:9">
      <c r="B21" s="51" t="s">
        <v>63</v>
      </c>
      <c r="E21" s="27"/>
    </row>
    <row r="22" spans="2:9">
      <c r="B22" s="750" t="s">
        <v>103</v>
      </c>
      <c r="E22" s="27"/>
    </row>
    <row r="23" spans="2:9">
      <c r="B23" s="663" t="s">
        <v>107</v>
      </c>
      <c r="C23" s="53">
        <v>59472</v>
      </c>
      <c r="D23" s="81">
        <f>IF(C23=0,"",C23/Dashboard!$C$15)</f>
        <v>105.44680851063829</v>
      </c>
      <c r="E23" s="510">
        <f>IF(C23=0,"",C23/Dashboard!$C$16)</f>
        <v>65.642384105960261</v>
      </c>
      <c r="G23" s="76"/>
    </row>
    <row r="24" spans="2:9">
      <c r="B24" s="663" t="s">
        <v>106</v>
      </c>
      <c r="C24" s="53">
        <v>365694</v>
      </c>
      <c r="D24" s="81">
        <f>IF(C24=0,"",C24/Dashboard!$C$15)</f>
        <v>648.39361702127655</v>
      </c>
      <c r="E24" s="510">
        <f>IF(C24=0,"",C24/Dashboard!$C$16)</f>
        <v>403.63576158940396</v>
      </c>
      <c r="G24" s="809"/>
    </row>
    <row r="25" spans="2:9">
      <c r="B25" s="663" t="s">
        <v>257</v>
      </c>
      <c r="C25" s="53">
        <f>C19*Dashboard!$C$53</f>
        <v>208668.03839999996</v>
      </c>
      <c r="D25" s="81">
        <f>IF(C25=0,"",C25/Dashboard!$C$15)</f>
        <v>369.97879148936164</v>
      </c>
      <c r="E25" s="510">
        <f>IF(C25=0,"",C25/Dashboard!$C$16)</f>
        <v>230.31792317880792</v>
      </c>
      <c r="G25" s="809"/>
    </row>
    <row r="26" spans="2:9">
      <c r="B26" s="663" t="s">
        <v>108</v>
      </c>
      <c r="C26" s="53">
        <v>79119</v>
      </c>
      <c r="D26" s="81">
        <f>IF(C26=0,"",C26/Dashboard!$C$15)</f>
        <v>140.28191489361703</v>
      </c>
      <c r="E26" s="510">
        <f>IF(C26=0,"",C26/Dashboard!$C$16)</f>
        <v>87.327814569536429</v>
      </c>
      <c r="G26" s="809"/>
    </row>
    <row r="27" spans="2:9">
      <c r="B27" s="663" t="s">
        <v>339</v>
      </c>
      <c r="C27" s="53">
        <f>152928+60000</f>
        <v>212928</v>
      </c>
      <c r="D27" s="81">
        <f>IF(C27=0,"",C27/Dashboard!$C$15)</f>
        <v>377.531914893617</v>
      </c>
      <c r="E27" s="510">
        <f>IF(C27=0,"",C27/Dashboard!$C$16)</f>
        <v>235.01986754966887</v>
      </c>
      <c r="G27" s="810"/>
    </row>
    <row r="28" spans="2:9">
      <c r="B28" s="663" t="s">
        <v>104</v>
      </c>
      <c r="C28" s="53">
        <v>96000</v>
      </c>
      <c r="D28" s="81">
        <f>IF(C28=0,"",C28/Dashboard!$C$15)</f>
        <v>170.21276595744681</v>
      </c>
      <c r="E28" s="510">
        <f>IF(C28=0,"",C28/Dashboard!$C$16)</f>
        <v>105.96026490066225</v>
      </c>
      <c r="G28" s="810"/>
    </row>
    <row r="29" spans="2:9">
      <c r="B29" s="663" t="s">
        <v>105</v>
      </c>
      <c r="C29" s="53">
        <v>86022</v>
      </c>
      <c r="D29" s="81">
        <f>IF(C29=0,"",C29/Dashboard!$C$15)</f>
        <v>152.52127659574469</v>
      </c>
      <c r="E29" s="510">
        <f>IF(C29=0,"",C29/Dashboard!$C$16)</f>
        <v>94.94701986754967</v>
      </c>
      <c r="G29" s="809"/>
    </row>
    <row r="30" spans="2:9">
      <c r="B30" s="506"/>
      <c r="C30" s="53"/>
      <c r="D30" s="508"/>
      <c r="E30" s="509"/>
      <c r="G30" s="502"/>
    </row>
    <row r="31" spans="2:9">
      <c r="B31" s="750" t="s">
        <v>196</v>
      </c>
      <c r="D31" s="508" t="str">
        <f>IF(C31=0,"",C31/Dashboard!$C$15)</f>
        <v/>
      </c>
      <c r="E31" s="509" t="str">
        <f>IF(C31=0,"",C31/Dashboard!$C$16)</f>
        <v/>
      </c>
      <c r="G31" s="522"/>
    </row>
    <row r="32" spans="2:9">
      <c r="B32" s="663" t="s">
        <v>110</v>
      </c>
      <c r="C32" s="53">
        <f>+SUM(Dashboard!D15,Dashboard!D17)</f>
        <v>199136.30625000002</v>
      </c>
      <c r="D32" s="81">
        <f>IF(C32=0,"",C32/Dashboard!$C$15)</f>
        <v>353.07855718085108</v>
      </c>
      <c r="E32" s="510">
        <f>IF(C32=0,"",C32/Dashboard!$C$16)</f>
        <v>219.79724751655633</v>
      </c>
      <c r="G32" s="522"/>
    </row>
    <row r="33" spans="2:7">
      <c r="B33" s="663" t="s">
        <v>109</v>
      </c>
      <c r="C33" s="53">
        <f>+L3</f>
        <v>0</v>
      </c>
      <c r="D33" s="81" t="str">
        <f>IF(C33=0,"",C33/Dashboard!$C$15)</f>
        <v/>
      </c>
      <c r="E33" s="510" t="str">
        <f>IF(C33=0,"",C33/Dashboard!$C$16)</f>
        <v/>
      </c>
      <c r="G33" s="522"/>
    </row>
    <row r="34" spans="2:7">
      <c r="B34" s="663" t="s">
        <v>102</v>
      </c>
      <c r="C34" s="53">
        <v>318600</v>
      </c>
      <c r="D34" s="81">
        <f>IF(C34=0,"",C34/Dashboard!$C$15)</f>
        <v>564.89361702127655</v>
      </c>
      <c r="E34" s="510">
        <f>IF(C34=0,"",C34/Dashboard!$C$16)</f>
        <v>351.65562913907286</v>
      </c>
      <c r="G34" s="522"/>
    </row>
    <row r="35" spans="2:7">
      <c r="B35" s="521"/>
      <c r="C35" s="53"/>
      <c r="D35" s="508" t="str">
        <f>IF(C35=0,"",C35/Dashboard!$C$15)</f>
        <v/>
      </c>
      <c r="E35" s="509" t="str">
        <f>IF(C35=0,"",C35/Dashboard!$C$16)</f>
        <v/>
      </c>
      <c r="F35" s="503"/>
    </row>
    <row r="36" spans="2:7">
      <c r="B36" s="523" t="s">
        <v>111</v>
      </c>
      <c r="C36" s="751">
        <f>SUM(C23:C29)+SUM(C32:C34)</f>
        <v>1625639.3446499999</v>
      </c>
      <c r="D36" s="524">
        <f>C36/Dashboard!$C$15</f>
        <v>2882.3392635638297</v>
      </c>
      <c r="E36" s="525">
        <f>C36/Dashboard!$C$16</f>
        <v>1794.3039124172185</v>
      </c>
    </row>
    <row r="37" spans="2:7">
      <c r="B37" s="26"/>
      <c r="E37" s="27"/>
      <c r="F37" s="503"/>
    </row>
    <row r="38" spans="2:7" ht="15.75" thickBot="1">
      <c r="B38" s="56" t="s">
        <v>76</v>
      </c>
      <c r="C38" s="78">
        <f>C19-C36</f>
        <v>5329961.935349999</v>
      </c>
      <c r="D38" s="78">
        <f>D19-D36</f>
        <v>9450.287119414892</v>
      </c>
      <c r="E38" s="82">
        <f>E19-E36</f>
        <v>5882.9601935430455</v>
      </c>
      <c r="F38" s="503"/>
    </row>
    <row r="39" spans="2:7" ht="16.5" thickTop="1" thickBot="1">
      <c r="B39" s="33"/>
      <c r="C39" s="34"/>
      <c r="D39" s="34"/>
      <c r="E39" s="40"/>
      <c r="F39" s="503"/>
    </row>
    <row r="40" spans="2:7">
      <c r="F40" s="503"/>
    </row>
    <row r="41" spans="2:7">
      <c r="F41" s="503"/>
    </row>
    <row r="42" spans="2:7">
      <c r="F42" s="503"/>
    </row>
    <row r="43" spans="2:7">
      <c r="F43" s="503"/>
    </row>
    <row r="44" spans="2:7">
      <c r="F44" s="503"/>
    </row>
    <row r="46" spans="2:7" ht="9.75" customHeight="1"/>
    <row r="48" spans="2:7" ht="6.75" customHeight="1"/>
  </sheetData>
  <mergeCells count="2">
    <mergeCell ref="H9:I10"/>
    <mergeCell ref="I13:I18"/>
  </mergeCells>
  <pageMargins left="0.7" right="0.7" top="0.75" bottom="0.75" header="0.3" footer="0.3"/>
  <pageSetup scale="37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00D4"/>
  </sheetPr>
  <dimension ref="B1:O34"/>
  <sheetViews>
    <sheetView showGridLines="0" view="pageBreakPreview" zoomScale="60" zoomScaleNormal="110" workbookViewId="0"/>
  </sheetViews>
  <sheetFormatPr defaultRowHeight="15"/>
  <cols>
    <col min="2" max="2" width="36.28515625" bestFit="1" customWidth="1"/>
    <col min="3" max="7" width="14.140625" bestFit="1" customWidth="1"/>
    <col min="8" max="12" width="15.140625" bestFit="1" customWidth="1"/>
    <col min="14" max="14" width="24.140625" bestFit="1" customWidth="1"/>
    <col min="15" max="15" width="13.7109375" bestFit="1" customWidth="1"/>
  </cols>
  <sheetData>
    <row r="1" spans="2:15" ht="15.75" thickBot="1"/>
    <row r="2" spans="2:15" ht="15.75" thickBot="1">
      <c r="B2" s="874"/>
      <c r="C2" s="999"/>
      <c r="D2" s="999"/>
      <c r="E2" s="999"/>
      <c r="F2" s="999"/>
      <c r="G2" s="999"/>
      <c r="H2" s="999"/>
      <c r="I2" s="999"/>
      <c r="J2" s="999"/>
      <c r="K2" s="999"/>
      <c r="L2" s="1000"/>
    </row>
    <row r="3" spans="2:15">
      <c r="B3" s="875"/>
      <c r="C3" s="876">
        <v>2026</v>
      </c>
      <c r="D3" s="876">
        <f>+C3+1</f>
        <v>2027</v>
      </c>
      <c r="E3" s="876">
        <f t="shared" ref="E3:L3" si="0">+D3+1</f>
        <v>2028</v>
      </c>
      <c r="F3" s="876">
        <f t="shared" si="0"/>
        <v>2029</v>
      </c>
      <c r="G3" s="876">
        <f t="shared" si="0"/>
        <v>2030</v>
      </c>
      <c r="H3" s="876">
        <f t="shared" si="0"/>
        <v>2031</v>
      </c>
      <c r="I3" s="876">
        <f t="shared" si="0"/>
        <v>2032</v>
      </c>
      <c r="J3" s="876">
        <f t="shared" si="0"/>
        <v>2033</v>
      </c>
      <c r="K3" s="876">
        <f t="shared" si="0"/>
        <v>2034</v>
      </c>
      <c r="L3" s="877">
        <f t="shared" si="0"/>
        <v>2035</v>
      </c>
      <c r="N3" s="13" t="s">
        <v>393</v>
      </c>
      <c r="O3" s="870">
        <f>Dashboard!C43</f>
        <v>91552621.878451094</v>
      </c>
    </row>
    <row r="4" spans="2:15">
      <c r="B4" s="878" t="s">
        <v>350</v>
      </c>
      <c r="C4" s="879">
        <v>0.65</v>
      </c>
      <c r="D4" s="879">
        <v>1</v>
      </c>
      <c r="E4" s="879">
        <v>1</v>
      </c>
      <c r="F4" s="879">
        <v>1</v>
      </c>
      <c r="G4" s="879">
        <v>1</v>
      </c>
      <c r="H4" s="879">
        <v>1</v>
      </c>
      <c r="I4" s="879">
        <v>1</v>
      </c>
      <c r="J4" s="879">
        <v>1</v>
      </c>
      <c r="K4" s="879">
        <v>1</v>
      </c>
      <c r="L4" s="880">
        <v>1</v>
      </c>
      <c r="N4" s="798" t="s">
        <v>394</v>
      </c>
      <c r="O4" s="871">
        <f>+O7</f>
        <v>2.12E-2</v>
      </c>
    </row>
    <row r="5" spans="2:15" ht="15.75" thickBot="1">
      <c r="B5" s="26" t="s">
        <v>351</v>
      </c>
      <c r="C5" s="501">
        <v>0.04</v>
      </c>
      <c r="D5" s="501">
        <v>0.04</v>
      </c>
      <c r="E5" s="501">
        <v>3.5000000000000003E-2</v>
      </c>
      <c r="F5" s="501">
        <v>3.5000000000000003E-2</v>
      </c>
      <c r="G5" s="501">
        <v>3.5000000000000003E-2</v>
      </c>
      <c r="H5" s="501">
        <v>3.5000000000000003E-2</v>
      </c>
      <c r="I5" s="501">
        <v>3.5000000000000003E-2</v>
      </c>
      <c r="J5" s="501">
        <v>3.5000000000000003E-2</v>
      </c>
      <c r="K5" s="501">
        <v>3.5000000000000003E-2</v>
      </c>
      <c r="L5" s="881">
        <v>3.5000000000000003E-2</v>
      </c>
      <c r="N5" s="872" t="s">
        <v>357</v>
      </c>
      <c r="O5" s="873">
        <f>+O3*O4</f>
        <v>1940915.5838231633</v>
      </c>
    </row>
    <row r="6" spans="2:15" ht="15.75" thickBot="1">
      <c r="B6" s="26" t="s">
        <v>352</v>
      </c>
      <c r="C6" s="76">
        <f>+O5</f>
        <v>1940915.5838231633</v>
      </c>
      <c r="D6" s="76">
        <f>+C6*(1+D5)</f>
        <v>2018552.20717609</v>
      </c>
      <c r="E6" s="76">
        <f>+D6*(1+E5)</f>
        <v>2089201.5344272531</v>
      </c>
      <c r="F6" s="76">
        <f>+E6*(1+F5)</f>
        <v>2162323.5881322068</v>
      </c>
      <c r="G6" s="76">
        <f t="shared" ref="G6:L6" si="1">+F6*(1+G5)</f>
        <v>2238004.913716834</v>
      </c>
      <c r="H6" s="76">
        <f t="shared" si="1"/>
        <v>2316335.0856969231</v>
      </c>
      <c r="I6" s="76">
        <f t="shared" si="1"/>
        <v>2397406.813696315</v>
      </c>
      <c r="J6" s="76">
        <f t="shared" si="1"/>
        <v>2481316.0521756858</v>
      </c>
      <c r="K6" s="76">
        <f t="shared" si="1"/>
        <v>2568162.1140018348</v>
      </c>
      <c r="L6" s="882">
        <f t="shared" si="1"/>
        <v>2658047.7879918986</v>
      </c>
    </row>
    <row r="7" spans="2:15">
      <c r="B7" s="26" t="s">
        <v>353</v>
      </c>
      <c r="C7" s="76">
        <f>29000000*O8</f>
        <v>0</v>
      </c>
      <c r="D7" s="76">
        <f t="shared" ref="D7:L7" si="2">+$O$9*D6</f>
        <v>0</v>
      </c>
      <c r="E7" s="76">
        <f t="shared" si="2"/>
        <v>0</v>
      </c>
      <c r="F7" s="76">
        <f t="shared" si="2"/>
        <v>0</v>
      </c>
      <c r="G7" s="76">
        <f t="shared" si="2"/>
        <v>0</v>
      </c>
      <c r="H7" s="76">
        <f t="shared" si="2"/>
        <v>0</v>
      </c>
      <c r="I7" s="76">
        <f t="shared" si="2"/>
        <v>0</v>
      </c>
      <c r="J7" s="76">
        <f t="shared" si="2"/>
        <v>0</v>
      </c>
      <c r="K7" s="76">
        <f t="shared" si="2"/>
        <v>0</v>
      </c>
      <c r="L7" s="882">
        <f t="shared" si="2"/>
        <v>0</v>
      </c>
      <c r="N7" s="13" t="s">
        <v>395</v>
      </c>
      <c r="O7" s="886">
        <v>2.12E-2</v>
      </c>
    </row>
    <row r="8" spans="2:15">
      <c r="B8" s="26" t="s">
        <v>354</v>
      </c>
      <c r="C8" s="76">
        <f>+C7*-(1-C4)</f>
        <v>0</v>
      </c>
      <c r="D8" s="76">
        <f t="shared" ref="D8:L8" si="3">+D7*-(1-D4)</f>
        <v>0</v>
      </c>
      <c r="E8" s="76">
        <f t="shared" si="3"/>
        <v>0</v>
      </c>
      <c r="F8" s="76">
        <f t="shared" si="3"/>
        <v>0</v>
      </c>
      <c r="G8" s="76">
        <f t="shared" si="3"/>
        <v>0</v>
      </c>
      <c r="H8" s="76">
        <f t="shared" si="3"/>
        <v>0</v>
      </c>
      <c r="I8" s="76">
        <f t="shared" si="3"/>
        <v>0</v>
      </c>
      <c r="J8" s="76">
        <f t="shared" si="3"/>
        <v>0</v>
      </c>
      <c r="K8" s="76">
        <f t="shared" si="3"/>
        <v>0</v>
      </c>
      <c r="L8" s="882">
        <f t="shared" si="3"/>
        <v>0</v>
      </c>
      <c r="N8" s="798" t="s">
        <v>396</v>
      </c>
      <c r="O8" s="887">
        <v>0</v>
      </c>
    </row>
    <row r="9" spans="2:15" ht="15.75" thickBot="1">
      <c r="B9" s="753" t="s">
        <v>355</v>
      </c>
      <c r="C9" s="883">
        <f>+SUM(C7:C8)</f>
        <v>0</v>
      </c>
      <c r="D9" s="883">
        <f t="shared" ref="D9:L9" si="4">+SUM(D7:D8)</f>
        <v>0</v>
      </c>
      <c r="E9" s="883">
        <f t="shared" si="4"/>
        <v>0</v>
      </c>
      <c r="F9" s="883">
        <f t="shared" si="4"/>
        <v>0</v>
      </c>
      <c r="G9" s="883">
        <f t="shared" si="4"/>
        <v>0</v>
      </c>
      <c r="H9" s="883">
        <f t="shared" si="4"/>
        <v>0</v>
      </c>
      <c r="I9" s="883">
        <f t="shared" si="4"/>
        <v>0</v>
      </c>
      <c r="J9" s="883">
        <f t="shared" si="4"/>
        <v>0</v>
      </c>
      <c r="K9" s="883">
        <f t="shared" si="4"/>
        <v>0</v>
      </c>
      <c r="L9" s="884">
        <f t="shared" si="4"/>
        <v>0</v>
      </c>
      <c r="N9" s="872" t="s">
        <v>358</v>
      </c>
      <c r="O9" s="888">
        <f>+O8/O7</f>
        <v>0</v>
      </c>
    </row>
    <row r="10" spans="2:15">
      <c r="B10" s="26"/>
      <c r="L10" s="27"/>
    </row>
    <row r="11" spans="2:15">
      <c r="B11" s="26" t="s">
        <v>356</v>
      </c>
      <c r="C11" s="76">
        <f>+(C6*C4)-C9</f>
        <v>1261595.1294850563</v>
      </c>
      <c r="D11" s="76">
        <f t="shared" ref="D11:L11" si="5">+(D6*D4)-D9</f>
        <v>2018552.20717609</v>
      </c>
      <c r="E11" s="76">
        <f t="shared" si="5"/>
        <v>2089201.5344272531</v>
      </c>
      <c r="F11" s="76">
        <f t="shared" si="5"/>
        <v>2162323.5881322068</v>
      </c>
      <c r="G11" s="76">
        <f t="shared" si="5"/>
        <v>2238004.913716834</v>
      </c>
      <c r="H11" s="76">
        <f t="shared" si="5"/>
        <v>2316335.0856969231</v>
      </c>
      <c r="I11" s="76">
        <f t="shared" si="5"/>
        <v>2397406.813696315</v>
      </c>
      <c r="J11" s="76">
        <f t="shared" si="5"/>
        <v>2481316.0521756858</v>
      </c>
      <c r="K11" s="76">
        <f t="shared" si="5"/>
        <v>2568162.1140018348</v>
      </c>
      <c r="L11" s="882">
        <f t="shared" si="5"/>
        <v>2658047.7879918986</v>
      </c>
    </row>
    <row r="12" spans="2:15">
      <c r="B12" s="26"/>
      <c r="C12" s="76"/>
      <c r="D12" s="76"/>
      <c r="E12" s="76"/>
      <c r="F12" s="76"/>
      <c r="G12" s="76"/>
      <c r="H12" s="76"/>
      <c r="I12" s="76"/>
      <c r="J12" s="76"/>
      <c r="K12" s="76"/>
      <c r="L12" s="882"/>
    </row>
    <row r="13" spans="2:15" ht="15.75" thickBot="1">
      <c r="B13" s="518" t="s">
        <v>359</v>
      </c>
      <c r="C13" s="803">
        <f>+'RE Tax Abatement NPV'!D7</f>
        <v>14746475.186522329</v>
      </c>
      <c r="D13" s="803">
        <f>+'RE Tax Abatement NPV'!F7</f>
        <v>14590865.69602645</v>
      </c>
      <c r="E13" s="803">
        <f>+'RE Tax Abatement NPV'!H7</f>
        <v>13666628.416052341</v>
      </c>
      <c r="F13" s="803">
        <f>+'RE Tax Abatement NPV'!J7</f>
        <v>12602424.012829013</v>
      </c>
      <c r="G13" s="803">
        <f>+'RE Tax Abatement NPV'!L7</f>
        <v>11385282.225658983</v>
      </c>
      <c r="H13" s="803">
        <f>+'RE Tax Abatement NPV'!N7</f>
        <v>10001173.478866572</v>
      </c>
      <c r="I13" s="803">
        <f>+'RE Tax Abatement NPV'!P7</f>
        <v>8434926.4040846415</v>
      </c>
      <c r="J13" s="803">
        <f>+'RE Tax Abatement NPV'!R7</f>
        <v>6670139.0706946747</v>
      </c>
      <c r="K13" s="803">
        <f>+'RE Tax Abatement NPV'!T7</f>
        <v>4689083.4488210902</v>
      </c>
      <c r="L13" s="885">
        <f>+'RE Tax Abatement NPV'!V7</f>
        <v>2472602.5934808361</v>
      </c>
    </row>
    <row r="14" spans="2:15">
      <c r="C14" s="76"/>
      <c r="D14" s="76"/>
      <c r="E14" s="76"/>
      <c r="F14" s="76"/>
      <c r="G14" s="76"/>
      <c r="H14" s="76"/>
      <c r="I14" s="76"/>
      <c r="J14" s="76"/>
      <c r="K14" s="76"/>
      <c r="L14" s="76"/>
    </row>
    <row r="15" spans="2:15">
      <c r="B15" s="905">
        <f>+$C$11</f>
        <v>1261595.1294850563</v>
      </c>
    </row>
    <row r="16" spans="2:15">
      <c r="B16" s="905">
        <f>+$D$11</f>
        <v>2018552.20717609</v>
      </c>
    </row>
    <row r="17" spans="2:2">
      <c r="B17" s="905">
        <f>+$E$11</f>
        <v>2089201.5344272531</v>
      </c>
    </row>
    <row r="18" spans="2:2">
      <c r="B18" s="905">
        <f>+$F$11</f>
        <v>2162323.5881322068</v>
      </c>
    </row>
    <row r="19" spans="2:2">
      <c r="B19" s="905">
        <f>+$G$11</f>
        <v>2238004.913716834</v>
      </c>
    </row>
    <row r="20" spans="2:2">
      <c r="B20" s="905">
        <f>+$H$11</f>
        <v>2316335.0856969231</v>
      </c>
    </row>
    <row r="21" spans="2:2">
      <c r="B21" s="905">
        <f>+$I$11</f>
        <v>2397406.813696315</v>
      </c>
    </row>
    <row r="22" spans="2:2">
      <c r="B22" s="905">
        <f>+$J$11</f>
        <v>2481316.0521756858</v>
      </c>
    </row>
    <row r="23" spans="2:2">
      <c r="B23" s="905">
        <f>+$K$11</f>
        <v>2568162.1140018348</v>
      </c>
    </row>
    <row r="24" spans="2:2">
      <c r="B24" s="905">
        <f>+$L$11</f>
        <v>2658047.7879918986</v>
      </c>
    </row>
    <row r="25" spans="2:2">
      <c r="B25" s="905"/>
    </row>
    <row r="26" spans="2:2">
      <c r="B26" s="905"/>
    </row>
    <row r="27" spans="2:2">
      <c r="B27" s="905"/>
    </row>
    <row r="28" spans="2:2">
      <c r="B28" s="905"/>
    </row>
    <row r="29" spans="2:2">
      <c r="B29" s="905"/>
    </row>
    <row r="30" spans="2:2">
      <c r="B30" s="905"/>
    </row>
    <row r="31" spans="2:2">
      <c r="B31" s="905"/>
    </row>
    <row r="32" spans="2:2">
      <c r="B32" s="905"/>
    </row>
    <row r="33" spans="2:2">
      <c r="B33" s="905"/>
    </row>
    <row r="34" spans="2:2">
      <c r="B34" s="905"/>
    </row>
  </sheetData>
  <mergeCells count="1">
    <mergeCell ref="C2:L2"/>
  </mergeCells>
  <pageMargins left="0.7" right="0.7" top="0.75" bottom="0.75" header="0.3" footer="0.3"/>
  <pageSetup scale="37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00D4"/>
    <pageSetUpPr fitToPage="1"/>
  </sheetPr>
  <dimension ref="B1:M31"/>
  <sheetViews>
    <sheetView showGridLines="0" zoomScale="85" zoomScaleNormal="85" zoomScaleSheetLayoutView="80" workbookViewId="0">
      <selection activeCell="F20" sqref="F20"/>
    </sheetView>
  </sheetViews>
  <sheetFormatPr defaultRowHeight="15"/>
  <cols>
    <col min="1" max="1" width="1.85546875" customWidth="1"/>
    <col min="2" max="2" width="32" customWidth="1"/>
    <col min="3" max="4" width="18.5703125" customWidth="1"/>
    <col min="5" max="5" width="25" customWidth="1"/>
    <col min="6" max="6" width="18.5703125" customWidth="1"/>
    <col min="7" max="7" width="25.42578125" customWidth="1"/>
    <col min="8" max="8" width="18.5703125" customWidth="1"/>
    <col min="9" max="9" width="28.42578125" customWidth="1"/>
    <col min="10" max="10" width="18.5703125" customWidth="1"/>
    <col min="11" max="11" width="24.5703125" customWidth="1"/>
    <col min="12" max="12" width="18.5703125" customWidth="1"/>
    <col min="13" max="13" width="29.85546875" customWidth="1"/>
    <col min="14" max="14" width="3.42578125" customWidth="1"/>
  </cols>
  <sheetData>
    <row r="1" spans="2:13" ht="9" customHeight="1" thickBot="1"/>
    <row r="2" spans="2:13">
      <c r="B2" s="998" t="s">
        <v>52</v>
      </c>
      <c r="C2" s="999"/>
      <c r="D2" s="999"/>
      <c r="E2" s="999"/>
      <c r="F2" s="999"/>
      <c r="G2" s="999"/>
      <c r="H2" s="999"/>
      <c r="I2" s="999"/>
      <c r="J2" s="999"/>
      <c r="K2" s="999"/>
      <c r="L2" s="999"/>
      <c r="M2" s="1000"/>
    </row>
    <row r="3" spans="2:13">
      <c r="B3" s="624" t="str">
        <f>Dashboard!G5</f>
        <v>Floor Plan</v>
      </c>
      <c r="C3" s="625" t="str">
        <f>Dashboard!J5</f>
        <v># Units</v>
      </c>
      <c r="D3" s="625" t="str">
        <f>Dashboard!K5</f>
        <v># Beds</v>
      </c>
      <c r="E3" s="625" t="str">
        <f>Dashboard!L5</f>
        <v>% of Total</v>
      </c>
      <c r="F3" s="625" t="str">
        <f>Dashboard!M5</f>
        <v>SF/Unit</v>
      </c>
      <c r="G3" s="625" t="str">
        <f>Dashboard!N5</f>
        <v>$/Bed</v>
      </c>
      <c r="H3" s="625" t="str">
        <f>Dashboard!O5</f>
        <v>$/Unit</v>
      </c>
      <c r="I3" s="625" t="str">
        <f>Dashboard!P5</f>
        <v>$/SF</v>
      </c>
      <c r="J3" s="1048" t="str">
        <f>Dashboard!Q5</f>
        <v>Mo GPR</v>
      </c>
      <c r="K3" s="1048"/>
      <c r="L3" s="1048" t="str">
        <f>Dashboard!R5</f>
        <v>Ann GPR</v>
      </c>
      <c r="M3" s="1051"/>
    </row>
    <row r="4" spans="2:13">
      <c r="B4" s="59">
        <f>Dashboard!G6</f>
        <v>0</v>
      </c>
      <c r="C4" s="58">
        <f>Dashboard!J6</f>
        <v>0</v>
      </c>
      <c r="D4" s="58">
        <f>Dashboard!K6</f>
        <v>0</v>
      </c>
      <c r="E4" s="754">
        <f>Dashboard!L6</f>
        <v>0</v>
      </c>
      <c r="F4" s="58">
        <f>Dashboard!M6</f>
        <v>0</v>
      </c>
      <c r="G4" s="58">
        <f>Dashboard!N6</f>
        <v>0</v>
      </c>
      <c r="H4" s="58">
        <f>Dashboard!O6</f>
        <v>0</v>
      </c>
      <c r="I4" s="748">
        <f>Dashboard!P6</f>
        <v>0</v>
      </c>
      <c r="J4" s="1049">
        <f>Dashboard!Q6</f>
        <v>0</v>
      </c>
      <c r="K4" s="1049"/>
      <c r="L4" s="1052">
        <f>Dashboard!R6</f>
        <v>0</v>
      </c>
      <c r="M4" s="1052"/>
    </row>
    <row r="5" spans="2:13">
      <c r="B5" s="59" t="str">
        <f>Dashboard!G7</f>
        <v>1 Bedroom/ 1 Bath</v>
      </c>
      <c r="C5" s="58">
        <f>Dashboard!J7</f>
        <v>222</v>
      </c>
      <c r="D5" s="58">
        <f>Dashboard!K7</f>
        <v>222</v>
      </c>
      <c r="E5" s="754">
        <f>Dashboard!L7</f>
        <v>0.24503311258278146</v>
      </c>
      <c r="F5" s="58">
        <f>Dashboard!M7</f>
        <v>690</v>
      </c>
      <c r="G5" s="58">
        <f>Dashboard!N7</f>
        <v>994</v>
      </c>
      <c r="H5" s="58">
        <f>Dashboard!O7</f>
        <v>994</v>
      </c>
      <c r="I5" s="748">
        <f>Dashboard!P7</f>
        <v>1.4405797101449276</v>
      </c>
      <c r="J5" s="1049">
        <f>Dashboard!Q7</f>
        <v>220668</v>
      </c>
      <c r="K5" s="1049"/>
      <c r="L5" s="1052">
        <f>Dashboard!R7</f>
        <v>2648016</v>
      </c>
      <c r="M5" s="1052"/>
    </row>
    <row r="6" spans="2:13">
      <c r="B6" s="59">
        <f>Dashboard!G8</f>
        <v>0</v>
      </c>
      <c r="C6" s="58">
        <f>Dashboard!J8</f>
        <v>0</v>
      </c>
      <c r="D6" s="58">
        <f>Dashboard!K8</f>
        <v>0</v>
      </c>
      <c r="E6" s="754">
        <f>Dashboard!L8</f>
        <v>0</v>
      </c>
      <c r="F6" s="58">
        <f>Dashboard!M8</f>
        <v>0</v>
      </c>
      <c r="G6" s="58">
        <f>Dashboard!N8</f>
        <v>0</v>
      </c>
      <c r="H6" s="58">
        <f>Dashboard!O8</f>
        <v>0</v>
      </c>
      <c r="I6" s="748">
        <f>Dashboard!P8</f>
        <v>0</v>
      </c>
      <c r="J6" s="1049">
        <f>Dashboard!Q8</f>
        <v>0</v>
      </c>
      <c r="K6" s="1049"/>
      <c r="L6" s="1052">
        <f>Dashboard!R8</f>
        <v>0</v>
      </c>
      <c r="M6" s="1052"/>
    </row>
    <row r="7" spans="2:13">
      <c r="B7" s="59">
        <f>Dashboard!G9</f>
        <v>0</v>
      </c>
      <c r="C7" s="58">
        <f>Dashboard!J9</f>
        <v>0</v>
      </c>
      <c r="D7" s="58">
        <f>Dashboard!K9</f>
        <v>0</v>
      </c>
      <c r="E7" s="754">
        <f>Dashboard!L9</f>
        <v>0</v>
      </c>
      <c r="F7" s="58">
        <f>Dashboard!M9</f>
        <v>0</v>
      </c>
      <c r="G7" s="58">
        <f>Dashboard!N9</f>
        <v>0</v>
      </c>
      <c r="H7" s="58">
        <f>Dashboard!O9</f>
        <v>0</v>
      </c>
      <c r="I7" s="748">
        <f>Dashboard!P9</f>
        <v>0</v>
      </c>
      <c r="J7" s="1049">
        <f>Dashboard!Q9</f>
        <v>0</v>
      </c>
      <c r="K7" s="1049"/>
      <c r="L7" s="1052">
        <f>Dashboard!R9</f>
        <v>0</v>
      </c>
      <c r="M7" s="1052"/>
    </row>
    <row r="8" spans="2:13">
      <c r="B8" s="59">
        <f>Dashboard!G10</f>
        <v>0</v>
      </c>
      <c r="C8" s="58">
        <f>Dashboard!J10</f>
        <v>0</v>
      </c>
      <c r="D8" s="58">
        <f>Dashboard!K10</f>
        <v>0</v>
      </c>
      <c r="E8" s="754">
        <f>Dashboard!L10</f>
        <v>0</v>
      </c>
      <c r="F8" s="58">
        <f>Dashboard!M10</f>
        <v>0</v>
      </c>
      <c r="G8" s="58">
        <f>Dashboard!N10</f>
        <v>0</v>
      </c>
      <c r="H8" s="58">
        <f>Dashboard!O10</f>
        <v>0</v>
      </c>
      <c r="I8" s="748">
        <f>Dashboard!P10</f>
        <v>0</v>
      </c>
      <c r="J8" s="1049">
        <f>Dashboard!Q10</f>
        <v>0</v>
      </c>
      <c r="K8" s="1049"/>
      <c r="L8" s="1052">
        <f>Dashboard!R10</f>
        <v>0</v>
      </c>
      <c r="M8" s="1052"/>
    </row>
    <row r="9" spans="2:13">
      <c r="B9" s="59" t="str">
        <f>Dashboard!G11</f>
        <v>2 Bedroom/ 2 Bath</v>
      </c>
      <c r="C9" s="58">
        <f>Dashboard!J11</f>
        <v>191</v>
      </c>
      <c r="D9" s="58">
        <f>Dashboard!K11</f>
        <v>382</v>
      </c>
      <c r="E9" s="754">
        <f>Dashboard!L11</f>
        <v>0.4216335540838852</v>
      </c>
      <c r="F9" s="58">
        <f>Dashboard!M11</f>
        <v>1010</v>
      </c>
      <c r="G9" s="58">
        <f>Dashboard!N11</f>
        <v>647</v>
      </c>
      <c r="H9" s="58">
        <f>Dashboard!O11</f>
        <v>1294</v>
      </c>
      <c r="I9" s="748">
        <f>Dashboard!P11</f>
        <v>1.2811881188118812</v>
      </c>
      <c r="J9" s="1049">
        <f>Dashboard!Q11</f>
        <v>247154</v>
      </c>
      <c r="K9" s="1049"/>
      <c r="L9" s="1052">
        <f>Dashboard!R11</f>
        <v>2965848</v>
      </c>
      <c r="M9" s="1052"/>
    </row>
    <row r="10" spans="2:13">
      <c r="B10" s="59">
        <f>Dashboard!G12</f>
        <v>0</v>
      </c>
      <c r="C10" s="58">
        <f>Dashboard!J12</f>
        <v>0</v>
      </c>
      <c r="D10" s="58">
        <f>Dashboard!K12</f>
        <v>0</v>
      </c>
      <c r="E10" s="754">
        <f>Dashboard!L12</f>
        <v>0</v>
      </c>
      <c r="F10" s="58">
        <f>Dashboard!M12</f>
        <v>0</v>
      </c>
      <c r="G10" s="58">
        <f>Dashboard!N12</f>
        <v>0</v>
      </c>
      <c r="H10" s="58">
        <f>Dashboard!O12</f>
        <v>0</v>
      </c>
      <c r="I10" s="748">
        <f>Dashboard!P12</f>
        <v>0</v>
      </c>
      <c r="J10" s="1049">
        <f>Dashboard!Q12</f>
        <v>0</v>
      </c>
      <c r="K10" s="1049"/>
      <c r="L10" s="1052">
        <f>Dashboard!R12</f>
        <v>0</v>
      </c>
      <c r="M10" s="1052"/>
    </row>
    <row r="11" spans="2:13">
      <c r="B11" s="59">
        <f>Dashboard!G13</f>
        <v>0</v>
      </c>
      <c r="C11" s="58">
        <f>Dashboard!J13</f>
        <v>0</v>
      </c>
      <c r="D11" s="58">
        <f>Dashboard!K13</f>
        <v>0</v>
      </c>
      <c r="E11" s="754">
        <f>Dashboard!L13</f>
        <v>0</v>
      </c>
      <c r="F11" s="58">
        <f>Dashboard!M13</f>
        <v>0</v>
      </c>
      <c r="G11" s="58">
        <f>Dashboard!N13</f>
        <v>0</v>
      </c>
      <c r="H11" s="58">
        <f>Dashboard!O13</f>
        <v>0</v>
      </c>
      <c r="I11" s="748">
        <f>Dashboard!P13</f>
        <v>0</v>
      </c>
      <c r="J11" s="1049">
        <f>Dashboard!Q13</f>
        <v>0</v>
      </c>
      <c r="K11" s="1049"/>
      <c r="L11" s="1052">
        <f>Dashboard!R13</f>
        <v>0</v>
      </c>
      <c r="M11" s="1052"/>
    </row>
    <row r="12" spans="2:13">
      <c r="B12" s="59">
        <f>Dashboard!G14</f>
        <v>0</v>
      </c>
      <c r="C12" s="58">
        <f>Dashboard!J14</f>
        <v>0</v>
      </c>
      <c r="D12" s="58">
        <f>Dashboard!K14</f>
        <v>0</v>
      </c>
      <c r="E12" s="754">
        <f>Dashboard!L14</f>
        <v>0</v>
      </c>
      <c r="F12" s="58">
        <f>Dashboard!M14</f>
        <v>0</v>
      </c>
      <c r="G12" s="58">
        <f>Dashboard!N14</f>
        <v>0</v>
      </c>
      <c r="H12" s="58">
        <f>Dashboard!O14</f>
        <v>0</v>
      </c>
      <c r="I12" s="748">
        <f>Dashboard!P14</f>
        <v>0</v>
      </c>
      <c r="J12" s="1049">
        <f>Dashboard!Q14</f>
        <v>0</v>
      </c>
      <c r="K12" s="1049"/>
      <c r="L12" s="1052">
        <f>Dashboard!R14</f>
        <v>0</v>
      </c>
      <c r="M12" s="1052"/>
    </row>
    <row r="13" spans="2:13">
      <c r="B13" s="59" t="str">
        <f>Dashboard!G15</f>
        <v>3 Bedroom/ 3 Bath</v>
      </c>
      <c r="C13" s="58">
        <f>Dashboard!J15</f>
        <v>151</v>
      </c>
      <c r="D13" s="58">
        <f>Dashboard!K15</f>
        <v>302</v>
      </c>
      <c r="E13" s="754">
        <f>Dashboard!L15</f>
        <v>0.33333333333333331</v>
      </c>
      <c r="F13" s="58">
        <f>Dashboard!M15</f>
        <v>1275</v>
      </c>
      <c r="G13" s="58">
        <f>Dashboard!N15</f>
        <v>486.33333333333331</v>
      </c>
      <c r="H13" s="58">
        <f>Dashboard!O15</f>
        <v>1459</v>
      </c>
      <c r="I13" s="748">
        <f>Dashboard!P15</f>
        <v>1.1443137254901961</v>
      </c>
      <c r="J13" s="1049">
        <f>Dashboard!Q15</f>
        <v>146872.66666666666</v>
      </c>
      <c r="K13" s="1049"/>
      <c r="L13" s="1052">
        <f>Dashboard!R15</f>
        <v>1762472</v>
      </c>
      <c r="M13" s="1052"/>
    </row>
    <row r="14" spans="2:13" ht="15.75" thickBot="1">
      <c r="B14" s="626" t="str">
        <f>Dashboard!G16</f>
        <v>Total / Average</v>
      </c>
      <c r="C14" s="627">
        <f>Dashboard!J16</f>
        <v>564</v>
      </c>
      <c r="D14" s="627">
        <f>Dashboard!K16</f>
        <v>906</v>
      </c>
      <c r="E14" s="628">
        <f>Dashboard!L16</f>
        <v>1</v>
      </c>
      <c r="F14" s="629">
        <f>Dashboard!M16</f>
        <v>954.99113475177307</v>
      </c>
      <c r="G14" s="630">
        <f>Dashboard!N16</f>
        <v>678.47093451066962</v>
      </c>
      <c r="H14" s="630">
        <f>Dashboard!O16</f>
        <v>1220.0904255319149</v>
      </c>
      <c r="I14" s="631">
        <f>Dashboard!P16</f>
        <v>1.0009142311085875</v>
      </c>
      <c r="J14" s="1050">
        <f>Dashboard!Q16</f>
        <v>614694.66666666663</v>
      </c>
      <c r="K14" s="1050"/>
      <c r="L14" s="1050">
        <f>Dashboard!R16</f>
        <v>7376336</v>
      </c>
      <c r="M14" s="1053"/>
    </row>
    <row r="15" spans="2:13" ht="15.75" thickBot="1">
      <c r="B15" s="41"/>
    </row>
    <row r="16" spans="2:13" ht="15.75" thickBot="1">
      <c r="B16" s="13" t="s">
        <v>98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50"/>
    </row>
    <row r="17" spans="2:13">
      <c r="B17" s="72" t="str">
        <f>Dashboard!G19</f>
        <v>Lease Year Starting</v>
      </c>
      <c r="C17" s="1056">
        <f>Dashboard!I19</f>
        <v>46266</v>
      </c>
      <c r="D17" s="1057"/>
      <c r="E17" s="1058"/>
      <c r="F17" s="1054">
        <f>Dashboard!K19</f>
        <v>46631</v>
      </c>
      <c r="G17" s="1054"/>
      <c r="H17" s="1046">
        <f>Dashboard!M19</f>
        <v>46997</v>
      </c>
      <c r="I17" s="1055"/>
      <c r="J17" s="1054">
        <f>Dashboard!O19</f>
        <v>47362</v>
      </c>
      <c r="K17" s="1054"/>
      <c r="L17" s="1046">
        <f>Dashboard!Q19</f>
        <v>47727</v>
      </c>
      <c r="M17" s="1047"/>
    </row>
    <row r="18" spans="2:13">
      <c r="B18" s="63" t="s">
        <v>53</v>
      </c>
      <c r="C18" s="65" t="s">
        <v>96</v>
      </c>
      <c r="D18" s="43" t="s">
        <v>95</v>
      </c>
      <c r="E18" s="604" t="s">
        <v>218</v>
      </c>
      <c r="F18" s="43" t="s">
        <v>94</v>
      </c>
      <c r="G18" s="604" t="s">
        <v>218</v>
      </c>
      <c r="H18" s="64" t="s">
        <v>94</v>
      </c>
      <c r="I18" s="604" t="s">
        <v>218</v>
      </c>
      <c r="J18" s="43" t="s">
        <v>94</v>
      </c>
      <c r="K18" s="604" t="s">
        <v>218</v>
      </c>
      <c r="L18" s="43" t="s">
        <v>94</v>
      </c>
      <c r="M18" s="622" t="s">
        <v>218</v>
      </c>
    </row>
    <row r="19" spans="2:13">
      <c r="B19" s="59">
        <f t="shared" ref="B19:B28" si="0">B4</f>
        <v>0</v>
      </c>
      <c r="C19" s="66">
        <f t="shared" ref="C19:C28" si="1">L4</f>
        <v>0</v>
      </c>
      <c r="D19" s="490">
        <f>Dashboard!$I$22</f>
        <v>0</v>
      </c>
      <c r="E19" s="67">
        <f>+Dashboard!N6</f>
        <v>0</v>
      </c>
      <c r="F19" s="490">
        <v>0.03</v>
      </c>
      <c r="G19" s="67">
        <f>E19*(1+F19)</f>
        <v>0</v>
      </c>
      <c r="H19" s="490">
        <v>0.03</v>
      </c>
      <c r="I19" s="67">
        <f>G19*(1+H19)</f>
        <v>0</v>
      </c>
      <c r="J19" s="490">
        <v>0.03</v>
      </c>
      <c r="K19" s="67">
        <f>I19*(1+J19)</f>
        <v>0</v>
      </c>
      <c r="L19" s="490">
        <v>0.03</v>
      </c>
      <c r="M19" s="73">
        <f>K19*(1+L19)</f>
        <v>0</v>
      </c>
    </row>
    <row r="20" spans="2:13">
      <c r="B20" s="59" t="str">
        <f t="shared" si="0"/>
        <v>1 Bedroom/ 1 Bath</v>
      </c>
      <c r="C20" s="66">
        <f t="shared" si="1"/>
        <v>2648016</v>
      </c>
      <c r="D20" s="490">
        <f>Dashboard!$I$22</f>
        <v>0</v>
      </c>
      <c r="E20" s="67">
        <f>+Dashboard!N7</f>
        <v>994</v>
      </c>
      <c r="F20" s="490">
        <v>0.03</v>
      </c>
      <c r="G20" s="67">
        <f>E20*(1+F20)</f>
        <v>1023.82</v>
      </c>
      <c r="H20" s="490">
        <v>0.03</v>
      </c>
      <c r="I20" s="67">
        <f>G20*(1+H20)</f>
        <v>1054.5346000000002</v>
      </c>
      <c r="J20" s="490">
        <v>0.03</v>
      </c>
      <c r="K20" s="67">
        <f>I20*(1+J20)</f>
        <v>1086.1706380000003</v>
      </c>
      <c r="L20" s="490">
        <v>0.03</v>
      </c>
      <c r="M20" s="73">
        <f>K20*(1+L20)</f>
        <v>1118.7557571400002</v>
      </c>
    </row>
    <row r="21" spans="2:13">
      <c r="B21" s="59">
        <f t="shared" si="0"/>
        <v>0</v>
      </c>
      <c r="C21" s="66">
        <f t="shared" si="1"/>
        <v>0</v>
      </c>
      <c r="D21" s="490">
        <f>Dashboard!$I$22</f>
        <v>0</v>
      </c>
      <c r="E21" s="67">
        <f>+Dashboard!N8</f>
        <v>0</v>
      </c>
      <c r="F21" s="490">
        <v>0.03</v>
      </c>
      <c r="G21" s="67">
        <f t="shared" ref="G21:G27" si="2">E21*(1+F21)</f>
        <v>0</v>
      </c>
      <c r="H21" s="490">
        <v>0.03</v>
      </c>
      <c r="I21" s="67">
        <f t="shared" ref="I21:I27" si="3">G21*(1+H21)</f>
        <v>0</v>
      </c>
      <c r="J21" s="490">
        <v>0.03</v>
      </c>
      <c r="K21" s="67">
        <f t="shared" ref="K21:K27" si="4">I21*(1+J21)</f>
        <v>0</v>
      </c>
      <c r="L21" s="490">
        <v>0.03</v>
      </c>
      <c r="M21" s="73">
        <f t="shared" ref="M21:M27" si="5">K21*(1+L21)</f>
        <v>0</v>
      </c>
    </row>
    <row r="22" spans="2:13">
      <c r="B22" s="59">
        <f t="shared" si="0"/>
        <v>0</v>
      </c>
      <c r="C22" s="66">
        <f t="shared" si="1"/>
        <v>0</v>
      </c>
      <c r="D22" s="490">
        <f>Dashboard!$I$22</f>
        <v>0</v>
      </c>
      <c r="E22" s="67">
        <f>+Dashboard!N9</f>
        <v>0</v>
      </c>
      <c r="F22" s="490">
        <v>0.03</v>
      </c>
      <c r="G22" s="67">
        <f t="shared" si="2"/>
        <v>0</v>
      </c>
      <c r="H22" s="490">
        <v>0.03</v>
      </c>
      <c r="I22" s="67">
        <f t="shared" si="3"/>
        <v>0</v>
      </c>
      <c r="J22" s="490">
        <v>0.03</v>
      </c>
      <c r="K22" s="67">
        <f t="shared" si="4"/>
        <v>0</v>
      </c>
      <c r="L22" s="490">
        <v>0.03</v>
      </c>
      <c r="M22" s="73">
        <f t="shared" si="5"/>
        <v>0</v>
      </c>
    </row>
    <row r="23" spans="2:13">
      <c r="B23" s="59">
        <f t="shared" si="0"/>
        <v>0</v>
      </c>
      <c r="C23" s="66">
        <f t="shared" si="1"/>
        <v>0</v>
      </c>
      <c r="D23" s="490">
        <f>Dashboard!$I$22</f>
        <v>0</v>
      </c>
      <c r="E23" s="67">
        <f>+Dashboard!N10</f>
        <v>0</v>
      </c>
      <c r="F23" s="490">
        <v>0.03</v>
      </c>
      <c r="G23" s="67">
        <f t="shared" si="2"/>
        <v>0</v>
      </c>
      <c r="H23" s="490">
        <v>0.03</v>
      </c>
      <c r="I23" s="67">
        <f t="shared" si="3"/>
        <v>0</v>
      </c>
      <c r="J23" s="490">
        <v>0.03</v>
      </c>
      <c r="K23" s="67">
        <f t="shared" si="4"/>
        <v>0</v>
      </c>
      <c r="L23" s="490">
        <v>0.03</v>
      </c>
      <c r="M23" s="73">
        <f t="shared" si="5"/>
        <v>0</v>
      </c>
    </row>
    <row r="24" spans="2:13">
      <c r="B24" s="59" t="str">
        <f t="shared" si="0"/>
        <v>2 Bedroom/ 2 Bath</v>
      </c>
      <c r="C24" s="66">
        <f t="shared" si="1"/>
        <v>2965848</v>
      </c>
      <c r="D24" s="490">
        <f>Dashboard!$I$22</f>
        <v>0</v>
      </c>
      <c r="E24" s="67">
        <f>+Dashboard!N11</f>
        <v>647</v>
      </c>
      <c r="F24" s="490">
        <v>0.03</v>
      </c>
      <c r="G24" s="67">
        <f t="shared" si="2"/>
        <v>666.41</v>
      </c>
      <c r="H24" s="490">
        <v>0.03</v>
      </c>
      <c r="I24" s="67">
        <f t="shared" si="3"/>
        <v>686.40229999999997</v>
      </c>
      <c r="J24" s="490">
        <v>0.03</v>
      </c>
      <c r="K24" s="67">
        <f t="shared" si="4"/>
        <v>706.99436900000001</v>
      </c>
      <c r="L24" s="490">
        <v>0.03</v>
      </c>
      <c r="M24" s="73">
        <f t="shared" si="5"/>
        <v>728.20420007000007</v>
      </c>
    </row>
    <row r="25" spans="2:13">
      <c r="B25" s="59">
        <f t="shared" si="0"/>
        <v>0</v>
      </c>
      <c r="C25" s="66">
        <f t="shared" si="1"/>
        <v>0</v>
      </c>
      <c r="D25" s="490">
        <f>Dashboard!$I$22</f>
        <v>0</v>
      </c>
      <c r="E25" s="67">
        <f>+Dashboard!N12</f>
        <v>0</v>
      </c>
      <c r="F25" s="490">
        <v>0.03</v>
      </c>
      <c r="G25" s="67">
        <f t="shared" si="2"/>
        <v>0</v>
      </c>
      <c r="H25" s="490">
        <v>0.03</v>
      </c>
      <c r="I25" s="67">
        <f t="shared" si="3"/>
        <v>0</v>
      </c>
      <c r="J25" s="490">
        <v>0.03</v>
      </c>
      <c r="K25" s="67">
        <f t="shared" si="4"/>
        <v>0</v>
      </c>
      <c r="L25" s="490">
        <v>0.03</v>
      </c>
      <c r="M25" s="73">
        <f t="shared" si="5"/>
        <v>0</v>
      </c>
    </row>
    <row r="26" spans="2:13">
      <c r="B26" s="59">
        <f t="shared" si="0"/>
        <v>0</v>
      </c>
      <c r="C26" s="66">
        <f t="shared" si="1"/>
        <v>0</v>
      </c>
      <c r="D26" s="490">
        <f>Dashboard!$I$22</f>
        <v>0</v>
      </c>
      <c r="E26" s="67">
        <f>+Dashboard!N13</f>
        <v>0</v>
      </c>
      <c r="F26" s="490">
        <v>0.03</v>
      </c>
      <c r="G26" s="67">
        <f t="shared" si="2"/>
        <v>0</v>
      </c>
      <c r="H26" s="490">
        <v>0.03</v>
      </c>
      <c r="I26" s="67">
        <f t="shared" si="3"/>
        <v>0</v>
      </c>
      <c r="J26" s="490">
        <v>0.03</v>
      </c>
      <c r="K26" s="67">
        <f t="shared" si="4"/>
        <v>0</v>
      </c>
      <c r="L26" s="490">
        <v>0.03</v>
      </c>
      <c r="M26" s="73">
        <f t="shared" si="5"/>
        <v>0</v>
      </c>
    </row>
    <row r="27" spans="2:13">
      <c r="B27" s="59">
        <f t="shared" si="0"/>
        <v>0</v>
      </c>
      <c r="C27" s="66">
        <f t="shared" si="1"/>
        <v>0</v>
      </c>
      <c r="D27" s="490">
        <f>Dashboard!$I$22</f>
        <v>0</v>
      </c>
      <c r="E27" s="67">
        <f>+Dashboard!N14</f>
        <v>0</v>
      </c>
      <c r="F27" s="490">
        <v>0.03</v>
      </c>
      <c r="G27" s="67">
        <f t="shared" si="2"/>
        <v>0</v>
      </c>
      <c r="H27" s="490">
        <v>0.03</v>
      </c>
      <c r="I27" s="67">
        <f t="shared" si="3"/>
        <v>0</v>
      </c>
      <c r="J27" s="490">
        <v>0.03</v>
      </c>
      <c r="K27" s="67">
        <f t="shared" si="4"/>
        <v>0</v>
      </c>
      <c r="L27" s="490">
        <v>0.03</v>
      </c>
      <c r="M27" s="73">
        <f t="shared" si="5"/>
        <v>0</v>
      </c>
    </row>
    <row r="28" spans="2:13">
      <c r="B28" s="59" t="str">
        <f t="shared" si="0"/>
        <v>3 Bedroom/ 3 Bath</v>
      </c>
      <c r="C28" s="66">
        <f t="shared" si="1"/>
        <v>1762472</v>
      </c>
      <c r="D28" s="490">
        <f>Dashboard!$I$22</f>
        <v>0</v>
      </c>
      <c r="E28" s="67">
        <f>+Dashboard!N15</f>
        <v>486.33333333333331</v>
      </c>
      <c r="F28" s="490">
        <v>0.03</v>
      </c>
      <c r="G28" s="67">
        <f t="shared" ref="G28" si="6">E28*(1+F28)</f>
        <v>500.92333333333335</v>
      </c>
      <c r="H28" s="490">
        <v>0.03</v>
      </c>
      <c r="I28" s="67">
        <f t="shared" ref="I28" si="7">G28*(1+H28)</f>
        <v>515.95103333333338</v>
      </c>
      <c r="J28" s="490">
        <v>0.03</v>
      </c>
      <c r="K28" s="67">
        <f t="shared" ref="K28" si="8">I28*(1+J28)</f>
        <v>531.42956433333336</v>
      </c>
      <c r="L28" s="490">
        <v>0.03</v>
      </c>
      <c r="M28" s="73">
        <f t="shared" ref="M28" si="9">K28*(1+L28)</f>
        <v>547.37245126333335</v>
      </c>
    </row>
    <row r="29" spans="2:13" ht="15.75" thickBot="1">
      <c r="B29" s="60" t="s">
        <v>97</v>
      </c>
      <c r="C29" s="69">
        <f>SUM(C19:C28)</f>
        <v>7376336</v>
      </c>
      <c r="D29" s="70">
        <f>E29/C29-1</f>
        <v>0</v>
      </c>
      <c r="E29" s="68">
        <f>+L14</f>
        <v>7376336</v>
      </c>
      <c r="F29" s="71">
        <f>G29/E29-1</f>
        <v>3.0000000000000027E-2</v>
      </c>
      <c r="G29" s="68">
        <f>+SUMPRODUCT($D$4:$D$13,G19:G28)*12</f>
        <v>7597626.0800000001</v>
      </c>
      <c r="H29" s="71">
        <f>I29/G29-1</f>
        <v>3.0000000000000027E-2</v>
      </c>
      <c r="I29" s="68">
        <f>+SUMPRODUCT($D$4:$D$13,I19:I28)*12</f>
        <v>7825554.8624</v>
      </c>
      <c r="J29" s="71">
        <f>K29/I29-1</f>
        <v>3.0000000000000249E-2</v>
      </c>
      <c r="K29" s="68">
        <f>+SUMPRODUCT($D$4:$D$13,K19:K28)*12</f>
        <v>8060321.5082720015</v>
      </c>
      <c r="L29" s="71">
        <f>M29/K29-1</f>
        <v>3.0000000000000027E-2</v>
      </c>
      <c r="M29" s="68">
        <f>+SUMPRODUCT($D$4:$D$13,M19:M28)*12</f>
        <v>8302131.1535201613</v>
      </c>
    </row>
    <row r="30" spans="2:13">
      <c r="B30" s="41"/>
    </row>
    <row r="31" spans="2:13">
      <c r="B31" s="41"/>
    </row>
  </sheetData>
  <mergeCells count="30">
    <mergeCell ref="J13:K13"/>
    <mergeCell ref="L13:M13"/>
    <mergeCell ref="J10:K10"/>
    <mergeCell ref="L10:M10"/>
    <mergeCell ref="J11:K11"/>
    <mergeCell ref="L11:M11"/>
    <mergeCell ref="J12:K12"/>
    <mergeCell ref="L12:M12"/>
    <mergeCell ref="J7:K7"/>
    <mergeCell ref="L7:M7"/>
    <mergeCell ref="J8:K8"/>
    <mergeCell ref="L8:M8"/>
    <mergeCell ref="J9:K9"/>
    <mergeCell ref="L9:M9"/>
    <mergeCell ref="B2:M2"/>
    <mergeCell ref="L17:M17"/>
    <mergeCell ref="J3:K3"/>
    <mergeCell ref="J4:K4"/>
    <mergeCell ref="J14:K14"/>
    <mergeCell ref="L3:M3"/>
    <mergeCell ref="L4:M4"/>
    <mergeCell ref="L14:M14"/>
    <mergeCell ref="J17:K17"/>
    <mergeCell ref="L5:M5"/>
    <mergeCell ref="J5:K5"/>
    <mergeCell ref="H17:I17"/>
    <mergeCell ref="F17:G17"/>
    <mergeCell ref="C17:E17"/>
    <mergeCell ref="J6:K6"/>
    <mergeCell ref="L6:M6"/>
  </mergeCells>
  <pageMargins left="0.7" right="0.7" top="0.75" bottom="0.75" header="0.3" footer="0.3"/>
  <pageSetup scale="50" orientation="landscape" r:id="rId1"/>
  <ignoredErrors>
    <ignoredError sqref="H29 E29 J29 L2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rgb="FF0000D4"/>
  </sheetPr>
  <dimension ref="B2:Y14"/>
  <sheetViews>
    <sheetView showGridLines="0" topLeftCell="A3" zoomScaleNormal="100" workbookViewId="0">
      <selection activeCell="C6" sqref="C6"/>
    </sheetView>
  </sheetViews>
  <sheetFormatPr defaultRowHeight="15"/>
  <cols>
    <col min="4" max="4" width="31.140625" bestFit="1" customWidth="1"/>
    <col min="5" max="5" width="10.85546875" bestFit="1" customWidth="1"/>
    <col min="6" max="6" width="11.85546875" bestFit="1" customWidth="1"/>
    <col min="7" max="7" width="10.85546875" bestFit="1" customWidth="1"/>
    <col min="8" max="8" width="11.85546875" bestFit="1" customWidth="1"/>
    <col min="9" max="9" width="10.85546875" bestFit="1" customWidth="1"/>
    <col min="10" max="10" width="11.85546875" bestFit="1" customWidth="1"/>
    <col min="11" max="11" width="10.85546875" bestFit="1" customWidth="1"/>
    <col min="12" max="12" width="11.85546875" bestFit="1" customWidth="1"/>
    <col min="13" max="13" width="10.85546875" bestFit="1" customWidth="1"/>
    <col min="14" max="14" width="11.85546875" bestFit="1" customWidth="1"/>
    <col min="15" max="15" width="10.85546875" bestFit="1" customWidth="1"/>
    <col min="16" max="16" width="11.85546875" bestFit="1" customWidth="1"/>
    <col min="17" max="17" width="10.85546875" bestFit="1" customWidth="1"/>
    <col min="18" max="18" width="10.85546875" customWidth="1"/>
    <col min="19" max="19" width="10.85546875" bestFit="1" customWidth="1"/>
    <col min="20" max="20" width="10.85546875" customWidth="1"/>
    <col min="21" max="21" width="10.85546875" bestFit="1" customWidth="1"/>
    <col min="22" max="22" width="10.85546875" customWidth="1"/>
    <col min="23" max="23" width="10.85546875" bestFit="1" customWidth="1"/>
    <col min="24" max="24" width="10.85546875" customWidth="1"/>
    <col min="25" max="25" width="9.28515625" customWidth="1"/>
  </cols>
  <sheetData>
    <row r="2" spans="2:25" ht="15.75" thickBot="1"/>
    <row r="3" spans="2:25">
      <c r="D3" s="13" t="s">
        <v>300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50"/>
      <c r="X3" s="50"/>
    </row>
    <row r="4" spans="2:25">
      <c r="D4" s="798">
        <v>2026</v>
      </c>
      <c r="E4" s="799"/>
      <c r="F4" s="799">
        <f>+D4+1</f>
        <v>2027</v>
      </c>
      <c r="G4" s="799"/>
      <c r="H4" s="799">
        <f>+F4+1</f>
        <v>2028</v>
      </c>
      <c r="I4" s="799"/>
      <c r="J4" s="799">
        <f>+H4+1</f>
        <v>2029</v>
      </c>
      <c r="K4" s="799"/>
      <c r="L4" s="799">
        <f>+J4+1</f>
        <v>2030</v>
      </c>
      <c r="M4" s="799"/>
      <c r="N4" s="799">
        <f>+L4+1</f>
        <v>2031</v>
      </c>
      <c r="O4" s="799"/>
      <c r="P4" s="799">
        <f>+N4+1</f>
        <v>2032</v>
      </c>
      <c r="Q4" s="799"/>
      <c r="R4" s="799">
        <f>+P4+1</f>
        <v>2033</v>
      </c>
      <c r="S4" s="799"/>
      <c r="T4" s="799">
        <f>+R4+1</f>
        <v>2034</v>
      </c>
      <c r="U4" s="799"/>
      <c r="V4" s="799">
        <f>+T4+1</f>
        <v>2035</v>
      </c>
      <c r="W4" s="800"/>
      <c r="X4" s="800">
        <f>+V4+1</f>
        <v>2036</v>
      </c>
    </row>
    <row r="5" spans="2:25">
      <c r="B5" s="42" t="s">
        <v>341</v>
      </c>
      <c r="C5" s="869">
        <v>7.4999999999999997E-2</v>
      </c>
      <c r="D5" s="801"/>
      <c r="E5" s="76">
        <f>+'Tax Abatement'!B15</f>
        <v>1261595.1294850563</v>
      </c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882"/>
      <c r="X5" s="27"/>
    </row>
    <row r="6" spans="2:25">
      <c r="D6" s="801"/>
      <c r="E6" s="76">
        <f>+'Tax Abatement'!B16</f>
        <v>2018552.20717609</v>
      </c>
      <c r="F6" s="76"/>
      <c r="G6" s="76">
        <f>+E6</f>
        <v>2018552.20717609</v>
      </c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882"/>
      <c r="X6" s="27"/>
    </row>
    <row r="7" spans="2:25">
      <c r="D7" s="801">
        <f>+NPV($C$5,E5,E6,E7,E8,E9,E10,E11,E12,E13,E14)</f>
        <v>14746475.186522329</v>
      </c>
      <c r="E7" s="76">
        <f>+'Tax Abatement'!B17</f>
        <v>2089201.5344272531</v>
      </c>
      <c r="F7" s="76">
        <f>+NPV(C5,G5,G6,G7,G8,G9,G10,G11,G12,G13,G14)</f>
        <v>14590865.69602645</v>
      </c>
      <c r="G7" s="76">
        <f t="shared" ref="G7:G14" si="0">+E7</f>
        <v>2089201.5344272531</v>
      </c>
      <c r="H7" s="76">
        <f>+NPV(C5,I5,I6,I7,I8,I9,I10,I11,I12,I13,I14)</f>
        <v>13666628.416052341</v>
      </c>
      <c r="I7" s="76">
        <f t="shared" ref="I7:I14" si="1">+G7</f>
        <v>2089201.5344272531</v>
      </c>
      <c r="J7" s="76">
        <f>+NPV(C5,K5,K6,K7,K8,K9,K10,K11,K12,K13,K14)</f>
        <v>12602424.012829013</v>
      </c>
      <c r="K7" s="76"/>
      <c r="L7" s="76">
        <f>+NPV(C5,M5,M6,M7,M8,M9,M10,M11,M12,M13,M14)</f>
        <v>11385282.225658983</v>
      </c>
      <c r="M7" s="76"/>
      <c r="N7" s="76">
        <f>+NPV(C5,O5,O6,O7,O8,O9,O10,O11,O12,O13,O14)</f>
        <v>10001173.478866572</v>
      </c>
      <c r="O7" s="76"/>
      <c r="P7" s="76">
        <f>+NPV(C5,Q5,Q6,Q7,Q8,Q9,Q10,Q11,Q12,Q13,Q14)</f>
        <v>8434926.4040846415</v>
      </c>
      <c r="Q7" s="76"/>
      <c r="R7" s="76">
        <f>+NPV(C5,S5,S6,S7,S8,S9,S10,S11,S12,S13,S14)</f>
        <v>6670139.0706946747</v>
      </c>
      <c r="S7" s="76"/>
      <c r="T7" s="76">
        <f>+NPV(C5,U5,U6,U7,U8,U9,U10,U11,U12,U13,U14)</f>
        <v>4689083.4488210902</v>
      </c>
      <c r="U7" s="76"/>
      <c r="V7" s="76">
        <f>+NPV(C5,W5,W6,W7,W8,W9,W10,W11,W12,W13,W14)</f>
        <v>2472602.5934808361</v>
      </c>
      <c r="W7" s="882"/>
      <c r="X7" s="797">
        <f>+NPV(C5,Y5,Y6,Y7,Y8,Y9,Y10,Y11,Y12,Y13,Y14)</f>
        <v>0</v>
      </c>
      <c r="Y7" s="497"/>
    </row>
    <row r="8" spans="2:25">
      <c r="D8" s="801"/>
      <c r="E8" s="76">
        <f>+'Tax Abatement'!B18</f>
        <v>2162323.5881322068</v>
      </c>
      <c r="F8" s="76"/>
      <c r="G8" s="76">
        <f t="shared" si="0"/>
        <v>2162323.5881322068</v>
      </c>
      <c r="H8" s="76"/>
      <c r="I8" s="76">
        <f t="shared" si="1"/>
        <v>2162323.5881322068</v>
      </c>
      <c r="J8" s="76"/>
      <c r="K8" s="76">
        <f t="shared" ref="K8:K14" si="2">+I8</f>
        <v>2162323.5881322068</v>
      </c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882"/>
      <c r="X8" s="27"/>
    </row>
    <row r="9" spans="2:25">
      <c r="D9" s="801"/>
      <c r="E9" s="76">
        <f>+'Tax Abatement'!B19</f>
        <v>2238004.913716834</v>
      </c>
      <c r="F9" s="76"/>
      <c r="G9" s="76">
        <f t="shared" si="0"/>
        <v>2238004.913716834</v>
      </c>
      <c r="H9" s="76"/>
      <c r="I9" s="76">
        <f t="shared" si="1"/>
        <v>2238004.913716834</v>
      </c>
      <c r="J9" s="76"/>
      <c r="K9" s="76">
        <f t="shared" si="2"/>
        <v>2238004.913716834</v>
      </c>
      <c r="L9" s="76"/>
      <c r="M9" s="76">
        <f t="shared" ref="M9:M14" si="3">+K9</f>
        <v>2238004.913716834</v>
      </c>
      <c r="N9" s="76"/>
      <c r="O9" s="76"/>
      <c r="P9" s="76"/>
      <c r="Q9" s="76"/>
      <c r="R9" s="76"/>
      <c r="S9" s="76"/>
      <c r="T9" s="76"/>
      <c r="U9" s="76"/>
      <c r="V9" s="76"/>
      <c r="W9" s="882"/>
      <c r="X9" s="27"/>
    </row>
    <row r="10" spans="2:25">
      <c r="D10" s="801"/>
      <c r="E10" s="76">
        <f>+'Tax Abatement'!B20</f>
        <v>2316335.0856969231</v>
      </c>
      <c r="F10" s="76"/>
      <c r="G10" s="76">
        <f t="shared" si="0"/>
        <v>2316335.0856969231</v>
      </c>
      <c r="H10" s="76"/>
      <c r="I10" s="76">
        <f t="shared" si="1"/>
        <v>2316335.0856969231</v>
      </c>
      <c r="J10" s="76"/>
      <c r="K10" s="76">
        <f t="shared" si="2"/>
        <v>2316335.0856969231</v>
      </c>
      <c r="L10" s="76"/>
      <c r="M10" s="76">
        <f t="shared" si="3"/>
        <v>2316335.0856969231</v>
      </c>
      <c r="N10" s="76"/>
      <c r="O10" s="76">
        <f t="shared" ref="O10:O14" si="4">+M10</f>
        <v>2316335.0856969231</v>
      </c>
      <c r="P10" s="76"/>
      <c r="Q10" s="76"/>
      <c r="R10" s="76"/>
      <c r="S10" s="76"/>
      <c r="T10" s="76"/>
      <c r="U10" s="76"/>
      <c r="V10" s="76"/>
      <c r="W10" s="882"/>
      <c r="X10" s="27"/>
    </row>
    <row r="11" spans="2:25">
      <c r="D11" s="801"/>
      <c r="E11" s="76">
        <f>+'Tax Abatement'!B21</f>
        <v>2397406.813696315</v>
      </c>
      <c r="F11" s="76"/>
      <c r="G11" s="76">
        <f t="shared" si="0"/>
        <v>2397406.813696315</v>
      </c>
      <c r="H11" s="76"/>
      <c r="I11" s="76">
        <f t="shared" si="1"/>
        <v>2397406.813696315</v>
      </c>
      <c r="J11" s="76"/>
      <c r="K11" s="76">
        <f t="shared" si="2"/>
        <v>2397406.813696315</v>
      </c>
      <c r="L11" s="76"/>
      <c r="M11" s="76">
        <f t="shared" si="3"/>
        <v>2397406.813696315</v>
      </c>
      <c r="N11" s="76"/>
      <c r="O11" s="76">
        <f t="shared" si="4"/>
        <v>2397406.813696315</v>
      </c>
      <c r="P11" s="76"/>
      <c r="Q11" s="76">
        <f t="shared" ref="Q11:Q14" si="5">+O11</f>
        <v>2397406.813696315</v>
      </c>
      <c r="R11" s="76"/>
      <c r="S11" s="76"/>
      <c r="T11" s="76"/>
      <c r="U11" s="76"/>
      <c r="V11" s="76"/>
      <c r="W11" s="882"/>
      <c r="X11" s="27"/>
    </row>
    <row r="12" spans="2:25">
      <c r="D12" s="801"/>
      <c r="E12" s="76">
        <f>+'Tax Abatement'!B22</f>
        <v>2481316.0521756858</v>
      </c>
      <c r="F12" s="76"/>
      <c r="G12" s="76">
        <f t="shared" si="0"/>
        <v>2481316.0521756858</v>
      </c>
      <c r="H12" s="76"/>
      <c r="I12" s="76">
        <f t="shared" si="1"/>
        <v>2481316.0521756858</v>
      </c>
      <c r="J12" s="76"/>
      <c r="K12" s="76">
        <f t="shared" si="2"/>
        <v>2481316.0521756858</v>
      </c>
      <c r="L12" s="76"/>
      <c r="M12" s="76">
        <f t="shared" si="3"/>
        <v>2481316.0521756858</v>
      </c>
      <c r="N12" s="76"/>
      <c r="O12" s="76">
        <f t="shared" si="4"/>
        <v>2481316.0521756858</v>
      </c>
      <c r="P12" s="76"/>
      <c r="Q12" s="76">
        <f t="shared" si="5"/>
        <v>2481316.0521756858</v>
      </c>
      <c r="R12" s="76"/>
      <c r="S12" s="76">
        <f t="shared" ref="S12:S14" si="6">+Q12</f>
        <v>2481316.0521756858</v>
      </c>
      <c r="T12" s="76"/>
      <c r="U12" s="76"/>
      <c r="V12" s="76"/>
      <c r="W12" s="882"/>
      <c r="X12" s="27"/>
    </row>
    <row r="13" spans="2:25">
      <c r="D13" s="801"/>
      <c r="E13" s="76">
        <f>+'Tax Abatement'!B23</f>
        <v>2568162.1140018348</v>
      </c>
      <c r="F13" s="76"/>
      <c r="G13" s="76">
        <f t="shared" si="0"/>
        <v>2568162.1140018348</v>
      </c>
      <c r="H13" s="76"/>
      <c r="I13" s="76">
        <f t="shared" si="1"/>
        <v>2568162.1140018348</v>
      </c>
      <c r="J13" s="76"/>
      <c r="K13" s="76">
        <f t="shared" si="2"/>
        <v>2568162.1140018348</v>
      </c>
      <c r="L13" s="76"/>
      <c r="M13" s="76">
        <f t="shared" si="3"/>
        <v>2568162.1140018348</v>
      </c>
      <c r="N13" s="76"/>
      <c r="O13" s="76">
        <f t="shared" si="4"/>
        <v>2568162.1140018348</v>
      </c>
      <c r="P13" s="76"/>
      <c r="Q13" s="76">
        <f t="shared" si="5"/>
        <v>2568162.1140018348</v>
      </c>
      <c r="R13" s="76"/>
      <c r="S13" s="76">
        <f t="shared" si="6"/>
        <v>2568162.1140018348</v>
      </c>
      <c r="T13" s="76"/>
      <c r="U13" s="76">
        <f t="shared" ref="U13:U14" si="7">+S13</f>
        <v>2568162.1140018348</v>
      </c>
      <c r="V13" s="76"/>
      <c r="W13" s="882"/>
      <c r="X13" s="27"/>
    </row>
    <row r="14" spans="2:25" ht="15.75" thickBot="1">
      <c r="D14" s="802"/>
      <c r="E14" s="803">
        <f>+'Tax Abatement'!B24</f>
        <v>2658047.7879918986</v>
      </c>
      <c r="F14" s="803"/>
      <c r="G14" s="803">
        <f t="shared" si="0"/>
        <v>2658047.7879918986</v>
      </c>
      <c r="H14" s="803"/>
      <c r="I14" s="803">
        <f t="shared" si="1"/>
        <v>2658047.7879918986</v>
      </c>
      <c r="J14" s="803"/>
      <c r="K14" s="803">
        <f t="shared" si="2"/>
        <v>2658047.7879918986</v>
      </c>
      <c r="L14" s="803"/>
      <c r="M14" s="803">
        <f t="shared" si="3"/>
        <v>2658047.7879918986</v>
      </c>
      <c r="N14" s="803"/>
      <c r="O14" s="803">
        <f t="shared" si="4"/>
        <v>2658047.7879918986</v>
      </c>
      <c r="P14" s="803"/>
      <c r="Q14" s="803">
        <f t="shared" si="5"/>
        <v>2658047.7879918986</v>
      </c>
      <c r="R14" s="803"/>
      <c r="S14" s="803">
        <f t="shared" si="6"/>
        <v>2658047.7879918986</v>
      </c>
      <c r="T14" s="803"/>
      <c r="U14" s="803">
        <f t="shared" si="7"/>
        <v>2658047.7879918986</v>
      </c>
      <c r="V14" s="803"/>
      <c r="W14" s="885">
        <f>+U14</f>
        <v>2658047.7879918986</v>
      </c>
      <c r="X14" s="53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0000D4"/>
  </sheetPr>
  <dimension ref="C4:M19"/>
  <sheetViews>
    <sheetView showGridLines="0" zoomScaleNormal="100" workbookViewId="0"/>
  </sheetViews>
  <sheetFormatPr defaultRowHeight="15"/>
  <cols>
    <col min="1" max="2" width="8.85546875" customWidth="1"/>
    <col min="3" max="3" width="13.85546875" bestFit="1" customWidth="1"/>
  </cols>
  <sheetData>
    <row r="4" spans="3:13" ht="15.75" thickBot="1"/>
    <row r="5" spans="3:13" ht="18.75" customHeight="1">
      <c r="C5" s="1059" t="str">
        <f>+Dashboard!B2</f>
        <v>Multifamily Development Proforma</v>
      </c>
      <c r="D5" s="1060"/>
      <c r="E5" s="1060"/>
      <c r="F5" s="1060"/>
      <c r="G5" s="1060"/>
      <c r="H5" s="1060"/>
      <c r="I5" s="1060"/>
      <c r="J5" s="1060"/>
      <c r="K5" s="1060"/>
      <c r="L5" s="1060"/>
      <c r="M5" s="1061"/>
    </row>
    <row r="6" spans="3:13">
      <c r="C6" s="1062" t="s">
        <v>89</v>
      </c>
      <c r="D6" s="1064" t="s">
        <v>81</v>
      </c>
      <c r="E6" s="1065"/>
      <c r="F6" s="1068" t="s">
        <v>345</v>
      </c>
      <c r="G6" s="1069"/>
      <c r="H6" s="1069"/>
      <c r="I6" s="1070"/>
      <c r="J6" s="1071" t="s">
        <v>369</v>
      </c>
      <c r="K6" s="1072"/>
      <c r="L6" s="1072"/>
      <c r="M6" s="1073"/>
    </row>
    <row r="7" spans="3:13">
      <c r="C7" s="1063"/>
      <c r="D7" s="1066"/>
      <c r="E7" s="1067"/>
      <c r="F7" s="1074" t="s">
        <v>91</v>
      </c>
      <c r="G7" s="1075"/>
      <c r="H7" s="1075" t="s">
        <v>92</v>
      </c>
      <c r="I7" s="1076"/>
      <c r="J7" s="1074" t="s">
        <v>91</v>
      </c>
      <c r="K7" s="1075"/>
      <c r="L7" s="1075" t="s">
        <v>92</v>
      </c>
      <c r="M7" s="1077"/>
    </row>
    <row r="8" spans="3:13">
      <c r="C8" s="842">
        <f>+Dashboard!B63</f>
        <v>46447</v>
      </c>
      <c r="D8" s="1085">
        <f>+Dashboard!C63</f>
        <v>2.1666666666666665</v>
      </c>
      <c r="E8" s="1086"/>
      <c r="F8" s="1080">
        <f>+Dashboard!I63</f>
        <v>0.19708642363548279</v>
      </c>
      <c r="G8" s="1081"/>
      <c r="H8" s="1082">
        <f>+Dashboard!L63</f>
        <v>1.4728744193600007</v>
      </c>
      <c r="I8" s="1087"/>
      <c r="J8" s="1080">
        <f>+Dashboard!N63</f>
        <v>0.182702785730362</v>
      </c>
      <c r="K8" s="1081"/>
      <c r="L8" s="1082">
        <f>+Dashboard!Q63</f>
        <v>1.4349888140171319</v>
      </c>
      <c r="M8" s="1088"/>
    </row>
    <row r="9" spans="3:13">
      <c r="C9" s="842">
        <f>+Dashboard!B64</f>
        <v>46813</v>
      </c>
      <c r="D9" s="1078">
        <f>+Dashboard!C64</f>
        <v>3.1666666666666665</v>
      </c>
      <c r="E9" s="1079"/>
      <c r="F9" s="1080">
        <f>+Dashboard!I64</f>
        <v>0.20005646347999576</v>
      </c>
      <c r="G9" s="1081"/>
      <c r="H9" s="1082">
        <f>+Dashboard!L64</f>
        <v>1.7656883346301457</v>
      </c>
      <c r="I9" s="1083"/>
      <c r="J9" s="1080">
        <f>+Dashboard!N64</f>
        <v>0.18493979573249819</v>
      </c>
      <c r="K9" s="1081"/>
      <c r="L9" s="1082">
        <f>+Dashboard!Q64</f>
        <v>1.6968203806849746</v>
      </c>
      <c r="M9" s="1084"/>
    </row>
    <row r="10" spans="3:13">
      <c r="C10" s="842">
        <f>+Dashboard!B65</f>
        <v>47178</v>
      </c>
      <c r="D10" s="1078">
        <f>+Dashboard!C65</f>
        <v>4.166666666666667</v>
      </c>
      <c r="E10" s="1079"/>
      <c r="F10" s="1080">
        <f>+Dashboard!I65</f>
        <v>0.1888221204280853</v>
      </c>
      <c r="G10" s="1081"/>
      <c r="H10" s="1082">
        <f>+Dashboard!L65</f>
        <v>2.0145168495418742</v>
      </c>
      <c r="I10" s="1083"/>
      <c r="J10" s="1080">
        <f>+Dashboard!N65</f>
        <v>0.17590917944908144</v>
      </c>
      <c r="K10" s="1081"/>
      <c r="L10" s="1082">
        <f>+Dashboard!Q65</f>
        <v>1.9260893210495937</v>
      </c>
      <c r="M10" s="1084"/>
    </row>
    <row r="11" spans="3:13" ht="15.75" thickBot="1">
      <c r="C11" s="842">
        <f>+Dashboard!B66</f>
        <v>47515</v>
      </c>
      <c r="D11" s="1078">
        <f>+Dashboard!C66</f>
        <v>5.083333333333333</v>
      </c>
      <c r="E11" s="1079"/>
      <c r="F11" s="1080">
        <f>+Dashboard!I66</f>
        <v>0.17446634173393252</v>
      </c>
      <c r="G11" s="1081"/>
      <c r="H11" s="1082">
        <f>+Dashboard!L66</f>
        <v>2.1949696340659703</v>
      </c>
      <c r="I11" s="1083"/>
      <c r="J11" s="1080">
        <f>+Dashboard!N66</f>
        <v>0.16337835192680361</v>
      </c>
      <c r="K11" s="1081"/>
      <c r="L11" s="1082">
        <f>+Dashboard!Q66</f>
        <v>2.0932241878950753</v>
      </c>
      <c r="M11" s="1084"/>
    </row>
    <row r="12" spans="3:13" ht="24" thickBot="1">
      <c r="C12" s="855"/>
      <c r="D12" s="855"/>
      <c r="E12" s="855"/>
      <c r="F12" s="855"/>
      <c r="G12" s="855"/>
      <c r="H12" s="855"/>
      <c r="I12" s="855"/>
      <c r="J12" s="855"/>
      <c r="K12" s="855"/>
      <c r="L12" s="855"/>
      <c r="M12" s="855"/>
    </row>
    <row r="13" spans="3:13" ht="23.25" customHeight="1">
      <c r="C13" s="1059" t="str">
        <f>C5</f>
        <v>Multifamily Development Proforma</v>
      </c>
      <c r="D13" s="1060"/>
      <c r="E13" s="1060"/>
      <c r="F13" s="1060"/>
      <c r="G13" s="1060"/>
      <c r="H13" s="1060"/>
      <c r="I13" s="1060"/>
      <c r="J13" s="1060"/>
      <c r="K13" s="1060"/>
      <c r="L13" s="1060"/>
      <c r="M13" s="1061"/>
    </row>
    <row r="14" spans="3:13">
      <c r="C14" s="1089" t="s">
        <v>89</v>
      </c>
      <c r="D14" s="1064" t="s">
        <v>81</v>
      </c>
      <c r="E14" s="1065"/>
      <c r="F14" s="1091" t="s">
        <v>346</v>
      </c>
      <c r="G14" s="1092"/>
      <c r="H14" s="1092"/>
      <c r="I14" s="1093"/>
      <c r="J14" s="1094" t="s">
        <v>202</v>
      </c>
      <c r="K14" s="1095"/>
      <c r="L14" s="1095"/>
      <c r="M14" s="1096"/>
    </row>
    <row r="15" spans="3:13">
      <c r="C15" s="1090"/>
      <c r="D15" s="1066"/>
      <c r="E15" s="1067"/>
      <c r="F15" s="1074" t="s">
        <v>91</v>
      </c>
      <c r="G15" s="1075"/>
      <c r="H15" s="1075" t="s">
        <v>92</v>
      </c>
      <c r="I15" s="1076"/>
      <c r="J15" s="1074" t="s">
        <v>91</v>
      </c>
      <c r="K15" s="1075"/>
      <c r="L15" s="1075" t="s">
        <v>92</v>
      </c>
      <c r="M15" s="1097"/>
    </row>
    <row r="16" spans="3:13">
      <c r="C16" s="856">
        <f>+C8</f>
        <v>46447</v>
      </c>
      <c r="D16" s="1098">
        <f>+D8</f>
        <v>2.1666666666666665</v>
      </c>
      <c r="E16" s="1099"/>
      <c r="F16" s="853">
        <f>+'Unlevered Return Calcs'!C14</f>
        <v>7.3374065756797807E-2</v>
      </c>
      <c r="G16" s="854"/>
      <c r="H16" s="1082">
        <f>+'Unlevered Return Calcs'!C15</f>
        <v>1.1650104929895972</v>
      </c>
      <c r="I16" s="1087"/>
      <c r="J16" s="1080">
        <f>+'Waterfall 2.0 Years'!$BP$73</f>
        <v>0.27504108548164374</v>
      </c>
      <c r="K16" s="1081"/>
      <c r="L16" s="1082">
        <f>+'Waterfall 2.0 Years'!$BQ$73</f>
        <v>1.6875595163029236</v>
      </c>
      <c r="M16" s="1100"/>
    </row>
    <row r="17" spans="3:13">
      <c r="C17" s="856">
        <f t="shared" ref="C17:D19" si="0">+C9</f>
        <v>46813</v>
      </c>
      <c r="D17" s="1098">
        <f t="shared" si="0"/>
        <v>3.1666666666666665</v>
      </c>
      <c r="E17" s="1099"/>
      <c r="F17" s="853">
        <f>+'Unlevered Return Calcs'!C30</f>
        <v>6.73625022172928E-2</v>
      </c>
      <c r="G17" s="854"/>
      <c r="H17" s="1082">
        <f>+'Unlevered Return Calcs'!C31</f>
        <v>1.2251540536642866</v>
      </c>
      <c r="I17" s="1087"/>
      <c r="J17" s="1080">
        <f>+'Waterfall 3.0 Years'!$BP$73</f>
        <v>0.27872413992881773</v>
      </c>
      <c r="K17" s="1081"/>
      <c r="L17" s="1082">
        <f>+'Waterfall 3.0 Years'!$BQ$73</f>
        <v>2.1559400736527827</v>
      </c>
      <c r="M17" s="1101"/>
    </row>
    <row r="18" spans="3:13">
      <c r="C18" s="856">
        <f t="shared" si="0"/>
        <v>47178</v>
      </c>
      <c r="D18" s="1098">
        <f t="shared" si="0"/>
        <v>4.166666666666667</v>
      </c>
      <c r="E18" s="1099"/>
      <c r="F18" s="853">
        <f>+'Unlevered Return Calcs'!C46</f>
        <v>6.476605236530307E-2</v>
      </c>
      <c r="G18" s="854"/>
      <c r="H18" s="1082">
        <f>+'Unlevered Return Calcs'!C47</f>
        <v>1.2872404113660758</v>
      </c>
      <c r="I18" s="1087"/>
      <c r="J18" s="1080">
        <f>+'Waterfall 4.0 Years'!$BP$73</f>
        <v>0.25458042025566097</v>
      </c>
      <c r="K18" s="1081"/>
      <c r="L18" s="1082">
        <f>+'Waterfall 4.0 Years'!$BQ$73</f>
        <v>2.5156061776647962</v>
      </c>
      <c r="M18" s="1101"/>
    </row>
    <row r="19" spans="3:13" ht="15.75" thickBot="1">
      <c r="C19" s="857">
        <f t="shared" si="0"/>
        <v>47515</v>
      </c>
      <c r="D19" s="1102">
        <f t="shared" si="0"/>
        <v>5.083333333333333</v>
      </c>
      <c r="E19" s="1103"/>
      <c r="F19" s="858">
        <f>+'Unlevered Return Calcs'!C62</f>
        <v>6.3521406054496757E-2</v>
      </c>
      <c r="G19" s="859"/>
      <c r="H19" s="1104">
        <f>+'Unlevered Return Calcs'!C63</f>
        <v>1.3459049840127357</v>
      </c>
      <c r="I19" s="1105"/>
      <c r="J19" s="1106">
        <f>+'Waterfall 5.0 Years'!$BP$73</f>
        <v>0.2302029430866242</v>
      </c>
      <c r="K19" s="1107"/>
      <c r="L19" s="1104">
        <f>+'Waterfall 5.0 Years'!$BQ$73</f>
        <v>2.7715271623677085</v>
      </c>
      <c r="M19" s="1108"/>
    </row>
  </sheetData>
  <mergeCells count="54">
    <mergeCell ref="D18:E18"/>
    <mergeCell ref="H18:I18"/>
    <mergeCell ref="J18:K18"/>
    <mergeCell ref="L18:M18"/>
    <mergeCell ref="D19:E19"/>
    <mergeCell ref="H19:I19"/>
    <mergeCell ref="J19:K19"/>
    <mergeCell ref="L19:M19"/>
    <mergeCell ref="D16:E16"/>
    <mergeCell ref="H16:I16"/>
    <mergeCell ref="J16:K16"/>
    <mergeCell ref="L16:M16"/>
    <mergeCell ref="D17:E17"/>
    <mergeCell ref="H17:I17"/>
    <mergeCell ref="J17:K17"/>
    <mergeCell ref="L17:M17"/>
    <mergeCell ref="C14:C15"/>
    <mergeCell ref="D14:E15"/>
    <mergeCell ref="F14:I14"/>
    <mergeCell ref="J14:M14"/>
    <mergeCell ref="F15:G15"/>
    <mergeCell ref="H15:I15"/>
    <mergeCell ref="J15:K15"/>
    <mergeCell ref="L15:M15"/>
    <mergeCell ref="C13:M13"/>
    <mergeCell ref="D10:E10"/>
    <mergeCell ref="F10:G10"/>
    <mergeCell ref="H10:I10"/>
    <mergeCell ref="J10:K10"/>
    <mergeCell ref="L10:M10"/>
    <mergeCell ref="D11:E11"/>
    <mergeCell ref="F11:G11"/>
    <mergeCell ref="H11:I11"/>
    <mergeCell ref="J11:K11"/>
    <mergeCell ref="L11:M11"/>
    <mergeCell ref="D8:E8"/>
    <mergeCell ref="F8:G8"/>
    <mergeCell ref="H8:I8"/>
    <mergeCell ref="J8:K8"/>
    <mergeCell ref="L8:M8"/>
    <mergeCell ref="D9:E9"/>
    <mergeCell ref="F9:G9"/>
    <mergeCell ref="H9:I9"/>
    <mergeCell ref="J9:K9"/>
    <mergeCell ref="L9:M9"/>
    <mergeCell ref="C5:M5"/>
    <mergeCell ref="C6:C7"/>
    <mergeCell ref="D6:E7"/>
    <mergeCell ref="F6:I6"/>
    <mergeCell ref="J6:M6"/>
    <mergeCell ref="F7:G7"/>
    <mergeCell ref="H7:I7"/>
    <mergeCell ref="J7:K7"/>
    <mergeCell ref="L7:M7"/>
  </mergeCells>
  <pageMargins left="0.7" right="0.7" top="0.75" bottom="0.75" header="0.3" footer="0.3"/>
  <pageSetup scale="73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"/>
  <sheetViews>
    <sheetView zoomScale="85" zoomScaleNormal="85" workbookViewId="0"/>
  </sheetViews>
  <sheetFormatPr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rgb="FFFFC000"/>
  </sheetPr>
  <dimension ref="B1:CP70"/>
  <sheetViews>
    <sheetView view="pageBreakPreview" zoomScale="110" zoomScaleNormal="75" zoomScaleSheetLayoutView="110" workbookViewId="0">
      <pane xSplit="2" ySplit="2" topLeftCell="O23" activePane="bottomRight" state="frozen"/>
      <selection pane="topRight" activeCell="C1" sqref="C1"/>
      <selection pane="bottomLeft" activeCell="A3" sqref="A3"/>
      <selection pane="bottomRight" activeCell="P38" sqref="P38:AA38"/>
    </sheetView>
  </sheetViews>
  <sheetFormatPr defaultRowHeight="15"/>
  <cols>
    <col min="1" max="1" width="1.85546875" customWidth="1"/>
    <col min="2" max="2" width="28.42578125" customWidth="1"/>
    <col min="3" max="15" width="13.85546875" customWidth="1"/>
    <col min="16" max="17" width="13.85546875" style="42" customWidth="1"/>
    <col min="18" max="19" width="14.5703125" style="42" customWidth="1"/>
    <col min="20" max="80" width="13.85546875" style="42" customWidth="1"/>
    <col min="81" max="94" width="13.85546875" style="42" hidden="1" customWidth="1"/>
  </cols>
  <sheetData>
    <row r="1" spans="2:94" ht="9" customHeight="1" thickBot="1"/>
    <row r="2" spans="2:94" ht="21" customHeight="1">
      <c r="B2" s="166" t="s">
        <v>115</v>
      </c>
      <c r="C2" s="540">
        <f>+Dashboard!F54</f>
        <v>45658</v>
      </c>
      <c r="D2" s="540">
        <f>EOMONTH(C2,1)</f>
        <v>45716</v>
      </c>
      <c r="E2" s="540">
        <f t="shared" ref="E2:O2" si="0">EOMONTH(D2,1)</f>
        <v>45747</v>
      </c>
      <c r="F2" s="540">
        <f t="shared" si="0"/>
        <v>45777</v>
      </c>
      <c r="G2" s="540">
        <f t="shared" si="0"/>
        <v>45808</v>
      </c>
      <c r="H2" s="540">
        <f t="shared" si="0"/>
        <v>45838</v>
      </c>
      <c r="I2" s="540">
        <f t="shared" si="0"/>
        <v>45869</v>
      </c>
      <c r="J2" s="540">
        <f t="shared" si="0"/>
        <v>45900</v>
      </c>
      <c r="K2" s="540">
        <f t="shared" si="0"/>
        <v>45930</v>
      </c>
      <c r="L2" s="540">
        <f t="shared" si="0"/>
        <v>45961</v>
      </c>
      <c r="M2" s="540">
        <f t="shared" si="0"/>
        <v>45991</v>
      </c>
      <c r="N2" s="540">
        <f t="shared" si="0"/>
        <v>46022</v>
      </c>
      <c r="O2" s="540">
        <f t="shared" si="0"/>
        <v>46053</v>
      </c>
      <c r="P2" s="167">
        <f>EOMONTH(Dashboard!I19,0)</f>
        <v>46295</v>
      </c>
      <c r="Q2" s="167">
        <f>EOMONTH(P2,1)</f>
        <v>46326</v>
      </c>
      <c r="R2" s="167">
        <f t="shared" ref="R2:BK2" si="1">EOMONTH(Q2,1)</f>
        <v>46356</v>
      </c>
      <c r="S2" s="167">
        <f t="shared" si="1"/>
        <v>46387</v>
      </c>
      <c r="T2" s="167">
        <f t="shared" si="1"/>
        <v>46418</v>
      </c>
      <c r="U2" s="167">
        <f t="shared" si="1"/>
        <v>46446</v>
      </c>
      <c r="V2" s="167">
        <f t="shared" si="1"/>
        <v>46477</v>
      </c>
      <c r="W2" s="167">
        <f t="shared" si="1"/>
        <v>46507</v>
      </c>
      <c r="X2" s="167">
        <f t="shared" si="1"/>
        <v>46538</v>
      </c>
      <c r="Y2" s="167">
        <f t="shared" si="1"/>
        <v>46568</v>
      </c>
      <c r="Z2" s="167">
        <f t="shared" si="1"/>
        <v>46599</v>
      </c>
      <c r="AA2" s="167">
        <f t="shared" si="1"/>
        <v>46630</v>
      </c>
      <c r="AB2" s="167">
        <f t="shared" si="1"/>
        <v>46660</v>
      </c>
      <c r="AC2" s="167">
        <f t="shared" si="1"/>
        <v>46691</v>
      </c>
      <c r="AD2" s="167">
        <f t="shared" si="1"/>
        <v>46721</v>
      </c>
      <c r="AE2" s="167">
        <f t="shared" si="1"/>
        <v>46752</v>
      </c>
      <c r="AF2" s="167">
        <f t="shared" si="1"/>
        <v>46783</v>
      </c>
      <c r="AG2" s="167">
        <f t="shared" si="1"/>
        <v>46812</v>
      </c>
      <c r="AH2" s="167">
        <f t="shared" si="1"/>
        <v>46843</v>
      </c>
      <c r="AI2" s="167">
        <f t="shared" si="1"/>
        <v>46873</v>
      </c>
      <c r="AJ2" s="167">
        <f t="shared" si="1"/>
        <v>46904</v>
      </c>
      <c r="AK2" s="167">
        <f t="shared" si="1"/>
        <v>46934</v>
      </c>
      <c r="AL2" s="167">
        <f t="shared" si="1"/>
        <v>46965</v>
      </c>
      <c r="AM2" s="167">
        <f t="shared" si="1"/>
        <v>46996</v>
      </c>
      <c r="AN2" s="167">
        <f t="shared" si="1"/>
        <v>47026</v>
      </c>
      <c r="AO2" s="167">
        <f t="shared" si="1"/>
        <v>47057</v>
      </c>
      <c r="AP2" s="167">
        <f t="shared" si="1"/>
        <v>47087</v>
      </c>
      <c r="AQ2" s="167">
        <f t="shared" si="1"/>
        <v>47118</v>
      </c>
      <c r="AR2" s="167">
        <f t="shared" si="1"/>
        <v>47149</v>
      </c>
      <c r="AS2" s="167">
        <f t="shared" si="1"/>
        <v>47177</v>
      </c>
      <c r="AT2" s="167">
        <f t="shared" si="1"/>
        <v>47208</v>
      </c>
      <c r="AU2" s="167">
        <f t="shared" si="1"/>
        <v>47238</v>
      </c>
      <c r="AV2" s="167">
        <f t="shared" si="1"/>
        <v>47269</v>
      </c>
      <c r="AW2" s="167">
        <f t="shared" si="1"/>
        <v>47299</v>
      </c>
      <c r="AX2" s="167">
        <f t="shared" si="1"/>
        <v>47330</v>
      </c>
      <c r="AY2" s="167">
        <f t="shared" si="1"/>
        <v>47361</v>
      </c>
      <c r="AZ2" s="167">
        <f t="shared" si="1"/>
        <v>47391</v>
      </c>
      <c r="BA2" s="167">
        <f t="shared" si="1"/>
        <v>47422</v>
      </c>
      <c r="BB2" s="167">
        <f t="shared" si="1"/>
        <v>47452</v>
      </c>
      <c r="BC2" s="167">
        <f t="shared" si="1"/>
        <v>47483</v>
      </c>
      <c r="BD2" s="167">
        <f t="shared" si="1"/>
        <v>47514</v>
      </c>
      <c r="BE2" s="167">
        <f t="shared" si="1"/>
        <v>47542</v>
      </c>
      <c r="BF2" s="167">
        <f t="shared" si="1"/>
        <v>47573</v>
      </c>
      <c r="BG2" s="167">
        <f t="shared" si="1"/>
        <v>47603</v>
      </c>
      <c r="BH2" s="167">
        <f t="shared" si="1"/>
        <v>47634</v>
      </c>
      <c r="BI2" s="167">
        <f t="shared" si="1"/>
        <v>47664</v>
      </c>
      <c r="BJ2" s="167">
        <f t="shared" si="1"/>
        <v>47695</v>
      </c>
      <c r="BK2" s="167">
        <f t="shared" si="1"/>
        <v>47726</v>
      </c>
      <c r="BL2" s="167">
        <f t="shared" ref="BL2" si="2">EOMONTH(BK2,1)</f>
        <v>47756</v>
      </c>
      <c r="BM2" s="167">
        <f t="shared" ref="BM2" si="3">EOMONTH(BL2,1)</f>
        <v>47787</v>
      </c>
      <c r="BN2" s="167">
        <f t="shared" ref="BN2" si="4">EOMONTH(BM2,1)</f>
        <v>47817</v>
      </c>
      <c r="BO2" s="167">
        <f t="shared" ref="BO2" si="5">EOMONTH(BN2,1)</f>
        <v>47848</v>
      </c>
      <c r="BP2" s="167">
        <f t="shared" ref="BP2" si="6">EOMONTH(BO2,1)</f>
        <v>47879</v>
      </c>
      <c r="BQ2" s="167">
        <f t="shared" ref="BQ2" si="7">EOMONTH(BP2,1)</f>
        <v>47907</v>
      </c>
      <c r="BR2" s="167">
        <f t="shared" ref="BR2" si="8">EOMONTH(BQ2,1)</f>
        <v>47938</v>
      </c>
      <c r="BS2" s="167">
        <f t="shared" ref="BS2" si="9">EOMONTH(BR2,1)</f>
        <v>47968</v>
      </c>
      <c r="BT2" s="167">
        <f t="shared" ref="BT2" si="10">EOMONTH(BS2,1)</f>
        <v>47999</v>
      </c>
      <c r="BU2" s="167">
        <f t="shared" ref="BU2" si="11">EOMONTH(BT2,1)</f>
        <v>48029</v>
      </c>
      <c r="BV2" s="167">
        <f t="shared" ref="BV2" si="12">EOMONTH(BU2,1)</f>
        <v>48060</v>
      </c>
      <c r="BW2" s="167">
        <f t="shared" ref="BW2:CP2" si="13">EOMONTH(BV2,1)</f>
        <v>48091</v>
      </c>
      <c r="BX2" s="167">
        <f t="shared" si="13"/>
        <v>48121</v>
      </c>
      <c r="BY2" s="167">
        <f t="shared" si="13"/>
        <v>48152</v>
      </c>
      <c r="BZ2" s="167">
        <f t="shared" si="13"/>
        <v>48182</v>
      </c>
      <c r="CA2" s="167">
        <f t="shared" si="13"/>
        <v>48213</v>
      </c>
      <c r="CB2" s="167">
        <f t="shared" si="13"/>
        <v>48244</v>
      </c>
      <c r="CC2" s="167">
        <f t="shared" si="13"/>
        <v>48273</v>
      </c>
      <c r="CD2" s="167">
        <f t="shared" si="13"/>
        <v>48304</v>
      </c>
      <c r="CE2" s="167">
        <f t="shared" si="13"/>
        <v>48334</v>
      </c>
      <c r="CF2" s="167">
        <f t="shared" si="13"/>
        <v>48365</v>
      </c>
      <c r="CG2" s="167">
        <f t="shared" si="13"/>
        <v>48395</v>
      </c>
      <c r="CH2" s="167">
        <f t="shared" si="13"/>
        <v>48426</v>
      </c>
      <c r="CI2" s="167">
        <f t="shared" si="13"/>
        <v>48457</v>
      </c>
      <c r="CJ2" s="167">
        <f t="shared" si="13"/>
        <v>48487</v>
      </c>
      <c r="CK2" s="167">
        <f t="shared" si="13"/>
        <v>48518</v>
      </c>
      <c r="CL2" s="167">
        <f t="shared" si="13"/>
        <v>48548</v>
      </c>
      <c r="CM2" s="167">
        <f t="shared" si="13"/>
        <v>48579</v>
      </c>
      <c r="CN2" s="167">
        <f t="shared" si="13"/>
        <v>48610</v>
      </c>
      <c r="CO2" s="167">
        <f t="shared" si="13"/>
        <v>48638</v>
      </c>
      <c r="CP2" s="167">
        <f t="shared" si="13"/>
        <v>48669</v>
      </c>
    </row>
    <row r="3" spans="2:94" ht="9.75" customHeight="1"/>
    <row r="4" spans="2:94" s="104" customFormat="1">
      <c r="B4" s="103" t="s">
        <v>116</v>
      </c>
      <c r="C4" s="491">
        <v>0</v>
      </c>
      <c r="D4" s="491">
        <v>0</v>
      </c>
      <c r="E4" s="491">
        <v>0</v>
      </c>
      <c r="F4" s="491">
        <v>0</v>
      </c>
      <c r="G4" s="491">
        <v>0</v>
      </c>
      <c r="H4" s="491">
        <v>0</v>
      </c>
      <c r="I4" s="491">
        <v>0</v>
      </c>
      <c r="J4" s="491">
        <v>0</v>
      </c>
      <c r="K4" s="491">
        <v>0</v>
      </c>
      <c r="L4" s="491">
        <v>0</v>
      </c>
      <c r="M4" s="491">
        <v>0</v>
      </c>
      <c r="N4" s="491">
        <v>0</v>
      </c>
      <c r="O4" s="491">
        <v>0</v>
      </c>
      <c r="P4" s="491">
        <f>1-Dashboard!$I$26</f>
        <v>0.94499999999999995</v>
      </c>
      <c r="Q4" s="491">
        <f>1-Dashboard!$I$26</f>
        <v>0.94499999999999995</v>
      </c>
      <c r="R4" s="491">
        <f>1-Dashboard!$I$26</f>
        <v>0.94499999999999995</v>
      </c>
      <c r="S4" s="491">
        <f>1-Dashboard!$I$26</f>
        <v>0.94499999999999995</v>
      </c>
      <c r="T4" s="491">
        <f>1-Dashboard!$I$26</f>
        <v>0.94499999999999995</v>
      </c>
      <c r="U4" s="491">
        <f>1-Dashboard!$I$26</f>
        <v>0.94499999999999995</v>
      </c>
      <c r="V4" s="491">
        <f>1-Dashboard!$I$26</f>
        <v>0.94499999999999995</v>
      </c>
      <c r="W4" s="491">
        <f>1-Dashboard!$I$26</f>
        <v>0.94499999999999995</v>
      </c>
      <c r="X4" s="491">
        <f>1-Dashboard!$I$26</f>
        <v>0.94499999999999995</v>
      </c>
      <c r="Y4" s="491">
        <f>1-Dashboard!$I$26</f>
        <v>0.94499999999999995</v>
      </c>
      <c r="Z4" s="491">
        <f>1-Dashboard!$I$26</f>
        <v>0.94499999999999995</v>
      </c>
      <c r="AA4" s="491">
        <f>1-Dashboard!$I$26</f>
        <v>0.94499999999999995</v>
      </c>
      <c r="AB4" s="491">
        <f>1-Dashboard!$K$26</f>
        <v>0.94499999999999995</v>
      </c>
      <c r="AC4" s="491">
        <f>1-Dashboard!$K$26</f>
        <v>0.94499999999999995</v>
      </c>
      <c r="AD4" s="491">
        <f>1-Dashboard!$K$26</f>
        <v>0.94499999999999995</v>
      </c>
      <c r="AE4" s="491">
        <f>1-Dashboard!$K$26</f>
        <v>0.94499999999999995</v>
      </c>
      <c r="AF4" s="491">
        <f>1-Dashboard!$K$26</f>
        <v>0.94499999999999995</v>
      </c>
      <c r="AG4" s="491">
        <f>1-Dashboard!$K$26</f>
        <v>0.94499999999999995</v>
      </c>
      <c r="AH4" s="491">
        <f>1-Dashboard!$K$26</f>
        <v>0.94499999999999995</v>
      </c>
      <c r="AI4" s="491">
        <f>1-Dashboard!$K$26</f>
        <v>0.94499999999999995</v>
      </c>
      <c r="AJ4" s="491">
        <f>1-Dashboard!$K$26</f>
        <v>0.94499999999999995</v>
      </c>
      <c r="AK4" s="491">
        <f>1-Dashboard!$K$26</f>
        <v>0.94499999999999995</v>
      </c>
      <c r="AL4" s="491">
        <f>1-Dashboard!$K$26</f>
        <v>0.94499999999999995</v>
      </c>
      <c r="AM4" s="491">
        <f>1-Dashboard!$K$26</f>
        <v>0.94499999999999995</v>
      </c>
      <c r="AN4" s="491">
        <f>1-Dashboard!$M$26</f>
        <v>0.94499999999999995</v>
      </c>
      <c r="AO4" s="491">
        <f>1-Dashboard!$M$26</f>
        <v>0.94499999999999995</v>
      </c>
      <c r="AP4" s="491">
        <f>1-Dashboard!$M$26</f>
        <v>0.94499999999999995</v>
      </c>
      <c r="AQ4" s="491">
        <f>1-Dashboard!$M$26</f>
        <v>0.94499999999999995</v>
      </c>
      <c r="AR4" s="491">
        <f>1-Dashboard!$M$26</f>
        <v>0.94499999999999995</v>
      </c>
      <c r="AS4" s="491">
        <f>1-Dashboard!$M$26</f>
        <v>0.94499999999999995</v>
      </c>
      <c r="AT4" s="491">
        <f>1-Dashboard!$M$26</f>
        <v>0.94499999999999995</v>
      </c>
      <c r="AU4" s="491">
        <f>1-Dashboard!$M$26</f>
        <v>0.94499999999999995</v>
      </c>
      <c r="AV4" s="491">
        <f>1-Dashboard!$M$26</f>
        <v>0.94499999999999995</v>
      </c>
      <c r="AW4" s="491">
        <f>1-Dashboard!$M$26</f>
        <v>0.94499999999999995</v>
      </c>
      <c r="AX4" s="491">
        <f>1-Dashboard!$M$26</f>
        <v>0.94499999999999995</v>
      </c>
      <c r="AY4" s="491">
        <f>1-Dashboard!$M$26</f>
        <v>0.94499999999999995</v>
      </c>
      <c r="AZ4" s="491">
        <f>1-Dashboard!$O$26</f>
        <v>0.94499999999999995</v>
      </c>
      <c r="BA4" s="491">
        <f>1-Dashboard!$O$26</f>
        <v>0.94499999999999995</v>
      </c>
      <c r="BB4" s="491">
        <f>1-Dashboard!$O$26</f>
        <v>0.94499999999999995</v>
      </c>
      <c r="BC4" s="491">
        <f>1-Dashboard!$O$26</f>
        <v>0.94499999999999995</v>
      </c>
      <c r="BD4" s="491">
        <f>1-Dashboard!$O$26</f>
        <v>0.94499999999999995</v>
      </c>
      <c r="BE4" s="491">
        <f>1-Dashboard!$O$26</f>
        <v>0.94499999999999995</v>
      </c>
      <c r="BF4" s="491">
        <f>1-Dashboard!$O$26</f>
        <v>0.94499999999999995</v>
      </c>
      <c r="BG4" s="491">
        <f>1-Dashboard!$O$26</f>
        <v>0.94499999999999995</v>
      </c>
      <c r="BH4" s="491">
        <f>1-Dashboard!$O$26</f>
        <v>0.94499999999999995</v>
      </c>
      <c r="BI4" s="491">
        <f>1-Dashboard!$O$26</f>
        <v>0.94499999999999995</v>
      </c>
      <c r="BJ4" s="491">
        <f>1-Dashboard!$O$26</f>
        <v>0.94499999999999995</v>
      </c>
      <c r="BK4" s="491">
        <f>1-Dashboard!$O$26</f>
        <v>0.94499999999999995</v>
      </c>
      <c r="BL4" s="491">
        <f>1-Dashboard!$Q$26</f>
        <v>0.94499999999999995</v>
      </c>
      <c r="BM4" s="491">
        <f>1-Dashboard!$Q$26</f>
        <v>0.94499999999999995</v>
      </c>
      <c r="BN4" s="491">
        <f>1-Dashboard!$Q$26</f>
        <v>0.94499999999999995</v>
      </c>
      <c r="BO4" s="491">
        <f>1-Dashboard!$Q$26</f>
        <v>0.94499999999999995</v>
      </c>
      <c r="BP4" s="491">
        <f>1-Dashboard!$Q$26</f>
        <v>0.94499999999999995</v>
      </c>
      <c r="BQ4" s="491">
        <f>1-Dashboard!$Q$26</f>
        <v>0.94499999999999995</v>
      </c>
      <c r="BR4" s="491">
        <f>1-Dashboard!$Q$26</f>
        <v>0.94499999999999995</v>
      </c>
      <c r="BS4" s="491">
        <f>1-Dashboard!$Q$26</f>
        <v>0.94499999999999995</v>
      </c>
      <c r="BT4" s="491">
        <f>1-Dashboard!$Q$26</f>
        <v>0.94499999999999995</v>
      </c>
      <c r="BU4" s="491">
        <f>1-Dashboard!$Q$26</f>
        <v>0.94499999999999995</v>
      </c>
      <c r="BV4" s="491">
        <f>1-Dashboard!$Q$26</f>
        <v>0.94499999999999995</v>
      </c>
      <c r="BW4" s="491">
        <f>1-Dashboard!$Q$26</f>
        <v>0.94499999999999995</v>
      </c>
      <c r="BX4" s="491">
        <f>1-Dashboard!$Q$26</f>
        <v>0.94499999999999995</v>
      </c>
      <c r="BY4" s="491">
        <f>1-Dashboard!$Q$26</f>
        <v>0.94499999999999995</v>
      </c>
      <c r="BZ4" s="491">
        <f>1-Dashboard!$Q$26</f>
        <v>0.94499999999999995</v>
      </c>
      <c r="CA4" s="491">
        <f>1-Dashboard!$Q$26</f>
        <v>0.94499999999999995</v>
      </c>
      <c r="CB4" s="491">
        <f>1-Dashboard!$Q$26</f>
        <v>0.94499999999999995</v>
      </c>
      <c r="CC4" s="491">
        <f>1-Dashboard!$Q$26</f>
        <v>0.94499999999999995</v>
      </c>
      <c r="CD4" s="491">
        <f>1-Dashboard!$Q$26</f>
        <v>0.94499999999999995</v>
      </c>
      <c r="CE4" s="491">
        <f>1-Dashboard!$Q$26</f>
        <v>0.94499999999999995</v>
      </c>
      <c r="CF4" s="491">
        <f>1-Dashboard!$Q$26</f>
        <v>0.94499999999999995</v>
      </c>
      <c r="CG4" s="491">
        <f>1-Dashboard!$Q$26</f>
        <v>0.94499999999999995</v>
      </c>
      <c r="CH4" s="491">
        <f>1-Dashboard!$Q$26</f>
        <v>0.94499999999999995</v>
      </c>
      <c r="CI4" s="491">
        <f>1-Dashboard!$Q$26</f>
        <v>0.94499999999999995</v>
      </c>
      <c r="CJ4" s="491">
        <f>1-Dashboard!$Q$26</f>
        <v>0.94499999999999995</v>
      </c>
      <c r="CK4" s="491">
        <f>1-Dashboard!$Q$26</f>
        <v>0.94499999999999995</v>
      </c>
      <c r="CL4" s="491">
        <f>1-Dashboard!$Q$26</f>
        <v>0.94499999999999995</v>
      </c>
      <c r="CM4" s="491">
        <f>1-Dashboard!$Q$26</f>
        <v>0.94499999999999995</v>
      </c>
      <c r="CN4" s="491">
        <f>1-Dashboard!$Q$26</f>
        <v>0.94499999999999995</v>
      </c>
      <c r="CO4" s="491">
        <f>1-Dashboard!$Q$26</f>
        <v>0.94499999999999995</v>
      </c>
      <c r="CP4" s="491">
        <f>1-Dashboard!$Q$26</f>
        <v>0.94499999999999995</v>
      </c>
    </row>
    <row r="5" spans="2:94" ht="9.75" customHeight="1"/>
    <row r="6" spans="2:94">
      <c r="B6" s="17" t="str">
        <f>'Year-1 Proforma'!B4</f>
        <v>Rental Revenue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</row>
    <row r="7" spans="2:94">
      <c r="B7" s="74" t="str">
        <f>'Year-1 Proforma'!B5</f>
        <v>Gross Potential Rent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105">
        <f>'Unit Mix'!$E$29/12</f>
        <v>614694.66666666663</v>
      </c>
      <c r="Q7" s="105">
        <f>'Unit Mix'!$E$29/12</f>
        <v>614694.66666666663</v>
      </c>
      <c r="R7" s="105">
        <f>'Unit Mix'!$E$29/12</f>
        <v>614694.66666666663</v>
      </c>
      <c r="S7" s="105">
        <f>'Unit Mix'!$E$29/12</f>
        <v>614694.66666666663</v>
      </c>
      <c r="T7" s="105">
        <f>'Unit Mix'!$E$29/12</f>
        <v>614694.66666666663</v>
      </c>
      <c r="U7" s="105">
        <f>'Unit Mix'!$E$29/12</f>
        <v>614694.66666666663</v>
      </c>
      <c r="V7" s="105">
        <f>'Unit Mix'!$E$29/12</f>
        <v>614694.66666666663</v>
      </c>
      <c r="W7" s="105">
        <f>'Unit Mix'!$E$29/12</f>
        <v>614694.66666666663</v>
      </c>
      <c r="X7" s="105">
        <f>'Unit Mix'!$E$29/12</f>
        <v>614694.66666666663</v>
      </c>
      <c r="Y7" s="105">
        <f>'Unit Mix'!$E$29/12</f>
        <v>614694.66666666663</v>
      </c>
      <c r="Z7" s="105">
        <f>'Unit Mix'!$E$29/12</f>
        <v>614694.66666666663</v>
      </c>
      <c r="AA7" s="105">
        <f>'Unit Mix'!$E$29/12</f>
        <v>614694.66666666663</v>
      </c>
      <c r="AB7" s="105">
        <f>'Unit Mix'!$G$29/12</f>
        <v>633135.50666666671</v>
      </c>
      <c r="AC7" s="105">
        <f>'Unit Mix'!$G$29/12</f>
        <v>633135.50666666671</v>
      </c>
      <c r="AD7" s="105">
        <f>'Unit Mix'!$G$29/12</f>
        <v>633135.50666666671</v>
      </c>
      <c r="AE7" s="105">
        <f>'Unit Mix'!$G$29/12</f>
        <v>633135.50666666671</v>
      </c>
      <c r="AF7" s="105">
        <f>'Unit Mix'!$G$29/12</f>
        <v>633135.50666666671</v>
      </c>
      <c r="AG7" s="105">
        <f>'Unit Mix'!$G$29/12</f>
        <v>633135.50666666671</v>
      </c>
      <c r="AH7" s="105">
        <f>'Unit Mix'!$G$29/12</f>
        <v>633135.50666666671</v>
      </c>
      <c r="AI7" s="105">
        <f>'Unit Mix'!$G$29/12</f>
        <v>633135.50666666671</v>
      </c>
      <c r="AJ7" s="105">
        <f>'Unit Mix'!$G$29/12</f>
        <v>633135.50666666671</v>
      </c>
      <c r="AK7" s="105">
        <f>'Unit Mix'!$G$29/12</f>
        <v>633135.50666666671</v>
      </c>
      <c r="AL7" s="105">
        <f>'Unit Mix'!$G$29/12</f>
        <v>633135.50666666671</v>
      </c>
      <c r="AM7" s="105">
        <f>'Unit Mix'!$G$29/12</f>
        <v>633135.50666666671</v>
      </c>
      <c r="AN7" s="105">
        <f>'Unit Mix'!$I$29/12</f>
        <v>652129.57186666667</v>
      </c>
      <c r="AO7" s="105">
        <f>'Unit Mix'!$I$29/12</f>
        <v>652129.57186666667</v>
      </c>
      <c r="AP7" s="105">
        <f>'Unit Mix'!$I$29/12</f>
        <v>652129.57186666667</v>
      </c>
      <c r="AQ7" s="105">
        <f>'Unit Mix'!$I$29/12</f>
        <v>652129.57186666667</v>
      </c>
      <c r="AR7" s="105">
        <f>'Unit Mix'!$I$29/12</f>
        <v>652129.57186666667</v>
      </c>
      <c r="AS7" s="105">
        <f>'Unit Mix'!$I$29/12</f>
        <v>652129.57186666667</v>
      </c>
      <c r="AT7" s="105">
        <f>'Unit Mix'!$I$29/12</f>
        <v>652129.57186666667</v>
      </c>
      <c r="AU7" s="105">
        <f>'Unit Mix'!$I$29/12</f>
        <v>652129.57186666667</v>
      </c>
      <c r="AV7" s="105">
        <f>'Unit Mix'!$I$29/12</f>
        <v>652129.57186666667</v>
      </c>
      <c r="AW7" s="105">
        <f>'Unit Mix'!$I$29/12</f>
        <v>652129.57186666667</v>
      </c>
      <c r="AX7" s="105">
        <f>'Unit Mix'!$I$29/12</f>
        <v>652129.57186666667</v>
      </c>
      <c r="AY7" s="105">
        <f>'Unit Mix'!$I$29/12</f>
        <v>652129.57186666667</v>
      </c>
      <c r="AZ7" s="105">
        <f>'Unit Mix'!$K$29/12</f>
        <v>671693.45902266679</v>
      </c>
      <c r="BA7" s="105">
        <f>'Unit Mix'!$K$29/12</f>
        <v>671693.45902266679</v>
      </c>
      <c r="BB7" s="105">
        <f>'Unit Mix'!$K$29/12</f>
        <v>671693.45902266679</v>
      </c>
      <c r="BC7" s="105">
        <f>'Unit Mix'!$K$29/12</f>
        <v>671693.45902266679</v>
      </c>
      <c r="BD7" s="105">
        <f>'Unit Mix'!$K$29/12</f>
        <v>671693.45902266679</v>
      </c>
      <c r="BE7" s="105">
        <f>'Unit Mix'!$K$29/12</f>
        <v>671693.45902266679</v>
      </c>
      <c r="BF7" s="105">
        <f>'Unit Mix'!$K$29/12</f>
        <v>671693.45902266679</v>
      </c>
      <c r="BG7" s="105">
        <f>'Unit Mix'!$K$29/12</f>
        <v>671693.45902266679</v>
      </c>
      <c r="BH7" s="105">
        <f>'Unit Mix'!$K$29/12</f>
        <v>671693.45902266679</v>
      </c>
      <c r="BI7" s="105">
        <f>'Unit Mix'!$K$29/12</f>
        <v>671693.45902266679</v>
      </c>
      <c r="BJ7" s="105">
        <f>'Unit Mix'!$K$29/12</f>
        <v>671693.45902266679</v>
      </c>
      <c r="BK7" s="105">
        <f>'Unit Mix'!$K$29/12</f>
        <v>671693.45902266679</v>
      </c>
      <c r="BL7" s="105">
        <f>'Unit Mix'!$M$29/12</f>
        <v>691844.26279334677</v>
      </c>
      <c r="BM7" s="105">
        <f>'Unit Mix'!$M$29/12</f>
        <v>691844.26279334677</v>
      </c>
      <c r="BN7" s="105">
        <f>'Unit Mix'!$M$29/12</f>
        <v>691844.26279334677</v>
      </c>
      <c r="BO7" s="105">
        <f>'Unit Mix'!$M$29/12</f>
        <v>691844.26279334677</v>
      </c>
      <c r="BP7" s="105">
        <f>'Unit Mix'!$M$29/12</f>
        <v>691844.26279334677</v>
      </c>
      <c r="BQ7" s="105">
        <f>'Unit Mix'!$M$29/12</f>
        <v>691844.26279334677</v>
      </c>
      <c r="BR7" s="105">
        <f>'Unit Mix'!$M$29/12</f>
        <v>691844.26279334677</v>
      </c>
      <c r="BS7" s="105">
        <f>'Unit Mix'!$M$29/12</f>
        <v>691844.26279334677</v>
      </c>
      <c r="BT7" s="105">
        <f>'Unit Mix'!$M$29/12</f>
        <v>691844.26279334677</v>
      </c>
      <c r="BU7" s="105">
        <f>'Unit Mix'!$M$29/12</f>
        <v>691844.26279334677</v>
      </c>
      <c r="BV7" s="105">
        <f>'Unit Mix'!$M$29/12</f>
        <v>691844.26279334677</v>
      </c>
      <c r="BW7" s="105">
        <f>'Unit Mix'!$M$29/12</f>
        <v>691844.26279334677</v>
      </c>
      <c r="BX7" s="105">
        <f>('Unit Mix'!$M$29/12)*1.03</f>
        <v>712599.59067714715</v>
      </c>
      <c r="BY7" s="105">
        <f>('Unit Mix'!$M$29/12)*1.03</f>
        <v>712599.59067714715</v>
      </c>
      <c r="BZ7" s="105">
        <f>('Unit Mix'!$M$29/12)*1.03</f>
        <v>712599.59067714715</v>
      </c>
      <c r="CA7" s="105">
        <f>('Unit Mix'!$M$29/12)*1.03</f>
        <v>712599.59067714715</v>
      </c>
      <c r="CB7" s="105">
        <f>('Unit Mix'!$M$29/12)*1.03</f>
        <v>712599.59067714715</v>
      </c>
      <c r="CC7" s="105">
        <f>('Unit Mix'!$M$29/12)*1.03</f>
        <v>712599.59067714715</v>
      </c>
      <c r="CD7" s="105">
        <f>('Unit Mix'!$M$29/12)*1.03</f>
        <v>712599.59067714715</v>
      </c>
      <c r="CE7" s="105">
        <f>('Unit Mix'!$M$29/12)*1.03</f>
        <v>712599.59067714715</v>
      </c>
      <c r="CF7" s="105">
        <f>('Unit Mix'!$M$29/12)*1.03</f>
        <v>712599.59067714715</v>
      </c>
      <c r="CG7" s="105">
        <f>('Unit Mix'!$M$29/12)*1.03</f>
        <v>712599.59067714715</v>
      </c>
      <c r="CH7" s="105">
        <f>('Unit Mix'!$M$29/12)*1.03</f>
        <v>712599.59067714715</v>
      </c>
      <c r="CI7" s="105">
        <f>('Unit Mix'!$M$29/12)*1.03</f>
        <v>712599.59067714715</v>
      </c>
      <c r="CJ7" s="105">
        <f>('Unit Mix'!$M$29/12)*1.03</f>
        <v>712599.59067714715</v>
      </c>
      <c r="CK7" s="105">
        <f>('Unit Mix'!$M$29/12)*1.03</f>
        <v>712599.59067714715</v>
      </c>
      <c r="CL7" s="105">
        <f>('Unit Mix'!$M$29/12)*1.03</f>
        <v>712599.59067714715</v>
      </c>
      <c r="CM7" s="105">
        <f>('Unit Mix'!$M$29/12)*1.03</f>
        <v>712599.59067714715</v>
      </c>
      <c r="CN7" s="105">
        <f>('Unit Mix'!$M$29/12)*1.03</f>
        <v>712599.59067714715</v>
      </c>
      <c r="CO7" s="105">
        <f>('Unit Mix'!$M$29/12)*1.03</f>
        <v>712599.59067714715</v>
      </c>
      <c r="CP7" s="105">
        <f>('Unit Mix'!$M$29/12)*1.03</f>
        <v>712599.59067714715</v>
      </c>
    </row>
    <row r="8" spans="2:94">
      <c r="B8" s="74" t="str">
        <f>'Year-1 Proforma'!B6</f>
        <v>Vacancy Loss</v>
      </c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105">
        <f>-(1-P4)*P7</f>
        <v>-33808.206666666694</v>
      </c>
      <c r="Q8" s="105">
        <f t="shared" ref="Q8:BJ8" si="14">-(1-Q4)*Q7</f>
        <v>-33808.206666666694</v>
      </c>
      <c r="R8" s="105">
        <f t="shared" si="14"/>
        <v>-33808.206666666694</v>
      </c>
      <c r="S8" s="105">
        <f t="shared" si="14"/>
        <v>-33808.206666666694</v>
      </c>
      <c r="T8" s="105">
        <f t="shared" si="14"/>
        <v>-33808.206666666694</v>
      </c>
      <c r="U8" s="105">
        <f t="shared" si="14"/>
        <v>-33808.206666666694</v>
      </c>
      <c r="V8" s="105">
        <f t="shared" si="14"/>
        <v>-33808.206666666694</v>
      </c>
      <c r="W8" s="105">
        <f t="shared" si="14"/>
        <v>-33808.206666666694</v>
      </c>
      <c r="X8" s="105">
        <f t="shared" si="14"/>
        <v>-33808.206666666694</v>
      </c>
      <c r="Y8" s="105">
        <f t="shared" si="14"/>
        <v>-33808.206666666694</v>
      </c>
      <c r="Z8" s="105">
        <f t="shared" si="14"/>
        <v>-33808.206666666694</v>
      </c>
      <c r="AA8" s="105">
        <f t="shared" si="14"/>
        <v>-33808.206666666694</v>
      </c>
      <c r="AB8" s="105">
        <f t="shared" si="14"/>
        <v>-34822.452866666703</v>
      </c>
      <c r="AC8" s="105">
        <f t="shared" si="14"/>
        <v>-34822.452866666703</v>
      </c>
      <c r="AD8" s="105">
        <f>-(1-AD4)*AD7</f>
        <v>-34822.452866666703</v>
      </c>
      <c r="AE8" s="105">
        <f t="shared" si="14"/>
        <v>-34822.452866666703</v>
      </c>
      <c r="AF8" s="105">
        <f t="shared" si="14"/>
        <v>-34822.452866666703</v>
      </c>
      <c r="AG8" s="105">
        <f t="shared" si="14"/>
        <v>-34822.452866666703</v>
      </c>
      <c r="AH8" s="105">
        <f t="shared" si="14"/>
        <v>-34822.452866666703</v>
      </c>
      <c r="AI8" s="105">
        <f t="shared" si="14"/>
        <v>-34822.452866666703</v>
      </c>
      <c r="AJ8" s="105">
        <f t="shared" si="14"/>
        <v>-34822.452866666703</v>
      </c>
      <c r="AK8" s="105">
        <f t="shared" si="14"/>
        <v>-34822.452866666703</v>
      </c>
      <c r="AL8" s="105">
        <f t="shared" si="14"/>
        <v>-34822.452866666703</v>
      </c>
      <c r="AM8" s="105">
        <f t="shared" si="14"/>
        <v>-34822.452866666703</v>
      </c>
      <c r="AN8" s="105">
        <f t="shared" si="14"/>
        <v>-35867.1264526667</v>
      </c>
      <c r="AO8" s="105">
        <f t="shared" si="14"/>
        <v>-35867.1264526667</v>
      </c>
      <c r="AP8" s="105">
        <f t="shared" si="14"/>
        <v>-35867.1264526667</v>
      </c>
      <c r="AQ8" s="105">
        <f t="shared" si="14"/>
        <v>-35867.1264526667</v>
      </c>
      <c r="AR8" s="105">
        <f t="shared" si="14"/>
        <v>-35867.1264526667</v>
      </c>
      <c r="AS8" s="105">
        <f t="shared" si="14"/>
        <v>-35867.1264526667</v>
      </c>
      <c r="AT8" s="105">
        <f t="shared" si="14"/>
        <v>-35867.1264526667</v>
      </c>
      <c r="AU8" s="105">
        <f t="shared" si="14"/>
        <v>-35867.1264526667</v>
      </c>
      <c r="AV8" s="105">
        <f t="shared" si="14"/>
        <v>-35867.1264526667</v>
      </c>
      <c r="AW8" s="105">
        <f t="shared" si="14"/>
        <v>-35867.1264526667</v>
      </c>
      <c r="AX8" s="105">
        <f t="shared" si="14"/>
        <v>-35867.1264526667</v>
      </c>
      <c r="AY8" s="105">
        <f t="shared" si="14"/>
        <v>-35867.1264526667</v>
      </c>
      <c r="AZ8" s="105">
        <f t="shared" si="14"/>
        <v>-36943.140246246709</v>
      </c>
      <c r="BA8" s="105">
        <f t="shared" si="14"/>
        <v>-36943.140246246709</v>
      </c>
      <c r="BB8" s="105">
        <f t="shared" si="14"/>
        <v>-36943.140246246709</v>
      </c>
      <c r="BC8" s="105">
        <f t="shared" si="14"/>
        <v>-36943.140246246709</v>
      </c>
      <c r="BD8" s="105">
        <f t="shared" si="14"/>
        <v>-36943.140246246709</v>
      </c>
      <c r="BE8" s="105">
        <f t="shared" si="14"/>
        <v>-36943.140246246709</v>
      </c>
      <c r="BF8" s="105">
        <f t="shared" si="14"/>
        <v>-36943.140246246709</v>
      </c>
      <c r="BG8" s="105">
        <f t="shared" si="14"/>
        <v>-36943.140246246709</v>
      </c>
      <c r="BH8" s="105">
        <f t="shared" si="14"/>
        <v>-36943.140246246709</v>
      </c>
      <c r="BI8" s="105">
        <f t="shared" si="14"/>
        <v>-36943.140246246709</v>
      </c>
      <c r="BJ8" s="105">
        <f t="shared" si="14"/>
        <v>-36943.140246246709</v>
      </c>
      <c r="BK8" s="105">
        <f>-(1-BK4)*BK7</f>
        <v>-36943.140246246709</v>
      </c>
      <c r="BL8" s="105">
        <f t="shared" ref="BL8:BW8" si="15">-(1-BL4)*BL7</f>
        <v>-38051.434453634109</v>
      </c>
      <c r="BM8" s="105">
        <f t="shared" si="15"/>
        <v>-38051.434453634109</v>
      </c>
      <c r="BN8" s="105">
        <f t="shared" si="15"/>
        <v>-38051.434453634109</v>
      </c>
      <c r="BO8" s="105">
        <f t="shared" si="15"/>
        <v>-38051.434453634109</v>
      </c>
      <c r="BP8" s="105">
        <f t="shared" si="15"/>
        <v>-38051.434453634109</v>
      </c>
      <c r="BQ8" s="105">
        <f t="shared" si="15"/>
        <v>-38051.434453634109</v>
      </c>
      <c r="BR8" s="105">
        <f t="shared" si="15"/>
        <v>-38051.434453634109</v>
      </c>
      <c r="BS8" s="105">
        <f t="shared" si="15"/>
        <v>-38051.434453634109</v>
      </c>
      <c r="BT8" s="105">
        <f t="shared" si="15"/>
        <v>-38051.434453634109</v>
      </c>
      <c r="BU8" s="105">
        <f t="shared" si="15"/>
        <v>-38051.434453634109</v>
      </c>
      <c r="BV8" s="105">
        <f t="shared" si="15"/>
        <v>-38051.434453634109</v>
      </c>
      <c r="BW8" s="105">
        <f t="shared" si="15"/>
        <v>-38051.434453634109</v>
      </c>
      <c r="BX8" s="105">
        <f t="shared" ref="BX8:CP8" si="16">-(1-BX4)*BX7</f>
        <v>-39192.97748724313</v>
      </c>
      <c r="BY8" s="105">
        <f t="shared" si="16"/>
        <v>-39192.97748724313</v>
      </c>
      <c r="BZ8" s="105">
        <f t="shared" si="16"/>
        <v>-39192.97748724313</v>
      </c>
      <c r="CA8" s="105">
        <f t="shared" si="16"/>
        <v>-39192.97748724313</v>
      </c>
      <c r="CB8" s="105">
        <f t="shared" si="16"/>
        <v>-39192.97748724313</v>
      </c>
      <c r="CC8" s="105">
        <f t="shared" si="16"/>
        <v>-39192.97748724313</v>
      </c>
      <c r="CD8" s="105">
        <f t="shared" si="16"/>
        <v>-39192.97748724313</v>
      </c>
      <c r="CE8" s="105">
        <f t="shared" si="16"/>
        <v>-39192.97748724313</v>
      </c>
      <c r="CF8" s="105">
        <f t="shared" si="16"/>
        <v>-39192.97748724313</v>
      </c>
      <c r="CG8" s="105">
        <f t="shared" si="16"/>
        <v>-39192.97748724313</v>
      </c>
      <c r="CH8" s="105">
        <f t="shared" si="16"/>
        <v>-39192.97748724313</v>
      </c>
      <c r="CI8" s="105">
        <f t="shared" si="16"/>
        <v>-39192.97748724313</v>
      </c>
      <c r="CJ8" s="105">
        <f t="shared" si="16"/>
        <v>-39192.97748724313</v>
      </c>
      <c r="CK8" s="105">
        <f t="shared" si="16"/>
        <v>-39192.97748724313</v>
      </c>
      <c r="CL8" s="105">
        <f t="shared" si="16"/>
        <v>-39192.97748724313</v>
      </c>
      <c r="CM8" s="105">
        <f t="shared" si="16"/>
        <v>-39192.97748724313</v>
      </c>
      <c r="CN8" s="105">
        <f t="shared" si="16"/>
        <v>-39192.97748724313</v>
      </c>
      <c r="CO8" s="105">
        <f t="shared" si="16"/>
        <v>-39192.97748724313</v>
      </c>
      <c r="CP8" s="105">
        <f t="shared" si="16"/>
        <v>-39192.97748724313</v>
      </c>
    </row>
    <row r="9" spans="2:94">
      <c r="B9" s="74" t="str">
        <f>'Year-1 Proforma'!B7</f>
        <v>Rent Concessions</v>
      </c>
      <c r="C9" s="74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74"/>
      <c r="P9" s="105">
        <f>-(Dashboard!$I27*'Monthly CF''s'!P$7)</f>
        <v>-6146.9466666666667</v>
      </c>
      <c r="Q9" s="105">
        <f>-(Dashboard!$I27*'Monthly CF''s'!Q$7)</f>
        <v>-6146.9466666666667</v>
      </c>
      <c r="R9" s="105">
        <f>-(Dashboard!$I27*'Monthly CF''s'!R$7)</f>
        <v>-6146.9466666666667</v>
      </c>
      <c r="S9" s="105">
        <f>-(Dashboard!$I27*'Monthly CF''s'!S$7)</f>
        <v>-6146.9466666666667</v>
      </c>
      <c r="T9" s="105">
        <f>-(Dashboard!$I27*'Monthly CF''s'!T$7)</f>
        <v>-6146.9466666666667</v>
      </c>
      <c r="U9" s="105">
        <f>-(Dashboard!$I27*'Monthly CF''s'!U$7)</f>
        <v>-6146.9466666666667</v>
      </c>
      <c r="V9" s="105">
        <f>-(Dashboard!$I27*'Monthly CF''s'!V$7)</f>
        <v>-6146.9466666666667</v>
      </c>
      <c r="W9" s="105">
        <f>-(Dashboard!$I27*'Monthly CF''s'!W$7)</f>
        <v>-6146.9466666666667</v>
      </c>
      <c r="X9" s="105">
        <f>-(Dashboard!$I27*'Monthly CF''s'!X$7)</f>
        <v>-6146.9466666666667</v>
      </c>
      <c r="Y9" s="105">
        <f>-(Dashboard!$I27*'Monthly CF''s'!Y$7)</f>
        <v>-6146.9466666666667</v>
      </c>
      <c r="Z9" s="105">
        <f>-(Dashboard!$I27*'Monthly CF''s'!Z$7)</f>
        <v>-6146.9466666666667</v>
      </c>
      <c r="AA9" s="105">
        <f>-(Dashboard!$I27*'Monthly CF''s'!AA$7)</f>
        <v>-6146.9466666666667</v>
      </c>
      <c r="AB9" s="105">
        <f>-(Dashboard!$K27*'Monthly CF''s'!AB$7)</f>
        <v>-6331.355066666667</v>
      </c>
      <c r="AC9" s="105">
        <f>-(Dashboard!$K27*'Monthly CF''s'!AC$7)</f>
        <v>-6331.355066666667</v>
      </c>
      <c r="AD9" s="105">
        <f>-(Dashboard!$K27*'Monthly CF''s'!AD$7)</f>
        <v>-6331.355066666667</v>
      </c>
      <c r="AE9" s="105">
        <f>-(Dashboard!$K27*'Monthly CF''s'!AE$7)</f>
        <v>-6331.355066666667</v>
      </c>
      <c r="AF9" s="105">
        <f>-(Dashboard!$K27*'Monthly CF''s'!AF$7)</f>
        <v>-6331.355066666667</v>
      </c>
      <c r="AG9" s="105">
        <f>-(Dashboard!$K27*'Monthly CF''s'!AG$7)</f>
        <v>-6331.355066666667</v>
      </c>
      <c r="AH9" s="105">
        <f>-(Dashboard!$K27*'Monthly CF''s'!AH$7)</f>
        <v>-6331.355066666667</v>
      </c>
      <c r="AI9" s="105">
        <f>-(Dashboard!$K27*'Monthly CF''s'!AI$7)</f>
        <v>-6331.355066666667</v>
      </c>
      <c r="AJ9" s="105">
        <f>-(Dashboard!$K27*'Monthly CF''s'!AJ$7)</f>
        <v>-6331.355066666667</v>
      </c>
      <c r="AK9" s="105">
        <f>-(Dashboard!$K27*'Monthly CF''s'!AK$7)</f>
        <v>-6331.355066666667</v>
      </c>
      <c r="AL9" s="105">
        <f>-(Dashboard!$K27*'Monthly CF''s'!AL$7)</f>
        <v>-6331.355066666667</v>
      </c>
      <c r="AM9" s="105">
        <f>-(Dashboard!$K27*'Monthly CF''s'!AM$7)</f>
        <v>-6331.355066666667</v>
      </c>
      <c r="AN9" s="105">
        <f>-(Dashboard!$M27*'Monthly CF''s'!AN$7)</f>
        <v>-6521.2957186666672</v>
      </c>
      <c r="AO9" s="105">
        <f>-(Dashboard!$M27*'Monthly CF''s'!AO$7)</f>
        <v>-6521.2957186666672</v>
      </c>
      <c r="AP9" s="105">
        <f>-(Dashboard!$M27*'Monthly CF''s'!AP$7)</f>
        <v>-6521.2957186666672</v>
      </c>
      <c r="AQ9" s="105">
        <f>-(Dashboard!$M27*'Monthly CF''s'!AQ$7)</f>
        <v>-6521.2957186666672</v>
      </c>
      <c r="AR9" s="105">
        <f>-(Dashboard!$M27*'Monthly CF''s'!AR$7)</f>
        <v>-6521.2957186666672</v>
      </c>
      <c r="AS9" s="105">
        <f>-(Dashboard!$M27*'Monthly CF''s'!AS$7)</f>
        <v>-6521.2957186666672</v>
      </c>
      <c r="AT9" s="105">
        <f>-(Dashboard!$M27*'Monthly CF''s'!AT$7)</f>
        <v>-6521.2957186666672</v>
      </c>
      <c r="AU9" s="105">
        <f>-(Dashboard!$M27*'Monthly CF''s'!AU$7)</f>
        <v>-6521.2957186666672</v>
      </c>
      <c r="AV9" s="105">
        <f>-(Dashboard!$M27*'Monthly CF''s'!AV$7)</f>
        <v>-6521.2957186666672</v>
      </c>
      <c r="AW9" s="105">
        <f>-(Dashboard!$M27*'Monthly CF''s'!AW$7)</f>
        <v>-6521.2957186666672</v>
      </c>
      <c r="AX9" s="105">
        <f>-(Dashboard!$M27*'Monthly CF''s'!AX$7)</f>
        <v>-6521.2957186666672</v>
      </c>
      <c r="AY9" s="105">
        <f>-(Dashboard!$M27*'Monthly CF''s'!AY$7)</f>
        <v>-6521.2957186666672</v>
      </c>
      <c r="AZ9" s="105">
        <f>-(Dashboard!$O27*'Monthly CF''s'!AZ$7)</f>
        <v>-6716.9345902266678</v>
      </c>
      <c r="BA9" s="105">
        <f>-(Dashboard!$O27*'Monthly CF''s'!BA$7)</f>
        <v>-6716.9345902266678</v>
      </c>
      <c r="BB9" s="105">
        <f>-(Dashboard!$O27*'Monthly CF''s'!BB$7)</f>
        <v>-6716.9345902266678</v>
      </c>
      <c r="BC9" s="105">
        <f>-(Dashboard!$O27*'Monthly CF''s'!BC$7)</f>
        <v>-6716.9345902266678</v>
      </c>
      <c r="BD9" s="105">
        <f>-(Dashboard!$O27*'Monthly CF''s'!BD$7)</f>
        <v>-6716.9345902266678</v>
      </c>
      <c r="BE9" s="105">
        <f>-(Dashboard!$O27*'Monthly CF''s'!BE$7)</f>
        <v>-6716.9345902266678</v>
      </c>
      <c r="BF9" s="105">
        <f>-(Dashboard!$O27*'Monthly CF''s'!BF$7)</f>
        <v>-6716.9345902266678</v>
      </c>
      <c r="BG9" s="105">
        <f>-(Dashboard!$O27*'Monthly CF''s'!BG$7)</f>
        <v>-6716.9345902266678</v>
      </c>
      <c r="BH9" s="105">
        <f>-(Dashboard!$O27*'Monthly CF''s'!BH$7)</f>
        <v>-6716.9345902266678</v>
      </c>
      <c r="BI9" s="105">
        <f>-(Dashboard!$O27*'Monthly CF''s'!BI$7)</f>
        <v>-6716.9345902266678</v>
      </c>
      <c r="BJ9" s="105">
        <f>-(Dashboard!$O27*'Monthly CF''s'!BJ$7)</f>
        <v>-6716.9345902266678</v>
      </c>
      <c r="BK9" s="105">
        <f>-(Dashboard!$O27*'Monthly CF''s'!BK$7)</f>
        <v>-6716.9345902266678</v>
      </c>
      <c r="BL9" s="105">
        <f>-(Dashboard!$Q27*'Monthly CF''s'!BL$7)</f>
        <v>-6918.4426279334675</v>
      </c>
      <c r="BM9" s="105">
        <f>-(Dashboard!$Q27*'Monthly CF''s'!BM$7)</f>
        <v>-6918.4426279334675</v>
      </c>
      <c r="BN9" s="105">
        <f>-(Dashboard!$Q27*'Monthly CF''s'!BN$7)</f>
        <v>-6918.4426279334675</v>
      </c>
      <c r="BO9" s="105">
        <f>-(Dashboard!$Q27*'Monthly CF''s'!BO$7)</f>
        <v>-6918.4426279334675</v>
      </c>
      <c r="BP9" s="105">
        <f>-(Dashboard!$Q27*'Monthly CF''s'!BP$7)</f>
        <v>-6918.4426279334675</v>
      </c>
      <c r="BQ9" s="105">
        <f>-(Dashboard!$Q27*'Monthly CF''s'!BQ$7)</f>
        <v>-6918.4426279334675</v>
      </c>
      <c r="BR9" s="105">
        <f>-(Dashboard!$Q27*'Monthly CF''s'!BR$7)</f>
        <v>-6918.4426279334675</v>
      </c>
      <c r="BS9" s="105">
        <f>-(Dashboard!$Q27*'Monthly CF''s'!BS$7)</f>
        <v>-6918.4426279334675</v>
      </c>
      <c r="BT9" s="105">
        <f>-(Dashboard!$Q27*'Monthly CF''s'!BT$7)</f>
        <v>-6918.4426279334675</v>
      </c>
      <c r="BU9" s="105">
        <f>-(Dashboard!$Q27*'Monthly CF''s'!BU$7)</f>
        <v>-6918.4426279334675</v>
      </c>
      <c r="BV9" s="105">
        <f>-(Dashboard!$Q27*'Monthly CF''s'!BV$7)</f>
        <v>-6918.4426279334675</v>
      </c>
      <c r="BW9" s="105">
        <f>-(Dashboard!$Q27*'Monthly CF''s'!BW$7)</f>
        <v>-6918.4426279334675</v>
      </c>
      <c r="BX9" s="105">
        <f>-(Dashboard!$Q27*'Monthly CF''s'!BX$7)</f>
        <v>-7125.9959067714717</v>
      </c>
      <c r="BY9" s="105">
        <f>-(Dashboard!$Q27*'Monthly CF''s'!BY$7)</f>
        <v>-7125.9959067714717</v>
      </c>
      <c r="BZ9" s="105">
        <f>-(Dashboard!$Q27*'Monthly CF''s'!BZ$7)</f>
        <v>-7125.9959067714717</v>
      </c>
      <c r="CA9" s="105">
        <f>-(Dashboard!$Q27*'Monthly CF''s'!CA$7)</f>
        <v>-7125.9959067714717</v>
      </c>
      <c r="CB9" s="105">
        <f>-(Dashboard!$Q27*'Monthly CF''s'!CB$7)</f>
        <v>-7125.9959067714717</v>
      </c>
      <c r="CC9" s="105">
        <f>-(Dashboard!$Q27*'Monthly CF''s'!CC$7)</f>
        <v>-7125.9959067714717</v>
      </c>
      <c r="CD9" s="105">
        <f>-(Dashboard!$Q27*'Monthly CF''s'!CD$7)</f>
        <v>-7125.9959067714717</v>
      </c>
      <c r="CE9" s="105">
        <f>-(Dashboard!$Q27*'Monthly CF''s'!CE$7)</f>
        <v>-7125.9959067714717</v>
      </c>
      <c r="CF9" s="105">
        <f>-(Dashboard!$Q27*'Monthly CF''s'!CF$7)</f>
        <v>-7125.9959067714717</v>
      </c>
      <c r="CG9" s="105">
        <f>-(Dashboard!$Q27*'Monthly CF''s'!CG$7)</f>
        <v>-7125.9959067714717</v>
      </c>
      <c r="CH9" s="105">
        <f>-(Dashboard!$Q27*'Monthly CF''s'!CH$7)</f>
        <v>-7125.9959067714717</v>
      </c>
      <c r="CI9" s="105">
        <f>-(Dashboard!$Q27*'Monthly CF''s'!CI$7)</f>
        <v>-7125.9959067714717</v>
      </c>
      <c r="CJ9" s="105">
        <f>-(Dashboard!$Q27*'Monthly CF''s'!CJ$7)</f>
        <v>-7125.9959067714717</v>
      </c>
      <c r="CK9" s="105">
        <f>-(Dashboard!$Q27*'Monthly CF''s'!CK$7)</f>
        <v>-7125.9959067714717</v>
      </c>
      <c r="CL9" s="105">
        <f>-(Dashboard!$Q27*'Monthly CF''s'!CL$7)</f>
        <v>-7125.9959067714717</v>
      </c>
      <c r="CM9" s="105">
        <f>-(Dashboard!$Q27*'Monthly CF''s'!CM$7)</f>
        <v>-7125.9959067714717</v>
      </c>
      <c r="CN9" s="105">
        <f>-(Dashboard!$Q27*'Monthly CF''s'!CN$7)</f>
        <v>-7125.9959067714717</v>
      </c>
      <c r="CO9" s="105">
        <f>-(Dashboard!$Q27*'Monthly CF''s'!CO$7)</f>
        <v>-7125.9959067714717</v>
      </c>
      <c r="CP9" s="105">
        <f>-(Dashboard!$Q27*'Monthly CF''s'!CP$7)</f>
        <v>-7125.9959067714717</v>
      </c>
    </row>
    <row r="10" spans="2:94">
      <c r="B10" s="74" t="str">
        <f>'Year-1 Proforma'!B8</f>
        <v>Non-Revenue Units</v>
      </c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105">
        <f>-(Dashboard!$I28*'Monthly CF''s'!P$7)</f>
        <v>-3073.4733333333334</v>
      </c>
      <c r="Q10" s="105">
        <f>-(Dashboard!$I28*'Monthly CF''s'!Q$7)</f>
        <v>-3073.4733333333334</v>
      </c>
      <c r="R10" s="105">
        <f>-(Dashboard!$I28*'Monthly CF''s'!R$7)</f>
        <v>-3073.4733333333334</v>
      </c>
      <c r="S10" s="105">
        <f>-(Dashboard!$I28*'Monthly CF''s'!S$7)</f>
        <v>-3073.4733333333334</v>
      </c>
      <c r="T10" s="105">
        <f>-(Dashboard!$I28*'Monthly CF''s'!T$7)</f>
        <v>-3073.4733333333334</v>
      </c>
      <c r="U10" s="105">
        <f>-(Dashboard!$I28*'Monthly CF''s'!U$7)</f>
        <v>-3073.4733333333334</v>
      </c>
      <c r="V10" s="105">
        <f>-(Dashboard!$I28*'Monthly CF''s'!V$7)</f>
        <v>-3073.4733333333334</v>
      </c>
      <c r="W10" s="105">
        <f>-(Dashboard!$I28*'Monthly CF''s'!W$7)</f>
        <v>-3073.4733333333334</v>
      </c>
      <c r="X10" s="105">
        <f>-(Dashboard!$I28*'Monthly CF''s'!X$7)</f>
        <v>-3073.4733333333334</v>
      </c>
      <c r="Y10" s="105">
        <f>-(Dashboard!$I28*'Monthly CF''s'!Y$7)</f>
        <v>-3073.4733333333334</v>
      </c>
      <c r="Z10" s="105">
        <f>-(Dashboard!$I28*'Monthly CF''s'!Z$7)</f>
        <v>-3073.4733333333334</v>
      </c>
      <c r="AA10" s="105">
        <f>-(Dashboard!$I28*'Monthly CF''s'!AA$7)</f>
        <v>-3073.4733333333334</v>
      </c>
      <c r="AB10" s="105">
        <f>-(Dashboard!$K28*'Monthly CF''s'!AB$7)</f>
        <v>-3165.6775333333335</v>
      </c>
      <c r="AC10" s="105">
        <f>-(Dashboard!$K28*'Monthly CF''s'!AC$7)</f>
        <v>-3165.6775333333335</v>
      </c>
      <c r="AD10" s="105">
        <f>-(Dashboard!$K28*'Monthly CF''s'!AD$7)</f>
        <v>-3165.6775333333335</v>
      </c>
      <c r="AE10" s="105">
        <f>-(Dashboard!$K28*'Monthly CF''s'!AE$7)</f>
        <v>-3165.6775333333335</v>
      </c>
      <c r="AF10" s="105">
        <f>-(Dashboard!$K28*'Monthly CF''s'!AF$7)</f>
        <v>-3165.6775333333335</v>
      </c>
      <c r="AG10" s="105">
        <f>-(Dashboard!$K28*'Monthly CF''s'!AG$7)</f>
        <v>-3165.6775333333335</v>
      </c>
      <c r="AH10" s="105">
        <f>-(Dashboard!$K28*'Monthly CF''s'!AH$7)</f>
        <v>-3165.6775333333335</v>
      </c>
      <c r="AI10" s="105">
        <f>-(Dashboard!$K28*'Monthly CF''s'!AI$7)</f>
        <v>-3165.6775333333335</v>
      </c>
      <c r="AJ10" s="105">
        <f>-(Dashboard!$K28*'Monthly CF''s'!AJ$7)</f>
        <v>-3165.6775333333335</v>
      </c>
      <c r="AK10" s="105">
        <f>-(Dashboard!$K28*'Monthly CF''s'!AK$7)</f>
        <v>-3165.6775333333335</v>
      </c>
      <c r="AL10" s="105">
        <f>-(Dashboard!$K28*'Monthly CF''s'!AL$7)</f>
        <v>-3165.6775333333335</v>
      </c>
      <c r="AM10" s="105">
        <f>-(Dashboard!$K28*'Monthly CF''s'!AM$7)</f>
        <v>-3165.6775333333335</v>
      </c>
      <c r="AN10" s="105">
        <f>-(Dashboard!$M28*'Monthly CF''s'!AN$7)</f>
        <v>-3260.6478593333336</v>
      </c>
      <c r="AO10" s="105">
        <f>-(Dashboard!$M28*'Monthly CF''s'!AO$7)</f>
        <v>-3260.6478593333336</v>
      </c>
      <c r="AP10" s="105">
        <f>-(Dashboard!$M28*'Monthly CF''s'!AP$7)</f>
        <v>-3260.6478593333336</v>
      </c>
      <c r="AQ10" s="105">
        <f>-(Dashboard!$M28*'Monthly CF''s'!AQ$7)</f>
        <v>-3260.6478593333336</v>
      </c>
      <c r="AR10" s="105">
        <f>-(Dashboard!$M28*'Monthly CF''s'!AR$7)</f>
        <v>-3260.6478593333336</v>
      </c>
      <c r="AS10" s="105">
        <f>-(Dashboard!$M28*'Monthly CF''s'!AS$7)</f>
        <v>-3260.6478593333336</v>
      </c>
      <c r="AT10" s="105">
        <f>-(Dashboard!$M28*'Monthly CF''s'!AT$7)</f>
        <v>-3260.6478593333336</v>
      </c>
      <c r="AU10" s="105">
        <f>-(Dashboard!$M28*'Monthly CF''s'!AU$7)</f>
        <v>-3260.6478593333336</v>
      </c>
      <c r="AV10" s="105">
        <f>-(Dashboard!$M28*'Monthly CF''s'!AV$7)</f>
        <v>-3260.6478593333336</v>
      </c>
      <c r="AW10" s="105">
        <f>-(Dashboard!$M28*'Monthly CF''s'!AW$7)</f>
        <v>-3260.6478593333336</v>
      </c>
      <c r="AX10" s="105">
        <f>-(Dashboard!$M28*'Monthly CF''s'!AX$7)</f>
        <v>-3260.6478593333336</v>
      </c>
      <c r="AY10" s="105">
        <f>-(Dashboard!$M28*'Monthly CF''s'!AY$7)</f>
        <v>-3260.6478593333336</v>
      </c>
      <c r="AZ10" s="105">
        <f>-(Dashboard!$O28*'Monthly CF''s'!AZ$7)</f>
        <v>-3358.4672951133339</v>
      </c>
      <c r="BA10" s="105">
        <f>-(Dashboard!$O28*'Monthly CF''s'!BA$7)</f>
        <v>-3358.4672951133339</v>
      </c>
      <c r="BB10" s="105">
        <f>-(Dashboard!$O28*'Monthly CF''s'!BB$7)</f>
        <v>-3358.4672951133339</v>
      </c>
      <c r="BC10" s="105">
        <f>-(Dashboard!$O28*'Monthly CF''s'!BC$7)</f>
        <v>-3358.4672951133339</v>
      </c>
      <c r="BD10" s="105">
        <f>-(Dashboard!$O28*'Monthly CF''s'!BD$7)</f>
        <v>-3358.4672951133339</v>
      </c>
      <c r="BE10" s="105">
        <f>-(Dashboard!$O28*'Monthly CF''s'!BE$7)</f>
        <v>-3358.4672951133339</v>
      </c>
      <c r="BF10" s="105">
        <f>-(Dashboard!$O28*'Monthly CF''s'!BF$7)</f>
        <v>-3358.4672951133339</v>
      </c>
      <c r="BG10" s="105">
        <f>-(Dashboard!$O28*'Monthly CF''s'!BG$7)</f>
        <v>-3358.4672951133339</v>
      </c>
      <c r="BH10" s="105">
        <f>-(Dashboard!$O28*'Monthly CF''s'!BH$7)</f>
        <v>-3358.4672951133339</v>
      </c>
      <c r="BI10" s="105">
        <f>-(Dashboard!$O28*'Monthly CF''s'!BI$7)</f>
        <v>-3358.4672951133339</v>
      </c>
      <c r="BJ10" s="105">
        <f>-(Dashboard!$O28*'Monthly CF''s'!BJ$7)</f>
        <v>-3358.4672951133339</v>
      </c>
      <c r="BK10" s="105">
        <f>-(Dashboard!$O28*'Monthly CF''s'!BK$7)</f>
        <v>-3358.4672951133339</v>
      </c>
      <c r="BL10" s="105">
        <f>-(Dashboard!$Q28*'Monthly CF''s'!BL$7)</f>
        <v>-3459.2213139667338</v>
      </c>
      <c r="BM10" s="105">
        <f>-(Dashboard!$Q28*'Monthly CF''s'!BM$7)</f>
        <v>-3459.2213139667338</v>
      </c>
      <c r="BN10" s="105">
        <f>-(Dashboard!$Q28*'Monthly CF''s'!BN$7)</f>
        <v>-3459.2213139667338</v>
      </c>
      <c r="BO10" s="105">
        <f>-(Dashboard!$Q28*'Monthly CF''s'!BO$7)</f>
        <v>-3459.2213139667338</v>
      </c>
      <c r="BP10" s="105">
        <f>-(Dashboard!$Q28*'Monthly CF''s'!BP$7)</f>
        <v>-3459.2213139667338</v>
      </c>
      <c r="BQ10" s="105">
        <f>-(Dashboard!$Q28*'Monthly CF''s'!BQ$7)</f>
        <v>-3459.2213139667338</v>
      </c>
      <c r="BR10" s="105">
        <f>-(Dashboard!$Q28*'Monthly CF''s'!BR$7)</f>
        <v>-3459.2213139667338</v>
      </c>
      <c r="BS10" s="105">
        <f>-(Dashboard!$Q28*'Monthly CF''s'!BS$7)</f>
        <v>-3459.2213139667338</v>
      </c>
      <c r="BT10" s="105">
        <f>-(Dashboard!$Q28*'Monthly CF''s'!BT$7)</f>
        <v>-3459.2213139667338</v>
      </c>
      <c r="BU10" s="105">
        <f>-(Dashboard!$Q28*'Monthly CF''s'!BU$7)</f>
        <v>-3459.2213139667338</v>
      </c>
      <c r="BV10" s="105">
        <f>-(Dashboard!$Q28*'Monthly CF''s'!BV$7)</f>
        <v>-3459.2213139667338</v>
      </c>
      <c r="BW10" s="105">
        <f>-(Dashboard!$Q28*'Monthly CF''s'!BW$7)</f>
        <v>-3459.2213139667338</v>
      </c>
      <c r="BX10" s="105">
        <f>-(Dashboard!$Q28*'Monthly CF''s'!BX$7)</f>
        <v>-3562.9979533857359</v>
      </c>
      <c r="BY10" s="105">
        <f>-(Dashboard!$Q28*'Monthly CF''s'!BY$7)</f>
        <v>-3562.9979533857359</v>
      </c>
      <c r="BZ10" s="105">
        <f>-(Dashboard!$Q28*'Monthly CF''s'!BZ$7)</f>
        <v>-3562.9979533857359</v>
      </c>
      <c r="CA10" s="105">
        <f>-(Dashboard!$Q28*'Monthly CF''s'!CA$7)</f>
        <v>-3562.9979533857359</v>
      </c>
      <c r="CB10" s="105">
        <f>-(Dashboard!$Q28*'Monthly CF''s'!CB$7)</f>
        <v>-3562.9979533857359</v>
      </c>
      <c r="CC10" s="105">
        <f>-(Dashboard!$Q28*'Monthly CF''s'!CC$7)</f>
        <v>-3562.9979533857359</v>
      </c>
      <c r="CD10" s="105">
        <f>-(Dashboard!$Q28*'Monthly CF''s'!CD$7)</f>
        <v>-3562.9979533857359</v>
      </c>
      <c r="CE10" s="105">
        <f>-(Dashboard!$Q28*'Monthly CF''s'!CE$7)</f>
        <v>-3562.9979533857359</v>
      </c>
      <c r="CF10" s="105">
        <f>-(Dashboard!$Q28*'Monthly CF''s'!CF$7)</f>
        <v>-3562.9979533857359</v>
      </c>
      <c r="CG10" s="105">
        <f>-(Dashboard!$Q28*'Monthly CF''s'!CG$7)</f>
        <v>-3562.9979533857359</v>
      </c>
      <c r="CH10" s="105">
        <f>-(Dashboard!$Q28*'Monthly CF''s'!CH$7)</f>
        <v>-3562.9979533857359</v>
      </c>
      <c r="CI10" s="105">
        <f>-(Dashboard!$Q28*'Monthly CF''s'!CI$7)</f>
        <v>-3562.9979533857359</v>
      </c>
      <c r="CJ10" s="105">
        <f>-(Dashboard!$Q28*'Monthly CF''s'!CJ$7)</f>
        <v>-3562.9979533857359</v>
      </c>
      <c r="CK10" s="105">
        <f>-(Dashboard!$Q28*'Monthly CF''s'!CK$7)</f>
        <v>-3562.9979533857359</v>
      </c>
      <c r="CL10" s="105">
        <f>-(Dashboard!$Q28*'Monthly CF''s'!CL$7)</f>
        <v>-3562.9979533857359</v>
      </c>
      <c r="CM10" s="105">
        <f>-(Dashboard!$Q28*'Monthly CF''s'!CM$7)</f>
        <v>-3562.9979533857359</v>
      </c>
      <c r="CN10" s="105">
        <f>-(Dashboard!$Q28*'Monthly CF''s'!CN$7)</f>
        <v>-3562.9979533857359</v>
      </c>
      <c r="CO10" s="105">
        <f>-(Dashboard!$Q28*'Monthly CF''s'!CO$7)</f>
        <v>-3562.9979533857359</v>
      </c>
      <c r="CP10" s="105">
        <f>-(Dashboard!$Q28*'Monthly CF''s'!CP$7)</f>
        <v>-3562.9979533857359</v>
      </c>
    </row>
    <row r="11" spans="2:94">
      <c r="B11" s="74" t="str">
        <f>'Year-1 Proforma'!B9</f>
        <v>Credit Loss / Bad Debt</v>
      </c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105">
        <f>-(Dashboard!$I29*'Monthly CF''s'!P$7)</f>
        <v>-7683.6833333333334</v>
      </c>
      <c r="Q11" s="105">
        <f>-(Dashboard!$I29*'Monthly CF''s'!Q$7)</f>
        <v>-7683.6833333333334</v>
      </c>
      <c r="R11" s="105">
        <f>-(Dashboard!$I29*'Monthly CF''s'!R$7)</f>
        <v>-7683.6833333333334</v>
      </c>
      <c r="S11" s="105">
        <f>-(Dashboard!$I29*'Monthly CF''s'!S$7)</f>
        <v>-7683.6833333333334</v>
      </c>
      <c r="T11" s="105">
        <f>-(Dashboard!$I29*'Monthly CF''s'!T$7)</f>
        <v>-7683.6833333333334</v>
      </c>
      <c r="U11" s="105">
        <f>-(Dashboard!$I29*'Monthly CF''s'!U$7)</f>
        <v>-7683.6833333333334</v>
      </c>
      <c r="V11" s="105">
        <f>-(Dashboard!$I29*'Monthly CF''s'!V$7)</f>
        <v>-7683.6833333333334</v>
      </c>
      <c r="W11" s="105">
        <f>-(Dashboard!$I29*'Monthly CF''s'!W$7)</f>
        <v>-7683.6833333333334</v>
      </c>
      <c r="X11" s="105">
        <f>-(Dashboard!$I29*'Monthly CF''s'!X$7)</f>
        <v>-7683.6833333333334</v>
      </c>
      <c r="Y11" s="105">
        <f>-(Dashboard!$I29*'Monthly CF''s'!Y$7)</f>
        <v>-7683.6833333333334</v>
      </c>
      <c r="Z11" s="105">
        <f>-(Dashboard!$I29*'Monthly CF''s'!Z$7)</f>
        <v>-7683.6833333333334</v>
      </c>
      <c r="AA11" s="105">
        <f>-(Dashboard!$I29*'Monthly CF''s'!AA$7)</f>
        <v>-7683.6833333333334</v>
      </c>
      <c r="AB11" s="105">
        <f>-(Dashboard!$K29*'Monthly CF''s'!AB$7)</f>
        <v>-7914.1938333333346</v>
      </c>
      <c r="AC11" s="105">
        <f>-(Dashboard!$K29*'Monthly CF''s'!AC$7)</f>
        <v>-7914.1938333333346</v>
      </c>
      <c r="AD11" s="105">
        <f>-(Dashboard!$K29*'Monthly CF''s'!AD$7)</f>
        <v>-7914.1938333333346</v>
      </c>
      <c r="AE11" s="105">
        <f>-(Dashboard!$K29*'Monthly CF''s'!AE$7)</f>
        <v>-7914.1938333333346</v>
      </c>
      <c r="AF11" s="105">
        <f>-(Dashboard!$K29*'Monthly CF''s'!AF$7)</f>
        <v>-7914.1938333333346</v>
      </c>
      <c r="AG11" s="105">
        <f>-(Dashboard!$K29*'Monthly CF''s'!AG$7)</f>
        <v>-7914.1938333333346</v>
      </c>
      <c r="AH11" s="105">
        <f>-(Dashboard!$K29*'Monthly CF''s'!AH$7)</f>
        <v>-7914.1938333333346</v>
      </c>
      <c r="AI11" s="105">
        <f>-(Dashboard!$K29*'Monthly CF''s'!AI$7)</f>
        <v>-7914.1938333333346</v>
      </c>
      <c r="AJ11" s="105">
        <f>-(Dashboard!$K29*'Monthly CF''s'!AJ$7)</f>
        <v>-7914.1938333333346</v>
      </c>
      <c r="AK11" s="105">
        <f>-(Dashboard!$K29*'Monthly CF''s'!AK$7)</f>
        <v>-7914.1938333333346</v>
      </c>
      <c r="AL11" s="105">
        <f>-(Dashboard!$K29*'Monthly CF''s'!AL$7)</f>
        <v>-7914.1938333333346</v>
      </c>
      <c r="AM11" s="105">
        <f>-(Dashboard!$K29*'Monthly CF''s'!AM$7)</f>
        <v>-7914.1938333333346</v>
      </c>
      <c r="AN11" s="105">
        <f>-(Dashboard!$M29*'Monthly CF''s'!AN$7)</f>
        <v>-8151.6196483333333</v>
      </c>
      <c r="AO11" s="105">
        <f>-(Dashboard!$M29*'Monthly CF''s'!AO$7)</f>
        <v>-8151.6196483333333</v>
      </c>
      <c r="AP11" s="105">
        <f>-(Dashboard!$M29*'Monthly CF''s'!AP$7)</f>
        <v>-8151.6196483333333</v>
      </c>
      <c r="AQ11" s="105">
        <f>-(Dashboard!$M29*'Monthly CF''s'!AQ$7)</f>
        <v>-8151.6196483333333</v>
      </c>
      <c r="AR11" s="105">
        <f>-(Dashboard!$M29*'Monthly CF''s'!AR$7)</f>
        <v>-8151.6196483333333</v>
      </c>
      <c r="AS11" s="105">
        <f>-(Dashboard!$M29*'Monthly CF''s'!AS$7)</f>
        <v>-8151.6196483333333</v>
      </c>
      <c r="AT11" s="105">
        <f>-(Dashboard!$M29*'Monthly CF''s'!AT$7)</f>
        <v>-8151.6196483333333</v>
      </c>
      <c r="AU11" s="105">
        <f>-(Dashboard!$M29*'Monthly CF''s'!AU$7)</f>
        <v>-8151.6196483333333</v>
      </c>
      <c r="AV11" s="105">
        <f>-(Dashboard!$M29*'Monthly CF''s'!AV$7)</f>
        <v>-8151.6196483333333</v>
      </c>
      <c r="AW11" s="105">
        <f>-(Dashboard!$M29*'Monthly CF''s'!AW$7)</f>
        <v>-8151.6196483333333</v>
      </c>
      <c r="AX11" s="105">
        <f>-(Dashboard!$M29*'Monthly CF''s'!AX$7)</f>
        <v>-8151.6196483333333</v>
      </c>
      <c r="AY11" s="105">
        <f>-(Dashboard!$M29*'Monthly CF''s'!AY$7)</f>
        <v>-8151.6196483333333</v>
      </c>
      <c r="AZ11" s="105">
        <f>-(Dashboard!$O29*'Monthly CF''s'!AZ$7)</f>
        <v>-8396.1682377833349</v>
      </c>
      <c r="BA11" s="105">
        <f>-(Dashboard!$O29*'Monthly CF''s'!BA$7)</f>
        <v>-8396.1682377833349</v>
      </c>
      <c r="BB11" s="105">
        <f>-(Dashboard!$O29*'Monthly CF''s'!BB$7)</f>
        <v>-8396.1682377833349</v>
      </c>
      <c r="BC11" s="105">
        <f>-(Dashboard!$O29*'Monthly CF''s'!BC$7)</f>
        <v>-8396.1682377833349</v>
      </c>
      <c r="BD11" s="105">
        <f>-(Dashboard!$O29*'Monthly CF''s'!BD$7)</f>
        <v>-8396.1682377833349</v>
      </c>
      <c r="BE11" s="105">
        <f>-(Dashboard!$O29*'Monthly CF''s'!BE$7)</f>
        <v>-8396.1682377833349</v>
      </c>
      <c r="BF11" s="105">
        <f>-(Dashboard!$O29*'Monthly CF''s'!BF$7)</f>
        <v>-8396.1682377833349</v>
      </c>
      <c r="BG11" s="105">
        <f>-(Dashboard!$O29*'Monthly CF''s'!BG$7)</f>
        <v>-8396.1682377833349</v>
      </c>
      <c r="BH11" s="105">
        <f>-(Dashboard!$O29*'Monthly CF''s'!BH$7)</f>
        <v>-8396.1682377833349</v>
      </c>
      <c r="BI11" s="105">
        <f>-(Dashboard!$O29*'Monthly CF''s'!BI$7)</f>
        <v>-8396.1682377833349</v>
      </c>
      <c r="BJ11" s="105">
        <f>-(Dashboard!$O29*'Monthly CF''s'!BJ$7)</f>
        <v>-8396.1682377833349</v>
      </c>
      <c r="BK11" s="105">
        <f>-(Dashboard!$O29*'Monthly CF''s'!BK$7)</f>
        <v>-8396.1682377833349</v>
      </c>
      <c r="BL11" s="105">
        <f>-(Dashboard!$Q29*'Monthly CF''s'!BL$7)</f>
        <v>-8648.0532849168358</v>
      </c>
      <c r="BM11" s="105">
        <f>-(Dashboard!$Q29*'Monthly CF''s'!BM$7)</f>
        <v>-8648.0532849168358</v>
      </c>
      <c r="BN11" s="105">
        <f>-(Dashboard!$Q29*'Monthly CF''s'!BN$7)</f>
        <v>-8648.0532849168358</v>
      </c>
      <c r="BO11" s="105">
        <f>-(Dashboard!$Q29*'Monthly CF''s'!BO$7)</f>
        <v>-8648.0532849168358</v>
      </c>
      <c r="BP11" s="105">
        <f>-(Dashboard!$Q29*'Monthly CF''s'!BP$7)</f>
        <v>-8648.0532849168358</v>
      </c>
      <c r="BQ11" s="105">
        <f>-(Dashboard!$Q29*'Monthly CF''s'!BQ$7)</f>
        <v>-8648.0532849168358</v>
      </c>
      <c r="BR11" s="105">
        <f>-(Dashboard!$Q29*'Monthly CF''s'!BR$7)</f>
        <v>-8648.0532849168358</v>
      </c>
      <c r="BS11" s="105">
        <f>-(Dashboard!$Q29*'Monthly CF''s'!BS$7)</f>
        <v>-8648.0532849168358</v>
      </c>
      <c r="BT11" s="105">
        <f>-(Dashboard!$Q29*'Monthly CF''s'!BT$7)</f>
        <v>-8648.0532849168358</v>
      </c>
      <c r="BU11" s="105">
        <f>-(Dashboard!$Q29*'Monthly CF''s'!BU$7)</f>
        <v>-8648.0532849168358</v>
      </c>
      <c r="BV11" s="105">
        <f>-(Dashboard!$Q29*'Monthly CF''s'!BV$7)</f>
        <v>-8648.0532849168358</v>
      </c>
      <c r="BW11" s="105">
        <f>-(Dashboard!$Q29*'Monthly CF''s'!BW$7)</f>
        <v>-8648.0532849168358</v>
      </c>
      <c r="BX11" s="105">
        <f>-(Dashboard!$Q29*'Monthly CF''s'!BX$7)</f>
        <v>-8907.4948834643401</v>
      </c>
      <c r="BY11" s="105">
        <f>-(Dashboard!$Q29*'Monthly CF''s'!BY$7)</f>
        <v>-8907.4948834643401</v>
      </c>
      <c r="BZ11" s="105">
        <f>-(Dashboard!$Q29*'Monthly CF''s'!BZ$7)</f>
        <v>-8907.4948834643401</v>
      </c>
      <c r="CA11" s="105">
        <f>-(Dashboard!$Q29*'Monthly CF''s'!CA$7)</f>
        <v>-8907.4948834643401</v>
      </c>
      <c r="CB11" s="105">
        <f>-(Dashboard!$Q29*'Monthly CF''s'!CB$7)</f>
        <v>-8907.4948834643401</v>
      </c>
      <c r="CC11" s="105">
        <f>-(Dashboard!$Q29*'Monthly CF''s'!CC$7)</f>
        <v>-8907.4948834643401</v>
      </c>
      <c r="CD11" s="105">
        <f>-(Dashboard!$Q29*'Monthly CF''s'!CD$7)</f>
        <v>-8907.4948834643401</v>
      </c>
      <c r="CE11" s="105">
        <f>-(Dashboard!$Q29*'Monthly CF''s'!CE$7)</f>
        <v>-8907.4948834643401</v>
      </c>
      <c r="CF11" s="105">
        <f>-(Dashboard!$Q29*'Monthly CF''s'!CF$7)</f>
        <v>-8907.4948834643401</v>
      </c>
      <c r="CG11" s="105">
        <f>-(Dashboard!$Q29*'Monthly CF''s'!CG$7)</f>
        <v>-8907.4948834643401</v>
      </c>
      <c r="CH11" s="105">
        <f>-(Dashboard!$Q29*'Monthly CF''s'!CH$7)</f>
        <v>-8907.4948834643401</v>
      </c>
      <c r="CI11" s="105">
        <f>-(Dashboard!$Q29*'Monthly CF''s'!CI$7)</f>
        <v>-8907.4948834643401</v>
      </c>
      <c r="CJ11" s="105">
        <f>-(Dashboard!$Q29*'Monthly CF''s'!CJ$7)</f>
        <v>-8907.4948834643401</v>
      </c>
      <c r="CK11" s="105">
        <f>-(Dashboard!$Q29*'Monthly CF''s'!CK$7)</f>
        <v>-8907.4948834643401</v>
      </c>
      <c r="CL11" s="105">
        <f>-(Dashboard!$Q29*'Monthly CF''s'!CL$7)</f>
        <v>-8907.4948834643401</v>
      </c>
      <c r="CM11" s="105">
        <f>-(Dashboard!$Q29*'Monthly CF''s'!CM$7)</f>
        <v>-8907.4948834643401</v>
      </c>
      <c r="CN11" s="105">
        <f>-(Dashboard!$Q29*'Monthly CF''s'!CN$7)</f>
        <v>-8907.4948834643401</v>
      </c>
      <c r="CO11" s="105">
        <f>-(Dashboard!$Q29*'Monthly CF''s'!CO$7)</f>
        <v>-8907.4948834643401</v>
      </c>
      <c r="CP11" s="105">
        <f>-(Dashboard!$Q29*'Monthly CF''s'!CP$7)</f>
        <v>-8907.4948834643401</v>
      </c>
    </row>
    <row r="12" spans="2:94">
      <c r="B12" s="1" t="str">
        <f>'Year-1 Proforma'!B10</f>
        <v>Total Rental Revenue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06">
        <f>SUM(P7:P11)</f>
        <v>563982.35666666657</v>
      </c>
      <c r="Q12" s="106">
        <f t="shared" ref="Q12:BK12" si="17">SUM(Q7:Q11)</f>
        <v>563982.35666666657</v>
      </c>
      <c r="R12" s="106">
        <f>SUM(R7:R11)</f>
        <v>563982.35666666657</v>
      </c>
      <c r="S12" s="106">
        <f t="shared" si="17"/>
        <v>563982.35666666657</v>
      </c>
      <c r="T12" s="106">
        <f t="shared" si="17"/>
        <v>563982.35666666657</v>
      </c>
      <c r="U12" s="106">
        <f t="shared" si="17"/>
        <v>563982.35666666657</v>
      </c>
      <c r="V12" s="106">
        <f t="shared" si="17"/>
        <v>563982.35666666657</v>
      </c>
      <c r="W12" s="106">
        <f t="shared" si="17"/>
        <v>563982.35666666657</v>
      </c>
      <c r="X12" s="106">
        <f t="shared" si="17"/>
        <v>563982.35666666657</v>
      </c>
      <c r="Y12" s="106">
        <f>SUM(Y7:Y11)</f>
        <v>563982.35666666657</v>
      </c>
      <c r="Z12" s="106">
        <f t="shared" si="17"/>
        <v>563982.35666666657</v>
      </c>
      <c r="AA12" s="106">
        <f t="shared" si="17"/>
        <v>563982.35666666657</v>
      </c>
      <c r="AB12" s="106">
        <f t="shared" si="17"/>
        <v>580901.82736666675</v>
      </c>
      <c r="AC12" s="106">
        <f t="shared" si="17"/>
        <v>580901.82736666675</v>
      </c>
      <c r="AD12" s="106">
        <f t="shared" si="17"/>
        <v>580901.82736666675</v>
      </c>
      <c r="AE12" s="106">
        <f t="shared" si="17"/>
        <v>580901.82736666675</v>
      </c>
      <c r="AF12" s="106">
        <f t="shared" si="17"/>
        <v>580901.82736666675</v>
      </c>
      <c r="AG12" s="106">
        <f t="shared" si="17"/>
        <v>580901.82736666675</v>
      </c>
      <c r="AH12" s="106">
        <f t="shared" si="17"/>
        <v>580901.82736666675</v>
      </c>
      <c r="AI12" s="106">
        <f t="shared" si="17"/>
        <v>580901.82736666675</v>
      </c>
      <c r="AJ12" s="106">
        <f t="shared" si="17"/>
        <v>580901.82736666675</v>
      </c>
      <c r="AK12" s="106">
        <f>SUM(AK7:AK11)</f>
        <v>580901.82736666675</v>
      </c>
      <c r="AL12" s="106">
        <f t="shared" si="17"/>
        <v>580901.82736666675</v>
      </c>
      <c r="AM12" s="106">
        <f t="shared" si="17"/>
        <v>580901.82736666675</v>
      </c>
      <c r="AN12" s="106">
        <f t="shared" si="17"/>
        <v>598328.88218766672</v>
      </c>
      <c r="AO12" s="106">
        <f t="shared" si="17"/>
        <v>598328.88218766672</v>
      </c>
      <c r="AP12" s="106">
        <f t="shared" si="17"/>
        <v>598328.88218766672</v>
      </c>
      <c r="AQ12" s="106">
        <f t="shared" si="17"/>
        <v>598328.88218766672</v>
      </c>
      <c r="AR12" s="106">
        <f t="shared" si="17"/>
        <v>598328.88218766672</v>
      </c>
      <c r="AS12" s="106">
        <f t="shared" si="17"/>
        <v>598328.88218766672</v>
      </c>
      <c r="AT12" s="106">
        <f t="shared" si="17"/>
        <v>598328.88218766672</v>
      </c>
      <c r="AU12" s="106">
        <f t="shared" si="17"/>
        <v>598328.88218766672</v>
      </c>
      <c r="AV12" s="106">
        <f t="shared" si="17"/>
        <v>598328.88218766672</v>
      </c>
      <c r="AW12" s="106">
        <f t="shared" si="17"/>
        <v>598328.88218766672</v>
      </c>
      <c r="AX12" s="106">
        <f t="shared" si="17"/>
        <v>598328.88218766672</v>
      </c>
      <c r="AY12" s="106">
        <f t="shared" si="17"/>
        <v>598328.88218766672</v>
      </c>
      <c r="AZ12" s="106">
        <f t="shared" si="17"/>
        <v>616278.74865329673</v>
      </c>
      <c r="BA12" s="106">
        <f t="shared" si="17"/>
        <v>616278.74865329673</v>
      </c>
      <c r="BB12" s="106">
        <f t="shared" si="17"/>
        <v>616278.74865329673</v>
      </c>
      <c r="BC12" s="106">
        <f t="shared" si="17"/>
        <v>616278.74865329673</v>
      </c>
      <c r="BD12" s="106">
        <f t="shared" si="17"/>
        <v>616278.74865329673</v>
      </c>
      <c r="BE12" s="106">
        <f t="shared" si="17"/>
        <v>616278.74865329673</v>
      </c>
      <c r="BF12" s="106">
        <f t="shared" si="17"/>
        <v>616278.74865329673</v>
      </c>
      <c r="BG12" s="106">
        <f t="shared" si="17"/>
        <v>616278.74865329673</v>
      </c>
      <c r="BH12" s="106">
        <f t="shared" si="17"/>
        <v>616278.74865329673</v>
      </c>
      <c r="BI12" s="106">
        <f t="shared" si="17"/>
        <v>616278.74865329673</v>
      </c>
      <c r="BJ12" s="106">
        <f t="shared" si="17"/>
        <v>616278.74865329673</v>
      </c>
      <c r="BK12" s="106">
        <f t="shared" si="17"/>
        <v>616278.74865329673</v>
      </c>
      <c r="BL12" s="106">
        <f t="shared" ref="BL12:BW12" si="18">SUM(BL7:BL11)</f>
        <v>634767.11111289565</v>
      </c>
      <c r="BM12" s="106">
        <f t="shared" si="18"/>
        <v>634767.11111289565</v>
      </c>
      <c r="BN12" s="106">
        <f t="shared" si="18"/>
        <v>634767.11111289565</v>
      </c>
      <c r="BO12" s="106">
        <f t="shared" si="18"/>
        <v>634767.11111289565</v>
      </c>
      <c r="BP12" s="106">
        <f t="shared" si="18"/>
        <v>634767.11111289565</v>
      </c>
      <c r="BQ12" s="106">
        <f t="shared" si="18"/>
        <v>634767.11111289565</v>
      </c>
      <c r="BR12" s="106">
        <f t="shared" si="18"/>
        <v>634767.11111289565</v>
      </c>
      <c r="BS12" s="106">
        <f t="shared" si="18"/>
        <v>634767.11111289565</v>
      </c>
      <c r="BT12" s="106">
        <f t="shared" si="18"/>
        <v>634767.11111289565</v>
      </c>
      <c r="BU12" s="106">
        <f t="shared" si="18"/>
        <v>634767.11111289565</v>
      </c>
      <c r="BV12" s="106">
        <f t="shared" si="18"/>
        <v>634767.11111289565</v>
      </c>
      <c r="BW12" s="106">
        <f t="shared" si="18"/>
        <v>634767.11111289565</v>
      </c>
      <c r="BX12" s="106">
        <f t="shared" ref="BX12:CP12" si="19">SUM(BX7:BX11)</f>
        <v>653810.12444628251</v>
      </c>
      <c r="BY12" s="106">
        <f t="shared" si="19"/>
        <v>653810.12444628251</v>
      </c>
      <c r="BZ12" s="106">
        <f t="shared" si="19"/>
        <v>653810.12444628251</v>
      </c>
      <c r="CA12" s="106">
        <f t="shared" si="19"/>
        <v>653810.12444628251</v>
      </c>
      <c r="CB12" s="106">
        <f t="shared" si="19"/>
        <v>653810.12444628251</v>
      </c>
      <c r="CC12" s="106">
        <f t="shared" si="19"/>
        <v>653810.12444628251</v>
      </c>
      <c r="CD12" s="106">
        <f t="shared" si="19"/>
        <v>653810.12444628251</v>
      </c>
      <c r="CE12" s="106">
        <f t="shared" si="19"/>
        <v>653810.12444628251</v>
      </c>
      <c r="CF12" s="106">
        <f t="shared" si="19"/>
        <v>653810.12444628251</v>
      </c>
      <c r="CG12" s="106">
        <f t="shared" si="19"/>
        <v>653810.12444628251</v>
      </c>
      <c r="CH12" s="106">
        <f t="shared" si="19"/>
        <v>653810.12444628251</v>
      </c>
      <c r="CI12" s="106">
        <f t="shared" si="19"/>
        <v>653810.12444628251</v>
      </c>
      <c r="CJ12" s="106">
        <f t="shared" si="19"/>
        <v>653810.12444628251</v>
      </c>
      <c r="CK12" s="106">
        <f t="shared" si="19"/>
        <v>653810.12444628251</v>
      </c>
      <c r="CL12" s="106">
        <f t="shared" si="19"/>
        <v>653810.12444628251</v>
      </c>
      <c r="CM12" s="106">
        <f t="shared" si="19"/>
        <v>653810.12444628251</v>
      </c>
      <c r="CN12" s="106">
        <f t="shared" si="19"/>
        <v>653810.12444628251</v>
      </c>
      <c r="CO12" s="106">
        <f t="shared" si="19"/>
        <v>653810.12444628251</v>
      </c>
      <c r="CP12" s="106">
        <f t="shared" si="19"/>
        <v>653810.12444628251</v>
      </c>
    </row>
    <row r="13" spans="2:94" ht="6" customHeight="1"/>
    <row r="14" spans="2:94">
      <c r="B14" s="17" t="str">
        <f>'Year-1 Proforma'!B12</f>
        <v>Other Income</v>
      </c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</row>
    <row r="15" spans="2:94">
      <c r="B15" s="74" t="str">
        <f>'Year-1 Proforma'!B13</f>
        <v>Admin &amp; App Income</v>
      </c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105">
        <f>('Year-1 Proforma'!$C13/12)*(1+Dashboard!$I$23)</f>
        <v>3796</v>
      </c>
      <c r="Q15" s="105">
        <f>('Year-1 Proforma'!$C13/12)*(1+Dashboard!$I$23)</f>
        <v>3796</v>
      </c>
      <c r="R15" s="105">
        <f>('Year-1 Proforma'!$C13/12)*(1+Dashboard!$I$23)</f>
        <v>3796</v>
      </c>
      <c r="S15" s="105">
        <f>('Year-1 Proforma'!$C13/12)*(1+Dashboard!$I$23)</f>
        <v>3796</v>
      </c>
      <c r="T15" s="105">
        <f>('Year-1 Proforma'!$C13/12)*(1+Dashboard!$I$23)</f>
        <v>3796</v>
      </c>
      <c r="U15" s="105">
        <f>('Year-1 Proforma'!$C13/12)*(1+Dashboard!$I$23)</f>
        <v>3796</v>
      </c>
      <c r="V15" s="105">
        <f>('Year-1 Proforma'!$C13/12)*(1+Dashboard!$I$23)</f>
        <v>3796</v>
      </c>
      <c r="W15" s="105">
        <f>('Year-1 Proforma'!$C13/12)*(1+Dashboard!$I$23)</f>
        <v>3796</v>
      </c>
      <c r="X15" s="105">
        <f>('Year-1 Proforma'!$C13/12)*(1+Dashboard!$I$23)</f>
        <v>3796</v>
      </c>
      <c r="Y15" s="105">
        <f>('Year-1 Proforma'!$C13/12)*(1+Dashboard!$I$23)</f>
        <v>3796</v>
      </c>
      <c r="Z15" s="105">
        <f>('Year-1 Proforma'!$C13/12)*(1+Dashboard!$I$23)</f>
        <v>3796</v>
      </c>
      <c r="AA15" s="105">
        <f>('Year-1 Proforma'!$C13/12)*(1+Dashboard!$I$23)</f>
        <v>3796</v>
      </c>
      <c r="AB15" s="105">
        <f>(SUM($P15:$AA15)*(1+Dashboard!$K$23))/12</f>
        <v>3871.92</v>
      </c>
      <c r="AC15" s="105">
        <f>(SUM($P15:$AA15)*(1+Dashboard!$K$23))/12</f>
        <v>3871.92</v>
      </c>
      <c r="AD15" s="105">
        <f>(SUM($P15:$AA15)*(1+Dashboard!$K$23))/12</f>
        <v>3871.92</v>
      </c>
      <c r="AE15" s="105">
        <f>(SUM($P15:$AA15)*(1+Dashboard!$K$23))/12</f>
        <v>3871.92</v>
      </c>
      <c r="AF15" s="105">
        <f>(SUM($P15:$AA15)*(1+Dashboard!$K$23))/12</f>
        <v>3871.92</v>
      </c>
      <c r="AG15" s="105">
        <f>(SUM($P15:$AA15)*(1+Dashboard!$K$23))/12</f>
        <v>3871.92</v>
      </c>
      <c r="AH15" s="105">
        <f>(SUM($P15:$AA15)*(1+Dashboard!$K$23))/12</f>
        <v>3871.92</v>
      </c>
      <c r="AI15" s="105">
        <f>(SUM($P15:$AA15)*(1+Dashboard!$K$23))/12</f>
        <v>3871.92</v>
      </c>
      <c r="AJ15" s="105">
        <f>(SUM($P15:$AA15)*(1+Dashboard!$K$23))/12</f>
        <v>3871.92</v>
      </c>
      <c r="AK15" s="105">
        <f>(SUM($P15:$AA15)*(1+Dashboard!$K$23))/12</f>
        <v>3871.92</v>
      </c>
      <c r="AL15" s="105">
        <f>(SUM($P15:$AA15)*(1+Dashboard!$K$23))/12</f>
        <v>3871.92</v>
      </c>
      <c r="AM15" s="105">
        <f>(SUM($P15:$AA15)*(1+Dashboard!$K$23))/12</f>
        <v>3871.92</v>
      </c>
      <c r="AN15" s="105">
        <f>(SUM($AB15:$AM15)*(1+Dashboard!$M$23))/12</f>
        <v>3949.3583999999992</v>
      </c>
      <c r="AO15" s="105">
        <f>(SUM($AB15:$AM15)*(1+Dashboard!$M$23))/12</f>
        <v>3949.3583999999992</v>
      </c>
      <c r="AP15" s="105">
        <f>(SUM($AB15:$AM15)*(1+Dashboard!$M$23))/12</f>
        <v>3949.3583999999992</v>
      </c>
      <c r="AQ15" s="105">
        <f>(SUM($AB15:$AM15)*(1+Dashboard!$M$23))/12</f>
        <v>3949.3583999999992</v>
      </c>
      <c r="AR15" s="105">
        <f>(SUM($AB15:$AM15)*(1+Dashboard!$M$23))/12</f>
        <v>3949.3583999999992</v>
      </c>
      <c r="AS15" s="105">
        <f>(SUM($AB15:$AM15)*(1+Dashboard!$M$23))/12</f>
        <v>3949.3583999999992</v>
      </c>
      <c r="AT15" s="105">
        <f>(SUM($AB15:$AM15)*(1+Dashboard!$M$23))/12</f>
        <v>3949.3583999999992</v>
      </c>
      <c r="AU15" s="105">
        <f>(SUM($AB15:$AM15)*(1+Dashboard!$M$23))/12</f>
        <v>3949.3583999999992</v>
      </c>
      <c r="AV15" s="105">
        <f>(SUM($AB15:$AM15)*(1+Dashboard!$M$23))/12</f>
        <v>3949.3583999999992</v>
      </c>
      <c r="AW15" s="105">
        <f>(SUM($AB15:$AM15)*(1+Dashboard!$M$23))/12</f>
        <v>3949.3583999999992</v>
      </c>
      <c r="AX15" s="105">
        <f>(SUM($AB15:$AM15)*(1+Dashboard!$M$23))/12</f>
        <v>3949.3583999999992</v>
      </c>
      <c r="AY15" s="105">
        <f>(SUM($AB15:$AM15)*(1+Dashboard!$M$23))/12</f>
        <v>3949.3583999999992</v>
      </c>
      <c r="AZ15" s="105">
        <f>(SUM($AN15:$AY15)*(1+Dashboard!$O$23))/12</f>
        <v>4028.3455679999984</v>
      </c>
      <c r="BA15" s="105">
        <f>(SUM($AN15:$AY15)*(1+Dashboard!$O$23))/12</f>
        <v>4028.3455679999984</v>
      </c>
      <c r="BB15" s="105">
        <f>(SUM($AN15:$AY15)*(1+Dashboard!$O$23))/12</f>
        <v>4028.3455679999984</v>
      </c>
      <c r="BC15" s="105">
        <f>(SUM($AN15:$AY15)*(1+Dashboard!$O$23))/12</f>
        <v>4028.3455679999984</v>
      </c>
      <c r="BD15" s="105">
        <f>(SUM($AN15:$AY15)*(1+Dashboard!$O$23))/12</f>
        <v>4028.3455679999984</v>
      </c>
      <c r="BE15" s="105">
        <f>(SUM($AN15:$AY15)*(1+Dashboard!$O$23))/12</f>
        <v>4028.3455679999984</v>
      </c>
      <c r="BF15" s="105">
        <f>(SUM($AN15:$AY15)*(1+Dashboard!$O$23))/12</f>
        <v>4028.3455679999984</v>
      </c>
      <c r="BG15" s="105">
        <f>(SUM($AN15:$AY15)*(1+Dashboard!$O$23))/12</f>
        <v>4028.3455679999984</v>
      </c>
      <c r="BH15" s="105">
        <f>(SUM($AN15:$AY15)*(1+Dashboard!$O$23))/12</f>
        <v>4028.3455679999984</v>
      </c>
      <c r="BI15" s="105">
        <f>(SUM($AN15:$AY15)*(1+Dashboard!$O$23))/12</f>
        <v>4028.3455679999984</v>
      </c>
      <c r="BJ15" s="105">
        <f>(SUM($AN15:$AY15)*(1+Dashboard!$O$23))/12</f>
        <v>4028.3455679999984</v>
      </c>
      <c r="BK15" s="105">
        <f>(SUM($AN15:$AY15)*(1+Dashboard!$O$23))/12</f>
        <v>4028.3455679999984</v>
      </c>
      <c r="BL15" s="105">
        <f>(SUM($AY15:$BJ15)*(1+Dashboard!$Q$23))/12</f>
        <v>4102.1985700799978</v>
      </c>
      <c r="BM15" s="105">
        <f>(SUM($AY15:$BJ15)*(1+Dashboard!$Q$23))/12</f>
        <v>4102.1985700799978</v>
      </c>
      <c r="BN15" s="105">
        <f>(SUM($AY15:$BJ15)*(1+Dashboard!$Q$23))/12</f>
        <v>4102.1985700799978</v>
      </c>
      <c r="BO15" s="105">
        <f>(SUM($AY15:$BJ15)*(1+Dashboard!$Q$23))/12</f>
        <v>4102.1985700799978</v>
      </c>
      <c r="BP15" s="105">
        <f>(SUM($AY15:$BJ15)*(1+Dashboard!$Q$23))/12</f>
        <v>4102.1985700799978</v>
      </c>
      <c r="BQ15" s="105">
        <f>(SUM($AY15:$BJ15)*(1+Dashboard!$Q$23))/12</f>
        <v>4102.1985700799978</v>
      </c>
      <c r="BR15" s="105">
        <f>(SUM($AY15:$BJ15)*(1+Dashboard!$Q$23))/12</f>
        <v>4102.1985700799978</v>
      </c>
      <c r="BS15" s="105">
        <f>(SUM($AY15:$BJ15)*(1+Dashboard!$Q$23))/12</f>
        <v>4102.1985700799978</v>
      </c>
      <c r="BT15" s="105">
        <f>(SUM($AY15:$BJ15)*(1+Dashboard!$Q$23))/12</f>
        <v>4102.1985700799978</v>
      </c>
      <c r="BU15" s="105">
        <f>(SUM($AY15:$BJ15)*(1+Dashboard!$Q$23))/12</f>
        <v>4102.1985700799978</v>
      </c>
      <c r="BV15" s="105">
        <f>(SUM($AY15:$BJ15)*(1+Dashboard!$Q$23))/12</f>
        <v>4102.1985700799978</v>
      </c>
      <c r="BW15" s="105">
        <f>(SUM($AZ15:$BK15)*(1+Dashboard!$Q$23))/12</f>
        <v>4108.9124793599976</v>
      </c>
      <c r="BX15" s="105">
        <f>(SUM($AZ15:$BK15)*(1+Dashboard!$Q$23))/12</f>
        <v>4108.9124793599976</v>
      </c>
      <c r="BY15" s="105">
        <f>(SUM($AZ15:$BK15)*(1+Dashboard!$Q$23))/12</f>
        <v>4108.9124793599976</v>
      </c>
      <c r="BZ15" s="105">
        <f>(SUM($AZ15:$BK15)*(1+Dashboard!$Q$23))/12</f>
        <v>4108.9124793599976</v>
      </c>
      <c r="CA15" s="105">
        <f>(SUM($AZ15:$BK15)*(1+Dashboard!$Q$23))/12</f>
        <v>4108.9124793599976</v>
      </c>
      <c r="CB15" s="105">
        <f>(SUM($AZ15:$BK15)*(1+Dashboard!$Q$23))/12</f>
        <v>4108.9124793599976</v>
      </c>
      <c r="CC15" s="105">
        <f>(SUM($AZ15:$BK15)*(1+Dashboard!$Q$23))/12</f>
        <v>4108.9124793599976</v>
      </c>
      <c r="CD15" s="105">
        <f>(SUM($AZ15:$BK15)*(1+Dashboard!$Q$23))/12</f>
        <v>4108.9124793599976</v>
      </c>
      <c r="CE15" s="105">
        <f>(SUM($AZ15:$BK15)*(1+Dashboard!$Q$23))/12</f>
        <v>4108.9124793599976</v>
      </c>
      <c r="CF15" s="105">
        <f>(SUM($AZ15:$BK15)*(1+Dashboard!$Q$23))/12</f>
        <v>4108.9124793599976</v>
      </c>
      <c r="CG15" s="105">
        <f>(SUM($AZ15:$BK15)*(1+Dashboard!$Q$23))/12</f>
        <v>4108.9124793599976</v>
      </c>
      <c r="CH15" s="105">
        <f>(SUM($AZ15:$BK15)*(1+Dashboard!$Q$23))/12</f>
        <v>4108.9124793599976</v>
      </c>
      <c r="CI15" s="105">
        <f>(SUM($AZ15:$BK15)*(1+Dashboard!$Q$23))/12</f>
        <v>4108.9124793599976</v>
      </c>
      <c r="CJ15" s="105">
        <f>(SUM($AZ15:$BK15)*(1+Dashboard!$Q$23))/12</f>
        <v>4108.9124793599976</v>
      </c>
      <c r="CK15" s="105">
        <f>(SUM($AZ15:$BK15)*(1+Dashboard!$Q$23))/12</f>
        <v>4108.9124793599976</v>
      </c>
      <c r="CL15" s="105">
        <f>(SUM($AZ15:$BK15)*(1+Dashboard!$Q$23))/12</f>
        <v>4108.9124793599976</v>
      </c>
      <c r="CM15" s="105">
        <f>(SUM($AZ15:$BK15)*(1+Dashboard!$Q$23))/12</f>
        <v>4108.9124793599976</v>
      </c>
      <c r="CN15" s="105">
        <f>(SUM($AZ15:$BK15)*(1+Dashboard!$Q$23))/12</f>
        <v>4108.9124793599976</v>
      </c>
      <c r="CO15" s="105">
        <f>(SUM($AZ15:$BK15)*(1+Dashboard!$Q$23))/12</f>
        <v>4108.9124793599976</v>
      </c>
      <c r="CP15" s="105">
        <f>(SUM($AZ15:$BK15)*(1+Dashboard!$Q$23))/12</f>
        <v>4108.9124793599976</v>
      </c>
    </row>
    <row r="16" spans="2:94">
      <c r="B16" s="74" t="str">
        <f>'Year-1 Proforma'!B14</f>
        <v>Fee &amp; Penalty Income</v>
      </c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105">
        <f>('Year-1 Proforma'!$C14/12)*(1+Dashboard!$I$23)</f>
        <v>1765.5833333333333</v>
      </c>
      <c r="Q16" s="105">
        <f>('Year-1 Proforma'!$C14/12)*(1+Dashboard!$I$23)</f>
        <v>1765.5833333333333</v>
      </c>
      <c r="R16" s="105">
        <f>('Year-1 Proforma'!$C14/12)*(1+Dashboard!$I$23)</f>
        <v>1765.5833333333333</v>
      </c>
      <c r="S16" s="105">
        <f>('Year-1 Proforma'!$C14/12)*(1+Dashboard!$I$23)</f>
        <v>1765.5833333333333</v>
      </c>
      <c r="T16" s="105">
        <f>('Year-1 Proforma'!$C14/12)*(1+Dashboard!$I$23)</f>
        <v>1765.5833333333333</v>
      </c>
      <c r="U16" s="105">
        <f>('Year-1 Proforma'!$C14/12)*(1+Dashboard!$I$23)</f>
        <v>1765.5833333333333</v>
      </c>
      <c r="V16" s="105">
        <f>('Year-1 Proforma'!$C14/12)*(1+Dashboard!$I$23)</f>
        <v>1765.5833333333333</v>
      </c>
      <c r="W16" s="105">
        <f>('Year-1 Proforma'!$C14/12)*(1+Dashboard!$I$23)</f>
        <v>1765.5833333333333</v>
      </c>
      <c r="X16" s="105">
        <f>('Year-1 Proforma'!$C14/12)*(1+Dashboard!$I$23)</f>
        <v>1765.5833333333333</v>
      </c>
      <c r="Y16" s="105">
        <f>('Year-1 Proforma'!$C14/12)*(1+Dashboard!$I$23)</f>
        <v>1765.5833333333333</v>
      </c>
      <c r="Z16" s="105">
        <f>('Year-1 Proforma'!$C14/12)*(1+Dashboard!$I$23)</f>
        <v>1765.5833333333333</v>
      </c>
      <c r="AA16" s="105">
        <f>('Year-1 Proforma'!$C14/12)*(1+Dashboard!$I$23)</f>
        <v>1765.5833333333333</v>
      </c>
      <c r="AB16" s="105">
        <f>(SUM($P16:$AA16)*(1+Dashboard!$K$23))/12</f>
        <v>1800.8950000000002</v>
      </c>
      <c r="AC16" s="105">
        <f>(SUM($P16:$AA16)*(1+Dashboard!$K$23))/12</f>
        <v>1800.8950000000002</v>
      </c>
      <c r="AD16" s="105">
        <f>(SUM($P16:$AA16)*(1+Dashboard!$K$23))/12</f>
        <v>1800.8950000000002</v>
      </c>
      <c r="AE16" s="105">
        <f>(SUM($P16:$AA16)*(1+Dashboard!$K$23))/12</f>
        <v>1800.8950000000002</v>
      </c>
      <c r="AF16" s="105">
        <f>(SUM($P16:$AA16)*(1+Dashboard!$K$23))/12</f>
        <v>1800.8950000000002</v>
      </c>
      <c r="AG16" s="105">
        <f>(SUM($P16:$AA16)*(1+Dashboard!$K$23))/12</f>
        <v>1800.8950000000002</v>
      </c>
      <c r="AH16" s="105">
        <f>(SUM($P16:$AA16)*(1+Dashboard!$K$23))/12</f>
        <v>1800.8950000000002</v>
      </c>
      <c r="AI16" s="105">
        <f>(SUM($P16:$AA16)*(1+Dashboard!$K$23))/12</f>
        <v>1800.8950000000002</v>
      </c>
      <c r="AJ16" s="105">
        <f>(SUM($P16:$AA16)*(1+Dashboard!$K$23))/12</f>
        <v>1800.8950000000002</v>
      </c>
      <c r="AK16" s="105">
        <f>(SUM($P16:$AA16)*(1+Dashboard!$K$23))/12</f>
        <v>1800.8950000000002</v>
      </c>
      <c r="AL16" s="105">
        <f>(SUM($P16:$AA16)*(1+Dashboard!$K$23))/12</f>
        <v>1800.8950000000002</v>
      </c>
      <c r="AM16" s="105">
        <f>(SUM($P16:$AA16)*(1+Dashboard!$K$23))/12</f>
        <v>1800.8950000000002</v>
      </c>
      <c r="AN16" s="105">
        <f>(SUM($AB16:$AM16)*(1+Dashboard!$M$23))/12</f>
        <v>1836.9129000000003</v>
      </c>
      <c r="AO16" s="105">
        <f>(SUM($AB16:$AM16)*(1+Dashboard!$M$23))/12</f>
        <v>1836.9129000000003</v>
      </c>
      <c r="AP16" s="105">
        <f>(SUM($AB16:$AM16)*(1+Dashboard!$M$23))/12</f>
        <v>1836.9129000000003</v>
      </c>
      <c r="AQ16" s="105">
        <f>(SUM($AB16:$AM16)*(1+Dashboard!$M$23))/12</f>
        <v>1836.9129000000003</v>
      </c>
      <c r="AR16" s="105">
        <f>(SUM($AB16:$AM16)*(1+Dashboard!$M$23))/12</f>
        <v>1836.9129000000003</v>
      </c>
      <c r="AS16" s="105">
        <f>(SUM($AB16:$AM16)*(1+Dashboard!$M$23))/12</f>
        <v>1836.9129000000003</v>
      </c>
      <c r="AT16" s="105">
        <f>(SUM($AB16:$AM16)*(1+Dashboard!$M$23))/12</f>
        <v>1836.9129000000003</v>
      </c>
      <c r="AU16" s="105">
        <f>(SUM($AB16:$AM16)*(1+Dashboard!$M$23))/12</f>
        <v>1836.9129000000003</v>
      </c>
      <c r="AV16" s="105">
        <f>(SUM($AB16:$AM16)*(1+Dashboard!$M$23))/12</f>
        <v>1836.9129000000003</v>
      </c>
      <c r="AW16" s="105">
        <f>(SUM($AB16:$AM16)*(1+Dashboard!$M$23))/12</f>
        <v>1836.9129000000003</v>
      </c>
      <c r="AX16" s="105">
        <f>(SUM($AB16:$AM16)*(1+Dashboard!$M$23))/12</f>
        <v>1836.9129000000003</v>
      </c>
      <c r="AY16" s="105">
        <f>(SUM($AB16:$AM16)*(1+Dashboard!$M$23))/12</f>
        <v>1836.9129000000003</v>
      </c>
      <c r="AZ16" s="105">
        <f>(SUM($AN16:$AY16)*(1+Dashboard!$O$23))/12</f>
        <v>1873.6511579999997</v>
      </c>
      <c r="BA16" s="105">
        <f>(SUM($AN16:$AY16)*(1+Dashboard!$O$23))/12</f>
        <v>1873.6511579999997</v>
      </c>
      <c r="BB16" s="105">
        <f>(SUM($AN16:$AY16)*(1+Dashboard!$O$23))/12</f>
        <v>1873.6511579999997</v>
      </c>
      <c r="BC16" s="105">
        <f>(SUM($AN16:$AY16)*(1+Dashboard!$O$23))/12</f>
        <v>1873.6511579999997</v>
      </c>
      <c r="BD16" s="105">
        <f>(SUM($AN16:$AY16)*(1+Dashboard!$O$23))/12</f>
        <v>1873.6511579999997</v>
      </c>
      <c r="BE16" s="105">
        <f>(SUM($AN16:$AY16)*(1+Dashboard!$O$23))/12</f>
        <v>1873.6511579999997</v>
      </c>
      <c r="BF16" s="105">
        <f>(SUM($AN16:$AY16)*(1+Dashboard!$O$23))/12</f>
        <v>1873.6511579999997</v>
      </c>
      <c r="BG16" s="105">
        <f>(SUM($AN16:$AY16)*(1+Dashboard!$O$23))/12</f>
        <v>1873.6511579999997</v>
      </c>
      <c r="BH16" s="105">
        <f>(SUM($AN16:$AY16)*(1+Dashboard!$O$23))/12</f>
        <v>1873.6511579999997</v>
      </c>
      <c r="BI16" s="105">
        <f>(SUM($AN16:$AY16)*(1+Dashboard!$O$23))/12</f>
        <v>1873.6511579999997</v>
      </c>
      <c r="BJ16" s="105">
        <f>(SUM($AN16:$AY16)*(1+Dashboard!$O$23))/12</f>
        <v>1873.6511579999997</v>
      </c>
      <c r="BK16" s="105">
        <f>(SUM($AN16:$AY16)*(1+Dashboard!$O$23))/12</f>
        <v>1873.6511579999997</v>
      </c>
      <c r="BL16" s="105">
        <f>(SUM($AY16:$BJ16)*(1+Dashboard!$Q$23))/12</f>
        <v>1908.0014292300002</v>
      </c>
      <c r="BM16" s="105">
        <f>(SUM($AY16:$BJ16)*(1+Dashboard!$Q$23))/12</f>
        <v>1908.0014292300002</v>
      </c>
      <c r="BN16" s="105">
        <f>(SUM($AY16:$BJ16)*(1+Dashboard!$Q$23))/12</f>
        <v>1908.0014292300002</v>
      </c>
      <c r="BO16" s="105">
        <f>(SUM($AY16:$BJ16)*(1+Dashboard!$Q$23))/12</f>
        <v>1908.0014292300002</v>
      </c>
      <c r="BP16" s="105">
        <f>(SUM($AY16:$BJ16)*(1+Dashboard!$Q$23))/12</f>
        <v>1908.0014292300002</v>
      </c>
      <c r="BQ16" s="105">
        <f>(SUM($AY16:$BJ16)*(1+Dashboard!$Q$23))/12</f>
        <v>1908.0014292300002</v>
      </c>
      <c r="BR16" s="105">
        <f>(SUM($AY16:$BJ16)*(1+Dashboard!$Q$23))/12</f>
        <v>1908.0014292300002</v>
      </c>
      <c r="BS16" s="105">
        <f>(SUM($AY16:$BJ16)*(1+Dashboard!$Q$23))/12</f>
        <v>1908.0014292300002</v>
      </c>
      <c r="BT16" s="105">
        <f>(SUM($AY16:$BJ16)*(1+Dashboard!$Q$23))/12</f>
        <v>1908.0014292300002</v>
      </c>
      <c r="BU16" s="105">
        <f>(SUM($AY16:$BJ16)*(1+Dashboard!$Q$23))/12</f>
        <v>1908.0014292300002</v>
      </c>
      <c r="BV16" s="105">
        <f>(SUM($AY16:$BJ16)*(1+Dashboard!$Q$23))/12</f>
        <v>1908.0014292300002</v>
      </c>
      <c r="BW16" s="105">
        <f>(SUM($AZ16:$BK16)*(1+Dashboard!$Q$23))/12</f>
        <v>1911.1241811600003</v>
      </c>
      <c r="BX16" s="105">
        <f>(SUM($AZ16:$BK16)*(1+Dashboard!$Q$23))/12</f>
        <v>1911.1241811600003</v>
      </c>
      <c r="BY16" s="105">
        <f>(SUM($AZ16:$BK16)*(1+Dashboard!$Q$23))/12</f>
        <v>1911.1241811600003</v>
      </c>
      <c r="BZ16" s="105">
        <f>(SUM($AZ16:$BK16)*(1+Dashboard!$Q$23))/12</f>
        <v>1911.1241811600003</v>
      </c>
      <c r="CA16" s="105">
        <f>(SUM($AZ16:$BK16)*(1+Dashboard!$Q$23))/12</f>
        <v>1911.1241811600003</v>
      </c>
      <c r="CB16" s="105">
        <f>(SUM($AZ16:$BK16)*(1+Dashboard!$Q$23))/12</f>
        <v>1911.1241811600003</v>
      </c>
      <c r="CC16" s="105">
        <f>(SUM($AZ16:$BK16)*(1+Dashboard!$Q$23))/12</f>
        <v>1911.1241811600003</v>
      </c>
      <c r="CD16" s="105">
        <f>(SUM($AZ16:$BK16)*(1+Dashboard!$Q$23))/12</f>
        <v>1911.1241811600003</v>
      </c>
      <c r="CE16" s="105">
        <f>(SUM($AZ16:$BK16)*(1+Dashboard!$Q$23))/12</f>
        <v>1911.1241811600003</v>
      </c>
      <c r="CF16" s="105">
        <f>(SUM($AZ16:$BK16)*(1+Dashboard!$Q$23))/12</f>
        <v>1911.1241811600003</v>
      </c>
      <c r="CG16" s="105">
        <f>(SUM($AZ16:$BK16)*(1+Dashboard!$Q$23))/12</f>
        <v>1911.1241811600003</v>
      </c>
      <c r="CH16" s="105">
        <f>(SUM($AZ16:$BK16)*(1+Dashboard!$Q$23))/12</f>
        <v>1911.1241811600003</v>
      </c>
      <c r="CI16" s="105">
        <f>(SUM($AZ16:$BK16)*(1+Dashboard!$Q$23))/12</f>
        <v>1911.1241811600003</v>
      </c>
      <c r="CJ16" s="105">
        <f>(SUM($AZ16:$BK16)*(1+Dashboard!$Q$23))/12</f>
        <v>1911.1241811600003</v>
      </c>
      <c r="CK16" s="105">
        <f>(SUM($AZ16:$BK16)*(1+Dashboard!$Q$23))/12</f>
        <v>1911.1241811600003</v>
      </c>
      <c r="CL16" s="105">
        <f>(SUM($AZ16:$BK16)*(1+Dashboard!$Q$23))/12</f>
        <v>1911.1241811600003</v>
      </c>
      <c r="CM16" s="105">
        <f>(SUM($AZ16:$BK16)*(1+Dashboard!$Q$23))/12</f>
        <v>1911.1241811600003</v>
      </c>
      <c r="CN16" s="105">
        <f>(SUM($AZ16:$BK16)*(1+Dashboard!$Q$23))/12</f>
        <v>1911.1241811600003</v>
      </c>
      <c r="CO16" s="105">
        <f>(SUM($AZ16:$BK16)*(1+Dashboard!$Q$23))/12</f>
        <v>1911.1241811600003</v>
      </c>
      <c r="CP16" s="105">
        <f>(SUM($AZ16:$BK16)*(1+Dashboard!$Q$23))/12</f>
        <v>1911.1241811600003</v>
      </c>
    </row>
    <row r="17" spans="2:94">
      <c r="B17" s="74" t="str">
        <f>'Year-1 Proforma'!B15</f>
        <v>Other Income</v>
      </c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105">
        <f>('Year-1 Proforma'!$C15/12)*(1+Dashboard!$I$23)</f>
        <v>2774.5</v>
      </c>
      <c r="Q17" s="105">
        <f>('Year-1 Proforma'!$C15/12)*(1+Dashboard!$I$23)</f>
        <v>2774.5</v>
      </c>
      <c r="R17" s="105">
        <f>('Year-1 Proforma'!$C15/12)*(1+Dashboard!$I$23)</f>
        <v>2774.5</v>
      </c>
      <c r="S17" s="105">
        <f>('Year-1 Proforma'!$C15/12)*(1+Dashboard!$I$23)</f>
        <v>2774.5</v>
      </c>
      <c r="T17" s="105">
        <f>('Year-1 Proforma'!$C15/12)*(1+Dashboard!$I$23)</f>
        <v>2774.5</v>
      </c>
      <c r="U17" s="105">
        <f>('Year-1 Proforma'!$C15/12)*(1+Dashboard!$I$23)</f>
        <v>2774.5</v>
      </c>
      <c r="V17" s="105">
        <f>('Year-1 Proforma'!$C15/12)*(1+Dashboard!$I$23)</f>
        <v>2774.5</v>
      </c>
      <c r="W17" s="105">
        <f>('Year-1 Proforma'!$C15/12)*(1+Dashboard!$I$23)</f>
        <v>2774.5</v>
      </c>
      <c r="X17" s="105">
        <f>('Year-1 Proforma'!$C15/12)*(1+Dashboard!$I$23)</f>
        <v>2774.5</v>
      </c>
      <c r="Y17" s="105">
        <f>('Year-1 Proforma'!$C15/12)*(1+Dashboard!$I$23)</f>
        <v>2774.5</v>
      </c>
      <c r="Z17" s="105">
        <f>('Year-1 Proforma'!$C15/12)*(1+Dashboard!$I$23)</f>
        <v>2774.5</v>
      </c>
      <c r="AA17" s="105">
        <f>('Year-1 Proforma'!$C15/12)*(1+Dashboard!$I$23)</f>
        <v>2774.5</v>
      </c>
      <c r="AB17" s="105">
        <f>(SUM($P17:$AA17)*(1+Dashboard!$K$23))/12</f>
        <v>2829.99</v>
      </c>
      <c r="AC17" s="105">
        <f>(SUM($P17:$AA17)*(1+Dashboard!$K$23))/12</f>
        <v>2829.99</v>
      </c>
      <c r="AD17" s="105">
        <f>(SUM($P17:$AA17)*(1+Dashboard!$K$23))/12</f>
        <v>2829.99</v>
      </c>
      <c r="AE17" s="105">
        <f>(SUM($P17:$AA17)*(1+Dashboard!$K$23))/12</f>
        <v>2829.99</v>
      </c>
      <c r="AF17" s="105">
        <f>(SUM($P17:$AA17)*(1+Dashboard!$K$23))/12</f>
        <v>2829.99</v>
      </c>
      <c r="AG17" s="105">
        <f>(SUM($P17:$AA17)*(1+Dashboard!$K$23))/12</f>
        <v>2829.99</v>
      </c>
      <c r="AH17" s="105">
        <f>(SUM($P17:$AA17)*(1+Dashboard!$K$23))/12</f>
        <v>2829.99</v>
      </c>
      <c r="AI17" s="105">
        <f>(SUM($P17:$AA17)*(1+Dashboard!$K$23))/12</f>
        <v>2829.99</v>
      </c>
      <c r="AJ17" s="105">
        <f>(SUM($P17:$AA17)*(1+Dashboard!$K$23))/12</f>
        <v>2829.99</v>
      </c>
      <c r="AK17" s="105">
        <f>(SUM($P17:$AA17)*(1+Dashboard!$K$23))/12</f>
        <v>2829.99</v>
      </c>
      <c r="AL17" s="105">
        <f>(SUM($P17:$AA17)*(1+Dashboard!$K$23))/12</f>
        <v>2829.99</v>
      </c>
      <c r="AM17" s="105">
        <f>(SUM($P17:$AA17)*(1+Dashboard!$K$23))/12</f>
        <v>2829.99</v>
      </c>
      <c r="AN17" s="105">
        <f>(SUM($AB17:$AM17)*(1+Dashboard!$M$23))/12</f>
        <v>2886.5897999999993</v>
      </c>
      <c r="AO17" s="105">
        <f>(SUM($AB17:$AM17)*(1+Dashboard!$M$23))/12</f>
        <v>2886.5897999999993</v>
      </c>
      <c r="AP17" s="105">
        <f>(SUM($AB17:$AM17)*(1+Dashboard!$M$23))/12</f>
        <v>2886.5897999999993</v>
      </c>
      <c r="AQ17" s="105">
        <f>(SUM($AB17:$AM17)*(1+Dashboard!$M$23))/12</f>
        <v>2886.5897999999993</v>
      </c>
      <c r="AR17" s="105">
        <f>(SUM($AB17:$AM17)*(1+Dashboard!$M$23))/12</f>
        <v>2886.5897999999993</v>
      </c>
      <c r="AS17" s="105">
        <f>(SUM($AB17:$AM17)*(1+Dashboard!$M$23))/12</f>
        <v>2886.5897999999993</v>
      </c>
      <c r="AT17" s="105">
        <f>(SUM($AB17:$AM17)*(1+Dashboard!$M$23))/12</f>
        <v>2886.5897999999993</v>
      </c>
      <c r="AU17" s="105">
        <f>(SUM($AB17:$AM17)*(1+Dashboard!$M$23))/12</f>
        <v>2886.5897999999993</v>
      </c>
      <c r="AV17" s="105">
        <f>(SUM($AB17:$AM17)*(1+Dashboard!$M$23))/12</f>
        <v>2886.5897999999993</v>
      </c>
      <c r="AW17" s="105">
        <f>(SUM($AB17:$AM17)*(1+Dashboard!$M$23))/12</f>
        <v>2886.5897999999993</v>
      </c>
      <c r="AX17" s="105">
        <f>(SUM($AB17:$AM17)*(1+Dashboard!$M$23))/12</f>
        <v>2886.5897999999993</v>
      </c>
      <c r="AY17" s="105">
        <f>(SUM($AB17:$AM17)*(1+Dashboard!$M$23))/12</f>
        <v>2886.5897999999993</v>
      </c>
      <c r="AZ17" s="105">
        <f>(SUM($AN17:$AY17)*(1+Dashboard!$O$23))/12</f>
        <v>2944.3215959999984</v>
      </c>
      <c r="BA17" s="105">
        <f>(SUM($AN17:$AY17)*(1+Dashboard!$O$23))/12</f>
        <v>2944.3215959999984</v>
      </c>
      <c r="BB17" s="105">
        <f>(SUM($AN17:$AY17)*(1+Dashboard!$O$23))/12</f>
        <v>2944.3215959999984</v>
      </c>
      <c r="BC17" s="105">
        <f>(SUM($AN17:$AY17)*(1+Dashboard!$O$23))/12</f>
        <v>2944.3215959999984</v>
      </c>
      <c r="BD17" s="105">
        <f>(SUM($AN17:$AY17)*(1+Dashboard!$O$23))/12</f>
        <v>2944.3215959999984</v>
      </c>
      <c r="BE17" s="105">
        <f>(SUM($AN17:$AY17)*(1+Dashboard!$O$23))/12</f>
        <v>2944.3215959999984</v>
      </c>
      <c r="BF17" s="105">
        <f>(SUM($AN17:$AY17)*(1+Dashboard!$O$23))/12</f>
        <v>2944.3215959999984</v>
      </c>
      <c r="BG17" s="105">
        <f>(SUM($AN17:$AY17)*(1+Dashboard!$O$23))/12</f>
        <v>2944.3215959999984</v>
      </c>
      <c r="BH17" s="105">
        <f>(SUM($AN17:$AY17)*(1+Dashboard!$O$23))/12</f>
        <v>2944.3215959999984</v>
      </c>
      <c r="BI17" s="105">
        <f>(SUM($AN17:$AY17)*(1+Dashboard!$O$23))/12</f>
        <v>2944.3215959999984</v>
      </c>
      <c r="BJ17" s="105">
        <f>(SUM($AN17:$AY17)*(1+Dashboard!$O$23))/12</f>
        <v>2944.3215959999984</v>
      </c>
      <c r="BK17" s="105">
        <f>(SUM($AN17:$AY17)*(1+Dashboard!$O$23))/12</f>
        <v>2944.3215959999984</v>
      </c>
      <c r="BL17" s="105">
        <f>(SUM($AY17:$BJ17)*(1+Dashboard!$Q$23))/12</f>
        <v>2998.3008252599989</v>
      </c>
      <c r="BM17" s="105">
        <f>(SUM($AY17:$BJ17)*(1+Dashboard!$Q$23))/12</f>
        <v>2998.3008252599989</v>
      </c>
      <c r="BN17" s="105">
        <f>(SUM($AY17:$BJ17)*(1+Dashboard!$Q$23))/12</f>
        <v>2998.3008252599989</v>
      </c>
      <c r="BO17" s="105">
        <f>(SUM($AY17:$BJ17)*(1+Dashboard!$Q$23))/12</f>
        <v>2998.3008252599989</v>
      </c>
      <c r="BP17" s="105">
        <f>(SUM($AY17:$BJ17)*(1+Dashboard!$Q$23))/12</f>
        <v>2998.3008252599989</v>
      </c>
      <c r="BQ17" s="105">
        <f>(SUM($AY17:$BJ17)*(1+Dashboard!$Q$23))/12</f>
        <v>2998.3008252599989</v>
      </c>
      <c r="BR17" s="105">
        <f>(SUM($AY17:$BJ17)*(1+Dashboard!$Q$23))/12</f>
        <v>2998.3008252599989</v>
      </c>
      <c r="BS17" s="105">
        <f>(SUM($AY17:$BJ17)*(1+Dashboard!$Q$23))/12</f>
        <v>2998.3008252599989</v>
      </c>
      <c r="BT17" s="105">
        <f>(SUM($AY17:$BJ17)*(1+Dashboard!$Q$23))/12</f>
        <v>2998.3008252599989</v>
      </c>
      <c r="BU17" s="105">
        <f>(SUM($AY17:$BJ17)*(1+Dashboard!$Q$23))/12</f>
        <v>2998.3008252599989</v>
      </c>
      <c r="BV17" s="105">
        <f>(SUM($AY17:$BJ17)*(1+Dashboard!$Q$23))/12</f>
        <v>2998.3008252599989</v>
      </c>
      <c r="BW17" s="105">
        <f>(SUM($AZ17:$BK17)*(1+Dashboard!$Q$23))/12</f>
        <v>3003.2080279199986</v>
      </c>
      <c r="BX17" s="105">
        <f>(SUM($AZ17:$BK17)*(1+Dashboard!$Q$23))/12</f>
        <v>3003.2080279199986</v>
      </c>
      <c r="BY17" s="105">
        <f>(SUM($AZ17:$BK17)*(1+Dashboard!$Q$23))/12</f>
        <v>3003.2080279199986</v>
      </c>
      <c r="BZ17" s="105">
        <f>(SUM($AZ17:$BK17)*(1+Dashboard!$Q$23))/12</f>
        <v>3003.2080279199986</v>
      </c>
      <c r="CA17" s="105">
        <f>(SUM($AZ17:$BK17)*(1+Dashboard!$Q$23))/12</f>
        <v>3003.2080279199986</v>
      </c>
      <c r="CB17" s="105">
        <f>(SUM($AZ17:$BK17)*(1+Dashboard!$Q$23))/12</f>
        <v>3003.2080279199986</v>
      </c>
      <c r="CC17" s="105">
        <f>(SUM($AZ17:$BK17)*(1+Dashboard!$Q$23))/12</f>
        <v>3003.2080279199986</v>
      </c>
      <c r="CD17" s="105">
        <f>(SUM($AZ17:$BK17)*(1+Dashboard!$Q$23))/12</f>
        <v>3003.2080279199986</v>
      </c>
      <c r="CE17" s="105">
        <f>(SUM($AZ17:$BK17)*(1+Dashboard!$Q$23))/12</f>
        <v>3003.2080279199986</v>
      </c>
      <c r="CF17" s="105">
        <f>(SUM($AZ17:$BK17)*(1+Dashboard!$Q$23))/12</f>
        <v>3003.2080279199986</v>
      </c>
      <c r="CG17" s="105">
        <f>(SUM($AZ17:$BK17)*(1+Dashboard!$Q$23))/12</f>
        <v>3003.2080279199986</v>
      </c>
      <c r="CH17" s="105">
        <f>(SUM($AZ17:$BK17)*(1+Dashboard!$Q$23))/12</f>
        <v>3003.2080279199986</v>
      </c>
      <c r="CI17" s="105">
        <f>(SUM($AZ17:$BK17)*(1+Dashboard!$Q$23))/12</f>
        <v>3003.2080279199986</v>
      </c>
      <c r="CJ17" s="105">
        <f>(SUM($AZ17:$BK17)*(1+Dashboard!$Q$23))/12</f>
        <v>3003.2080279199986</v>
      </c>
      <c r="CK17" s="105">
        <f>(SUM($AZ17:$BK17)*(1+Dashboard!$Q$23))/12</f>
        <v>3003.2080279199986</v>
      </c>
      <c r="CL17" s="105">
        <f>(SUM($AZ17:$BK17)*(1+Dashboard!$Q$23))/12</f>
        <v>3003.2080279199986</v>
      </c>
      <c r="CM17" s="105">
        <f>(SUM($AZ17:$BK17)*(1+Dashboard!$Q$23))/12</f>
        <v>3003.2080279199986</v>
      </c>
      <c r="CN17" s="105">
        <f>(SUM($AZ17:$BK17)*(1+Dashboard!$Q$23))/12</f>
        <v>3003.2080279199986</v>
      </c>
      <c r="CO17" s="105">
        <f>(SUM($AZ17:$BK17)*(1+Dashboard!$Q$23))/12</f>
        <v>3003.2080279199986</v>
      </c>
      <c r="CP17" s="105">
        <f>(SUM($AZ17:$BK17)*(1+Dashboard!$Q$23))/12</f>
        <v>3003.2080279199986</v>
      </c>
    </row>
    <row r="18" spans="2:94">
      <c r="B18" s="74" t="str">
        <f>'Year-1 Proforma'!B16</f>
        <v>Parking Income</v>
      </c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105">
        <f>('Year-1 Proforma'!$C16/12)*(1+Dashboard!$I$23)</f>
        <v>7315</v>
      </c>
      <c r="Q18" s="105">
        <f>('Year-1 Proforma'!$C16/12)*(1+Dashboard!$I$23)</f>
        <v>7315</v>
      </c>
      <c r="R18" s="105">
        <f>('Year-1 Proforma'!$C16/12)*(1+Dashboard!$I$23)</f>
        <v>7315</v>
      </c>
      <c r="S18" s="105">
        <f>('Year-1 Proforma'!$C16/12)*(1+Dashboard!$I$23)</f>
        <v>7315</v>
      </c>
      <c r="T18" s="105">
        <f>('Year-1 Proforma'!$C16/12)*(1+Dashboard!$I$23)</f>
        <v>7315</v>
      </c>
      <c r="U18" s="105">
        <f>('Year-1 Proforma'!$C16/12)*(1+Dashboard!$I$23)</f>
        <v>7315</v>
      </c>
      <c r="V18" s="105">
        <f>('Year-1 Proforma'!$C16/12)*(1+Dashboard!$I$23)</f>
        <v>7315</v>
      </c>
      <c r="W18" s="105">
        <f>('Year-1 Proforma'!$C16/12)*(1+Dashboard!$I$23)</f>
        <v>7315</v>
      </c>
      <c r="X18" s="105">
        <f>('Year-1 Proforma'!$C16/12)*(1+Dashboard!$I$23)</f>
        <v>7315</v>
      </c>
      <c r="Y18" s="105">
        <f>('Year-1 Proforma'!$C16/12)*(1+Dashboard!$I$23)</f>
        <v>7315</v>
      </c>
      <c r="Z18" s="105">
        <f>('Year-1 Proforma'!$C16/12)*(1+Dashboard!$I$23)</f>
        <v>7315</v>
      </c>
      <c r="AA18" s="105">
        <f>('Year-1 Proforma'!$C16/12)*(1+Dashboard!$I$23)</f>
        <v>7315</v>
      </c>
      <c r="AB18" s="105">
        <f>(SUM($P18:$AA18)*(1+Dashboard!$K$23))/12</f>
        <v>7461.3</v>
      </c>
      <c r="AC18" s="105">
        <f>(SUM($P18:$AA18)*(1+Dashboard!$K$23))/12</f>
        <v>7461.3</v>
      </c>
      <c r="AD18" s="105">
        <f>(SUM($P18:$AA18)*(1+Dashboard!$K$23))/12</f>
        <v>7461.3</v>
      </c>
      <c r="AE18" s="105">
        <f>(SUM($P18:$AA18)*(1+Dashboard!$K$23))/12</f>
        <v>7461.3</v>
      </c>
      <c r="AF18" s="105">
        <f>(SUM($P18:$AA18)*(1+Dashboard!$K$23))/12</f>
        <v>7461.3</v>
      </c>
      <c r="AG18" s="105">
        <f>(SUM($P18:$AA18)*(1+Dashboard!$K$23))/12</f>
        <v>7461.3</v>
      </c>
      <c r="AH18" s="105">
        <f>(SUM($P18:$AA18)*(1+Dashboard!$K$23))/12</f>
        <v>7461.3</v>
      </c>
      <c r="AI18" s="105">
        <f>(SUM($P18:$AA18)*(1+Dashboard!$K$23))/12</f>
        <v>7461.3</v>
      </c>
      <c r="AJ18" s="105">
        <f>(SUM($P18:$AA18)*(1+Dashboard!$K$23))/12</f>
        <v>7461.3</v>
      </c>
      <c r="AK18" s="105">
        <f>(SUM($P18:$AA18)*(1+Dashboard!$K$23))/12</f>
        <v>7461.3</v>
      </c>
      <c r="AL18" s="105">
        <f>(SUM($P18:$AA18)*(1+Dashboard!$K$23))/12</f>
        <v>7461.3</v>
      </c>
      <c r="AM18" s="105">
        <f>(SUM($P18:$AA18)*(1+Dashboard!$K$23))/12</f>
        <v>7461.3</v>
      </c>
      <c r="AN18" s="105">
        <f>(SUM($AB18:$AM18)*(1+Dashboard!$M$23))/12</f>
        <v>7610.5260000000017</v>
      </c>
      <c r="AO18" s="105">
        <f>(SUM($AB18:$AM18)*(1+Dashboard!$M$23))/12</f>
        <v>7610.5260000000017</v>
      </c>
      <c r="AP18" s="105">
        <f>(SUM($AB18:$AM18)*(1+Dashboard!$M$23))/12</f>
        <v>7610.5260000000017</v>
      </c>
      <c r="AQ18" s="105">
        <f>(SUM($AB18:$AM18)*(1+Dashboard!$M$23))/12</f>
        <v>7610.5260000000017</v>
      </c>
      <c r="AR18" s="105">
        <f>(SUM($AB18:$AM18)*(1+Dashboard!$M$23))/12</f>
        <v>7610.5260000000017</v>
      </c>
      <c r="AS18" s="105">
        <f>(SUM($AB18:$AM18)*(1+Dashboard!$M$23))/12</f>
        <v>7610.5260000000017</v>
      </c>
      <c r="AT18" s="105">
        <f>(SUM($AB18:$AM18)*(1+Dashboard!$M$23))/12</f>
        <v>7610.5260000000017</v>
      </c>
      <c r="AU18" s="105">
        <f>(SUM($AB18:$AM18)*(1+Dashboard!$M$23))/12</f>
        <v>7610.5260000000017</v>
      </c>
      <c r="AV18" s="105">
        <f>(SUM($AB18:$AM18)*(1+Dashboard!$M$23))/12</f>
        <v>7610.5260000000017</v>
      </c>
      <c r="AW18" s="105">
        <f>(SUM($AB18:$AM18)*(1+Dashboard!$M$23))/12</f>
        <v>7610.5260000000017</v>
      </c>
      <c r="AX18" s="105">
        <f>(SUM($AB18:$AM18)*(1+Dashboard!$M$23))/12</f>
        <v>7610.5260000000017</v>
      </c>
      <c r="AY18" s="105">
        <f>(SUM($AB18:$AM18)*(1+Dashboard!$M$23))/12</f>
        <v>7610.5260000000017</v>
      </c>
      <c r="AZ18" s="105">
        <f>(SUM($AN18:$AY18)*(1+Dashboard!$O$23))/12</f>
        <v>7762.7365199999995</v>
      </c>
      <c r="BA18" s="105">
        <f>(SUM($AN18:$AY18)*(1+Dashboard!$O$23))/12</f>
        <v>7762.7365199999995</v>
      </c>
      <c r="BB18" s="105">
        <f>(SUM($AN18:$AY18)*(1+Dashboard!$O$23))/12</f>
        <v>7762.7365199999995</v>
      </c>
      <c r="BC18" s="105">
        <f>(SUM($AN18:$AY18)*(1+Dashboard!$O$23))/12</f>
        <v>7762.7365199999995</v>
      </c>
      <c r="BD18" s="105">
        <f>(SUM($AN18:$AY18)*(1+Dashboard!$O$23))/12</f>
        <v>7762.7365199999995</v>
      </c>
      <c r="BE18" s="105">
        <f>(SUM($AN18:$AY18)*(1+Dashboard!$O$23))/12</f>
        <v>7762.7365199999995</v>
      </c>
      <c r="BF18" s="105">
        <f>(SUM($AN18:$AY18)*(1+Dashboard!$O$23))/12</f>
        <v>7762.7365199999995</v>
      </c>
      <c r="BG18" s="105">
        <f>(SUM($AN18:$AY18)*(1+Dashboard!$O$23))/12</f>
        <v>7762.7365199999995</v>
      </c>
      <c r="BH18" s="105">
        <f>(SUM($AN18:$AY18)*(1+Dashboard!$O$23))/12</f>
        <v>7762.7365199999995</v>
      </c>
      <c r="BI18" s="105">
        <f>(SUM($AN18:$AY18)*(1+Dashboard!$O$23))/12</f>
        <v>7762.7365199999995</v>
      </c>
      <c r="BJ18" s="105">
        <f>(SUM($AN18:$AY18)*(1+Dashboard!$O$23))/12</f>
        <v>7762.7365199999995</v>
      </c>
      <c r="BK18" s="105">
        <f>(SUM($AN18:$AY18)*(1+Dashboard!$O$23))/12</f>
        <v>7762.7365199999995</v>
      </c>
      <c r="BL18" s="105">
        <f>(SUM($AY18:$BJ18)*(1+Dashboard!$Q$23))/12</f>
        <v>7905.0533562000019</v>
      </c>
      <c r="BM18" s="105">
        <f>(SUM($AY18:$BJ18)*(1+Dashboard!$Q$23))/12</f>
        <v>7905.0533562000019</v>
      </c>
      <c r="BN18" s="105">
        <f>(SUM($AY18:$BJ18)*(1+Dashboard!$Q$23))/12</f>
        <v>7905.0533562000019</v>
      </c>
      <c r="BO18" s="105">
        <f>(SUM($AY18:$BJ18)*(1+Dashboard!$Q$23))/12</f>
        <v>7905.0533562000019</v>
      </c>
      <c r="BP18" s="105">
        <f>(SUM($AY18:$BJ18)*(1+Dashboard!$Q$23))/12</f>
        <v>7905.0533562000019</v>
      </c>
      <c r="BQ18" s="105">
        <f>(SUM($AY18:$BJ18)*(1+Dashboard!$Q$23))/12</f>
        <v>7905.0533562000019</v>
      </c>
      <c r="BR18" s="105">
        <f>(SUM($AY18:$BJ18)*(1+Dashboard!$Q$23))/12</f>
        <v>7905.0533562000019</v>
      </c>
      <c r="BS18" s="105">
        <f>(SUM($AY18:$BJ18)*(1+Dashboard!$Q$23))/12</f>
        <v>7905.0533562000019</v>
      </c>
      <c r="BT18" s="105">
        <f>(SUM($AY18:$BJ18)*(1+Dashboard!$Q$23))/12</f>
        <v>7905.0533562000019</v>
      </c>
      <c r="BU18" s="105">
        <f>(SUM($AY18:$BJ18)*(1+Dashboard!$Q$23))/12</f>
        <v>7905.0533562000019</v>
      </c>
      <c r="BV18" s="105">
        <f>(SUM($AY18:$BJ18)*(1+Dashboard!$Q$23))/12</f>
        <v>7905.0533562000019</v>
      </c>
      <c r="BW18" s="105">
        <f>(SUM($AZ18:$BK18)*(1+Dashboard!$Q$23))/12</f>
        <v>7917.9912504000013</v>
      </c>
      <c r="BX18" s="105">
        <f>(SUM($AZ18:$BK18)*(1+Dashboard!$Q$23))/12</f>
        <v>7917.9912504000013</v>
      </c>
      <c r="BY18" s="105">
        <f>(SUM($AZ18:$BK18)*(1+Dashboard!$Q$23))/12</f>
        <v>7917.9912504000013</v>
      </c>
      <c r="BZ18" s="105">
        <f>(SUM($AZ18:$BK18)*(1+Dashboard!$Q$23))/12</f>
        <v>7917.9912504000013</v>
      </c>
      <c r="CA18" s="105">
        <f>(SUM($AZ18:$BK18)*(1+Dashboard!$Q$23))/12</f>
        <v>7917.9912504000013</v>
      </c>
      <c r="CB18" s="105">
        <f>(SUM($AZ18:$BK18)*(1+Dashboard!$Q$23))/12</f>
        <v>7917.9912504000013</v>
      </c>
      <c r="CC18" s="105">
        <f>(SUM($AZ18:$BK18)*(1+Dashboard!$Q$23))/12</f>
        <v>7917.9912504000013</v>
      </c>
      <c r="CD18" s="105">
        <f>(SUM($AZ18:$BK18)*(1+Dashboard!$Q$23))/12</f>
        <v>7917.9912504000013</v>
      </c>
      <c r="CE18" s="105">
        <f>(SUM($AZ18:$BK18)*(1+Dashboard!$Q$23))/12</f>
        <v>7917.9912504000013</v>
      </c>
      <c r="CF18" s="105">
        <f>(SUM($AZ18:$BK18)*(1+Dashboard!$Q$23))/12</f>
        <v>7917.9912504000013</v>
      </c>
      <c r="CG18" s="105">
        <f>(SUM($AZ18:$BK18)*(1+Dashboard!$Q$23))/12</f>
        <v>7917.9912504000013</v>
      </c>
      <c r="CH18" s="105">
        <f>(SUM($AZ18:$BK18)*(1+Dashboard!$Q$23))/12</f>
        <v>7917.9912504000013</v>
      </c>
      <c r="CI18" s="105">
        <f>(SUM($AZ18:$BK18)*(1+Dashboard!$Q$23))/12</f>
        <v>7917.9912504000013</v>
      </c>
      <c r="CJ18" s="105">
        <f>(SUM($AZ18:$BK18)*(1+Dashboard!$Q$23))/12</f>
        <v>7917.9912504000013</v>
      </c>
      <c r="CK18" s="105">
        <f>(SUM($AZ18:$BK18)*(1+Dashboard!$Q$23))/12</f>
        <v>7917.9912504000013</v>
      </c>
      <c r="CL18" s="105">
        <f>(SUM($AZ18:$BK18)*(1+Dashboard!$Q$23))/12</f>
        <v>7917.9912504000013</v>
      </c>
      <c r="CM18" s="105">
        <f>(SUM($AZ18:$BK18)*(1+Dashboard!$Q$23))/12</f>
        <v>7917.9912504000013</v>
      </c>
      <c r="CN18" s="105">
        <f>(SUM($AZ18:$BK18)*(1+Dashboard!$Q$23))/12</f>
        <v>7917.9912504000013</v>
      </c>
      <c r="CO18" s="105">
        <f>(SUM($AZ18:$BK18)*(1+Dashboard!$Q$23))/12</f>
        <v>7917.9912504000013</v>
      </c>
      <c r="CP18" s="105">
        <f>(SUM($AZ18:$BK18)*(1+Dashboard!$Q$23))/12</f>
        <v>7917.9912504000013</v>
      </c>
    </row>
    <row r="19" spans="2:94">
      <c r="B19" s="1" t="str">
        <f>'Year-1 Proforma'!B17</f>
        <v>Total Other Income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06">
        <f>SUM(P15:P18)</f>
        <v>15651.083333333332</v>
      </c>
      <c r="Q19" s="106">
        <f t="shared" ref="Q19:BK19" si="20">SUM(Q15:Q18)</f>
        <v>15651.083333333332</v>
      </c>
      <c r="R19" s="106">
        <f t="shared" si="20"/>
        <v>15651.083333333332</v>
      </c>
      <c r="S19" s="106">
        <f t="shared" si="20"/>
        <v>15651.083333333332</v>
      </c>
      <c r="T19" s="106">
        <f t="shared" si="20"/>
        <v>15651.083333333332</v>
      </c>
      <c r="U19" s="106">
        <f t="shared" si="20"/>
        <v>15651.083333333332</v>
      </c>
      <c r="V19" s="106">
        <f t="shared" si="20"/>
        <v>15651.083333333332</v>
      </c>
      <c r="W19" s="106">
        <f t="shared" si="20"/>
        <v>15651.083333333332</v>
      </c>
      <c r="X19" s="106">
        <f t="shared" si="20"/>
        <v>15651.083333333332</v>
      </c>
      <c r="Y19" s="106">
        <f t="shared" si="20"/>
        <v>15651.083333333332</v>
      </c>
      <c r="Z19" s="106">
        <f t="shared" si="20"/>
        <v>15651.083333333332</v>
      </c>
      <c r="AA19" s="106">
        <f t="shared" si="20"/>
        <v>15651.083333333332</v>
      </c>
      <c r="AB19" s="106">
        <f t="shared" si="20"/>
        <v>15964.105</v>
      </c>
      <c r="AC19" s="106">
        <f t="shared" si="20"/>
        <v>15964.105</v>
      </c>
      <c r="AD19" s="106">
        <f t="shared" si="20"/>
        <v>15964.105</v>
      </c>
      <c r="AE19" s="106">
        <f t="shared" si="20"/>
        <v>15964.105</v>
      </c>
      <c r="AF19" s="106">
        <f t="shared" si="20"/>
        <v>15964.105</v>
      </c>
      <c r="AG19" s="106">
        <f t="shared" si="20"/>
        <v>15964.105</v>
      </c>
      <c r="AH19" s="106">
        <f t="shared" si="20"/>
        <v>15964.105</v>
      </c>
      <c r="AI19" s="106">
        <f t="shared" si="20"/>
        <v>15964.105</v>
      </c>
      <c r="AJ19" s="106">
        <f t="shared" si="20"/>
        <v>15964.105</v>
      </c>
      <c r="AK19" s="106">
        <f t="shared" si="20"/>
        <v>15964.105</v>
      </c>
      <c r="AL19" s="106">
        <f t="shared" si="20"/>
        <v>15964.105</v>
      </c>
      <c r="AM19" s="106">
        <f t="shared" si="20"/>
        <v>15964.105</v>
      </c>
      <c r="AN19" s="106">
        <f t="shared" si="20"/>
        <v>16283.3871</v>
      </c>
      <c r="AO19" s="106">
        <f t="shared" si="20"/>
        <v>16283.3871</v>
      </c>
      <c r="AP19" s="106">
        <f t="shared" si="20"/>
        <v>16283.3871</v>
      </c>
      <c r="AQ19" s="106">
        <f t="shared" si="20"/>
        <v>16283.3871</v>
      </c>
      <c r="AR19" s="106">
        <f t="shared" si="20"/>
        <v>16283.3871</v>
      </c>
      <c r="AS19" s="106">
        <f t="shared" si="20"/>
        <v>16283.3871</v>
      </c>
      <c r="AT19" s="106">
        <f t="shared" si="20"/>
        <v>16283.3871</v>
      </c>
      <c r="AU19" s="106">
        <f t="shared" si="20"/>
        <v>16283.3871</v>
      </c>
      <c r="AV19" s="106">
        <f t="shared" si="20"/>
        <v>16283.3871</v>
      </c>
      <c r="AW19" s="106">
        <f t="shared" si="20"/>
        <v>16283.3871</v>
      </c>
      <c r="AX19" s="106">
        <f t="shared" si="20"/>
        <v>16283.3871</v>
      </c>
      <c r="AY19" s="106">
        <f t="shared" si="20"/>
        <v>16283.3871</v>
      </c>
      <c r="AZ19" s="106">
        <f t="shared" si="20"/>
        <v>16609.054841999994</v>
      </c>
      <c r="BA19" s="106">
        <f t="shared" si="20"/>
        <v>16609.054841999994</v>
      </c>
      <c r="BB19" s="106">
        <f t="shared" si="20"/>
        <v>16609.054841999994</v>
      </c>
      <c r="BC19" s="106">
        <f t="shared" si="20"/>
        <v>16609.054841999994</v>
      </c>
      <c r="BD19" s="106">
        <f t="shared" si="20"/>
        <v>16609.054841999994</v>
      </c>
      <c r="BE19" s="106">
        <f t="shared" si="20"/>
        <v>16609.054841999994</v>
      </c>
      <c r="BF19" s="106">
        <f t="shared" si="20"/>
        <v>16609.054841999994</v>
      </c>
      <c r="BG19" s="106">
        <f t="shared" si="20"/>
        <v>16609.054841999994</v>
      </c>
      <c r="BH19" s="106">
        <f t="shared" si="20"/>
        <v>16609.054841999994</v>
      </c>
      <c r="BI19" s="106">
        <f t="shared" si="20"/>
        <v>16609.054841999994</v>
      </c>
      <c r="BJ19" s="106">
        <f t="shared" si="20"/>
        <v>16609.054841999994</v>
      </c>
      <c r="BK19" s="106">
        <f t="shared" si="20"/>
        <v>16609.054841999994</v>
      </c>
      <c r="BL19" s="106">
        <f t="shared" ref="BL19:BW19" si="21">SUM(BL15:BL18)</f>
        <v>16913.554180769999</v>
      </c>
      <c r="BM19" s="106">
        <f t="shared" si="21"/>
        <v>16913.554180769999</v>
      </c>
      <c r="BN19" s="106">
        <f t="shared" si="21"/>
        <v>16913.554180769999</v>
      </c>
      <c r="BO19" s="106">
        <f t="shared" si="21"/>
        <v>16913.554180769999</v>
      </c>
      <c r="BP19" s="106">
        <f t="shared" si="21"/>
        <v>16913.554180769999</v>
      </c>
      <c r="BQ19" s="106">
        <f t="shared" si="21"/>
        <v>16913.554180769999</v>
      </c>
      <c r="BR19" s="106">
        <f t="shared" si="21"/>
        <v>16913.554180769999</v>
      </c>
      <c r="BS19" s="106">
        <f t="shared" si="21"/>
        <v>16913.554180769999</v>
      </c>
      <c r="BT19" s="106">
        <f t="shared" si="21"/>
        <v>16913.554180769999</v>
      </c>
      <c r="BU19" s="106">
        <f t="shared" si="21"/>
        <v>16913.554180769999</v>
      </c>
      <c r="BV19" s="106">
        <f t="shared" si="21"/>
        <v>16913.554180769999</v>
      </c>
      <c r="BW19" s="106">
        <f t="shared" si="21"/>
        <v>16941.235938839996</v>
      </c>
      <c r="BX19" s="106">
        <f t="shared" ref="BX19:CP19" si="22">SUM(BX15:BX18)</f>
        <v>16941.235938839996</v>
      </c>
      <c r="BY19" s="106">
        <f t="shared" si="22"/>
        <v>16941.235938839996</v>
      </c>
      <c r="BZ19" s="106">
        <f t="shared" si="22"/>
        <v>16941.235938839996</v>
      </c>
      <c r="CA19" s="106">
        <f t="shared" si="22"/>
        <v>16941.235938839996</v>
      </c>
      <c r="CB19" s="106">
        <f t="shared" si="22"/>
        <v>16941.235938839996</v>
      </c>
      <c r="CC19" s="106">
        <f t="shared" si="22"/>
        <v>16941.235938839996</v>
      </c>
      <c r="CD19" s="106">
        <f t="shared" si="22"/>
        <v>16941.235938839996</v>
      </c>
      <c r="CE19" s="106">
        <f t="shared" si="22"/>
        <v>16941.235938839996</v>
      </c>
      <c r="CF19" s="106">
        <f t="shared" si="22"/>
        <v>16941.235938839996</v>
      </c>
      <c r="CG19" s="106">
        <f t="shared" si="22"/>
        <v>16941.235938839996</v>
      </c>
      <c r="CH19" s="106">
        <f t="shared" si="22"/>
        <v>16941.235938839996</v>
      </c>
      <c r="CI19" s="106">
        <f t="shared" si="22"/>
        <v>16941.235938839996</v>
      </c>
      <c r="CJ19" s="106">
        <f t="shared" si="22"/>
        <v>16941.235938839996</v>
      </c>
      <c r="CK19" s="106">
        <f t="shared" si="22"/>
        <v>16941.235938839996</v>
      </c>
      <c r="CL19" s="106">
        <f t="shared" si="22"/>
        <v>16941.235938839996</v>
      </c>
      <c r="CM19" s="106">
        <f t="shared" si="22"/>
        <v>16941.235938839996</v>
      </c>
      <c r="CN19" s="106">
        <f t="shared" si="22"/>
        <v>16941.235938839996</v>
      </c>
      <c r="CO19" s="106">
        <f t="shared" si="22"/>
        <v>16941.235938839996</v>
      </c>
      <c r="CP19" s="106">
        <f t="shared" si="22"/>
        <v>16941.235938839996</v>
      </c>
    </row>
    <row r="20" spans="2:94" ht="6" customHeight="1"/>
    <row r="21" spans="2:94">
      <c r="B21" s="107" t="str">
        <f>'Year-1 Proforma'!B19</f>
        <v>Total Revenue</v>
      </c>
      <c r="C21" s="533"/>
      <c r="D21" s="533"/>
      <c r="E21" s="533"/>
      <c r="F21" s="533"/>
      <c r="G21" s="533"/>
      <c r="H21" s="533"/>
      <c r="I21" s="533"/>
      <c r="J21" s="533"/>
      <c r="K21" s="533"/>
      <c r="L21" s="533"/>
      <c r="M21" s="533"/>
      <c r="N21" s="533"/>
      <c r="O21" s="533"/>
      <c r="P21" s="108">
        <f>P12+P19</f>
        <v>579633.43999999994</v>
      </c>
      <c r="Q21" s="108">
        <f t="shared" ref="Q21:BK21" si="23">Q12+Q19</f>
        <v>579633.43999999994</v>
      </c>
      <c r="R21" s="108">
        <f t="shared" si="23"/>
        <v>579633.43999999994</v>
      </c>
      <c r="S21" s="108">
        <f t="shared" si="23"/>
        <v>579633.43999999994</v>
      </c>
      <c r="T21" s="108">
        <f t="shared" si="23"/>
        <v>579633.43999999994</v>
      </c>
      <c r="U21" s="108">
        <f>U12+U19</f>
        <v>579633.43999999994</v>
      </c>
      <c r="V21" s="108">
        <f t="shared" si="23"/>
        <v>579633.43999999994</v>
      </c>
      <c r="W21" s="108">
        <f t="shared" si="23"/>
        <v>579633.43999999994</v>
      </c>
      <c r="X21" s="108">
        <f t="shared" si="23"/>
        <v>579633.43999999994</v>
      </c>
      <c r="Y21" s="108">
        <f t="shared" si="23"/>
        <v>579633.43999999994</v>
      </c>
      <c r="Z21" s="108">
        <f t="shared" si="23"/>
        <v>579633.43999999994</v>
      </c>
      <c r="AA21" s="108">
        <f t="shared" si="23"/>
        <v>579633.43999999994</v>
      </c>
      <c r="AB21" s="108">
        <f t="shared" si="23"/>
        <v>596865.93236666673</v>
      </c>
      <c r="AC21" s="108">
        <f t="shared" si="23"/>
        <v>596865.93236666673</v>
      </c>
      <c r="AD21" s="108">
        <f t="shared" si="23"/>
        <v>596865.93236666673</v>
      </c>
      <c r="AE21" s="108">
        <f t="shared" si="23"/>
        <v>596865.93236666673</v>
      </c>
      <c r="AF21" s="108">
        <f t="shared" si="23"/>
        <v>596865.93236666673</v>
      </c>
      <c r="AG21" s="108">
        <f t="shared" si="23"/>
        <v>596865.93236666673</v>
      </c>
      <c r="AH21" s="108">
        <f t="shared" si="23"/>
        <v>596865.93236666673</v>
      </c>
      <c r="AI21" s="108">
        <f t="shared" si="23"/>
        <v>596865.93236666673</v>
      </c>
      <c r="AJ21" s="108">
        <f t="shared" si="23"/>
        <v>596865.93236666673</v>
      </c>
      <c r="AK21" s="108">
        <f t="shared" si="23"/>
        <v>596865.93236666673</v>
      </c>
      <c r="AL21" s="108">
        <f t="shared" si="23"/>
        <v>596865.93236666673</v>
      </c>
      <c r="AM21" s="108">
        <f t="shared" si="23"/>
        <v>596865.93236666673</v>
      </c>
      <c r="AN21" s="108">
        <f t="shared" si="23"/>
        <v>614612.26928766677</v>
      </c>
      <c r="AO21" s="108">
        <f t="shared" si="23"/>
        <v>614612.26928766677</v>
      </c>
      <c r="AP21" s="108">
        <f t="shared" si="23"/>
        <v>614612.26928766677</v>
      </c>
      <c r="AQ21" s="108">
        <f t="shared" si="23"/>
        <v>614612.26928766677</v>
      </c>
      <c r="AR21" s="108">
        <f t="shared" si="23"/>
        <v>614612.26928766677</v>
      </c>
      <c r="AS21" s="108">
        <f t="shared" si="23"/>
        <v>614612.26928766677</v>
      </c>
      <c r="AT21" s="108">
        <f t="shared" si="23"/>
        <v>614612.26928766677</v>
      </c>
      <c r="AU21" s="108">
        <f t="shared" si="23"/>
        <v>614612.26928766677</v>
      </c>
      <c r="AV21" s="108">
        <f t="shared" si="23"/>
        <v>614612.26928766677</v>
      </c>
      <c r="AW21" s="108">
        <f t="shared" si="23"/>
        <v>614612.26928766677</v>
      </c>
      <c r="AX21" s="108">
        <f t="shared" si="23"/>
        <v>614612.26928766677</v>
      </c>
      <c r="AY21" s="108">
        <f t="shared" si="23"/>
        <v>614612.26928766677</v>
      </c>
      <c r="AZ21" s="108">
        <f t="shared" si="23"/>
        <v>632887.80349529674</v>
      </c>
      <c r="BA21" s="108">
        <f t="shared" si="23"/>
        <v>632887.80349529674</v>
      </c>
      <c r="BB21" s="108">
        <f t="shared" si="23"/>
        <v>632887.80349529674</v>
      </c>
      <c r="BC21" s="108">
        <f t="shared" si="23"/>
        <v>632887.80349529674</v>
      </c>
      <c r="BD21" s="108">
        <f t="shared" si="23"/>
        <v>632887.80349529674</v>
      </c>
      <c r="BE21" s="108">
        <f t="shared" si="23"/>
        <v>632887.80349529674</v>
      </c>
      <c r="BF21" s="108">
        <f t="shared" si="23"/>
        <v>632887.80349529674</v>
      </c>
      <c r="BG21" s="108">
        <f t="shared" si="23"/>
        <v>632887.80349529674</v>
      </c>
      <c r="BH21" s="108">
        <f t="shared" si="23"/>
        <v>632887.80349529674</v>
      </c>
      <c r="BI21" s="108">
        <f t="shared" si="23"/>
        <v>632887.80349529674</v>
      </c>
      <c r="BJ21" s="108">
        <f t="shared" si="23"/>
        <v>632887.80349529674</v>
      </c>
      <c r="BK21" s="108">
        <f t="shared" si="23"/>
        <v>632887.80349529674</v>
      </c>
      <c r="BL21" s="108">
        <f t="shared" ref="BL21:BW21" si="24">BL12+BL19</f>
        <v>651680.6652936656</v>
      </c>
      <c r="BM21" s="108">
        <f t="shared" si="24"/>
        <v>651680.6652936656</v>
      </c>
      <c r="BN21" s="108">
        <f t="shared" si="24"/>
        <v>651680.6652936656</v>
      </c>
      <c r="BO21" s="108">
        <f t="shared" si="24"/>
        <v>651680.6652936656</v>
      </c>
      <c r="BP21" s="108">
        <f t="shared" si="24"/>
        <v>651680.6652936656</v>
      </c>
      <c r="BQ21" s="108">
        <f t="shared" si="24"/>
        <v>651680.6652936656</v>
      </c>
      <c r="BR21" s="108">
        <f t="shared" si="24"/>
        <v>651680.6652936656</v>
      </c>
      <c r="BS21" s="108">
        <f t="shared" si="24"/>
        <v>651680.6652936656</v>
      </c>
      <c r="BT21" s="108">
        <f t="shared" si="24"/>
        <v>651680.6652936656</v>
      </c>
      <c r="BU21" s="108">
        <f t="shared" si="24"/>
        <v>651680.6652936656</v>
      </c>
      <c r="BV21" s="108">
        <f t="shared" si="24"/>
        <v>651680.6652936656</v>
      </c>
      <c r="BW21" s="108">
        <f t="shared" si="24"/>
        <v>651708.34705173562</v>
      </c>
      <c r="BX21" s="108">
        <f t="shared" ref="BX21:CP21" si="25">BX12+BX19</f>
        <v>670751.36038512248</v>
      </c>
      <c r="BY21" s="108">
        <f t="shared" si="25"/>
        <v>670751.36038512248</v>
      </c>
      <c r="BZ21" s="108">
        <f t="shared" si="25"/>
        <v>670751.36038512248</v>
      </c>
      <c r="CA21" s="108">
        <f t="shared" si="25"/>
        <v>670751.36038512248</v>
      </c>
      <c r="CB21" s="108">
        <f t="shared" si="25"/>
        <v>670751.36038512248</v>
      </c>
      <c r="CC21" s="108">
        <f t="shared" si="25"/>
        <v>670751.36038512248</v>
      </c>
      <c r="CD21" s="108">
        <f t="shared" si="25"/>
        <v>670751.36038512248</v>
      </c>
      <c r="CE21" s="108">
        <f t="shared" si="25"/>
        <v>670751.36038512248</v>
      </c>
      <c r="CF21" s="108">
        <f t="shared" si="25"/>
        <v>670751.36038512248</v>
      </c>
      <c r="CG21" s="108">
        <f t="shared" si="25"/>
        <v>670751.36038512248</v>
      </c>
      <c r="CH21" s="108">
        <f t="shared" si="25"/>
        <v>670751.36038512248</v>
      </c>
      <c r="CI21" s="108">
        <f t="shared" si="25"/>
        <v>670751.36038512248</v>
      </c>
      <c r="CJ21" s="108">
        <f t="shared" si="25"/>
        <v>670751.36038512248</v>
      </c>
      <c r="CK21" s="108">
        <f t="shared" si="25"/>
        <v>670751.36038512248</v>
      </c>
      <c r="CL21" s="108">
        <f t="shared" si="25"/>
        <v>670751.36038512248</v>
      </c>
      <c r="CM21" s="108">
        <f t="shared" si="25"/>
        <v>670751.36038512248</v>
      </c>
      <c r="CN21" s="108">
        <f t="shared" si="25"/>
        <v>670751.36038512248</v>
      </c>
      <c r="CO21" s="108">
        <f t="shared" si="25"/>
        <v>670751.36038512248</v>
      </c>
      <c r="CP21" s="108">
        <f t="shared" si="25"/>
        <v>670751.36038512248</v>
      </c>
    </row>
    <row r="22" spans="2:94" ht="9.75" customHeight="1"/>
    <row r="23" spans="2:94">
      <c r="B23" s="17" t="str">
        <f>'Year-1 Proforma'!B21</f>
        <v>Expenses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</row>
    <row r="24" spans="2:94">
      <c r="B24" s="30" t="str">
        <f>'Year-1 Proforma'!B22</f>
        <v>Controllable</v>
      </c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</row>
    <row r="25" spans="2:94">
      <c r="B25" s="74" t="str">
        <f>'Year-1 Proforma'!B23</f>
        <v>General &amp; Administrative</v>
      </c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792"/>
      <c r="P25" s="105">
        <f>('Year-1 Proforma'!$C23*(1+Dashboard!$I$24))/12</f>
        <v>4956</v>
      </c>
      <c r="Q25" s="105">
        <f>('Year-1 Proforma'!$C23*(1+Dashboard!$I$24))/12</f>
        <v>4956</v>
      </c>
      <c r="R25" s="105">
        <f>('Year-1 Proforma'!$C23*(1+Dashboard!$I$24))/12</f>
        <v>4956</v>
      </c>
      <c r="S25" s="105">
        <f>('Year-1 Proforma'!$C23*(1+Dashboard!$I$24))/12</f>
        <v>4956</v>
      </c>
      <c r="T25" s="105">
        <f>('Year-1 Proforma'!$C23*(1+Dashboard!$I$24))/12</f>
        <v>4956</v>
      </c>
      <c r="U25" s="105">
        <f>('Year-1 Proforma'!$C23*(1+Dashboard!$I$24))/12</f>
        <v>4956</v>
      </c>
      <c r="V25" s="105">
        <f>('Year-1 Proforma'!$C23*(1+Dashboard!$I$24))/12</f>
        <v>4956</v>
      </c>
      <c r="W25" s="105">
        <f>('Year-1 Proforma'!$C23*(1+Dashboard!$I$24))/12</f>
        <v>4956</v>
      </c>
      <c r="X25" s="105">
        <f>('Year-1 Proforma'!$C23*(1+Dashboard!$I$24))/12</f>
        <v>4956</v>
      </c>
      <c r="Y25" s="105">
        <f>('Year-1 Proforma'!$C23*(1+Dashboard!$I$24))/12</f>
        <v>4956</v>
      </c>
      <c r="Z25" s="105">
        <f>('Year-1 Proforma'!$C23*(1+Dashboard!$I$24))/12</f>
        <v>4956</v>
      </c>
      <c r="AA25" s="105">
        <f>('Year-1 Proforma'!$C23*(1+Dashboard!$I$24))/12</f>
        <v>4956</v>
      </c>
      <c r="AB25" s="105">
        <f>(SUM($P25:$AA25)*(1+Dashboard!$K$24))/12</f>
        <v>5055.12</v>
      </c>
      <c r="AC25" s="105">
        <f>(SUM($P25:$AA25)*(1+Dashboard!$K$24))/12</f>
        <v>5055.12</v>
      </c>
      <c r="AD25" s="105">
        <f>(SUM($P25:$AA25)*(1+Dashboard!$K$24))/12</f>
        <v>5055.12</v>
      </c>
      <c r="AE25" s="105">
        <f>(SUM($P25:$AA25)*(1+Dashboard!$K$24))/12</f>
        <v>5055.12</v>
      </c>
      <c r="AF25" s="105">
        <f>(SUM($P25:$AA25)*(1+Dashboard!$K$24))/12</f>
        <v>5055.12</v>
      </c>
      <c r="AG25" s="105">
        <f>(SUM($P25:$AA25)*(1+Dashboard!$K$24))/12</f>
        <v>5055.12</v>
      </c>
      <c r="AH25" s="105">
        <f>(SUM($P25:$AA25)*(1+Dashboard!$K$24))/12</f>
        <v>5055.12</v>
      </c>
      <c r="AI25" s="105">
        <f>(SUM($P25:$AA25)*(1+Dashboard!$K$24))/12</f>
        <v>5055.12</v>
      </c>
      <c r="AJ25" s="105">
        <f>(SUM($P25:$AA25)*(1+Dashboard!$K$24))/12</f>
        <v>5055.12</v>
      </c>
      <c r="AK25" s="105">
        <f>(SUM($P25:$AA25)*(1+Dashboard!$K$24))/12</f>
        <v>5055.12</v>
      </c>
      <c r="AL25" s="105">
        <f>(SUM($P25:$AA25)*(1+Dashboard!$K$24))/12</f>
        <v>5055.12</v>
      </c>
      <c r="AM25" s="105">
        <f>(SUM($P25:$AA25)*(1+Dashboard!$K$24))/12</f>
        <v>5055.12</v>
      </c>
      <c r="AN25" s="105">
        <f>(SUM($AB25:$AM25)*(1+Dashboard!$M$24))/12</f>
        <v>5156.2224000000015</v>
      </c>
      <c r="AO25" s="105">
        <f>(SUM($AB25:$AM25)*(1+Dashboard!$M$24))/12</f>
        <v>5156.2224000000015</v>
      </c>
      <c r="AP25" s="105">
        <f>(SUM($AB25:$AM25)*(1+Dashboard!$M$24))/12</f>
        <v>5156.2224000000015</v>
      </c>
      <c r="AQ25" s="105">
        <f>(SUM($AB25:$AM25)*(1+Dashboard!$M$24))/12</f>
        <v>5156.2224000000015</v>
      </c>
      <c r="AR25" s="105">
        <f>(SUM($AB25:$AM25)*(1+Dashboard!$M$24))/12</f>
        <v>5156.2224000000015</v>
      </c>
      <c r="AS25" s="105">
        <f>(SUM($AB25:$AM25)*(1+Dashboard!$M$24))/12</f>
        <v>5156.2224000000015</v>
      </c>
      <c r="AT25" s="105">
        <f>(SUM($AB25:$AM25)*(1+Dashboard!$M$24))/12</f>
        <v>5156.2224000000015</v>
      </c>
      <c r="AU25" s="105">
        <f>(SUM($AB25:$AM25)*(1+Dashboard!$M$24))/12</f>
        <v>5156.2224000000015</v>
      </c>
      <c r="AV25" s="105">
        <f>(SUM($AB25:$AM25)*(1+Dashboard!$M$24))/12</f>
        <v>5156.2224000000015</v>
      </c>
      <c r="AW25" s="105">
        <f>(SUM($AB25:$AM25)*(1+Dashboard!$M$24))/12</f>
        <v>5156.2224000000015</v>
      </c>
      <c r="AX25" s="105">
        <f>(SUM($AB25:$AM25)*(1+Dashboard!$M$24))/12</f>
        <v>5156.2224000000015</v>
      </c>
      <c r="AY25" s="105">
        <f>(SUM($AB25:$AM25)*(1+Dashboard!$M$24))/12</f>
        <v>5156.2224000000015</v>
      </c>
      <c r="AZ25" s="105">
        <f>(SUM($AN25:$AY25)*(1+Dashboard!$O$24))/12</f>
        <v>5259.3468480000001</v>
      </c>
      <c r="BA25" s="105">
        <f>(SUM($AN25:$AY25)*(1+Dashboard!$O$24))/12</f>
        <v>5259.3468480000001</v>
      </c>
      <c r="BB25" s="105">
        <f>(SUM($AN25:$AY25)*(1+Dashboard!$O$24))/12</f>
        <v>5259.3468480000001</v>
      </c>
      <c r="BC25" s="105">
        <f>(SUM($AN25:$AY25)*(1+Dashboard!$O$24))/12</f>
        <v>5259.3468480000001</v>
      </c>
      <c r="BD25" s="105">
        <f>(SUM($AN25:$AY25)*(1+Dashboard!$O$24))/12</f>
        <v>5259.3468480000001</v>
      </c>
      <c r="BE25" s="105">
        <f>(SUM($AN25:$AY25)*(1+Dashboard!$O$24))/12</f>
        <v>5259.3468480000001</v>
      </c>
      <c r="BF25" s="105">
        <f>(SUM($AN25:$AY25)*(1+Dashboard!$O$24))/12</f>
        <v>5259.3468480000001</v>
      </c>
      <c r="BG25" s="105">
        <f>(SUM($AN25:$AY25)*(1+Dashboard!$O$24))/12</f>
        <v>5259.3468480000001</v>
      </c>
      <c r="BH25" s="105">
        <f>(SUM($AN25:$AY25)*(1+Dashboard!$O$24))/12</f>
        <v>5259.3468480000001</v>
      </c>
      <c r="BI25" s="105">
        <f>(SUM($AN25:$AY25)*(1+Dashboard!$O$24))/12</f>
        <v>5259.3468480000001</v>
      </c>
      <c r="BJ25" s="105">
        <f>(SUM($AN25:$AY25)*(1+Dashboard!$O$24))/12</f>
        <v>5259.3468480000001</v>
      </c>
      <c r="BK25" s="105">
        <f>(SUM($AN25:$AY25)*(1+Dashboard!$O$24))/12</f>
        <v>5259.3468480000001</v>
      </c>
      <c r="BL25" s="105">
        <f>(SUM($AZ25:$BK25)*(1+Dashboard!$Q$24))/12</f>
        <v>5364.533784960001</v>
      </c>
      <c r="BM25" s="105">
        <f>(SUM($AZ25:$BK25)*(1+Dashboard!$Q$24))/12</f>
        <v>5364.533784960001</v>
      </c>
      <c r="BN25" s="105">
        <f>(SUM($AZ25:$BK25)*(1+Dashboard!$Q$24))/12</f>
        <v>5364.533784960001</v>
      </c>
      <c r="BO25" s="105">
        <f>(SUM($AZ25:$BK25)*(1+Dashboard!$Q$24))/12</f>
        <v>5364.533784960001</v>
      </c>
      <c r="BP25" s="105">
        <f>(SUM($AZ25:$BK25)*(1+Dashboard!$Q$24))/12</f>
        <v>5364.533784960001</v>
      </c>
      <c r="BQ25" s="105">
        <f>(SUM($AZ25:$BK25)*(1+Dashboard!$Q$24))/12</f>
        <v>5364.533784960001</v>
      </c>
      <c r="BR25" s="105">
        <f>(SUM($AZ25:$BK25)*(1+Dashboard!$Q$24))/12</f>
        <v>5364.533784960001</v>
      </c>
      <c r="BS25" s="105">
        <f>(SUM($AZ25:$BK25)*(1+Dashboard!$Q$24))/12</f>
        <v>5364.533784960001</v>
      </c>
      <c r="BT25" s="105">
        <f>(SUM($AZ25:$BK25)*(1+Dashboard!$Q$24))/12</f>
        <v>5364.533784960001</v>
      </c>
      <c r="BU25" s="105">
        <f>(SUM($AZ25:$BK25)*(1+Dashboard!$Q$24))/12</f>
        <v>5364.533784960001</v>
      </c>
      <c r="BV25" s="105">
        <f>(SUM($AZ25:$BK25)*(1+Dashboard!$Q$24))/12</f>
        <v>5364.533784960001</v>
      </c>
      <c r="BW25" s="105">
        <f>(SUM($AZ25:$BK25)*(1+Dashboard!$Q$24))/12</f>
        <v>5364.533784960001</v>
      </c>
      <c r="BX25" s="105">
        <f>(SUM($AZ25:$BK25)*(1+Dashboard!$Q$24))/12</f>
        <v>5364.533784960001</v>
      </c>
      <c r="BY25" s="105">
        <f>(SUM($AZ25:$BK25)*(1+Dashboard!$Q$24))/12</f>
        <v>5364.533784960001</v>
      </c>
      <c r="BZ25" s="105">
        <f>(SUM($AZ25:$BK25)*(1+Dashboard!$Q$24))/12</f>
        <v>5364.533784960001</v>
      </c>
      <c r="CA25" s="105">
        <f>(SUM($AZ25:$BK25)*(1+Dashboard!$Q$24))/12</f>
        <v>5364.533784960001</v>
      </c>
      <c r="CB25" s="105">
        <f>(SUM($AZ25:$BK25)*(1+Dashboard!$Q$24))/12</f>
        <v>5364.533784960001</v>
      </c>
      <c r="CC25" s="105">
        <f>(SUM($AZ25:$BK25)*(1+Dashboard!$Q$24))/12</f>
        <v>5364.533784960001</v>
      </c>
      <c r="CD25" s="105">
        <f>(SUM($AZ25:$BK25)*(1+Dashboard!$Q$24))/12</f>
        <v>5364.533784960001</v>
      </c>
      <c r="CE25" s="105">
        <f>(SUM($AZ25:$BK25)*(1+Dashboard!$Q$24))/12</f>
        <v>5364.533784960001</v>
      </c>
      <c r="CF25" s="105">
        <f>(SUM($AZ25:$BK25)*(1+Dashboard!$Q$24))/12</f>
        <v>5364.533784960001</v>
      </c>
      <c r="CG25" s="105">
        <f>(SUM($AZ25:$BK25)*(1+Dashboard!$Q$24))/12</f>
        <v>5364.533784960001</v>
      </c>
      <c r="CH25" s="105">
        <f>(SUM($AZ25:$BK25)*(1+Dashboard!$Q$24))/12</f>
        <v>5364.533784960001</v>
      </c>
      <c r="CI25" s="105">
        <f>(SUM($AZ25:$BK25)*(1+Dashboard!$Q$24))/12</f>
        <v>5364.533784960001</v>
      </c>
      <c r="CJ25" s="105">
        <f>(SUM($AZ25:$BK25)*(1+Dashboard!$Q$24))/12</f>
        <v>5364.533784960001</v>
      </c>
      <c r="CK25" s="105">
        <f>(SUM($AZ25:$BK25)*(1+Dashboard!$Q$24))/12</f>
        <v>5364.533784960001</v>
      </c>
      <c r="CL25" s="105">
        <f>(SUM($AZ25:$BK25)*(1+Dashboard!$Q$24))/12</f>
        <v>5364.533784960001</v>
      </c>
      <c r="CM25" s="105">
        <f>(SUM($AZ25:$BK25)*(1+Dashboard!$Q$24))/12</f>
        <v>5364.533784960001</v>
      </c>
      <c r="CN25" s="105">
        <f>(SUM($AZ25:$BK25)*(1+Dashboard!$Q$24))/12</f>
        <v>5364.533784960001</v>
      </c>
      <c r="CO25" s="105">
        <f>(SUM($AZ25:$BK25)*(1+Dashboard!$Q$24))/12</f>
        <v>5364.533784960001</v>
      </c>
      <c r="CP25" s="105">
        <f>(SUM($AZ25:$BK25)*(1+Dashboard!$Q$24))/12</f>
        <v>5364.533784960001</v>
      </c>
    </row>
    <row r="26" spans="2:94">
      <c r="B26" s="74" t="str">
        <f>'Year-1 Proforma'!B24</f>
        <v>Payroll &amp; Benefits</v>
      </c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792"/>
      <c r="P26" s="105">
        <f>('Year-1 Proforma'!$C24*(1+Dashboard!$I$24))/12</f>
        <v>30474.5</v>
      </c>
      <c r="Q26" s="105">
        <f>('Year-1 Proforma'!$C24*(1+Dashboard!$I$24))/12</f>
        <v>30474.5</v>
      </c>
      <c r="R26" s="105">
        <f>('Year-1 Proforma'!$C24*(1+Dashboard!$I$24))/12</f>
        <v>30474.5</v>
      </c>
      <c r="S26" s="105">
        <f>('Year-1 Proforma'!$C24*(1+Dashboard!$I$24))/12</f>
        <v>30474.5</v>
      </c>
      <c r="T26" s="105">
        <f>('Year-1 Proforma'!$C24*(1+Dashboard!$I$24))/12</f>
        <v>30474.5</v>
      </c>
      <c r="U26" s="105">
        <f>('Year-1 Proforma'!$C24*(1+Dashboard!$I$24))/12</f>
        <v>30474.5</v>
      </c>
      <c r="V26" s="105">
        <f>('Year-1 Proforma'!$C24*(1+Dashboard!$I$24))/12</f>
        <v>30474.5</v>
      </c>
      <c r="W26" s="105">
        <f>('Year-1 Proforma'!$C24*(1+Dashboard!$I$24))/12</f>
        <v>30474.5</v>
      </c>
      <c r="X26" s="105">
        <f>('Year-1 Proforma'!$C24*(1+Dashboard!$I$24))/12</f>
        <v>30474.5</v>
      </c>
      <c r="Y26" s="105">
        <f>('Year-1 Proforma'!$C24*(1+Dashboard!$I$24))/12</f>
        <v>30474.5</v>
      </c>
      <c r="Z26" s="105">
        <f>('Year-1 Proforma'!$C24*(1+Dashboard!$I$24))/12</f>
        <v>30474.5</v>
      </c>
      <c r="AA26" s="105">
        <f>('Year-1 Proforma'!$C24*(1+Dashboard!$I$24))/12</f>
        <v>30474.5</v>
      </c>
      <c r="AB26" s="105">
        <f>(SUM($P26:$AA26)*(1+Dashboard!$K$24))/12</f>
        <v>31083.99</v>
      </c>
      <c r="AC26" s="105">
        <f>(SUM($P26:$AA26)*(1+Dashboard!$K$24))/12</f>
        <v>31083.99</v>
      </c>
      <c r="AD26" s="105">
        <f>(SUM($P26:$AA26)*(1+Dashboard!$K$24))/12</f>
        <v>31083.99</v>
      </c>
      <c r="AE26" s="105">
        <f>(SUM($P26:$AA26)*(1+Dashboard!$K$24))/12</f>
        <v>31083.99</v>
      </c>
      <c r="AF26" s="105">
        <f>(SUM($P26:$AA26)*(1+Dashboard!$K$24))/12</f>
        <v>31083.99</v>
      </c>
      <c r="AG26" s="105">
        <f>(SUM($P26:$AA26)*(1+Dashboard!$K$24))/12</f>
        <v>31083.99</v>
      </c>
      <c r="AH26" s="105">
        <f>(SUM($P26:$AA26)*(1+Dashboard!$K$24))/12</f>
        <v>31083.99</v>
      </c>
      <c r="AI26" s="105">
        <f>(SUM($P26:$AA26)*(1+Dashboard!$K$24))/12</f>
        <v>31083.99</v>
      </c>
      <c r="AJ26" s="105">
        <f>(SUM($P26:$AA26)*(1+Dashboard!$K$24))/12</f>
        <v>31083.99</v>
      </c>
      <c r="AK26" s="105">
        <f>(SUM($P26:$AA26)*(1+Dashboard!$K$24))/12</f>
        <v>31083.99</v>
      </c>
      <c r="AL26" s="105">
        <f>(SUM($P26:$AA26)*(1+Dashboard!$K$24))/12</f>
        <v>31083.99</v>
      </c>
      <c r="AM26" s="105">
        <f>(SUM($P26:$AA26)*(1+Dashboard!$K$24))/12</f>
        <v>31083.99</v>
      </c>
      <c r="AN26" s="105">
        <f>(SUM($AB26:$AM26)*(1+Dashboard!$M$24))/12</f>
        <v>31705.669799999992</v>
      </c>
      <c r="AO26" s="105">
        <f>(SUM($AB26:$AM26)*(1+Dashboard!$M$24))/12</f>
        <v>31705.669799999992</v>
      </c>
      <c r="AP26" s="105">
        <f>(SUM($AB26:$AM26)*(1+Dashboard!$M$24))/12</f>
        <v>31705.669799999992</v>
      </c>
      <c r="AQ26" s="105">
        <f>(SUM($AB26:$AM26)*(1+Dashboard!$M$24))/12</f>
        <v>31705.669799999992</v>
      </c>
      <c r="AR26" s="105">
        <f>(SUM($AB26:$AM26)*(1+Dashboard!$M$24))/12</f>
        <v>31705.669799999992</v>
      </c>
      <c r="AS26" s="105">
        <f>(SUM($AB26:$AM26)*(1+Dashboard!$M$24))/12</f>
        <v>31705.669799999992</v>
      </c>
      <c r="AT26" s="105">
        <f>(SUM($AB26:$AM26)*(1+Dashboard!$M$24))/12</f>
        <v>31705.669799999992</v>
      </c>
      <c r="AU26" s="105">
        <f>(SUM($AB26:$AM26)*(1+Dashboard!$M$24))/12</f>
        <v>31705.669799999992</v>
      </c>
      <c r="AV26" s="105">
        <f>(SUM($AB26:$AM26)*(1+Dashboard!$M$24))/12</f>
        <v>31705.669799999992</v>
      </c>
      <c r="AW26" s="105">
        <f>(SUM($AB26:$AM26)*(1+Dashboard!$M$24))/12</f>
        <v>31705.669799999992</v>
      </c>
      <c r="AX26" s="105">
        <f>(SUM($AB26:$AM26)*(1+Dashboard!$M$24))/12</f>
        <v>31705.669799999992</v>
      </c>
      <c r="AY26" s="105">
        <f>(SUM($AB26:$AM26)*(1+Dashboard!$M$24))/12</f>
        <v>31705.669799999992</v>
      </c>
      <c r="AZ26" s="105">
        <f>(SUM($AN26:$AY26)*(1+Dashboard!$O$24))/12</f>
        <v>32339.783195999989</v>
      </c>
      <c r="BA26" s="105">
        <f>(SUM($AN26:$AY26)*(1+Dashboard!$O$24))/12</f>
        <v>32339.783195999989</v>
      </c>
      <c r="BB26" s="105">
        <f>(SUM($AN26:$AY26)*(1+Dashboard!$O$24))/12</f>
        <v>32339.783195999989</v>
      </c>
      <c r="BC26" s="105">
        <f>(SUM($AN26:$AY26)*(1+Dashboard!$O$24))/12</f>
        <v>32339.783195999989</v>
      </c>
      <c r="BD26" s="105">
        <f>(SUM($AN26:$AY26)*(1+Dashboard!$O$24))/12</f>
        <v>32339.783195999989</v>
      </c>
      <c r="BE26" s="105">
        <f>(SUM($AN26:$AY26)*(1+Dashboard!$O$24))/12</f>
        <v>32339.783195999989</v>
      </c>
      <c r="BF26" s="105">
        <f>(SUM($AN26:$AY26)*(1+Dashboard!$O$24))/12</f>
        <v>32339.783195999989</v>
      </c>
      <c r="BG26" s="105">
        <f>(SUM($AN26:$AY26)*(1+Dashboard!$O$24))/12</f>
        <v>32339.783195999989</v>
      </c>
      <c r="BH26" s="105">
        <f>(SUM($AN26:$AY26)*(1+Dashboard!$O$24))/12</f>
        <v>32339.783195999989</v>
      </c>
      <c r="BI26" s="105">
        <f>(SUM($AN26:$AY26)*(1+Dashboard!$O$24))/12</f>
        <v>32339.783195999989</v>
      </c>
      <c r="BJ26" s="105">
        <f>(SUM($AN26:$AY26)*(1+Dashboard!$O$24))/12</f>
        <v>32339.783195999989</v>
      </c>
      <c r="BK26" s="105">
        <f>(SUM($AN26:$AY26)*(1+Dashboard!$O$24))/12</f>
        <v>32339.783195999989</v>
      </c>
      <c r="BL26" s="105">
        <f>(SUM($AZ26:$BK26)*(1+Dashboard!$Q$24))/12</f>
        <v>32986.57885991998</v>
      </c>
      <c r="BM26" s="105">
        <f>(SUM($AZ26:$BK26)*(1+Dashboard!$Q$24))/12</f>
        <v>32986.57885991998</v>
      </c>
      <c r="BN26" s="105">
        <f>(SUM($AZ26:$BK26)*(1+Dashboard!$Q$24))/12</f>
        <v>32986.57885991998</v>
      </c>
      <c r="BO26" s="105">
        <f>(SUM($AZ26:$BK26)*(1+Dashboard!$Q$24))/12</f>
        <v>32986.57885991998</v>
      </c>
      <c r="BP26" s="105">
        <f>(SUM($AZ26:$BK26)*(1+Dashboard!$Q$24))/12</f>
        <v>32986.57885991998</v>
      </c>
      <c r="BQ26" s="105">
        <f>(SUM($AZ26:$BK26)*(1+Dashboard!$Q$24))/12</f>
        <v>32986.57885991998</v>
      </c>
      <c r="BR26" s="105">
        <f>(SUM($AZ26:$BK26)*(1+Dashboard!$Q$24))/12</f>
        <v>32986.57885991998</v>
      </c>
      <c r="BS26" s="105">
        <f>(SUM($AZ26:$BK26)*(1+Dashboard!$Q$24))/12</f>
        <v>32986.57885991998</v>
      </c>
      <c r="BT26" s="105">
        <f>(SUM($AZ26:$BK26)*(1+Dashboard!$Q$24))/12</f>
        <v>32986.57885991998</v>
      </c>
      <c r="BU26" s="105">
        <f>(SUM($AZ26:$BK26)*(1+Dashboard!$Q$24))/12</f>
        <v>32986.57885991998</v>
      </c>
      <c r="BV26" s="105">
        <f>(SUM($AZ26:$BK26)*(1+Dashboard!$Q$24))/12</f>
        <v>32986.57885991998</v>
      </c>
      <c r="BW26" s="105">
        <f>(SUM($AZ26:$BK26)*(1+Dashboard!$Q$24))/12</f>
        <v>32986.57885991998</v>
      </c>
      <c r="BX26" s="105">
        <f>(SUM($AZ26:$BK26)*(1+Dashboard!$Q$24))/12</f>
        <v>32986.57885991998</v>
      </c>
      <c r="BY26" s="105">
        <f>(SUM($AZ26:$BK26)*(1+Dashboard!$Q$24))/12</f>
        <v>32986.57885991998</v>
      </c>
      <c r="BZ26" s="105">
        <f>(SUM($AZ26:$BK26)*(1+Dashboard!$Q$24))/12</f>
        <v>32986.57885991998</v>
      </c>
      <c r="CA26" s="105">
        <f>(SUM($AZ26:$BK26)*(1+Dashboard!$Q$24))/12</f>
        <v>32986.57885991998</v>
      </c>
      <c r="CB26" s="105">
        <f>(SUM($AZ26:$BK26)*(1+Dashboard!$Q$24))/12</f>
        <v>32986.57885991998</v>
      </c>
      <c r="CC26" s="105">
        <f>(SUM($AZ26:$BK26)*(1+Dashboard!$Q$24))/12</f>
        <v>32986.57885991998</v>
      </c>
      <c r="CD26" s="105">
        <f>(SUM($AZ26:$BK26)*(1+Dashboard!$Q$24))/12</f>
        <v>32986.57885991998</v>
      </c>
      <c r="CE26" s="105">
        <f>(SUM($AZ26:$BK26)*(1+Dashboard!$Q$24))/12</f>
        <v>32986.57885991998</v>
      </c>
      <c r="CF26" s="105">
        <f>(SUM($AZ26:$BK26)*(1+Dashboard!$Q$24))/12</f>
        <v>32986.57885991998</v>
      </c>
      <c r="CG26" s="105">
        <f>(SUM($AZ26:$BK26)*(1+Dashboard!$Q$24))/12</f>
        <v>32986.57885991998</v>
      </c>
      <c r="CH26" s="105">
        <f>(SUM($AZ26:$BK26)*(1+Dashboard!$Q$24))/12</f>
        <v>32986.57885991998</v>
      </c>
      <c r="CI26" s="105">
        <f>(SUM($AZ26:$BK26)*(1+Dashboard!$Q$24))/12</f>
        <v>32986.57885991998</v>
      </c>
      <c r="CJ26" s="105">
        <f>(SUM($AZ26:$BK26)*(1+Dashboard!$Q$24))/12</f>
        <v>32986.57885991998</v>
      </c>
      <c r="CK26" s="105">
        <f>(SUM($AZ26:$BK26)*(1+Dashboard!$Q$24))/12</f>
        <v>32986.57885991998</v>
      </c>
      <c r="CL26" s="105">
        <f>(SUM($AZ26:$BK26)*(1+Dashboard!$Q$24))/12</f>
        <v>32986.57885991998</v>
      </c>
      <c r="CM26" s="105">
        <f>(SUM($AZ26:$BK26)*(1+Dashboard!$Q$24))/12</f>
        <v>32986.57885991998</v>
      </c>
      <c r="CN26" s="105">
        <f>(SUM($AZ26:$BK26)*(1+Dashboard!$Q$24))/12</f>
        <v>32986.57885991998</v>
      </c>
      <c r="CO26" s="105">
        <f>(SUM($AZ26:$BK26)*(1+Dashboard!$Q$24))/12</f>
        <v>32986.57885991998</v>
      </c>
      <c r="CP26" s="105">
        <f>(SUM($AZ26:$BK26)*(1+Dashboard!$Q$24))/12</f>
        <v>32986.57885991998</v>
      </c>
    </row>
    <row r="27" spans="2:94">
      <c r="B27" s="74" t="str">
        <f>'Year-1 Proforma'!B26</f>
        <v>Leasing &amp; Marketing</v>
      </c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92"/>
      <c r="P27" s="105">
        <f>('Year-1 Proforma'!$C26*(1+Dashboard!$I$24))/12</f>
        <v>6593.25</v>
      </c>
      <c r="Q27" s="105">
        <f>('Year-1 Proforma'!$C26*(1+Dashboard!$I$24))/12</f>
        <v>6593.25</v>
      </c>
      <c r="R27" s="105">
        <f>('Year-1 Proforma'!$C26*(1+Dashboard!$I$24))/12</f>
        <v>6593.25</v>
      </c>
      <c r="S27" s="105">
        <f>('Year-1 Proforma'!$C26*(1+Dashboard!$I$24))/12</f>
        <v>6593.25</v>
      </c>
      <c r="T27" s="105">
        <f>('Year-1 Proforma'!$C26*(1+Dashboard!$I$24))/12</f>
        <v>6593.25</v>
      </c>
      <c r="U27" s="105">
        <f>('Year-1 Proforma'!$C26*(1+Dashboard!$I$24))/12</f>
        <v>6593.25</v>
      </c>
      <c r="V27" s="105">
        <f>('Year-1 Proforma'!$C26*(1+Dashboard!$I$24))/12</f>
        <v>6593.25</v>
      </c>
      <c r="W27" s="105">
        <f>('Year-1 Proforma'!$C26*(1+Dashboard!$I$24))/12</f>
        <v>6593.25</v>
      </c>
      <c r="X27" s="105">
        <f>('Year-1 Proforma'!$C26*(1+Dashboard!$I$24))/12</f>
        <v>6593.25</v>
      </c>
      <c r="Y27" s="105">
        <f>('Year-1 Proforma'!$C26*(1+Dashboard!$I$24))/12</f>
        <v>6593.25</v>
      </c>
      <c r="Z27" s="105">
        <f>('Year-1 Proforma'!$C26*(1+Dashboard!$I$24))/12</f>
        <v>6593.25</v>
      </c>
      <c r="AA27" s="105">
        <f>('Year-1 Proforma'!$C26*(1+Dashboard!$I$24))/12</f>
        <v>6593.25</v>
      </c>
      <c r="AB27" s="105">
        <f>(SUM($P27:$AA27)*(1+Dashboard!$K$24))/12</f>
        <v>6725.1150000000007</v>
      </c>
      <c r="AC27" s="105">
        <f>(SUM($P27:$AA27)*(1+Dashboard!$K$24))/12</f>
        <v>6725.1150000000007</v>
      </c>
      <c r="AD27" s="105">
        <f>(SUM($P27:$AA27)*(1+Dashboard!$K$24))/12</f>
        <v>6725.1150000000007</v>
      </c>
      <c r="AE27" s="105">
        <f>(SUM($P27:$AA27)*(1+Dashboard!$K$24))/12</f>
        <v>6725.1150000000007</v>
      </c>
      <c r="AF27" s="105">
        <f>(SUM($P27:$AA27)*(1+Dashboard!$K$24))/12</f>
        <v>6725.1150000000007</v>
      </c>
      <c r="AG27" s="105">
        <f>(SUM($P27:$AA27)*(1+Dashboard!$K$24))/12</f>
        <v>6725.1150000000007</v>
      </c>
      <c r="AH27" s="105">
        <f>(SUM($P27:$AA27)*(1+Dashboard!$K$24))/12</f>
        <v>6725.1150000000007</v>
      </c>
      <c r="AI27" s="105">
        <f>(SUM($P27:$AA27)*(1+Dashboard!$K$24))/12</f>
        <v>6725.1150000000007</v>
      </c>
      <c r="AJ27" s="105">
        <f>(SUM($P27:$AA27)*(1+Dashboard!$K$24))/12</f>
        <v>6725.1150000000007</v>
      </c>
      <c r="AK27" s="105">
        <f>(SUM($P27:$AA27)*(1+Dashboard!$K$24))/12</f>
        <v>6725.1150000000007</v>
      </c>
      <c r="AL27" s="105">
        <f>(SUM($P27:$AA27)*(1+Dashboard!$K$24))/12</f>
        <v>6725.1150000000007</v>
      </c>
      <c r="AM27" s="105">
        <f>(SUM($P27:$AA27)*(1+Dashboard!$K$24))/12</f>
        <v>6725.1150000000007</v>
      </c>
      <c r="AN27" s="105">
        <f>(SUM($AB27:$AM27)*(1+Dashboard!$M$24))/12</f>
        <v>6859.6173000000008</v>
      </c>
      <c r="AO27" s="105">
        <f>(SUM($AB27:$AM27)*(1+Dashboard!$M$24))/12</f>
        <v>6859.6173000000008</v>
      </c>
      <c r="AP27" s="105">
        <f>(SUM($AB27:$AM27)*(1+Dashboard!$M$24))/12</f>
        <v>6859.6173000000008</v>
      </c>
      <c r="AQ27" s="105">
        <f>(SUM($AB27:$AM27)*(1+Dashboard!$M$24))/12</f>
        <v>6859.6173000000008</v>
      </c>
      <c r="AR27" s="105">
        <f>(SUM($AB27:$AM27)*(1+Dashboard!$M$24))/12</f>
        <v>6859.6173000000008</v>
      </c>
      <c r="AS27" s="105">
        <f>(SUM($AB27:$AM27)*(1+Dashboard!$M$24))/12</f>
        <v>6859.6173000000008</v>
      </c>
      <c r="AT27" s="105">
        <f>(SUM($AB27:$AM27)*(1+Dashboard!$M$24))/12</f>
        <v>6859.6173000000008</v>
      </c>
      <c r="AU27" s="105">
        <f>(SUM($AB27:$AM27)*(1+Dashboard!$M$24))/12</f>
        <v>6859.6173000000008</v>
      </c>
      <c r="AV27" s="105">
        <f>(SUM($AB27:$AM27)*(1+Dashboard!$M$24))/12</f>
        <v>6859.6173000000008</v>
      </c>
      <c r="AW27" s="105">
        <f>(SUM($AB27:$AM27)*(1+Dashboard!$M$24))/12</f>
        <v>6859.6173000000008</v>
      </c>
      <c r="AX27" s="105">
        <f>(SUM($AB27:$AM27)*(1+Dashboard!$M$24))/12</f>
        <v>6859.6173000000008</v>
      </c>
      <c r="AY27" s="105">
        <f>(SUM($AB27:$AM27)*(1+Dashboard!$M$24))/12</f>
        <v>6859.6173000000008</v>
      </c>
      <c r="AZ27" s="105">
        <f>(SUM($AN27:$AY27)*(1+Dashboard!$O$24))/12</f>
        <v>6996.8096459999988</v>
      </c>
      <c r="BA27" s="105">
        <f>(SUM($AN27:$AY27)*(1+Dashboard!$O$24))/12</f>
        <v>6996.8096459999988</v>
      </c>
      <c r="BB27" s="105">
        <f>(SUM($AN27:$AY27)*(1+Dashboard!$O$24))/12</f>
        <v>6996.8096459999988</v>
      </c>
      <c r="BC27" s="105">
        <f>(SUM($AN27:$AY27)*(1+Dashboard!$O$24))/12</f>
        <v>6996.8096459999988</v>
      </c>
      <c r="BD27" s="105">
        <f>(SUM($AN27:$AY27)*(1+Dashboard!$O$24))/12</f>
        <v>6996.8096459999988</v>
      </c>
      <c r="BE27" s="105">
        <f>(SUM($AN27:$AY27)*(1+Dashboard!$O$24))/12</f>
        <v>6996.8096459999988</v>
      </c>
      <c r="BF27" s="105">
        <f>(SUM($AN27:$AY27)*(1+Dashboard!$O$24))/12</f>
        <v>6996.8096459999988</v>
      </c>
      <c r="BG27" s="105">
        <f>(SUM($AN27:$AY27)*(1+Dashboard!$O$24))/12</f>
        <v>6996.8096459999988</v>
      </c>
      <c r="BH27" s="105">
        <f>(SUM($AN27:$AY27)*(1+Dashboard!$O$24))/12</f>
        <v>6996.8096459999988</v>
      </c>
      <c r="BI27" s="105">
        <f>(SUM($AN27:$AY27)*(1+Dashboard!$O$24))/12</f>
        <v>6996.8096459999988</v>
      </c>
      <c r="BJ27" s="105">
        <f>(SUM($AN27:$AY27)*(1+Dashboard!$O$24))/12</f>
        <v>6996.8096459999988</v>
      </c>
      <c r="BK27" s="105">
        <f>(SUM($AN27:$AY27)*(1+Dashboard!$O$24))/12</f>
        <v>6996.8096459999988</v>
      </c>
      <c r="BL27" s="105">
        <f>(SUM($AZ27:$BK27)*(1+Dashboard!$Q$24))/12</f>
        <v>7136.7458389199992</v>
      </c>
      <c r="BM27" s="105">
        <f>(SUM($AZ27:$BK27)*(1+Dashboard!$Q$24))/12</f>
        <v>7136.7458389199992</v>
      </c>
      <c r="BN27" s="105">
        <f>(SUM($AZ27:$BK27)*(1+Dashboard!$Q$24))/12</f>
        <v>7136.7458389199992</v>
      </c>
      <c r="BO27" s="105">
        <f>(SUM($AZ27:$BK27)*(1+Dashboard!$Q$24))/12</f>
        <v>7136.7458389199992</v>
      </c>
      <c r="BP27" s="105">
        <f>(SUM($AZ27:$BK27)*(1+Dashboard!$Q$24))/12</f>
        <v>7136.7458389199992</v>
      </c>
      <c r="BQ27" s="105">
        <f>(SUM($AZ27:$BK27)*(1+Dashboard!$Q$24))/12</f>
        <v>7136.7458389199992</v>
      </c>
      <c r="BR27" s="105">
        <f>(SUM($AZ27:$BK27)*(1+Dashboard!$Q$24))/12</f>
        <v>7136.7458389199992</v>
      </c>
      <c r="BS27" s="105">
        <f>(SUM($AZ27:$BK27)*(1+Dashboard!$Q$24))/12</f>
        <v>7136.7458389199992</v>
      </c>
      <c r="BT27" s="105">
        <f>(SUM($AZ27:$BK27)*(1+Dashboard!$Q$24))/12</f>
        <v>7136.7458389199992</v>
      </c>
      <c r="BU27" s="105">
        <f>(SUM($AZ27:$BK27)*(1+Dashboard!$Q$24))/12</f>
        <v>7136.7458389199992</v>
      </c>
      <c r="BV27" s="105">
        <f>(SUM($AZ27:$BK27)*(1+Dashboard!$Q$24))/12</f>
        <v>7136.7458389199992</v>
      </c>
      <c r="BW27" s="105">
        <f>(SUM($AZ27:$BK27)*(1+Dashboard!$Q$24))/12</f>
        <v>7136.7458389199992</v>
      </c>
      <c r="BX27" s="105">
        <f>(SUM($AZ27:$BK27)*(1+Dashboard!$Q$24))/12</f>
        <v>7136.7458389199992</v>
      </c>
      <c r="BY27" s="105">
        <f>(SUM($AZ27:$BK27)*(1+Dashboard!$Q$24))/12</f>
        <v>7136.7458389199992</v>
      </c>
      <c r="BZ27" s="105">
        <f>(SUM($AZ27:$BK27)*(1+Dashboard!$Q$24))/12</f>
        <v>7136.7458389199992</v>
      </c>
      <c r="CA27" s="105">
        <f>(SUM($AZ27:$BK27)*(1+Dashboard!$Q$24))/12</f>
        <v>7136.7458389199992</v>
      </c>
      <c r="CB27" s="105">
        <f>(SUM($AZ27:$BK27)*(1+Dashboard!$Q$24))/12</f>
        <v>7136.7458389199992</v>
      </c>
      <c r="CC27" s="105">
        <f>(SUM($AZ27:$BK27)*(1+Dashboard!$Q$24))/12</f>
        <v>7136.7458389199992</v>
      </c>
      <c r="CD27" s="105">
        <f>(SUM($AZ27:$BK27)*(1+Dashboard!$Q$24))/12</f>
        <v>7136.7458389199992</v>
      </c>
      <c r="CE27" s="105">
        <f>(SUM($AZ27:$BK27)*(1+Dashboard!$Q$24))/12</f>
        <v>7136.7458389199992</v>
      </c>
      <c r="CF27" s="105">
        <f>(SUM($AZ27:$BK27)*(1+Dashboard!$Q$24))/12</f>
        <v>7136.7458389199992</v>
      </c>
      <c r="CG27" s="105">
        <f>(SUM($AZ27:$BK27)*(1+Dashboard!$Q$24))/12</f>
        <v>7136.7458389199992</v>
      </c>
      <c r="CH27" s="105">
        <f>(SUM($AZ27:$BK27)*(1+Dashboard!$Q$24))/12</f>
        <v>7136.7458389199992</v>
      </c>
      <c r="CI27" s="105">
        <f>(SUM($AZ27:$BK27)*(1+Dashboard!$Q$24))/12</f>
        <v>7136.7458389199992</v>
      </c>
      <c r="CJ27" s="105">
        <f>(SUM($AZ27:$BK27)*(1+Dashboard!$Q$24))/12</f>
        <v>7136.7458389199992</v>
      </c>
      <c r="CK27" s="105">
        <f>(SUM($AZ27:$BK27)*(1+Dashboard!$Q$24))/12</f>
        <v>7136.7458389199992</v>
      </c>
      <c r="CL27" s="105">
        <f>(SUM($AZ27:$BK27)*(1+Dashboard!$Q$24))/12</f>
        <v>7136.7458389199992</v>
      </c>
      <c r="CM27" s="105">
        <f>(SUM($AZ27:$BK27)*(1+Dashboard!$Q$24))/12</f>
        <v>7136.7458389199992</v>
      </c>
      <c r="CN27" s="105">
        <f>(SUM($AZ27:$BK27)*(1+Dashboard!$Q$24))/12</f>
        <v>7136.7458389199992</v>
      </c>
      <c r="CO27" s="105">
        <f>(SUM($AZ27:$BK27)*(1+Dashboard!$Q$24))/12</f>
        <v>7136.7458389199992</v>
      </c>
      <c r="CP27" s="105">
        <f>(SUM($AZ27:$BK27)*(1+Dashboard!$Q$24))/12</f>
        <v>7136.7458389199992</v>
      </c>
    </row>
    <row r="28" spans="2:94">
      <c r="B28" s="74" t="str">
        <f>'Year-1 Proforma'!B27</f>
        <v>Contract Services</v>
      </c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92"/>
      <c r="P28" s="105">
        <f>('Year-1 Proforma'!$C27*(1+Dashboard!$I$24))/12</f>
        <v>17744</v>
      </c>
      <c r="Q28" s="105">
        <f>('Year-1 Proforma'!$C27*(1+Dashboard!$I$24))/12</f>
        <v>17744</v>
      </c>
      <c r="R28" s="105">
        <f>('Year-1 Proforma'!$C27*(1+Dashboard!$I$24))/12</f>
        <v>17744</v>
      </c>
      <c r="S28" s="105">
        <f>('Year-1 Proforma'!$C27*(1+Dashboard!$I$24))/12</f>
        <v>17744</v>
      </c>
      <c r="T28" s="105">
        <f>('Year-1 Proforma'!$C27*(1+Dashboard!$I$24))/12</f>
        <v>17744</v>
      </c>
      <c r="U28" s="105">
        <f>('Year-1 Proforma'!$C27*(1+Dashboard!$I$24))/12</f>
        <v>17744</v>
      </c>
      <c r="V28" s="105">
        <f>('Year-1 Proforma'!$C27*(1+Dashboard!$I$24))/12</f>
        <v>17744</v>
      </c>
      <c r="W28" s="105">
        <f>('Year-1 Proforma'!$C27*(1+Dashboard!$I$24))/12</f>
        <v>17744</v>
      </c>
      <c r="X28" s="105">
        <f>('Year-1 Proforma'!$C27*(1+Dashboard!$I$24))/12</f>
        <v>17744</v>
      </c>
      <c r="Y28" s="105">
        <f>('Year-1 Proforma'!$C27*(1+Dashboard!$I$24))/12</f>
        <v>17744</v>
      </c>
      <c r="Z28" s="105">
        <f>('Year-1 Proforma'!$C27*(1+Dashboard!$I$24))/12</f>
        <v>17744</v>
      </c>
      <c r="AA28" s="105">
        <f>('Year-1 Proforma'!$C27*(1+Dashboard!$I$24))/12</f>
        <v>17744</v>
      </c>
      <c r="AB28" s="105">
        <f>(SUM($P28:$AA28)*(1+Dashboard!$K$24))/12</f>
        <v>18098.88</v>
      </c>
      <c r="AC28" s="105">
        <f>(SUM($P28:$AA28)*(1+Dashboard!$K$24))/12</f>
        <v>18098.88</v>
      </c>
      <c r="AD28" s="105">
        <f>(SUM($P28:$AA28)*(1+Dashboard!$K$24))/12</f>
        <v>18098.88</v>
      </c>
      <c r="AE28" s="105">
        <f>(SUM($P28:$AA28)*(1+Dashboard!$K$24))/12</f>
        <v>18098.88</v>
      </c>
      <c r="AF28" s="105">
        <f>(SUM($P28:$AA28)*(1+Dashboard!$K$24))/12</f>
        <v>18098.88</v>
      </c>
      <c r="AG28" s="105">
        <f>(SUM($P28:$AA28)*(1+Dashboard!$K$24))/12</f>
        <v>18098.88</v>
      </c>
      <c r="AH28" s="105">
        <f>(SUM($P28:$AA28)*(1+Dashboard!$K$24))/12</f>
        <v>18098.88</v>
      </c>
      <c r="AI28" s="105">
        <f>(SUM($P28:$AA28)*(1+Dashboard!$K$24))/12</f>
        <v>18098.88</v>
      </c>
      <c r="AJ28" s="105">
        <f>(SUM($P28:$AA28)*(1+Dashboard!$K$24))/12</f>
        <v>18098.88</v>
      </c>
      <c r="AK28" s="105">
        <f>(SUM($P28:$AA28)*(1+Dashboard!$K$24))/12</f>
        <v>18098.88</v>
      </c>
      <c r="AL28" s="105">
        <f>(SUM($P28:$AA28)*(1+Dashboard!$K$24))/12</f>
        <v>18098.88</v>
      </c>
      <c r="AM28" s="105">
        <f>(SUM($P28:$AA28)*(1+Dashboard!$K$24))/12</f>
        <v>18098.88</v>
      </c>
      <c r="AN28" s="105">
        <f>(SUM($AB28:$AM28)*(1+Dashboard!$M$24))/12</f>
        <v>18460.857600000003</v>
      </c>
      <c r="AO28" s="105">
        <f>(SUM($AB28:$AM28)*(1+Dashboard!$M$24))/12</f>
        <v>18460.857600000003</v>
      </c>
      <c r="AP28" s="105">
        <f>(SUM($AB28:$AM28)*(1+Dashboard!$M$24))/12</f>
        <v>18460.857600000003</v>
      </c>
      <c r="AQ28" s="105">
        <f>(SUM($AB28:$AM28)*(1+Dashboard!$M$24))/12</f>
        <v>18460.857600000003</v>
      </c>
      <c r="AR28" s="105">
        <f>(SUM($AB28:$AM28)*(1+Dashboard!$M$24))/12</f>
        <v>18460.857600000003</v>
      </c>
      <c r="AS28" s="105">
        <f>(SUM($AB28:$AM28)*(1+Dashboard!$M$24))/12</f>
        <v>18460.857600000003</v>
      </c>
      <c r="AT28" s="105">
        <f>(SUM($AB28:$AM28)*(1+Dashboard!$M$24))/12</f>
        <v>18460.857600000003</v>
      </c>
      <c r="AU28" s="105">
        <f>(SUM($AB28:$AM28)*(1+Dashboard!$M$24))/12</f>
        <v>18460.857600000003</v>
      </c>
      <c r="AV28" s="105">
        <f>(SUM($AB28:$AM28)*(1+Dashboard!$M$24))/12</f>
        <v>18460.857600000003</v>
      </c>
      <c r="AW28" s="105">
        <f>(SUM($AB28:$AM28)*(1+Dashboard!$M$24))/12</f>
        <v>18460.857600000003</v>
      </c>
      <c r="AX28" s="105">
        <f>(SUM($AB28:$AM28)*(1+Dashboard!$M$24))/12</f>
        <v>18460.857600000003</v>
      </c>
      <c r="AY28" s="105">
        <f>(SUM($AB28:$AM28)*(1+Dashboard!$M$24))/12</f>
        <v>18460.857600000003</v>
      </c>
      <c r="AZ28" s="105">
        <f>(SUM($AN28:$AY28)*(1+Dashboard!$O$24))/12</f>
        <v>18830.074751999997</v>
      </c>
      <c r="BA28" s="105">
        <f>(SUM($AN28:$AY28)*(1+Dashboard!$O$24))/12</f>
        <v>18830.074751999997</v>
      </c>
      <c r="BB28" s="105">
        <f>(SUM($AN28:$AY28)*(1+Dashboard!$O$24))/12</f>
        <v>18830.074751999997</v>
      </c>
      <c r="BC28" s="105">
        <f>(SUM($AN28:$AY28)*(1+Dashboard!$O$24))/12</f>
        <v>18830.074751999997</v>
      </c>
      <c r="BD28" s="105">
        <f>(SUM($AN28:$AY28)*(1+Dashboard!$O$24))/12</f>
        <v>18830.074751999997</v>
      </c>
      <c r="BE28" s="105">
        <f>(SUM($AN28:$AY28)*(1+Dashboard!$O$24))/12</f>
        <v>18830.074751999997</v>
      </c>
      <c r="BF28" s="105">
        <f>(SUM($AN28:$AY28)*(1+Dashboard!$O$24))/12</f>
        <v>18830.074751999997</v>
      </c>
      <c r="BG28" s="105">
        <f>(SUM($AN28:$AY28)*(1+Dashboard!$O$24))/12</f>
        <v>18830.074751999997</v>
      </c>
      <c r="BH28" s="105">
        <f>(SUM($AN28:$AY28)*(1+Dashboard!$O$24))/12</f>
        <v>18830.074751999997</v>
      </c>
      <c r="BI28" s="105">
        <f>(SUM($AN28:$AY28)*(1+Dashboard!$O$24))/12</f>
        <v>18830.074751999997</v>
      </c>
      <c r="BJ28" s="105">
        <f>(SUM($AN28:$AY28)*(1+Dashboard!$O$24))/12</f>
        <v>18830.074751999997</v>
      </c>
      <c r="BK28" s="105">
        <f>(SUM($AN28:$AY28)*(1+Dashboard!$O$24))/12</f>
        <v>18830.074751999997</v>
      </c>
      <c r="BL28" s="105">
        <f>(SUM($AZ28:$BK28)*(1+Dashboard!$Q$24))/12</f>
        <v>19206.676247039995</v>
      </c>
      <c r="BM28" s="105">
        <f>(SUM($AZ28:$BK28)*(1+Dashboard!$Q$24))/12</f>
        <v>19206.676247039995</v>
      </c>
      <c r="BN28" s="105">
        <f>(SUM($AZ28:$BK28)*(1+Dashboard!$Q$24))/12</f>
        <v>19206.676247039995</v>
      </c>
      <c r="BO28" s="105">
        <f>(SUM($AZ28:$BK28)*(1+Dashboard!$Q$24))/12</f>
        <v>19206.676247039995</v>
      </c>
      <c r="BP28" s="105">
        <f>(SUM($AZ28:$BK28)*(1+Dashboard!$Q$24))/12</f>
        <v>19206.676247039995</v>
      </c>
      <c r="BQ28" s="105">
        <f>(SUM($AZ28:$BK28)*(1+Dashboard!$Q$24))/12</f>
        <v>19206.676247039995</v>
      </c>
      <c r="BR28" s="105">
        <f>(SUM($AZ28:$BK28)*(1+Dashboard!$Q$24))/12</f>
        <v>19206.676247039995</v>
      </c>
      <c r="BS28" s="105">
        <f>(SUM($AZ28:$BK28)*(1+Dashboard!$Q$24))/12</f>
        <v>19206.676247039995</v>
      </c>
      <c r="BT28" s="105">
        <f>(SUM($AZ28:$BK28)*(1+Dashboard!$Q$24))/12</f>
        <v>19206.676247039995</v>
      </c>
      <c r="BU28" s="105">
        <f>(SUM($AZ28:$BK28)*(1+Dashboard!$Q$24))/12</f>
        <v>19206.676247039995</v>
      </c>
      <c r="BV28" s="105">
        <f>(SUM($AZ28:$BK28)*(1+Dashboard!$Q$24))/12</f>
        <v>19206.676247039995</v>
      </c>
      <c r="BW28" s="105">
        <f>(SUM($AZ28:$BK28)*(1+Dashboard!$Q$24))/12</f>
        <v>19206.676247039995</v>
      </c>
      <c r="BX28" s="105">
        <f>(SUM($AZ28:$BK28)*(1+Dashboard!$Q$24))/12</f>
        <v>19206.676247039995</v>
      </c>
      <c r="BY28" s="105">
        <f>(SUM($AZ28:$BK28)*(1+Dashboard!$Q$24))/12</f>
        <v>19206.676247039995</v>
      </c>
      <c r="BZ28" s="105">
        <f>(SUM($AZ28:$BK28)*(1+Dashboard!$Q$24))/12</f>
        <v>19206.676247039995</v>
      </c>
      <c r="CA28" s="105">
        <f>(SUM($AZ28:$BK28)*(1+Dashboard!$Q$24))/12</f>
        <v>19206.676247039995</v>
      </c>
      <c r="CB28" s="105">
        <f>(SUM($AZ28:$BK28)*(1+Dashboard!$Q$24))/12</f>
        <v>19206.676247039995</v>
      </c>
      <c r="CC28" s="105">
        <f>(SUM($AZ28:$BK28)*(1+Dashboard!$Q$24))/12</f>
        <v>19206.676247039995</v>
      </c>
      <c r="CD28" s="105">
        <f>(SUM($AZ28:$BK28)*(1+Dashboard!$Q$24))/12</f>
        <v>19206.676247039995</v>
      </c>
      <c r="CE28" s="105">
        <f>(SUM($AZ28:$BK28)*(1+Dashboard!$Q$24))/12</f>
        <v>19206.676247039995</v>
      </c>
      <c r="CF28" s="105">
        <f>(SUM($AZ28:$BK28)*(1+Dashboard!$Q$24))/12</f>
        <v>19206.676247039995</v>
      </c>
      <c r="CG28" s="105">
        <f>(SUM($AZ28:$BK28)*(1+Dashboard!$Q$24))/12</f>
        <v>19206.676247039995</v>
      </c>
      <c r="CH28" s="105">
        <f>(SUM($AZ28:$BK28)*(1+Dashboard!$Q$24))/12</f>
        <v>19206.676247039995</v>
      </c>
      <c r="CI28" s="105">
        <f>(SUM($AZ28:$BK28)*(1+Dashboard!$Q$24))/12</f>
        <v>19206.676247039995</v>
      </c>
      <c r="CJ28" s="105">
        <f>(SUM($AZ28:$BK28)*(1+Dashboard!$Q$24))/12</f>
        <v>19206.676247039995</v>
      </c>
      <c r="CK28" s="105">
        <f>(SUM($AZ28:$BK28)*(1+Dashboard!$Q$24))/12</f>
        <v>19206.676247039995</v>
      </c>
      <c r="CL28" s="105">
        <f>(SUM($AZ28:$BK28)*(1+Dashboard!$Q$24))/12</f>
        <v>19206.676247039995</v>
      </c>
      <c r="CM28" s="105">
        <f>(SUM($AZ28:$BK28)*(1+Dashboard!$Q$24))/12</f>
        <v>19206.676247039995</v>
      </c>
      <c r="CN28" s="105">
        <f>(SUM($AZ28:$BK28)*(1+Dashboard!$Q$24))/12</f>
        <v>19206.676247039995</v>
      </c>
      <c r="CO28" s="105">
        <f>(SUM($AZ28:$BK28)*(1+Dashboard!$Q$24))/12</f>
        <v>19206.676247039995</v>
      </c>
      <c r="CP28" s="105">
        <f>(SUM($AZ28:$BK28)*(1+Dashboard!$Q$24))/12</f>
        <v>19206.676247039995</v>
      </c>
    </row>
    <row r="29" spans="2:94">
      <c r="B29" s="74" t="str">
        <f>'Year-1 Proforma'!B25</f>
        <v>Management Fee</v>
      </c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92"/>
      <c r="P29" s="105">
        <f>+P21*Dashboard!$C$53</f>
        <v>17389.003199999999</v>
      </c>
      <c r="Q29" s="105">
        <f>+Q21*Dashboard!$C$53</f>
        <v>17389.003199999999</v>
      </c>
      <c r="R29" s="105">
        <f>+R21*Dashboard!$C$53</f>
        <v>17389.003199999999</v>
      </c>
      <c r="S29" s="105">
        <f>+S21*Dashboard!$C$53</f>
        <v>17389.003199999999</v>
      </c>
      <c r="T29" s="105">
        <f>+T21*Dashboard!$C$53</f>
        <v>17389.003199999999</v>
      </c>
      <c r="U29" s="105">
        <f>+U21*Dashboard!$C$53</f>
        <v>17389.003199999999</v>
      </c>
      <c r="V29" s="105">
        <f>+V21*Dashboard!$C$53</f>
        <v>17389.003199999999</v>
      </c>
      <c r="W29" s="105">
        <f>+W21*Dashboard!$C$53</f>
        <v>17389.003199999999</v>
      </c>
      <c r="X29" s="105">
        <f>+X21*Dashboard!$C$53</f>
        <v>17389.003199999999</v>
      </c>
      <c r="Y29" s="105">
        <f>+Y21*Dashboard!$C$53</f>
        <v>17389.003199999999</v>
      </c>
      <c r="Z29" s="105">
        <f>+Z21*Dashboard!$C$53</f>
        <v>17389.003199999999</v>
      </c>
      <c r="AA29" s="105">
        <f>+AA21*Dashboard!$C$53</f>
        <v>17389.003199999999</v>
      </c>
      <c r="AB29" s="105">
        <f>+AB21*Dashboard!$C$53</f>
        <v>17905.977971</v>
      </c>
      <c r="AC29" s="105">
        <f>+AC21*Dashboard!$C$53</f>
        <v>17905.977971</v>
      </c>
      <c r="AD29" s="105">
        <f>+AD21*Dashboard!$C$53</f>
        <v>17905.977971</v>
      </c>
      <c r="AE29" s="105">
        <f>+AE21*Dashboard!$C$53</f>
        <v>17905.977971</v>
      </c>
      <c r="AF29" s="105">
        <f>+AF21*Dashboard!$C$53</f>
        <v>17905.977971</v>
      </c>
      <c r="AG29" s="105">
        <f>+AG21*Dashboard!$C$53</f>
        <v>17905.977971</v>
      </c>
      <c r="AH29" s="105">
        <f>+AH21*Dashboard!$C$53</f>
        <v>17905.977971</v>
      </c>
      <c r="AI29" s="105">
        <f>+AI21*Dashboard!$C$53</f>
        <v>17905.977971</v>
      </c>
      <c r="AJ29" s="105">
        <f>+AJ21*Dashboard!$C$53</f>
        <v>17905.977971</v>
      </c>
      <c r="AK29" s="105">
        <f>+AK21*Dashboard!$C$53</f>
        <v>17905.977971</v>
      </c>
      <c r="AL29" s="105">
        <f>+AL21*Dashboard!$C$53</f>
        <v>17905.977971</v>
      </c>
      <c r="AM29" s="105">
        <f>+AM21*Dashboard!$C$53</f>
        <v>17905.977971</v>
      </c>
      <c r="AN29" s="105">
        <f>+AN21*Dashboard!$C$53</f>
        <v>18438.368078630003</v>
      </c>
      <c r="AO29" s="105">
        <f>+AO21*Dashboard!$C$53</f>
        <v>18438.368078630003</v>
      </c>
      <c r="AP29" s="105">
        <f>+AP21*Dashboard!$C$53</f>
        <v>18438.368078630003</v>
      </c>
      <c r="AQ29" s="105">
        <f>+AQ21*Dashboard!$C$53</f>
        <v>18438.368078630003</v>
      </c>
      <c r="AR29" s="105">
        <f>+AR21*Dashboard!$C$53</f>
        <v>18438.368078630003</v>
      </c>
      <c r="AS29" s="105">
        <f>+AS21*Dashboard!$C$53</f>
        <v>18438.368078630003</v>
      </c>
      <c r="AT29" s="105">
        <f>+AT21*Dashboard!$C$53</f>
        <v>18438.368078630003</v>
      </c>
      <c r="AU29" s="105">
        <f>+AU21*Dashboard!$C$53</f>
        <v>18438.368078630003</v>
      </c>
      <c r="AV29" s="105">
        <f>+AV21*Dashboard!$C$53</f>
        <v>18438.368078630003</v>
      </c>
      <c r="AW29" s="105">
        <f>+AW21*Dashboard!$C$53</f>
        <v>18438.368078630003</v>
      </c>
      <c r="AX29" s="105">
        <f>+AX21*Dashboard!$C$53</f>
        <v>18438.368078630003</v>
      </c>
      <c r="AY29" s="105">
        <f>+AY21*Dashboard!$C$53</f>
        <v>18438.368078630003</v>
      </c>
      <c r="AZ29" s="105">
        <f>+AZ21*Dashboard!$C$53</f>
        <v>18986.634104858902</v>
      </c>
      <c r="BA29" s="105">
        <f>+BA21*Dashboard!$C$53</f>
        <v>18986.634104858902</v>
      </c>
      <c r="BB29" s="105">
        <f>+BB21*Dashboard!$C$53</f>
        <v>18986.634104858902</v>
      </c>
      <c r="BC29" s="105">
        <f>+BC21*Dashboard!$C$53</f>
        <v>18986.634104858902</v>
      </c>
      <c r="BD29" s="105">
        <f>+BD21*Dashboard!$C$53</f>
        <v>18986.634104858902</v>
      </c>
      <c r="BE29" s="105">
        <f>+BE21*Dashboard!$C$53</f>
        <v>18986.634104858902</v>
      </c>
      <c r="BF29" s="105">
        <f>+BF21*Dashboard!$C$53</f>
        <v>18986.634104858902</v>
      </c>
      <c r="BG29" s="105">
        <f>+BG21*Dashboard!$C$53</f>
        <v>18986.634104858902</v>
      </c>
      <c r="BH29" s="105">
        <f>+BH21*Dashboard!$C$53</f>
        <v>18986.634104858902</v>
      </c>
      <c r="BI29" s="105">
        <f>+BI21*Dashboard!$C$53</f>
        <v>18986.634104858902</v>
      </c>
      <c r="BJ29" s="105">
        <f>+BJ21*Dashboard!$C$53</f>
        <v>18986.634104858902</v>
      </c>
      <c r="BK29" s="105">
        <f>+BK21*Dashboard!$C$53</f>
        <v>18986.634104858902</v>
      </c>
      <c r="BL29" s="105">
        <f>+BL21*Dashboard!$C$53</f>
        <v>19550.419958809969</v>
      </c>
      <c r="BM29" s="105">
        <f>+BM21*Dashboard!$C$53</f>
        <v>19550.419958809969</v>
      </c>
      <c r="BN29" s="105">
        <f>+BN21*Dashboard!$C$53</f>
        <v>19550.419958809969</v>
      </c>
      <c r="BO29" s="105">
        <f>+BO21*Dashboard!$C$53</f>
        <v>19550.419958809969</v>
      </c>
      <c r="BP29" s="105">
        <f>+BP21*Dashboard!$C$53</f>
        <v>19550.419958809969</v>
      </c>
      <c r="BQ29" s="105">
        <f>+BQ21*Dashboard!$C$53</f>
        <v>19550.419958809969</v>
      </c>
      <c r="BR29" s="105">
        <f>+BR21*Dashboard!$C$53</f>
        <v>19550.419958809969</v>
      </c>
      <c r="BS29" s="105">
        <f>+BS21*Dashboard!$C$53</f>
        <v>19550.419958809969</v>
      </c>
      <c r="BT29" s="105">
        <f>+BT21*Dashboard!$C$53</f>
        <v>19550.419958809969</v>
      </c>
      <c r="BU29" s="105">
        <f>+BU21*Dashboard!$C$53</f>
        <v>19550.419958809969</v>
      </c>
      <c r="BV29" s="105">
        <f>+BV21*Dashboard!$C$53</f>
        <v>19550.419958809969</v>
      </c>
      <c r="BW29" s="105">
        <f>+BW21*Dashboard!$C$53</f>
        <v>19551.250411552068</v>
      </c>
      <c r="BX29" s="105">
        <f>+BX21*Dashboard!$C$53</f>
        <v>20122.540811553674</v>
      </c>
      <c r="BY29" s="105">
        <f>+BY21*Dashboard!$C$53</f>
        <v>20122.540811553674</v>
      </c>
      <c r="BZ29" s="105">
        <f>+BZ21*Dashboard!$C$53</f>
        <v>20122.540811553674</v>
      </c>
      <c r="CA29" s="105">
        <f>+CA21*Dashboard!$C$53</f>
        <v>20122.540811553674</v>
      </c>
      <c r="CB29" s="105">
        <f>+CB21*Dashboard!$C$53</f>
        <v>20122.540811553674</v>
      </c>
      <c r="CC29" s="105">
        <f>+CC21*Dashboard!$C$53</f>
        <v>20122.540811553674</v>
      </c>
      <c r="CD29" s="105">
        <f>+CD21*Dashboard!$C$53</f>
        <v>20122.540811553674</v>
      </c>
      <c r="CE29" s="105">
        <f>+CE21*Dashboard!$C$53</f>
        <v>20122.540811553674</v>
      </c>
      <c r="CF29" s="105">
        <f>+CF21*Dashboard!$C$53</f>
        <v>20122.540811553674</v>
      </c>
      <c r="CG29" s="105">
        <f>+CG21*Dashboard!$C$53</f>
        <v>20122.540811553674</v>
      </c>
      <c r="CH29" s="105">
        <f>+CH21*Dashboard!$C$53</f>
        <v>20122.540811553674</v>
      </c>
      <c r="CI29" s="105">
        <f>+CI21*Dashboard!$C$53</f>
        <v>20122.540811553674</v>
      </c>
      <c r="CJ29" s="105">
        <f>+CJ21*Dashboard!$C$53</f>
        <v>20122.540811553674</v>
      </c>
      <c r="CK29" s="105">
        <f>+CK21*Dashboard!$C$53</f>
        <v>20122.540811553674</v>
      </c>
      <c r="CL29" s="105">
        <f>+CL21*Dashboard!$C$53</f>
        <v>20122.540811553674</v>
      </c>
      <c r="CM29" s="105">
        <f>+CM21*Dashboard!$C$53</f>
        <v>20122.540811553674</v>
      </c>
      <c r="CN29" s="105">
        <f>+CN21*Dashboard!$C$53</f>
        <v>20122.540811553674</v>
      </c>
      <c r="CO29" s="105">
        <f>+CO21*Dashboard!$C$53</f>
        <v>20122.540811553674</v>
      </c>
      <c r="CP29" s="105">
        <f>+CP21*Dashboard!$C$53</f>
        <v>20122.540811553674</v>
      </c>
    </row>
    <row r="30" spans="2:94">
      <c r="B30" s="74" t="str">
        <f>'Year-1 Proforma'!B28</f>
        <v>Repairs &amp; Maintenance</v>
      </c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92"/>
      <c r="P30" s="105">
        <f>('Year-1 Proforma'!$C28*(1+Dashboard!$I$24))/12</f>
        <v>8000</v>
      </c>
      <c r="Q30" s="105">
        <f>('Year-1 Proforma'!$C28*(1+Dashboard!$I$24))/12</f>
        <v>8000</v>
      </c>
      <c r="R30" s="105">
        <f>('Year-1 Proforma'!$C28*(1+Dashboard!$I$24))/12</f>
        <v>8000</v>
      </c>
      <c r="S30" s="105">
        <f>('Year-1 Proforma'!$C28*(1+Dashboard!$I$24))/12</f>
        <v>8000</v>
      </c>
      <c r="T30" s="105">
        <f>('Year-1 Proforma'!$C28*(1+Dashboard!$I$24))/12</f>
        <v>8000</v>
      </c>
      <c r="U30" s="105">
        <f>('Year-1 Proforma'!$C28*(1+Dashboard!$I$24))/12</f>
        <v>8000</v>
      </c>
      <c r="V30" s="105">
        <f>('Year-1 Proforma'!$C28*(1+Dashboard!$I$24))/12</f>
        <v>8000</v>
      </c>
      <c r="W30" s="105">
        <f>('Year-1 Proforma'!$C28*(1+Dashboard!$I$24))/12</f>
        <v>8000</v>
      </c>
      <c r="X30" s="105">
        <f>('Year-1 Proforma'!$C28*(1+Dashboard!$I$24))/12</f>
        <v>8000</v>
      </c>
      <c r="Y30" s="105">
        <f>('Year-1 Proforma'!$C28*(1+Dashboard!$I$24))/12</f>
        <v>8000</v>
      </c>
      <c r="Z30" s="105">
        <f>('Year-1 Proforma'!$C28*(1+Dashboard!$I$24))/12</f>
        <v>8000</v>
      </c>
      <c r="AA30" s="105">
        <f>('Year-1 Proforma'!$C28*(1+Dashboard!$I$24))/12</f>
        <v>8000</v>
      </c>
      <c r="AB30" s="105">
        <f>(SUM($P30:$AA30)*(1+Dashboard!$K$24))/12</f>
        <v>8160</v>
      </c>
      <c r="AC30" s="105">
        <f>(SUM($P30:$AA30)*(1+Dashboard!$K$24))/12</f>
        <v>8160</v>
      </c>
      <c r="AD30" s="105">
        <f>(SUM($P30:$AA30)*(1+Dashboard!$K$24))/12</f>
        <v>8160</v>
      </c>
      <c r="AE30" s="105">
        <f>(SUM($P30:$AA30)*(1+Dashboard!$K$24))/12</f>
        <v>8160</v>
      </c>
      <c r="AF30" s="105">
        <f>(SUM($P30:$AA30)*(1+Dashboard!$K$24))/12</f>
        <v>8160</v>
      </c>
      <c r="AG30" s="105">
        <f>(SUM($P30:$AA30)*(1+Dashboard!$K$24))/12</f>
        <v>8160</v>
      </c>
      <c r="AH30" s="105">
        <f>(SUM($P30:$AA30)*(1+Dashboard!$K$24))/12</f>
        <v>8160</v>
      </c>
      <c r="AI30" s="105">
        <f>(SUM($P30:$AA30)*(1+Dashboard!$K$24))/12</f>
        <v>8160</v>
      </c>
      <c r="AJ30" s="105">
        <f>(SUM($P30:$AA30)*(1+Dashboard!$K$24))/12</f>
        <v>8160</v>
      </c>
      <c r="AK30" s="105">
        <f>(SUM($P30:$AA30)*(1+Dashboard!$K$24))/12</f>
        <v>8160</v>
      </c>
      <c r="AL30" s="105">
        <f>(SUM($P30:$AA30)*(1+Dashboard!$K$24))/12</f>
        <v>8160</v>
      </c>
      <c r="AM30" s="105">
        <f>(SUM($P30:$AA30)*(1+Dashboard!$K$24))/12</f>
        <v>8160</v>
      </c>
      <c r="AN30" s="105">
        <f>(SUM($AB30:$AM30)*(1+Dashboard!$M$24))/12</f>
        <v>8323.2000000000007</v>
      </c>
      <c r="AO30" s="105">
        <f>(SUM($AB30:$AM30)*(1+Dashboard!$M$24))/12</f>
        <v>8323.2000000000007</v>
      </c>
      <c r="AP30" s="105">
        <f>(SUM($AB30:$AM30)*(1+Dashboard!$M$24))/12</f>
        <v>8323.2000000000007</v>
      </c>
      <c r="AQ30" s="105">
        <f>(SUM($AB30:$AM30)*(1+Dashboard!$M$24))/12</f>
        <v>8323.2000000000007</v>
      </c>
      <c r="AR30" s="105">
        <f>(SUM($AB30:$AM30)*(1+Dashboard!$M$24))/12</f>
        <v>8323.2000000000007</v>
      </c>
      <c r="AS30" s="105">
        <f>(SUM($AB30:$AM30)*(1+Dashboard!$M$24))/12</f>
        <v>8323.2000000000007</v>
      </c>
      <c r="AT30" s="105">
        <f>(SUM($AB30:$AM30)*(1+Dashboard!$M$24))/12</f>
        <v>8323.2000000000007</v>
      </c>
      <c r="AU30" s="105">
        <f>(SUM($AB30:$AM30)*(1+Dashboard!$M$24))/12</f>
        <v>8323.2000000000007</v>
      </c>
      <c r="AV30" s="105">
        <f>(SUM($AB30:$AM30)*(1+Dashboard!$M$24))/12</f>
        <v>8323.2000000000007</v>
      </c>
      <c r="AW30" s="105">
        <f>(SUM($AB30:$AM30)*(1+Dashboard!$M$24))/12</f>
        <v>8323.2000000000007</v>
      </c>
      <c r="AX30" s="105">
        <f>(SUM($AB30:$AM30)*(1+Dashboard!$M$24))/12</f>
        <v>8323.2000000000007</v>
      </c>
      <c r="AY30" s="105">
        <f>(SUM($AB30:$AM30)*(1+Dashboard!$M$24))/12</f>
        <v>8323.2000000000007</v>
      </c>
      <c r="AZ30" s="105">
        <f>(SUM($AN30:$AY30)*(1+Dashboard!$O$24))/12</f>
        <v>8489.6639999999989</v>
      </c>
      <c r="BA30" s="105">
        <f>(SUM($AN30:$AY30)*(1+Dashboard!$O$24))/12</f>
        <v>8489.6639999999989</v>
      </c>
      <c r="BB30" s="105">
        <f>(SUM($AN30:$AY30)*(1+Dashboard!$O$24))/12</f>
        <v>8489.6639999999989</v>
      </c>
      <c r="BC30" s="105">
        <f>(SUM($AN30:$AY30)*(1+Dashboard!$O$24))/12</f>
        <v>8489.6639999999989</v>
      </c>
      <c r="BD30" s="105">
        <f>(SUM($AN30:$AY30)*(1+Dashboard!$O$24))/12</f>
        <v>8489.6639999999989</v>
      </c>
      <c r="BE30" s="105">
        <f>(SUM($AN30:$AY30)*(1+Dashboard!$O$24))/12</f>
        <v>8489.6639999999989</v>
      </c>
      <c r="BF30" s="105">
        <f>(SUM($AN30:$AY30)*(1+Dashboard!$O$24))/12</f>
        <v>8489.6639999999989</v>
      </c>
      <c r="BG30" s="105">
        <f>(SUM($AN30:$AY30)*(1+Dashboard!$O$24))/12</f>
        <v>8489.6639999999989</v>
      </c>
      <c r="BH30" s="105">
        <f>(SUM($AN30:$AY30)*(1+Dashboard!$O$24))/12</f>
        <v>8489.6639999999989</v>
      </c>
      <c r="BI30" s="105">
        <f>(SUM($AN30:$AY30)*(1+Dashboard!$O$24))/12</f>
        <v>8489.6639999999989</v>
      </c>
      <c r="BJ30" s="105">
        <f>(SUM($AN30:$AY30)*(1+Dashboard!$O$24))/12</f>
        <v>8489.6639999999989</v>
      </c>
      <c r="BK30" s="105">
        <f>(SUM($AN30:$AY30)*(1+Dashboard!$O$24))/12</f>
        <v>8489.6639999999989</v>
      </c>
      <c r="BL30" s="105">
        <f>(SUM($AZ30:$BK30)*(1+Dashboard!$Q$24))/12</f>
        <v>8659.4572800000005</v>
      </c>
      <c r="BM30" s="105">
        <f>(SUM($AZ30:$BK30)*(1+Dashboard!$Q$24))/12</f>
        <v>8659.4572800000005</v>
      </c>
      <c r="BN30" s="105">
        <f>(SUM($AZ30:$BK30)*(1+Dashboard!$Q$24))/12</f>
        <v>8659.4572800000005</v>
      </c>
      <c r="BO30" s="105">
        <f>(SUM($AZ30:$BK30)*(1+Dashboard!$Q$24))/12</f>
        <v>8659.4572800000005</v>
      </c>
      <c r="BP30" s="105">
        <f>(SUM($AZ30:$BK30)*(1+Dashboard!$Q$24))/12</f>
        <v>8659.4572800000005</v>
      </c>
      <c r="BQ30" s="105">
        <f>(SUM($AZ30:$BK30)*(1+Dashboard!$Q$24))/12</f>
        <v>8659.4572800000005</v>
      </c>
      <c r="BR30" s="105">
        <f>(SUM($AZ30:$BK30)*(1+Dashboard!$Q$24))/12</f>
        <v>8659.4572800000005</v>
      </c>
      <c r="BS30" s="105">
        <f>(SUM($AZ30:$BK30)*(1+Dashboard!$Q$24))/12</f>
        <v>8659.4572800000005</v>
      </c>
      <c r="BT30" s="105">
        <f>(SUM($AZ30:$BK30)*(1+Dashboard!$Q$24))/12</f>
        <v>8659.4572800000005</v>
      </c>
      <c r="BU30" s="105">
        <f>(SUM($AZ30:$BK30)*(1+Dashboard!$Q$24))/12</f>
        <v>8659.4572800000005</v>
      </c>
      <c r="BV30" s="105">
        <f>(SUM($AZ30:$BK30)*(1+Dashboard!$Q$24))/12</f>
        <v>8659.4572800000005</v>
      </c>
      <c r="BW30" s="105">
        <f>(SUM($AZ30:$BK30)*(1+Dashboard!$Q$24))/12</f>
        <v>8659.4572800000005</v>
      </c>
      <c r="BX30" s="105">
        <f>(SUM($AZ30:$BK30)*(1+Dashboard!$Q$24))/12</f>
        <v>8659.4572800000005</v>
      </c>
      <c r="BY30" s="105">
        <f>(SUM($AZ30:$BK30)*(1+Dashboard!$Q$24))/12</f>
        <v>8659.4572800000005</v>
      </c>
      <c r="BZ30" s="105">
        <f>(SUM($AZ30:$BK30)*(1+Dashboard!$Q$24))/12</f>
        <v>8659.4572800000005</v>
      </c>
      <c r="CA30" s="105">
        <f>(SUM($AZ30:$BK30)*(1+Dashboard!$Q$24))/12</f>
        <v>8659.4572800000005</v>
      </c>
      <c r="CB30" s="105">
        <f>(SUM($AZ30:$BK30)*(1+Dashboard!$Q$24))/12</f>
        <v>8659.4572800000005</v>
      </c>
      <c r="CC30" s="105">
        <f>(SUM($AZ30:$BK30)*(1+Dashboard!$Q$24))/12</f>
        <v>8659.4572800000005</v>
      </c>
      <c r="CD30" s="105">
        <f>(SUM($AZ30:$BK30)*(1+Dashboard!$Q$24))/12</f>
        <v>8659.4572800000005</v>
      </c>
      <c r="CE30" s="105">
        <f>(SUM($AZ30:$BK30)*(1+Dashboard!$Q$24))/12</f>
        <v>8659.4572800000005</v>
      </c>
      <c r="CF30" s="105">
        <f>(SUM($AZ30:$BK30)*(1+Dashboard!$Q$24))/12</f>
        <v>8659.4572800000005</v>
      </c>
      <c r="CG30" s="105">
        <f>(SUM($AZ30:$BK30)*(1+Dashboard!$Q$24))/12</f>
        <v>8659.4572800000005</v>
      </c>
      <c r="CH30" s="105">
        <f>(SUM($AZ30:$BK30)*(1+Dashboard!$Q$24))/12</f>
        <v>8659.4572800000005</v>
      </c>
      <c r="CI30" s="105">
        <f>(SUM($AZ30:$BK30)*(1+Dashboard!$Q$24))/12</f>
        <v>8659.4572800000005</v>
      </c>
      <c r="CJ30" s="105">
        <f>(SUM($AZ30:$BK30)*(1+Dashboard!$Q$24))/12</f>
        <v>8659.4572800000005</v>
      </c>
      <c r="CK30" s="105">
        <f>(SUM($AZ30:$BK30)*(1+Dashboard!$Q$24))/12</f>
        <v>8659.4572800000005</v>
      </c>
      <c r="CL30" s="105">
        <f>(SUM($AZ30:$BK30)*(1+Dashboard!$Q$24))/12</f>
        <v>8659.4572800000005</v>
      </c>
      <c r="CM30" s="105">
        <f>(SUM($AZ30:$BK30)*(1+Dashboard!$Q$24))/12</f>
        <v>8659.4572800000005</v>
      </c>
      <c r="CN30" s="105">
        <f>(SUM($AZ30:$BK30)*(1+Dashboard!$Q$24))/12</f>
        <v>8659.4572800000005</v>
      </c>
      <c r="CO30" s="105">
        <f>(SUM($AZ30:$BK30)*(1+Dashboard!$Q$24))/12</f>
        <v>8659.4572800000005</v>
      </c>
      <c r="CP30" s="105">
        <f>(SUM($AZ30:$BK30)*(1+Dashboard!$Q$24))/12</f>
        <v>8659.4572800000005</v>
      </c>
    </row>
    <row r="31" spans="2:94">
      <c r="B31" s="74" t="str">
        <f>'Year-1 Proforma'!B29</f>
        <v>Turnover / Make Ready</v>
      </c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92"/>
      <c r="P31" s="105">
        <f>('Year-1 Proforma'!$C29*(1+Dashboard!$I$24))/12</f>
        <v>7168.5</v>
      </c>
      <c r="Q31" s="105">
        <f>('Year-1 Proforma'!$C29*(1+Dashboard!$I$24))/12</f>
        <v>7168.5</v>
      </c>
      <c r="R31" s="105">
        <f>('Year-1 Proforma'!$C29*(1+Dashboard!$I$24))/12</f>
        <v>7168.5</v>
      </c>
      <c r="S31" s="105">
        <f>('Year-1 Proforma'!$C29*(1+Dashboard!$I$24))/12</f>
        <v>7168.5</v>
      </c>
      <c r="T31" s="105">
        <f>('Year-1 Proforma'!$C29*(1+Dashboard!$I$24))/12</f>
        <v>7168.5</v>
      </c>
      <c r="U31" s="105">
        <f>('Year-1 Proforma'!$C29*(1+Dashboard!$I$24))/12</f>
        <v>7168.5</v>
      </c>
      <c r="V31" s="105">
        <f>('Year-1 Proforma'!$C29*(1+Dashboard!$I$24))/12</f>
        <v>7168.5</v>
      </c>
      <c r="W31" s="105">
        <f>('Year-1 Proforma'!$C29*(1+Dashboard!$I$24))/12</f>
        <v>7168.5</v>
      </c>
      <c r="X31" s="105">
        <f>('Year-1 Proforma'!$C29*(1+Dashboard!$I$24))/12</f>
        <v>7168.5</v>
      </c>
      <c r="Y31" s="105">
        <f>('Year-1 Proforma'!$C29*(1+Dashboard!$I$24))/12</f>
        <v>7168.5</v>
      </c>
      <c r="Z31" s="105">
        <f>('Year-1 Proforma'!$C29*(1+Dashboard!$I$24))/12</f>
        <v>7168.5</v>
      </c>
      <c r="AA31" s="105">
        <f>('Year-1 Proforma'!$C29*(1+Dashboard!$I$24))/12</f>
        <v>7168.5</v>
      </c>
      <c r="AB31" s="105">
        <f>(SUM($P31:$AA31)*(1+Dashboard!$K$24))/12</f>
        <v>7311.87</v>
      </c>
      <c r="AC31" s="105">
        <f>(SUM($P31:$AA31)*(1+Dashboard!$K$24))/12</f>
        <v>7311.87</v>
      </c>
      <c r="AD31" s="105">
        <f>(SUM($P31:$AA31)*(1+Dashboard!$K$24))/12</f>
        <v>7311.87</v>
      </c>
      <c r="AE31" s="105">
        <f>(SUM($P31:$AA31)*(1+Dashboard!$K$24))/12</f>
        <v>7311.87</v>
      </c>
      <c r="AF31" s="105">
        <f>(SUM($P31:$AA31)*(1+Dashboard!$K$24))/12</f>
        <v>7311.87</v>
      </c>
      <c r="AG31" s="105">
        <f>(SUM($P31:$AA31)*(1+Dashboard!$K$24))/12</f>
        <v>7311.87</v>
      </c>
      <c r="AH31" s="105">
        <f>(SUM($P31:$AA31)*(1+Dashboard!$K$24))/12</f>
        <v>7311.87</v>
      </c>
      <c r="AI31" s="105">
        <f>(SUM($P31:$AA31)*(1+Dashboard!$K$24))/12</f>
        <v>7311.87</v>
      </c>
      <c r="AJ31" s="105">
        <f>(SUM($P31:$AA31)*(1+Dashboard!$K$24))/12</f>
        <v>7311.87</v>
      </c>
      <c r="AK31" s="105">
        <f>(SUM($P31:$AA31)*(1+Dashboard!$K$24))/12</f>
        <v>7311.87</v>
      </c>
      <c r="AL31" s="105">
        <f>(SUM($P31:$AA31)*(1+Dashboard!$K$24))/12</f>
        <v>7311.87</v>
      </c>
      <c r="AM31" s="105">
        <f>(SUM($P31:$AA31)*(1+Dashboard!$K$24))/12</f>
        <v>7311.87</v>
      </c>
      <c r="AN31" s="105">
        <f>(SUM($AB31:$AM31)*(1+Dashboard!$M$24))/12</f>
        <v>7458.1073999999999</v>
      </c>
      <c r="AO31" s="105">
        <f>(SUM($AB31:$AM31)*(1+Dashboard!$M$24))/12</f>
        <v>7458.1073999999999</v>
      </c>
      <c r="AP31" s="105">
        <f>(SUM($AB31:$AM31)*(1+Dashboard!$M$24))/12</f>
        <v>7458.1073999999999</v>
      </c>
      <c r="AQ31" s="105">
        <f>(SUM($AB31:$AM31)*(1+Dashboard!$M$24))/12</f>
        <v>7458.1073999999999</v>
      </c>
      <c r="AR31" s="105">
        <f>(SUM($AB31:$AM31)*(1+Dashboard!$M$24))/12</f>
        <v>7458.1073999999999</v>
      </c>
      <c r="AS31" s="105">
        <f>(SUM($AB31:$AM31)*(1+Dashboard!$M$24))/12</f>
        <v>7458.1073999999999</v>
      </c>
      <c r="AT31" s="105">
        <f>(SUM($AB31:$AM31)*(1+Dashboard!$M$24))/12</f>
        <v>7458.1073999999999</v>
      </c>
      <c r="AU31" s="105">
        <f>(SUM($AB31:$AM31)*(1+Dashboard!$M$24))/12</f>
        <v>7458.1073999999999</v>
      </c>
      <c r="AV31" s="105">
        <f>(SUM($AB31:$AM31)*(1+Dashboard!$M$24))/12</f>
        <v>7458.1073999999999</v>
      </c>
      <c r="AW31" s="105">
        <f>(SUM($AB31:$AM31)*(1+Dashboard!$M$24))/12</f>
        <v>7458.1073999999999</v>
      </c>
      <c r="AX31" s="105">
        <f>(SUM($AB31:$AM31)*(1+Dashboard!$M$24))/12</f>
        <v>7458.1073999999999</v>
      </c>
      <c r="AY31" s="105">
        <f>(SUM($AB31:$AM31)*(1+Dashboard!$M$24))/12</f>
        <v>7458.1073999999999</v>
      </c>
      <c r="AZ31" s="105">
        <f>(SUM($AN31:$AY31)*(1+Dashboard!$O$24))/12</f>
        <v>7607.2695479999993</v>
      </c>
      <c r="BA31" s="105">
        <f>(SUM($AN31:$AY31)*(1+Dashboard!$O$24))/12</f>
        <v>7607.2695479999993</v>
      </c>
      <c r="BB31" s="105">
        <f>(SUM($AN31:$AY31)*(1+Dashboard!$O$24))/12</f>
        <v>7607.2695479999993</v>
      </c>
      <c r="BC31" s="105">
        <f>(SUM($AN31:$AY31)*(1+Dashboard!$O$24))/12</f>
        <v>7607.2695479999993</v>
      </c>
      <c r="BD31" s="105">
        <f>(SUM($AN31:$AY31)*(1+Dashboard!$O$24))/12</f>
        <v>7607.2695479999993</v>
      </c>
      <c r="BE31" s="105">
        <f>(SUM($AN31:$AY31)*(1+Dashboard!$O$24))/12</f>
        <v>7607.2695479999993</v>
      </c>
      <c r="BF31" s="105">
        <f>(SUM($AN31:$AY31)*(1+Dashboard!$O$24))/12</f>
        <v>7607.2695479999993</v>
      </c>
      <c r="BG31" s="105">
        <f>(SUM($AN31:$AY31)*(1+Dashboard!$O$24))/12</f>
        <v>7607.2695479999993</v>
      </c>
      <c r="BH31" s="105">
        <f>(SUM($AN31:$AY31)*(1+Dashboard!$O$24))/12</f>
        <v>7607.2695479999993</v>
      </c>
      <c r="BI31" s="105">
        <f>(SUM($AN31:$AY31)*(1+Dashboard!$O$24))/12</f>
        <v>7607.2695479999993</v>
      </c>
      <c r="BJ31" s="105">
        <f>(SUM($AN31:$AY31)*(1+Dashboard!$O$24))/12</f>
        <v>7607.2695479999993</v>
      </c>
      <c r="BK31" s="105">
        <f>(SUM($AN31:$AY31)*(1+Dashboard!$O$24))/12</f>
        <v>7607.2695479999993</v>
      </c>
      <c r="BL31" s="105">
        <f>(SUM($AZ31:$BK31)*(1+Dashboard!$Q$24))/12</f>
        <v>7759.4149389599979</v>
      </c>
      <c r="BM31" s="105">
        <f>(SUM($AZ31:$BK31)*(1+Dashboard!$Q$24))/12</f>
        <v>7759.4149389599979</v>
      </c>
      <c r="BN31" s="105">
        <f>(SUM($AZ31:$BK31)*(1+Dashboard!$Q$24))/12</f>
        <v>7759.4149389599979</v>
      </c>
      <c r="BO31" s="105">
        <f>(SUM($AZ31:$BK31)*(1+Dashboard!$Q$24))/12</f>
        <v>7759.4149389599979</v>
      </c>
      <c r="BP31" s="105">
        <f>(SUM($AZ31:$BK31)*(1+Dashboard!$Q$24))/12</f>
        <v>7759.4149389599979</v>
      </c>
      <c r="BQ31" s="105">
        <f>(SUM($AZ31:$BK31)*(1+Dashboard!$Q$24))/12</f>
        <v>7759.4149389599979</v>
      </c>
      <c r="BR31" s="105">
        <f>(SUM($AZ31:$BK31)*(1+Dashboard!$Q$24))/12</f>
        <v>7759.4149389599979</v>
      </c>
      <c r="BS31" s="105">
        <f>(SUM($AZ31:$BK31)*(1+Dashboard!$Q$24))/12</f>
        <v>7759.4149389599979</v>
      </c>
      <c r="BT31" s="105">
        <f>(SUM($AZ31:$BK31)*(1+Dashboard!$Q$24))/12</f>
        <v>7759.4149389599979</v>
      </c>
      <c r="BU31" s="105">
        <f>(SUM($AZ31:$BK31)*(1+Dashboard!$Q$24))/12</f>
        <v>7759.4149389599979</v>
      </c>
      <c r="BV31" s="105">
        <f>(SUM($AZ31:$BK31)*(1+Dashboard!$Q$24))/12</f>
        <v>7759.4149389599979</v>
      </c>
      <c r="BW31" s="105">
        <f>(SUM($AZ31:$BK31)*(1+Dashboard!$Q$24))/12</f>
        <v>7759.4149389599979</v>
      </c>
      <c r="BX31" s="105">
        <f>(SUM($AZ31:$BK31)*(1+Dashboard!$Q$24))/12</f>
        <v>7759.4149389599979</v>
      </c>
      <c r="BY31" s="105">
        <f>(SUM($AZ31:$BK31)*(1+Dashboard!$Q$24))/12</f>
        <v>7759.4149389599979</v>
      </c>
      <c r="BZ31" s="105">
        <f>(SUM($AZ31:$BK31)*(1+Dashboard!$Q$24))/12</f>
        <v>7759.4149389599979</v>
      </c>
      <c r="CA31" s="105">
        <f>(SUM($AZ31:$BK31)*(1+Dashboard!$Q$24))/12</f>
        <v>7759.4149389599979</v>
      </c>
      <c r="CB31" s="105">
        <f>(SUM($AZ31:$BK31)*(1+Dashboard!$Q$24))/12</f>
        <v>7759.4149389599979</v>
      </c>
      <c r="CC31" s="105">
        <f>(SUM($AZ31:$BK31)*(1+Dashboard!$Q$24))/12</f>
        <v>7759.4149389599979</v>
      </c>
      <c r="CD31" s="105">
        <f>(SUM($AZ31:$BK31)*(1+Dashboard!$Q$24))/12</f>
        <v>7759.4149389599979</v>
      </c>
      <c r="CE31" s="105">
        <f>(SUM($AZ31:$BK31)*(1+Dashboard!$Q$24))/12</f>
        <v>7759.4149389599979</v>
      </c>
      <c r="CF31" s="105">
        <f>(SUM($AZ31:$BK31)*(1+Dashboard!$Q$24))/12</f>
        <v>7759.4149389599979</v>
      </c>
      <c r="CG31" s="105">
        <f>(SUM($AZ31:$BK31)*(1+Dashboard!$Q$24))/12</f>
        <v>7759.4149389599979</v>
      </c>
      <c r="CH31" s="105">
        <f>(SUM($AZ31:$BK31)*(1+Dashboard!$Q$24))/12</f>
        <v>7759.4149389599979</v>
      </c>
      <c r="CI31" s="105">
        <f>(SUM($AZ31:$BK31)*(1+Dashboard!$Q$24))/12</f>
        <v>7759.4149389599979</v>
      </c>
      <c r="CJ31" s="105">
        <f>(SUM($AZ31:$BK31)*(1+Dashboard!$Q$24))/12</f>
        <v>7759.4149389599979</v>
      </c>
      <c r="CK31" s="105">
        <f>(SUM($AZ31:$BK31)*(1+Dashboard!$Q$24))/12</f>
        <v>7759.4149389599979</v>
      </c>
      <c r="CL31" s="105">
        <f>(SUM($AZ31:$BK31)*(1+Dashboard!$Q$24))/12</f>
        <v>7759.4149389599979</v>
      </c>
      <c r="CM31" s="105">
        <f>(SUM($AZ31:$BK31)*(1+Dashboard!$Q$24))/12</f>
        <v>7759.4149389599979</v>
      </c>
      <c r="CN31" s="105">
        <f>(SUM($AZ31:$BK31)*(1+Dashboard!$Q$24))/12</f>
        <v>7759.4149389599979</v>
      </c>
      <c r="CO31" s="105">
        <f>(SUM($AZ31:$BK31)*(1+Dashboard!$Q$24))/12</f>
        <v>7759.4149389599979</v>
      </c>
      <c r="CP31" s="105">
        <f>(SUM($AZ31:$BK31)*(1+Dashboard!$Q$24))/12</f>
        <v>7759.4149389599979</v>
      </c>
    </row>
    <row r="32" spans="2:94">
      <c r="B32" s="30" t="str">
        <f>'Year-1 Proforma'!B31</f>
        <v>Non-Controllable</v>
      </c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792"/>
    </row>
    <row r="33" spans="2:94">
      <c r="B33" s="74" t="str">
        <f>'Year-1 Proforma'!B32</f>
        <v>Insurance</v>
      </c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92"/>
      <c r="P33" s="105">
        <f>('Year-1 Proforma'!$C32*(1+Dashboard!$I$24))/12</f>
        <v>16594.692187500001</v>
      </c>
      <c r="Q33" s="105">
        <f>('Year-1 Proforma'!$C32*(1+Dashboard!$I$24))/12</f>
        <v>16594.692187500001</v>
      </c>
      <c r="R33" s="105">
        <f>('Year-1 Proforma'!$C32*(1+Dashboard!$I$24))/12</f>
        <v>16594.692187500001</v>
      </c>
      <c r="S33" s="105">
        <f>('Year-1 Proforma'!$C32*(1+Dashboard!$I$24))/12</f>
        <v>16594.692187500001</v>
      </c>
      <c r="T33" s="105">
        <f>('Year-1 Proforma'!$C32*(1+Dashboard!$I$24))/12</f>
        <v>16594.692187500001</v>
      </c>
      <c r="U33" s="105">
        <f>('Year-1 Proforma'!$C32*(1+Dashboard!$I$24))/12</f>
        <v>16594.692187500001</v>
      </c>
      <c r="V33" s="105">
        <f>('Year-1 Proforma'!$C32*(1+Dashboard!$I$24))/12</f>
        <v>16594.692187500001</v>
      </c>
      <c r="W33" s="105">
        <f>('Year-1 Proforma'!$C32*(1+Dashboard!$I$24))/12</f>
        <v>16594.692187500001</v>
      </c>
      <c r="X33" s="105">
        <f>('Year-1 Proforma'!$C32*(1+Dashboard!$I$24))/12</f>
        <v>16594.692187500001</v>
      </c>
      <c r="Y33" s="105">
        <f>('Year-1 Proforma'!$C32*(1+Dashboard!$I$24))/12</f>
        <v>16594.692187500001</v>
      </c>
      <c r="Z33" s="105">
        <f>('Year-1 Proforma'!$C32*(1+Dashboard!$I$24))/12</f>
        <v>16594.692187500001</v>
      </c>
      <c r="AA33" s="105">
        <f>('Year-1 Proforma'!$C32*(1+Dashboard!$I$24))/12</f>
        <v>16594.692187500001</v>
      </c>
      <c r="AB33" s="105">
        <f>(SUM($P33:$AA33)*(1+Dashboard!$K$24))/12</f>
        <v>16926.586031250004</v>
      </c>
      <c r="AC33" s="105">
        <f>(SUM($P33:$AA33)*(1+Dashboard!$K$24))/12</f>
        <v>16926.586031250004</v>
      </c>
      <c r="AD33" s="105">
        <f>(SUM($P33:$AA33)*(1+Dashboard!$K$24))/12</f>
        <v>16926.586031250004</v>
      </c>
      <c r="AE33" s="105">
        <f>(SUM($P33:$AA33)*(1+Dashboard!$K$24))/12</f>
        <v>16926.586031250004</v>
      </c>
      <c r="AF33" s="105">
        <f>(SUM($P33:$AA33)*(1+Dashboard!$K$24))/12</f>
        <v>16926.586031250004</v>
      </c>
      <c r="AG33" s="105">
        <f>(SUM($P33:$AA33)*(1+Dashboard!$K$24))/12</f>
        <v>16926.586031250004</v>
      </c>
      <c r="AH33" s="105">
        <f>(SUM($P33:$AA33)*(1+Dashboard!$K$24))/12</f>
        <v>16926.586031250004</v>
      </c>
      <c r="AI33" s="105">
        <f>(SUM($P33:$AA33)*(1+Dashboard!$K$24))/12</f>
        <v>16926.586031250004</v>
      </c>
      <c r="AJ33" s="105">
        <f>(SUM($P33:$AA33)*(1+Dashboard!$K$24))/12</f>
        <v>16926.586031250004</v>
      </c>
      <c r="AK33" s="105">
        <f>(SUM($P33:$AA33)*(1+Dashboard!$K$24))/12</f>
        <v>16926.586031250004</v>
      </c>
      <c r="AL33" s="105">
        <f>(SUM($P33:$AA33)*(1+Dashboard!$K$24))/12</f>
        <v>16926.586031250004</v>
      </c>
      <c r="AM33" s="105">
        <f>(SUM($P33:$AA33)*(1+Dashboard!$K$24))/12</f>
        <v>16926.586031250004</v>
      </c>
      <c r="AN33" s="105">
        <f>(SUM($AB33:$AM33)*(1+Dashboard!$M$24))/12</f>
        <v>17265.117751875008</v>
      </c>
      <c r="AO33" s="105">
        <f>(SUM($AB33:$AM33)*(1+Dashboard!$M$24))/12</f>
        <v>17265.117751875008</v>
      </c>
      <c r="AP33" s="105">
        <f>(SUM($AB33:$AM33)*(1+Dashboard!$M$24))/12</f>
        <v>17265.117751875008</v>
      </c>
      <c r="AQ33" s="105">
        <f>(SUM($AB33:$AM33)*(1+Dashboard!$M$24))/12</f>
        <v>17265.117751875008</v>
      </c>
      <c r="AR33" s="105">
        <f>(SUM($AB33:$AM33)*(1+Dashboard!$M$24))/12</f>
        <v>17265.117751875008</v>
      </c>
      <c r="AS33" s="105">
        <f>(SUM($AB33:$AM33)*(1+Dashboard!$M$24))/12</f>
        <v>17265.117751875008</v>
      </c>
      <c r="AT33" s="105">
        <f>(SUM($AB33:$AM33)*(1+Dashboard!$M$24))/12</f>
        <v>17265.117751875008</v>
      </c>
      <c r="AU33" s="105">
        <f>(SUM($AB33:$AM33)*(1+Dashboard!$M$24))/12</f>
        <v>17265.117751875008</v>
      </c>
      <c r="AV33" s="105">
        <f>(SUM($AB33:$AM33)*(1+Dashboard!$M$24))/12</f>
        <v>17265.117751875008</v>
      </c>
      <c r="AW33" s="105">
        <f>(SUM($AB33:$AM33)*(1+Dashboard!$M$24))/12</f>
        <v>17265.117751875008</v>
      </c>
      <c r="AX33" s="105">
        <f>(SUM($AB33:$AM33)*(1+Dashboard!$M$24))/12</f>
        <v>17265.117751875008</v>
      </c>
      <c r="AY33" s="105">
        <f>(SUM($AB33:$AM33)*(1+Dashboard!$M$24))/12</f>
        <v>17265.117751875008</v>
      </c>
      <c r="AZ33" s="105">
        <f>(SUM($AN33:$AY33)*(1+Dashboard!$O$24))/12</f>
        <v>17610.420106912512</v>
      </c>
      <c r="BA33" s="105">
        <f>(SUM($AN33:$AY33)*(1+Dashboard!$O$24))/12</f>
        <v>17610.420106912512</v>
      </c>
      <c r="BB33" s="105">
        <f>(SUM($AN33:$AY33)*(1+Dashboard!$O$24))/12</f>
        <v>17610.420106912512</v>
      </c>
      <c r="BC33" s="105">
        <f>(SUM($AN33:$AY33)*(1+Dashboard!$O$24))/12</f>
        <v>17610.420106912512</v>
      </c>
      <c r="BD33" s="105">
        <f>(SUM($AN33:$AY33)*(1+Dashboard!$O$24))/12</f>
        <v>17610.420106912512</v>
      </c>
      <c r="BE33" s="105">
        <f>(SUM($AN33:$AY33)*(1+Dashboard!$O$24))/12</f>
        <v>17610.420106912512</v>
      </c>
      <c r="BF33" s="105">
        <f>(SUM($AN33:$AY33)*(1+Dashboard!$O$24))/12</f>
        <v>17610.420106912512</v>
      </c>
      <c r="BG33" s="105">
        <f>(SUM($AN33:$AY33)*(1+Dashboard!$O$24))/12</f>
        <v>17610.420106912512</v>
      </c>
      <c r="BH33" s="105">
        <f>(SUM($AN33:$AY33)*(1+Dashboard!$O$24))/12</f>
        <v>17610.420106912512</v>
      </c>
      <c r="BI33" s="105">
        <f>(SUM($AN33:$AY33)*(1+Dashboard!$O$24))/12</f>
        <v>17610.420106912512</v>
      </c>
      <c r="BJ33" s="105">
        <f>(SUM($AN33:$AY33)*(1+Dashboard!$O$24))/12</f>
        <v>17610.420106912512</v>
      </c>
      <c r="BK33" s="105">
        <f>(SUM($AN33:$AY33)*(1+Dashboard!$O$24))/12</f>
        <v>17610.420106912512</v>
      </c>
      <c r="BL33" s="105">
        <f>(SUM($AZ33:$BK33)*(1+Dashboard!$Q$24))/12</f>
        <v>17962.628509050755</v>
      </c>
      <c r="BM33" s="105">
        <f>(SUM($AZ33:$BK33)*(1+Dashboard!$Q$24))/12</f>
        <v>17962.628509050755</v>
      </c>
      <c r="BN33" s="105">
        <f>(SUM($AZ33:$BK33)*(1+Dashboard!$Q$24))/12</f>
        <v>17962.628509050755</v>
      </c>
      <c r="BO33" s="105">
        <f>(SUM($AZ33:$BK33)*(1+Dashboard!$Q$24))/12</f>
        <v>17962.628509050755</v>
      </c>
      <c r="BP33" s="105">
        <f>(SUM($AZ33:$BK33)*(1+Dashboard!$Q$24))/12</f>
        <v>17962.628509050755</v>
      </c>
      <c r="BQ33" s="105">
        <f>(SUM($AZ33:$BK33)*(1+Dashboard!$Q$24))/12</f>
        <v>17962.628509050755</v>
      </c>
      <c r="BR33" s="105">
        <f>(SUM($AZ33:$BK33)*(1+Dashboard!$Q$24))/12</f>
        <v>17962.628509050755</v>
      </c>
      <c r="BS33" s="105">
        <f>(SUM($AZ33:$BK33)*(1+Dashboard!$Q$24))/12</f>
        <v>17962.628509050755</v>
      </c>
      <c r="BT33" s="105">
        <f>(SUM($AZ33:$BK33)*(1+Dashboard!$Q$24))/12</f>
        <v>17962.628509050755</v>
      </c>
      <c r="BU33" s="105">
        <f>(SUM($AZ33:$BK33)*(1+Dashboard!$Q$24))/12</f>
        <v>17962.628509050755</v>
      </c>
      <c r="BV33" s="105">
        <f>(SUM($AZ33:$BK33)*(1+Dashboard!$Q$24))/12</f>
        <v>17962.628509050755</v>
      </c>
      <c r="BW33" s="105">
        <f>(SUM($AZ33:$BK33)*(1+Dashboard!$Q$24))/12</f>
        <v>17962.628509050755</v>
      </c>
      <c r="BX33" s="105">
        <f>(SUM($AZ33:$BK33)*(1+Dashboard!$Q$24))/12</f>
        <v>17962.628509050755</v>
      </c>
      <c r="BY33" s="105">
        <f>(SUM($AZ33:$BK33)*(1+Dashboard!$Q$24))/12</f>
        <v>17962.628509050755</v>
      </c>
      <c r="BZ33" s="105">
        <f>(SUM($AZ33:$BK33)*(1+Dashboard!$Q$24))/12</f>
        <v>17962.628509050755</v>
      </c>
      <c r="CA33" s="105">
        <f>(SUM($AZ33:$BK33)*(1+Dashboard!$Q$24))/12</f>
        <v>17962.628509050755</v>
      </c>
      <c r="CB33" s="105">
        <f>(SUM($AZ33:$BK33)*(1+Dashboard!$Q$24))/12</f>
        <v>17962.628509050755</v>
      </c>
      <c r="CC33" s="105">
        <f>(SUM($AZ33:$BK33)*(1+Dashboard!$Q$24))/12</f>
        <v>17962.628509050755</v>
      </c>
      <c r="CD33" s="105">
        <f>(SUM($AZ33:$BK33)*(1+Dashboard!$Q$24))/12</f>
        <v>17962.628509050755</v>
      </c>
      <c r="CE33" s="105">
        <f>(SUM($AZ33:$BK33)*(1+Dashboard!$Q$24))/12</f>
        <v>17962.628509050755</v>
      </c>
      <c r="CF33" s="105">
        <f>(SUM($AZ33:$BK33)*(1+Dashboard!$Q$24))/12</f>
        <v>17962.628509050755</v>
      </c>
      <c r="CG33" s="105">
        <f>(SUM($AZ33:$BK33)*(1+Dashboard!$Q$24))/12</f>
        <v>17962.628509050755</v>
      </c>
      <c r="CH33" s="105">
        <f>(SUM($AZ33:$BK33)*(1+Dashboard!$Q$24))/12</f>
        <v>17962.628509050755</v>
      </c>
      <c r="CI33" s="105">
        <f>(SUM($AZ33:$BK33)*(1+Dashboard!$Q$24))/12</f>
        <v>17962.628509050755</v>
      </c>
      <c r="CJ33" s="105">
        <f>(SUM($AZ33:$BK33)*(1+Dashboard!$Q$24))/12</f>
        <v>17962.628509050755</v>
      </c>
      <c r="CK33" s="105">
        <f>(SUM($AZ33:$BK33)*(1+Dashboard!$Q$24))/12</f>
        <v>17962.628509050755</v>
      </c>
      <c r="CL33" s="105">
        <f>(SUM($AZ33:$BK33)*(1+Dashboard!$Q$24))/12</f>
        <v>17962.628509050755</v>
      </c>
      <c r="CM33" s="105">
        <f>(SUM($AZ33:$BK33)*(1+Dashboard!$Q$24))/12</f>
        <v>17962.628509050755</v>
      </c>
      <c r="CN33" s="105">
        <f>(SUM($AZ33:$BK33)*(1+Dashboard!$Q$24))/12</f>
        <v>17962.628509050755</v>
      </c>
      <c r="CO33" s="105">
        <f>(SUM($AZ33:$BK33)*(1+Dashboard!$Q$24))/12</f>
        <v>17962.628509050755</v>
      </c>
      <c r="CP33" s="105">
        <f>(SUM($AZ33:$BK33)*(1+Dashboard!$Q$24))/12</f>
        <v>17962.628509050755</v>
      </c>
    </row>
    <row r="34" spans="2:94">
      <c r="B34" s="74" t="str">
        <f>'Year-1 Proforma'!B33</f>
        <v>Real Estate Taxes</v>
      </c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92"/>
      <c r="P34" s="906">
        <v>0</v>
      </c>
      <c r="Q34" s="906">
        <v>0</v>
      </c>
      <c r="R34" s="906">
        <v>0</v>
      </c>
      <c r="S34" s="906">
        <v>0</v>
      </c>
      <c r="T34" s="906">
        <v>0</v>
      </c>
      <c r="U34" s="906">
        <v>0</v>
      </c>
      <c r="V34" s="906">
        <v>0</v>
      </c>
      <c r="W34" s="906">
        <v>0</v>
      </c>
      <c r="X34" s="906">
        <v>0</v>
      </c>
      <c r="Y34" s="906">
        <v>0</v>
      </c>
      <c r="Z34" s="906">
        <v>0</v>
      </c>
      <c r="AA34" s="906">
        <v>0</v>
      </c>
      <c r="AB34" s="906">
        <v>0</v>
      </c>
      <c r="AC34" s="906">
        <v>0</v>
      </c>
      <c r="AD34" s="906">
        <v>0</v>
      </c>
      <c r="AE34" s="906">
        <v>0</v>
      </c>
      <c r="AF34" s="906">
        <v>0</v>
      </c>
      <c r="AG34" s="906">
        <v>0</v>
      </c>
      <c r="AH34" s="906">
        <v>0</v>
      </c>
      <c r="AI34" s="906">
        <v>0</v>
      </c>
      <c r="AJ34" s="906">
        <v>0</v>
      </c>
      <c r="AK34" s="906">
        <v>0</v>
      </c>
      <c r="AL34" s="906">
        <v>0</v>
      </c>
      <c r="AM34" s="906">
        <v>0</v>
      </c>
      <c r="AN34" s="906">
        <v>0</v>
      </c>
      <c r="AO34" s="906">
        <v>0</v>
      </c>
      <c r="AP34" s="906">
        <v>0</v>
      </c>
      <c r="AQ34" s="906">
        <v>0</v>
      </c>
      <c r="AR34" s="906">
        <v>0</v>
      </c>
      <c r="AS34" s="906">
        <v>0</v>
      </c>
      <c r="AT34" s="906">
        <v>0</v>
      </c>
      <c r="AU34" s="906">
        <v>0</v>
      </c>
      <c r="AV34" s="906">
        <v>0</v>
      </c>
      <c r="AW34" s="906">
        <v>0</v>
      </c>
      <c r="AX34" s="906">
        <v>0</v>
      </c>
      <c r="AY34" s="906">
        <v>0</v>
      </c>
      <c r="AZ34" s="906">
        <v>0</v>
      </c>
      <c r="BA34" s="906">
        <v>0</v>
      </c>
      <c r="BB34" s="906">
        <v>0</v>
      </c>
      <c r="BC34" s="906">
        <v>0</v>
      </c>
      <c r="BD34" s="906">
        <v>0</v>
      </c>
      <c r="BE34" s="906">
        <v>0</v>
      </c>
      <c r="BF34" s="906">
        <v>0</v>
      </c>
      <c r="BG34" s="906">
        <v>0</v>
      </c>
      <c r="BH34" s="906">
        <v>0</v>
      </c>
      <c r="BI34" s="906">
        <v>0</v>
      </c>
      <c r="BJ34" s="906">
        <v>0</v>
      </c>
      <c r="BK34" s="906">
        <v>0</v>
      </c>
      <c r="BL34" s="906">
        <v>0</v>
      </c>
      <c r="BM34" s="906">
        <v>0</v>
      </c>
      <c r="BN34" s="906">
        <v>0</v>
      </c>
      <c r="BO34" s="906">
        <v>0</v>
      </c>
      <c r="BP34" s="906">
        <v>0</v>
      </c>
      <c r="BQ34" s="906">
        <v>0</v>
      </c>
      <c r="BR34" s="906">
        <v>0</v>
      </c>
      <c r="BS34" s="906">
        <v>0</v>
      </c>
      <c r="BT34" s="906">
        <v>0</v>
      </c>
      <c r="BU34" s="906">
        <v>0</v>
      </c>
      <c r="BV34" s="906">
        <v>0</v>
      </c>
      <c r="BW34" s="906">
        <v>0</v>
      </c>
      <c r="BX34" s="906">
        <v>0</v>
      </c>
      <c r="BY34" s="906">
        <v>0</v>
      </c>
      <c r="BZ34" s="906">
        <v>0</v>
      </c>
      <c r="CA34" s="906">
        <v>0</v>
      </c>
      <c r="CB34" s="906">
        <v>0</v>
      </c>
      <c r="CC34" s="105">
        <f>(SUM($BL34:$BW34)*(1+Dashboard!$Q$24))/12</f>
        <v>0</v>
      </c>
      <c r="CD34" s="105">
        <f>(SUM($BL34:$BW34)*(1+Dashboard!$Q$24))/12</f>
        <v>0</v>
      </c>
      <c r="CE34" s="105">
        <f>(SUM($BL34:$BW34)*(1+Dashboard!$Q$24))/12</f>
        <v>0</v>
      </c>
      <c r="CF34" s="105">
        <f>(SUM($BL34:$BW34)*(1+Dashboard!$Q$24))/12</f>
        <v>0</v>
      </c>
      <c r="CG34" s="105">
        <f>(SUM($BL34:$BW34)*(1+Dashboard!$Q$24))/12</f>
        <v>0</v>
      </c>
      <c r="CH34" s="105">
        <f>(SUM($BL34:$BW34)*(1+Dashboard!$Q$24))/12</f>
        <v>0</v>
      </c>
      <c r="CI34" s="105">
        <f>(SUM($BL34:$BW34)*(1+Dashboard!$Q$24))/12</f>
        <v>0</v>
      </c>
      <c r="CJ34" s="105">
        <f>(SUM($BL34:$BW34)*(1+Dashboard!$Q$24))/12</f>
        <v>0</v>
      </c>
      <c r="CK34" s="105">
        <f>(SUM($BL34:$BW34)*(1+Dashboard!$Q$24))/12</f>
        <v>0</v>
      </c>
      <c r="CL34" s="105">
        <f>(SUM($BL34:$BW34)*(1+Dashboard!$Q$24))/12</f>
        <v>0</v>
      </c>
      <c r="CM34" s="105">
        <f>(SUM($BL34:$BW34)*(1+Dashboard!$Q$24))/12</f>
        <v>0</v>
      </c>
      <c r="CN34" s="105">
        <f>(SUM($BL34:$BW34)*(1+Dashboard!$Q$24))/12</f>
        <v>0</v>
      </c>
      <c r="CO34" s="105">
        <f>(SUM($BL34:$BW34)*(1+Dashboard!$Q$24))/12</f>
        <v>0</v>
      </c>
      <c r="CP34" s="105">
        <f>(SUM($BL34:$BW34)*(1+Dashboard!$Q$24))/12</f>
        <v>0</v>
      </c>
    </row>
    <row r="35" spans="2:94">
      <c r="B35" s="74" t="str">
        <f>'Year-1 Proforma'!B34</f>
        <v>Utilities</v>
      </c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92"/>
      <c r="P35" s="105">
        <f>('Year-1 Proforma'!$C34*(1+Dashboard!$I$24))/12</f>
        <v>26550</v>
      </c>
      <c r="Q35" s="105">
        <f>('Year-1 Proforma'!$C34*(1+Dashboard!$I$24))/12</f>
        <v>26550</v>
      </c>
      <c r="R35" s="105">
        <f>('Year-1 Proforma'!$C34*(1+Dashboard!$I$24))/12</f>
        <v>26550</v>
      </c>
      <c r="S35" s="105">
        <f>('Year-1 Proforma'!$C34*(1+Dashboard!$I$24))/12</f>
        <v>26550</v>
      </c>
      <c r="T35" s="105">
        <f>('Year-1 Proforma'!$C34*(1+Dashboard!$I$24))/12</f>
        <v>26550</v>
      </c>
      <c r="U35" s="105">
        <f>('Year-1 Proforma'!$C34*(1+Dashboard!$I$24))/12</f>
        <v>26550</v>
      </c>
      <c r="V35" s="105">
        <f>('Year-1 Proforma'!$C34*(1+Dashboard!$I$24))/12</f>
        <v>26550</v>
      </c>
      <c r="W35" s="105">
        <f>('Year-1 Proforma'!$C34*(1+Dashboard!$I$24))/12</f>
        <v>26550</v>
      </c>
      <c r="X35" s="105">
        <f>('Year-1 Proforma'!$C34*(1+Dashboard!$I$24))/12</f>
        <v>26550</v>
      </c>
      <c r="Y35" s="105">
        <f>('Year-1 Proforma'!$C34*(1+Dashboard!$I$24))/12</f>
        <v>26550</v>
      </c>
      <c r="Z35" s="105">
        <f>('Year-1 Proforma'!$C34*(1+Dashboard!$I$24))/12</f>
        <v>26550</v>
      </c>
      <c r="AA35" s="105">
        <f>('Year-1 Proforma'!$C34*(1+Dashboard!$I$24))/12</f>
        <v>26550</v>
      </c>
      <c r="AB35" s="105">
        <f>(SUM($P35:$AA35)*(1+Dashboard!$K$24))/12</f>
        <v>27081</v>
      </c>
      <c r="AC35" s="105">
        <f>(SUM($P35:$AA35)*(1+Dashboard!$K$24))/12</f>
        <v>27081</v>
      </c>
      <c r="AD35" s="105">
        <f>(SUM($P35:$AA35)*(1+Dashboard!$K$24))/12</f>
        <v>27081</v>
      </c>
      <c r="AE35" s="105">
        <f>(SUM($P35:$AA35)*(1+Dashboard!$K$24))/12</f>
        <v>27081</v>
      </c>
      <c r="AF35" s="105">
        <f>(SUM($P35:$AA35)*(1+Dashboard!$K$24))/12</f>
        <v>27081</v>
      </c>
      <c r="AG35" s="105">
        <f>(SUM($P35:$AA35)*(1+Dashboard!$K$24))/12</f>
        <v>27081</v>
      </c>
      <c r="AH35" s="105">
        <f>(SUM($P35:$AA35)*(1+Dashboard!$K$24))/12</f>
        <v>27081</v>
      </c>
      <c r="AI35" s="105">
        <f>(SUM($P35:$AA35)*(1+Dashboard!$K$24))/12</f>
        <v>27081</v>
      </c>
      <c r="AJ35" s="105">
        <f>(SUM($P35:$AA35)*(1+Dashboard!$K$24))/12</f>
        <v>27081</v>
      </c>
      <c r="AK35" s="105">
        <f>(SUM($P35:$AA35)*(1+Dashboard!$K$24))/12</f>
        <v>27081</v>
      </c>
      <c r="AL35" s="105">
        <f>(SUM($P35:$AA35)*(1+Dashboard!$K$24))/12</f>
        <v>27081</v>
      </c>
      <c r="AM35" s="105">
        <f>(SUM($P35:$AA35)*(1+Dashboard!$K$24))/12</f>
        <v>27081</v>
      </c>
      <c r="AN35" s="105">
        <f>(SUM($AB35:$AM35)*(1+Dashboard!$M$24))/12</f>
        <v>27622.62</v>
      </c>
      <c r="AO35" s="105">
        <f>(SUM($AB35:$AM35)*(1+Dashboard!$M$24))/12</f>
        <v>27622.62</v>
      </c>
      <c r="AP35" s="105">
        <f>(SUM($AB35:$AM35)*(1+Dashboard!$M$24))/12</f>
        <v>27622.62</v>
      </c>
      <c r="AQ35" s="105">
        <f>(SUM($AB35:$AM35)*(1+Dashboard!$M$24))/12</f>
        <v>27622.62</v>
      </c>
      <c r="AR35" s="105">
        <f>(SUM($AB35:$AM35)*(1+Dashboard!$M$24))/12</f>
        <v>27622.62</v>
      </c>
      <c r="AS35" s="105">
        <f>(SUM($AB35:$AM35)*(1+Dashboard!$M$24))/12</f>
        <v>27622.62</v>
      </c>
      <c r="AT35" s="105">
        <f>(SUM($AB35:$AM35)*(1+Dashboard!$M$24))/12</f>
        <v>27622.62</v>
      </c>
      <c r="AU35" s="105">
        <f>(SUM($AB35:$AM35)*(1+Dashboard!$M$24))/12</f>
        <v>27622.62</v>
      </c>
      <c r="AV35" s="105">
        <f>(SUM($AB35:$AM35)*(1+Dashboard!$M$24))/12</f>
        <v>27622.62</v>
      </c>
      <c r="AW35" s="105">
        <f>(SUM($AB35:$AM35)*(1+Dashboard!$M$24))/12</f>
        <v>27622.62</v>
      </c>
      <c r="AX35" s="105">
        <f>(SUM($AB35:$AM35)*(1+Dashboard!$M$24))/12</f>
        <v>27622.62</v>
      </c>
      <c r="AY35" s="105">
        <f>(SUM($AB35:$AM35)*(1+Dashboard!$M$24))/12</f>
        <v>27622.62</v>
      </c>
      <c r="AZ35" s="105">
        <f>(SUM($AN35:$AY35)*(1+Dashboard!$O$24))/12</f>
        <v>28175.072400000001</v>
      </c>
      <c r="BA35" s="105">
        <f>(SUM($AN35:$AY35)*(1+Dashboard!$O$24))/12</f>
        <v>28175.072400000001</v>
      </c>
      <c r="BB35" s="105">
        <f>(SUM($AN35:$AY35)*(1+Dashboard!$O$24))/12</f>
        <v>28175.072400000001</v>
      </c>
      <c r="BC35" s="105">
        <f>(SUM($AN35:$AY35)*(1+Dashboard!$O$24))/12</f>
        <v>28175.072400000001</v>
      </c>
      <c r="BD35" s="105">
        <f>(SUM($AN35:$AY35)*(1+Dashboard!$O$24))/12</f>
        <v>28175.072400000001</v>
      </c>
      <c r="BE35" s="105">
        <f>(SUM($AN35:$AY35)*(1+Dashboard!$O$24))/12</f>
        <v>28175.072400000001</v>
      </c>
      <c r="BF35" s="105">
        <f>(SUM($AN35:$AY35)*(1+Dashboard!$O$24))/12</f>
        <v>28175.072400000001</v>
      </c>
      <c r="BG35" s="105">
        <f>(SUM($AN35:$AY35)*(1+Dashboard!$O$24))/12</f>
        <v>28175.072400000001</v>
      </c>
      <c r="BH35" s="105">
        <f>(SUM($AN35:$AY35)*(1+Dashboard!$O$24))/12</f>
        <v>28175.072400000001</v>
      </c>
      <c r="BI35" s="105">
        <f>(SUM($AN35:$AY35)*(1+Dashboard!$O$24))/12</f>
        <v>28175.072400000001</v>
      </c>
      <c r="BJ35" s="105">
        <f>(SUM($AN35:$AY35)*(1+Dashboard!$O$24))/12</f>
        <v>28175.072400000001</v>
      </c>
      <c r="BK35" s="105">
        <f>(SUM($AN35:$AY35)*(1+Dashboard!$O$24))/12</f>
        <v>28175.072400000001</v>
      </c>
      <c r="BL35" s="105">
        <f>(SUM($AZ35:$BK35)*(1+Dashboard!$Q$24))/12</f>
        <v>28738.573848</v>
      </c>
      <c r="BM35" s="105">
        <f>(SUM($AZ35:$BK35)*(1+Dashboard!$Q$24))/12</f>
        <v>28738.573848</v>
      </c>
      <c r="BN35" s="105">
        <f>(SUM($AZ35:$BK35)*(1+Dashboard!$Q$24))/12</f>
        <v>28738.573848</v>
      </c>
      <c r="BO35" s="105">
        <f>(SUM($AZ35:$BK35)*(1+Dashboard!$Q$24))/12</f>
        <v>28738.573848</v>
      </c>
      <c r="BP35" s="105">
        <f>(SUM($AZ35:$BK35)*(1+Dashboard!$Q$24))/12</f>
        <v>28738.573848</v>
      </c>
      <c r="BQ35" s="105">
        <f>(SUM($AZ35:$BK35)*(1+Dashboard!$Q$24))/12</f>
        <v>28738.573848</v>
      </c>
      <c r="BR35" s="105">
        <f>(SUM($AZ35:$BK35)*(1+Dashboard!$Q$24))/12</f>
        <v>28738.573848</v>
      </c>
      <c r="BS35" s="105">
        <f>(SUM($AZ35:$BK35)*(1+Dashboard!$Q$24))/12</f>
        <v>28738.573848</v>
      </c>
      <c r="BT35" s="105">
        <f>(SUM($AZ35:$BK35)*(1+Dashboard!$Q$24))/12</f>
        <v>28738.573848</v>
      </c>
      <c r="BU35" s="105">
        <f>(SUM($AZ35:$BK35)*(1+Dashboard!$Q$24))/12</f>
        <v>28738.573848</v>
      </c>
      <c r="BV35" s="105">
        <f>(SUM($AZ35:$BK35)*(1+Dashboard!$Q$24))/12</f>
        <v>28738.573848</v>
      </c>
      <c r="BW35" s="105">
        <f>(SUM($AZ35:$BK35)*(1+Dashboard!$Q$24))/12</f>
        <v>28738.573848</v>
      </c>
      <c r="BX35" s="105">
        <f>(SUM($AZ35:$BK35)*(1+Dashboard!$Q$24))/12</f>
        <v>28738.573848</v>
      </c>
      <c r="BY35" s="105">
        <f>(SUM($AZ35:$BK35)*(1+Dashboard!$Q$24))/12</f>
        <v>28738.573848</v>
      </c>
      <c r="BZ35" s="105">
        <f>(SUM($AZ35:$BK35)*(1+Dashboard!$Q$24))/12</f>
        <v>28738.573848</v>
      </c>
      <c r="CA35" s="105">
        <f>(SUM($AZ35:$BK35)*(1+Dashboard!$Q$24))/12</f>
        <v>28738.573848</v>
      </c>
      <c r="CB35" s="105">
        <f>(SUM($AZ35:$BK35)*(1+Dashboard!$Q$24))/12</f>
        <v>28738.573848</v>
      </c>
      <c r="CC35" s="105">
        <f>(SUM($AZ35:$BK35)*(1+Dashboard!$Q$24))/12</f>
        <v>28738.573848</v>
      </c>
      <c r="CD35" s="105">
        <f>(SUM($AZ35:$BK35)*(1+Dashboard!$Q$24))/12</f>
        <v>28738.573848</v>
      </c>
      <c r="CE35" s="105">
        <f>(SUM($AZ35:$BK35)*(1+Dashboard!$Q$24))/12</f>
        <v>28738.573848</v>
      </c>
      <c r="CF35" s="105">
        <f>(SUM($AZ35:$BK35)*(1+Dashboard!$Q$24))/12</f>
        <v>28738.573848</v>
      </c>
      <c r="CG35" s="105">
        <f>(SUM($AZ35:$BK35)*(1+Dashboard!$Q$24))/12</f>
        <v>28738.573848</v>
      </c>
      <c r="CH35" s="105">
        <f>(SUM($AZ35:$BK35)*(1+Dashboard!$Q$24))/12</f>
        <v>28738.573848</v>
      </c>
      <c r="CI35" s="105">
        <f>(SUM($AZ35:$BK35)*(1+Dashboard!$Q$24))/12</f>
        <v>28738.573848</v>
      </c>
      <c r="CJ35" s="105">
        <f>(SUM($AZ35:$BK35)*(1+Dashboard!$Q$24))/12</f>
        <v>28738.573848</v>
      </c>
      <c r="CK35" s="105">
        <f>(SUM($AZ35:$BK35)*(1+Dashboard!$Q$24))/12</f>
        <v>28738.573848</v>
      </c>
      <c r="CL35" s="105">
        <f>(SUM($AZ35:$BK35)*(1+Dashboard!$Q$24))/12</f>
        <v>28738.573848</v>
      </c>
      <c r="CM35" s="105">
        <f>(SUM($AZ35:$BK35)*(1+Dashboard!$Q$24))/12</f>
        <v>28738.573848</v>
      </c>
      <c r="CN35" s="105">
        <f>(SUM($AZ35:$BK35)*(1+Dashboard!$Q$24))/12</f>
        <v>28738.573848</v>
      </c>
      <c r="CO35" s="105">
        <f>(SUM($AZ35:$BK35)*(1+Dashboard!$Q$24))/12</f>
        <v>28738.573848</v>
      </c>
      <c r="CP35" s="105">
        <f>(SUM($AZ35:$BK35)*(1+Dashboard!$Q$24))/12</f>
        <v>28738.573848</v>
      </c>
    </row>
    <row r="36" spans="2:94">
      <c r="B36" s="77" t="str">
        <f>'Year-1 Proforma'!B36</f>
        <v>Total Expenses</v>
      </c>
      <c r="C36" s="534"/>
      <c r="D36" s="534"/>
      <c r="E36" s="534"/>
      <c r="F36" s="534"/>
      <c r="G36" s="534"/>
      <c r="H36" s="534"/>
      <c r="I36" s="534"/>
      <c r="J36" s="534"/>
      <c r="K36" s="534"/>
      <c r="L36" s="534"/>
      <c r="M36" s="534"/>
      <c r="N36" s="534"/>
      <c r="O36" s="534"/>
      <c r="P36" s="154">
        <f t="shared" ref="P36:AU36" si="26">SUM(P25:P31)+SUM(P33:P35)</f>
        <v>135469.94538749999</v>
      </c>
      <c r="Q36" s="154">
        <f t="shared" si="26"/>
        <v>135469.94538749999</v>
      </c>
      <c r="R36" s="154">
        <f t="shared" si="26"/>
        <v>135469.94538749999</v>
      </c>
      <c r="S36" s="154">
        <f t="shared" si="26"/>
        <v>135469.94538749999</v>
      </c>
      <c r="T36" s="154">
        <f t="shared" si="26"/>
        <v>135469.94538749999</v>
      </c>
      <c r="U36" s="154">
        <f t="shared" si="26"/>
        <v>135469.94538749999</v>
      </c>
      <c r="V36" s="154">
        <f t="shared" si="26"/>
        <v>135469.94538749999</v>
      </c>
      <c r="W36" s="154">
        <f t="shared" si="26"/>
        <v>135469.94538749999</v>
      </c>
      <c r="X36" s="154">
        <f t="shared" si="26"/>
        <v>135469.94538749999</v>
      </c>
      <c r="Y36" s="154">
        <f t="shared" si="26"/>
        <v>135469.94538749999</v>
      </c>
      <c r="Z36" s="154">
        <f t="shared" si="26"/>
        <v>135469.94538749999</v>
      </c>
      <c r="AA36" s="154">
        <f t="shared" si="26"/>
        <v>135469.94538749999</v>
      </c>
      <c r="AB36" s="154">
        <f>SUM(AB25:AB31)+SUM(AB33:AB35)</f>
        <v>138348.53900225001</v>
      </c>
      <c r="AC36" s="154">
        <f t="shared" si="26"/>
        <v>138348.53900225001</v>
      </c>
      <c r="AD36" s="154">
        <f t="shared" si="26"/>
        <v>138348.53900225001</v>
      </c>
      <c r="AE36" s="154">
        <f t="shared" si="26"/>
        <v>138348.53900225001</v>
      </c>
      <c r="AF36" s="154">
        <f t="shared" si="26"/>
        <v>138348.53900225001</v>
      </c>
      <c r="AG36" s="154">
        <f t="shared" si="26"/>
        <v>138348.53900225001</v>
      </c>
      <c r="AH36" s="154">
        <f t="shared" si="26"/>
        <v>138348.53900225001</v>
      </c>
      <c r="AI36" s="154">
        <f t="shared" si="26"/>
        <v>138348.53900225001</v>
      </c>
      <c r="AJ36" s="154">
        <f t="shared" si="26"/>
        <v>138348.53900225001</v>
      </c>
      <c r="AK36" s="154">
        <f t="shared" si="26"/>
        <v>138348.53900225001</v>
      </c>
      <c r="AL36" s="154">
        <f t="shared" si="26"/>
        <v>138348.53900225001</v>
      </c>
      <c r="AM36" s="154">
        <f t="shared" si="26"/>
        <v>138348.53900225001</v>
      </c>
      <c r="AN36" s="154">
        <f t="shared" si="26"/>
        <v>141289.78033050499</v>
      </c>
      <c r="AO36" s="154">
        <f t="shared" si="26"/>
        <v>141289.78033050499</v>
      </c>
      <c r="AP36" s="154">
        <f t="shared" si="26"/>
        <v>141289.78033050499</v>
      </c>
      <c r="AQ36" s="154">
        <f t="shared" si="26"/>
        <v>141289.78033050499</v>
      </c>
      <c r="AR36" s="154">
        <f t="shared" si="26"/>
        <v>141289.78033050499</v>
      </c>
      <c r="AS36" s="154">
        <f t="shared" si="26"/>
        <v>141289.78033050499</v>
      </c>
      <c r="AT36" s="154">
        <f t="shared" si="26"/>
        <v>141289.78033050499</v>
      </c>
      <c r="AU36" s="154">
        <f t="shared" si="26"/>
        <v>141289.78033050499</v>
      </c>
      <c r="AV36" s="154">
        <f t="shared" ref="AV36:CA36" si="27">SUM(AV25:AV31)+SUM(AV33:AV35)</f>
        <v>141289.78033050499</v>
      </c>
      <c r="AW36" s="154">
        <f t="shared" si="27"/>
        <v>141289.78033050499</v>
      </c>
      <c r="AX36" s="154">
        <f t="shared" si="27"/>
        <v>141289.78033050499</v>
      </c>
      <c r="AY36" s="154">
        <f t="shared" si="27"/>
        <v>141289.78033050499</v>
      </c>
      <c r="AZ36" s="154">
        <f t="shared" si="27"/>
        <v>144295.07460177143</v>
      </c>
      <c r="BA36" s="154">
        <f t="shared" si="27"/>
        <v>144295.07460177143</v>
      </c>
      <c r="BB36" s="154">
        <f t="shared" si="27"/>
        <v>144295.07460177143</v>
      </c>
      <c r="BC36" s="154">
        <f t="shared" si="27"/>
        <v>144295.07460177143</v>
      </c>
      <c r="BD36" s="154">
        <f t="shared" si="27"/>
        <v>144295.07460177143</v>
      </c>
      <c r="BE36" s="154">
        <f t="shared" si="27"/>
        <v>144295.07460177143</v>
      </c>
      <c r="BF36" s="154">
        <f t="shared" si="27"/>
        <v>144295.07460177143</v>
      </c>
      <c r="BG36" s="154">
        <f t="shared" si="27"/>
        <v>144295.07460177143</v>
      </c>
      <c r="BH36" s="154">
        <f t="shared" si="27"/>
        <v>144295.07460177143</v>
      </c>
      <c r="BI36" s="154">
        <f t="shared" si="27"/>
        <v>144295.07460177143</v>
      </c>
      <c r="BJ36" s="154">
        <f t="shared" si="27"/>
        <v>144295.07460177143</v>
      </c>
      <c r="BK36" s="154">
        <f t="shared" si="27"/>
        <v>144295.07460177143</v>
      </c>
      <c r="BL36" s="154">
        <f t="shared" si="27"/>
        <v>147365.02926566071</v>
      </c>
      <c r="BM36" s="154">
        <f t="shared" si="27"/>
        <v>147365.02926566071</v>
      </c>
      <c r="BN36" s="154">
        <f t="shared" si="27"/>
        <v>147365.02926566071</v>
      </c>
      <c r="BO36" s="154">
        <f t="shared" si="27"/>
        <v>147365.02926566071</v>
      </c>
      <c r="BP36" s="154">
        <f t="shared" si="27"/>
        <v>147365.02926566071</v>
      </c>
      <c r="BQ36" s="154">
        <f t="shared" si="27"/>
        <v>147365.02926566071</v>
      </c>
      <c r="BR36" s="154">
        <f t="shared" si="27"/>
        <v>147365.02926566071</v>
      </c>
      <c r="BS36" s="154">
        <f t="shared" si="27"/>
        <v>147365.02926566071</v>
      </c>
      <c r="BT36" s="154">
        <f t="shared" si="27"/>
        <v>147365.02926566071</v>
      </c>
      <c r="BU36" s="154">
        <f t="shared" si="27"/>
        <v>147365.02926566071</v>
      </c>
      <c r="BV36" s="154">
        <f t="shared" si="27"/>
        <v>147365.02926566071</v>
      </c>
      <c r="BW36" s="154">
        <f t="shared" si="27"/>
        <v>147365.85971840279</v>
      </c>
      <c r="BX36" s="154">
        <f t="shared" si="27"/>
        <v>147937.15011840442</v>
      </c>
      <c r="BY36" s="154">
        <f t="shared" si="27"/>
        <v>147937.15011840442</v>
      </c>
      <c r="BZ36" s="154">
        <f t="shared" si="27"/>
        <v>147937.15011840442</v>
      </c>
      <c r="CA36" s="154">
        <f t="shared" si="27"/>
        <v>147937.15011840442</v>
      </c>
      <c r="CB36" s="154">
        <f t="shared" ref="CB36:CP36" si="28">SUM(CB25:CB31)+SUM(CB33:CB35)</f>
        <v>147937.15011840442</v>
      </c>
      <c r="CC36" s="154">
        <f t="shared" si="28"/>
        <v>147937.15011840442</v>
      </c>
      <c r="CD36" s="154">
        <f t="shared" si="28"/>
        <v>147937.15011840442</v>
      </c>
      <c r="CE36" s="154">
        <f t="shared" si="28"/>
        <v>147937.15011840442</v>
      </c>
      <c r="CF36" s="154">
        <f t="shared" si="28"/>
        <v>147937.15011840442</v>
      </c>
      <c r="CG36" s="154">
        <f t="shared" si="28"/>
        <v>147937.15011840442</v>
      </c>
      <c r="CH36" s="154">
        <f t="shared" si="28"/>
        <v>147937.15011840442</v>
      </c>
      <c r="CI36" s="154">
        <f t="shared" si="28"/>
        <v>147937.15011840442</v>
      </c>
      <c r="CJ36" s="154">
        <f t="shared" si="28"/>
        <v>147937.15011840442</v>
      </c>
      <c r="CK36" s="154">
        <f t="shared" si="28"/>
        <v>147937.15011840442</v>
      </c>
      <c r="CL36" s="154">
        <f t="shared" si="28"/>
        <v>147937.15011840442</v>
      </c>
      <c r="CM36" s="154">
        <f t="shared" si="28"/>
        <v>147937.15011840442</v>
      </c>
      <c r="CN36" s="154">
        <f t="shared" si="28"/>
        <v>147937.15011840442</v>
      </c>
      <c r="CO36" s="154">
        <f t="shared" si="28"/>
        <v>147937.15011840442</v>
      </c>
      <c r="CP36" s="154">
        <f t="shared" si="28"/>
        <v>147937.15011840442</v>
      </c>
    </row>
    <row r="37" spans="2:94" ht="9.75" customHeight="1"/>
    <row r="38" spans="2:94" ht="15.75" thickBot="1">
      <c r="B38" s="152" t="str">
        <f>'Year-1 Proforma'!B38</f>
        <v>NOI</v>
      </c>
      <c r="C38" s="535"/>
      <c r="D38" s="535"/>
      <c r="E38" s="535"/>
      <c r="F38" s="535"/>
      <c r="G38" s="535"/>
      <c r="H38" s="535"/>
      <c r="I38" s="535"/>
      <c r="J38" s="535"/>
      <c r="K38" s="535"/>
      <c r="L38" s="535"/>
      <c r="M38" s="535"/>
      <c r="N38" s="535"/>
      <c r="O38" s="535"/>
      <c r="P38" s="153">
        <f t="shared" ref="P38:AU38" si="29">P21-P36</f>
        <v>444163.49461249996</v>
      </c>
      <c r="Q38" s="153">
        <f t="shared" si="29"/>
        <v>444163.49461249996</v>
      </c>
      <c r="R38" s="153">
        <f t="shared" si="29"/>
        <v>444163.49461249996</v>
      </c>
      <c r="S38" s="153">
        <f t="shared" si="29"/>
        <v>444163.49461249996</v>
      </c>
      <c r="T38" s="153">
        <f t="shared" si="29"/>
        <v>444163.49461249996</v>
      </c>
      <c r="U38" s="153">
        <f t="shared" si="29"/>
        <v>444163.49461249996</v>
      </c>
      <c r="V38" s="153">
        <f t="shared" si="29"/>
        <v>444163.49461249996</v>
      </c>
      <c r="W38" s="153">
        <f t="shared" si="29"/>
        <v>444163.49461249996</v>
      </c>
      <c r="X38" s="153">
        <f t="shared" si="29"/>
        <v>444163.49461249996</v>
      </c>
      <c r="Y38" s="153">
        <f t="shared" si="29"/>
        <v>444163.49461249996</v>
      </c>
      <c r="Z38" s="153">
        <f t="shared" si="29"/>
        <v>444163.49461249996</v>
      </c>
      <c r="AA38" s="153">
        <f t="shared" si="29"/>
        <v>444163.49461249996</v>
      </c>
      <c r="AB38" s="153">
        <f t="shared" si="29"/>
        <v>458517.39336441673</v>
      </c>
      <c r="AC38" s="153">
        <f t="shared" si="29"/>
        <v>458517.39336441673</v>
      </c>
      <c r="AD38" s="153">
        <f t="shared" si="29"/>
        <v>458517.39336441673</v>
      </c>
      <c r="AE38" s="153">
        <f t="shared" si="29"/>
        <v>458517.39336441673</v>
      </c>
      <c r="AF38" s="153">
        <f t="shared" si="29"/>
        <v>458517.39336441673</v>
      </c>
      <c r="AG38" s="153">
        <f t="shared" si="29"/>
        <v>458517.39336441673</v>
      </c>
      <c r="AH38" s="153">
        <f t="shared" si="29"/>
        <v>458517.39336441673</v>
      </c>
      <c r="AI38" s="153">
        <f t="shared" si="29"/>
        <v>458517.39336441673</v>
      </c>
      <c r="AJ38" s="153">
        <f t="shared" si="29"/>
        <v>458517.39336441673</v>
      </c>
      <c r="AK38" s="153">
        <f t="shared" si="29"/>
        <v>458517.39336441673</v>
      </c>
      <c r="AL38" s="153">
        <f t="shared" si="29"/>
        <v>458517.39336441673</v>
      </c>
      <c r="AM38" s="153">
        <f t="shared" si="29"/>
        <v>458517.39336441673</v>
      </c>
      <c r="AN38" s="153">
        <f t="shared" si="29"/>
        <v>473322.48895716178</v>
      </c>
      <c r="AO38" s="153">
        <f t="shared" si="29"/>
        <v>473322.48895716178</v>
      </c>
      <c r="AP38" s="153">
        <f t="shared" si="29"/>
        <v>473322.48895716178</v>
      </c>
      <c r="AQ38" s="153">
        <f t="shared" si="29"/>
        <v>473322.48895716178</v>
      </c>
      <c r="AR38" s="153">
        <f t="shared" si="29"/>
        <v>473322.48895716178</v>
      </c>
      <c r="AS38" s="153">
        <f t="shared" si="29"/>
        <v>473322.48895716178</v>
      </c>
      <c r="AT38" s="153">
        <f t="shared" si="29"/>
        <v>473322.48895716178</v>
      </c>
      <c r="AU38" s="153">
        <f t="shared" si="29"/>
        <v>473322.48895716178</v>
      </c>
      <c r="AV38" s="153">
        <f t="shared" ref="AV38:CA38" si="30">AV21-AV36</f>
        <v>473322.48895716178</v>
      </c>
      <c r="AW38" s="153">
        <f t="shared" si="30"/>
        <v>473322.48895716178</v>
      </c>
      <c r="AX38" s="153">
        <f t="shared" si="30"/>
        <v>473322.48895716178</v>
      </c>
      <c r="AY38" s="153">
        <f t="shared" si="30"/>
        <v>473322.48895716178</v>
      </c>
      <c r="AZ38" s="153">
        <f t="shared" si="30"/>
        <v>488592.72889352532</v>
      </c>
      <c r="BA38" s="153">
        <f t="shared" si="30"/>
        <v>488592.72889352532</v>
      </c>
      <c r="BB38" s="153">
        <f t="shared" si="30"/>
        <v>488592.72889352532</v>
      </c>
      <c r="BC38" s="153">
        <f t="shared" si="30"/>
        <v>488592.72889352532</v>
      </c>
      <c r="BD38" s="153">
        <f t="shared" si="30"/>
        <v>488592.72889352532</v>
      </c>
      <c r="BE38" s="153">
        <f t="shared" si="30"/>
        <v>488592.72889352532</v>
      </c>
      <c r="BF38" s="153">
        <f t="shared" si="30"/>
        <v>488592.72889352532</v>
      </c>
      <c r="BG38" s="153">
        <f t="shared" si="30"/>
        <v>488592.72889352532</v>
      </c>
      <c r="BH38" s="153">
        <f t="shared" si="30"/>
        <v>488592.72889352532</v>
      </c>
      <c r="BI38" s="153">
        <f t="shared" si="30"/>
        <v>488592.72889352532</v>
      </c>
      <c r="BJ38" s="153">
        <f t="shared" si="30"/>
        <v>488592.72889352532</v>
      </c>
      <c r="BK38" s="153">
        <f t="shared" si="30"/>
        <v>488592.72889352532</v>
      </c>
      <c r="BL38" s="153">
        <f t="shared" si="30"/>
        <v>504315.63602800493</v>
      </c>
      <c r="BM38" s="153">
        <f t="shared" si="30"/>
        <v>504315.63602800493</v>
      </c>
      <c r="BN38" s="153">
        <f t="shared" si="30"/>
        <v>504315.63602800493</v>
      </c>
      <c r="BO38" s="153">
        <f t="shared" si="30"/>
        <v>504315.63602800493</v>
      </c>
      <c r="BP38" s="153">
        <f t="shared" si="30"/>
        <v>504315.63602800493</v>
      </c>
      <c r="BQ38" s="153">
        <f t="shared" si="30"/>
        <v>504315.63602800493</v>
      </c>
      <c r="BR38" s="153">
        <f t="shared" si="30"/>
        <v>504315.63602800493</v>
      </c>
      <c r="BS38" s="153">
        <f t="shared" si="30"/>
        <v>504315.63602800493</v>
      </c>
      <c r="BT38" s="153">
        <f t="shared" si="30"/>
        <v>504315.63602800493</v>
      </c>
      <c r="BU38" s="153">
        <f t="shared" si="30"/>
        <v>504315.63602800493</v>
      </c>
      <c r="BV38" s="153">
        <f t="shared" si="30"/>
        <v>504315.63602800493</v>
      </c>
      <c r="BW38" s="153">
        <f t="shared" si="30"/>
        <v>504342.48733333283</v>
      </c>
      <c r="BX38" s="153">
        <f t="shared" si="30"/>
        <v>522814.21026671806</v>
      </c>
      <c r="BY38" s="153">
        <f t="shared" si="30"/>
        <v>522814.21026671806</v>
      </c>
      <c r="BZ38" s="153">
        <f t="shared" si="30"/>
        <v>522814.21026671806</v>
      </c>
      <c r="CA38" s="153">
        <f t="shared" si="30"/>
        <v>522814.21026671806</v>
      </c>
      <c r="CB38" s="153">
        <f t="shared" ref="CB38:CP38" si="31">CB21-CB36</f>
        <v>522814.21026671806</v>
      </c>
      <c r="CC38" s="153">
        <f t="shared" si="31"/>
        <v>522814.21026671806</v>
      </c>
      <c r="CD38" s="153">
        <f t="shared" si="31"/>
        <v>522814.21026671806</v>
      </c>
      <c r="CE38" s="153">
        <f t="shared" si="31"/>
        <v>522814.21026671806</v>
      </c>
      <c r="CF38" s="153">
        <f t="shared" si="31"/>
        <v>522814.21026671806</v>
      </c>
      <c r="CG38" s="153">
        <f t="shared" si="31"/>
        <v>522814.21026671806</v>
      </c>
      <c r="CH38" s="153">
        <f t="shared" si="31"/>
        <v>522814.21026671806</v>
      </c>
      <c r="CI38" s="153">
        <f t="shared" si="31"/>
        <v>522814.21026671806</v>
      </c>
      <c r="CJ38" s="153">
        <f t="shared" si="31"/>
        <v>522814.21026671806</v>
      </c>
      <c r="CK38" s="153">
        <f t="shared" si="31"/>
        <v>522814.21026671806</v>
      </c>
      <c r="CL38" s="153">
        <f t="shared" si="31"/>
        <v>522814.21026671806</v>
      </c>
      <c r="CM38" s="153">
        <f t="shared" si="31"/>
        <v>522814.21026671806</v>
      </c>
      <c r="CN38" s="153">
        <f t="shared" si="31"/>
        <v>522814.21026671806</v>
      </c>
      <c r="CO38" s="153">
        <f t="shared" si="31"/>
        <v>522814.21026671806</v>
      </c>
      <c r="CP38" s="153">
        <f t="shared" si="31"/>
        <v>522814.21026671806</v>
      </c>
    </row>
    <row r="39" spans="2:94" ht="9.75" customHeight="1" thickTop="1"/>
    <row r="40" spans="2:94">
      <c r="B40" s="30" t="s">
        <v>77</v>
      </c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151">
        <f>IF(P$2&gt;Dashboard!$F$36,(VLOOKUP((EOMONTH(P2,-1)+1),'AM Table - Perm Loan'!$C$11:$G$70,'AM Table - Perm Loan'!$E$1,FALSE)+VLOOKUP((EOMONTH(P2,-1)+1),'AM Table - Perm Loan'!$C$11:$G$70,'AM Table - Perm Loan'!$F$1,FALSE)),(VLOOKUP((EOMONTH(P2,-1)+1),'AM Table - Construction Loan'!$C$12:$K$71,'AM Table - Construction Loan'!$H$1,FALSE)+VLOOKUP((EOMONTH(P2,-1)+1),'AM Table - Construction Loan'!$C$12:$K$71,'AM Table - Construction Loan'!$I$1,FALSE)))</f>
        <v>388297.5575419807</v>
      </c>
      <c r="Q40" s="151">
        <f>IF(Q2&gt;Dashboard!$F$36,(VLOOKUP((EOMONTH(Q2,-1)+1),'AM Table - Perm Loan'!$C$11:$G$70,'AM Table - Perm Loan'!$E$1,FALSE)+VLOOKUP((EOMONTH(Q2,-1)+1),'AM Table - Perm Loan'!$C$11:$G$70,'AM Table - Perm Loan'!$F$1,FALSE)),(VLOOKUP((EOMONTH(Q2,-1)+1),'AM Table - Construction Loan'!$C$12:$K$71,'AM Table - Construction Loan'!$H$1,FALSE)+VLOOKUP((EOMONTH(Q2,-1)+1),'AM Table - Construction Loan'!$C$12:$K$71,'AM Table - Construction Loan'!$I$1,FALSE)))</f>
        <v>388297.5575419807</v>
      </c>
      <c r="R40" s="151">
        <f>IF(R2&gt;Dashboard!$F$36,(VLOOKUP((EOMONTH(R2,-1)+1),'AM Table - Perm Loan'!$C$11:$G$70,'AM Table - Perm Loan'!$E$1,FALSE)+VLOOKUP((EOMONTH(R2,-1)+1),'AM Table - Perm Loan'!$C$11:$G$70,'AM Table - Perm Loan'!$F$1,FALSE)),(VLOOKUP((EOMONTH(R2,-1)+1),'AM Table - Construction Loan'!$C$12:$K$71,'AM Table - Construction Loan'!$H$1,FALSE)+VLOOKUP((EOMONTH(R2,-1)+1),'AM Table - Construction Loan'!$C$12:$K$71,'AM Table - Construction Loan'!$I$1,FALSE)))</f>
        <v>388297.5575419807</v>
      </c>
      <c r="S40" s="151">
        <f>IF(S2&gt;Dashboard!$F$36,(VLOOKUP((EOMONTH(S2,-1)+1),'AM Table - Perm Loan'!$C$11:$G$70,'AM Table - Perm Loan'!$E$1,FALSE)+VLOOKUP((EOMONTH(S2,-1)+1),'AM Table - Perm Loan'!$C$11:$G$70,'AM Table - Perm Loan'!$F$1,FALSE)),(VLOOKUP((EOMONTH(S2,-1)+1),'AM Table - Construction Loan'!$C$12:$K$71,'AM Table - Construction Loan'!$H$1,FALSE)+VLOOKUP((EOMONTH(S2,-1)+1),'AM Table - Construction Loan'!$C$12:$K$71,'AM Table - Construction Loan'!$I$1,FALSE)))</f>
        <v>388297.5575419807</v>
      </c>
      <c r="T40" s="151">
        <f>IF(T2&gt;Dashboard!$F$36,(VLOOKUP((EOMONTH(T2,-1)+1),'AM Table - Perm Loan'!$C$11:$G$70,'AM Table - Perm Loan'!$E$1,FALSE)+VLOOKUP((EOMONTH(T2,-1)+1),'AM Table - Perm Loan'!$C$11:$G$70,'AM Table - Perm Loan'!$F$1,FALSE)),(VLOOKUP((EOMONTH(T2,-1)+1),'AM Table - Construction Loan'!$C$12:$K$71,'AM Table - Construction Loan'!$H$1,FALSE)+VLOOKUP((EOMONTH(T2,-1)+1),'AM Table - Construction Loan'!$C$12:$K$71,'AM Table - Construction Loan'!$I$1,FALSE)))</f>
        <v>388297.5575419807</v>
      </c>
      <c r="U40" s="151">
        <f>IF(U2&gt;Dashboard!$F$36,(VLOOKUP((EOMONTH(U2,-1)+1),'AM Table - Perm Loan'!$C$11:$G$70,'AM Table - Perm Loan'!$E$1,FALSE)+VLOOKUP((EOMONTH(U2,-1)+1),'AM Table - Perm Loan'!$C$11:$G$70,'AM Table - Perm Loan'!$F$1,FALSE)),(VLOOKUP((EOMONTH(U2,-1)+1),'AM Table - Construction Loan'!$C$12:$K$71,'AM Table - Construction Loan'!$H$1,FALSE)+VLOOKUP((EOMONTH(U2,-1)+1),'AM Table - Construction Loan'!$C$12:$K$71,'AM Table - Construction Loan'!$I$1,FALSE)))</f>
        <v>388297.5575419807</v>
      </c>
      <c r="V40" s="151">
        <f>IF(V2&gt;Dashboard!$F$36,(VLOOKUP((EOMONTH(V2,-1)+1),'AM Table - Perm Loan'!$C$11:$G$70,'AM Table - Perm Loan'!$E$1,FALSE)+VLOOKUP((EOMONTH(V2,-1)+1),'AM Table - Perm Loan'!$C$11:$G$70,'AM Table - Perm Loan'!$F$1,FALSE)),(VLOOKUP((EOMONTH(V2,-1)+1),'AM Table - Construction Loan'!$C$12:$K$71,'AM Table - Construction Loan'!$H$1,FALSE)+VLOOKUP((EOMONTH(V2,-1)+1),'AM Table - Construction Loan'!$C$12:$K$71,'AM Table - Construction Loan'!$I$1,FALSE)))</f>
        <v>281873.55640600272</v>
      </c>
      <c r="W40" s="151">
        <f>IF(W2&gt;Dashboard!$F$36,(VLOOKUP((EOMONTH(W2,-1)+1),'AM Table - Perm Loan'!$C$11:$G$70,'AM Table - Perm Loan'!$E$1,FALSE)+VLOOKUP((EOMONTH(W2,-1)+1),'AM Table - Perm Loan'!$C$11:$G$70,'AM Table - Perm Loan'!$F$1,FALSE)),(VLOOKUP((EOMONTH(W2,-1)+1),'AM Table - Construction Loan'!$C$12:$K$71,'AM Table - Construction Loan'!$H$1,FALSE)+VLOOKUP((EOMONTH(W2,-1)+1),'AM Table - Construction Loan'!$C$12:$K$71,'AM Table - Construction Loan'!$I$1,FALSE)))</f>
        <v>281873.55640600272</v>
      </c>
      <c r="X40" s="151">
        <f>IF(X2&gt;Dashboard!$F$36,(VLOOKUP((EOMONTH(X2,-1)+1),'AM Table - Perm Loan'!$C$11:$G$70,'AM Table - Perm Loan'!$E$1,FALSE)+VLOOKUP((EOMONTH(X2,-1)+1),'AM Table - Perm Loan'!$C$11:$G$70,'AM Table - Perm Loan'!$F$1,FALSE)),(VLOOKUP((EOMONTH(X2,-1)+1),'AM Table - Construction Loan'!$C$12:$K$71,'AM Table - Construction Loan'!$H$1,FALSE)+VLOOKUP((EOMONTH(X2,-1)+1),'AM Table - Construction Loan'!$C$12:$K$71,'AM Table - Construction Loan'!$I$1,FALSE)))</f>
        <v>281873.55640600272</v>
      </c>
      <c r="Y40" s="151">
        <f>IF(Y2&gt;Dashboard!$F$36,(VLOOKUP((EOMONTH(Y2,-1)+1),'AM Table - Perm Loan'!$C$11:$G$70,'AM Table - Perm Loan'!$E$1,FALSE)+VLOOKUP((EOMONTH(Y2,-1)+1),'AM Table - Perm Loan'!$C$11:$G$70,'AM Table - Perm Loan'!$F$1,FALSE)),(VLOOKUP((EOMONTH(Y2,-1)+1),'AM Table - Construction Loan'!$C$12:$K$71,'AM Table - Construction Loan'!$H$1,FALSE)+VLOOKUP((EOMONTH(Y2,-1)+1),'AM Table - Construction Loan'!$C$12:$K$71,'AM Table - Construction Loan'!$I$1,FALSE)))</f>
        <v>281873.55640600272</v>
      </c>
      <c r="Z40" s="151">
        <f>IF(Z2&gt;Dashboard!$F$36,(VLOOKUP((EOMONTH(Z2,-1)+1),'AM Table - Perm Loan'!$C$11:$G$70,'AM Table - Perm Loan'!$E$1,FALSE)+VLOOKUP((EOMONTH(Z2,-1)+1),'AM Table - Perm Loan'!$C$11:$G$70,'AM Table - Perm Loan'!$F$1,FALSE)),(VLOOKUP((EOMONTH(Z2,-1)+1),'AM Table - Construction Loan'!$C$12:$K$71,'AM Table - Construction Loan'!$H$1,FALSE)+VLOOKUP((EOMONTH(Z2,-1)+1),'AM Table - Construction Loan'!$C$12:$K$71,'AM Table - Construction Loan'!$I$1,FALSE)))</f>
        <v>281873.55640600272</v>
      </c>
      <c r="AA40" s="151">
        <f>IF(AA2&gt;Dashboard!$F$36,(VLOOKUP((EOMONTH(AA2,-1)+1),'AM Table - Perm Loan'!$C$11:$G$70,'AM Table - Perm Loan'!$E$1,FALSE)+VLOOKUP((EOMONTH(AA2,-1)+1),'AM Table - Perm Loan'!$C$11:$G$70,'AM Table - Perm Loan'!$F$1,FALSE)),(VLOOKUP((EOMONTH(AA2,-1)+1),'AM Table - Construction Loan'!$C$12:$K$71,'AM Table - Construction Loan'!$H$1,FALSE)+VLOOKUP((EOMONTH(AA2,-1)+1),'AM Table - Construction Loan'!$C$12:$K$71,'AM Table - Construction Loan'!$I$1,FALSE)))</f>
        <v>281873.55640600272</v>
      </c>
      <c r="AB40" s="151">
        <f>IF(AB2&gt;Dashboard!$F$36,(VLOOKUP((EOMONTH(AB2,-1)+1),'AM Table - Perm Loan'!$C$11:$G$70,'AM Table - Perm Loan'!$E$1,FALSE)+VLOOKUP((EOMONTH(AB2,-1)+1),'AM Table - Perm Loan'!$C$11:$G$70,'AM Table - Perm Loan'!$F$1,FALSE)),(VLOOKUP((EOMONTH(AB2,-1)+1),'AM Table - Construction Loan'!$C$12:$K$71,'AM Table - Construction Loan'!$H$1,FALSE)+VLOOKUP((EOMONTH(AB2,-1)+1),'AM Table - Construction Loan'!$C$12:$K$71,'AM Table - Construction Loan'!$I$1,FALSE)))</f>
        <v>281873.55640600272</v>
      </c>
      <c r="AC40" s="151">
        <f>IF(AC2&gt;Dashboard!$F$36,(VLOOKUP((EOMONTH(AC2,-1)+1),'AM Table - Perm Loan'!$C$11:$G$70,'AM Table - Perm Loan'!$E$1,FALSE)+VLOOKUP((EOMONTH(AC2,-1)+1),'AM Table - Perm Loan'!$C$11:$G$70,'AM Table - Perm Loan'!$F$1,FALSE)),(VLOOKUP((EOMONTH(AC2,-1)+1),'AM Table - Construction Loan'!$C$12:$K$71,'AM Table - Construction Loan'!$H$1,FALSE)+VLOOKUP((EOMONTH(AC2,-1)+1),'AM Table - Construction Loan'!$C$12:$K$71,'AM Table - Construction Loan'!$I$1,FALSE)))</f>
        <v>281873.55640600272</v>
      </c>
      <c r="AD40" s="151">
        <f>IF(AD2&gt;Dashboard!$F$36,(VLOOKUP((EOMONTH(AD2,-1)+1),'AM Table - Perm Loan'!$C$11:$G$70,'AM Table - Perm Loan'!$E$1,FALSE)+VLOOKUP((EOMONTH(AD2,-1)+1),'AM Table - Perm Loan'!$C$11:$G$70,'AM Table - Perm Loan'!$F$1,FALSE)),(VLOOKUP((EOMONTH(AD2,-1)+1),'AM Table - Construction Loan'!$C$12:$K$71,'AM Table - Construction Loan'!$H$1,FALSE)+VLOOKUP((EOMONTH(AD2,-1)+1),'AM Table - Construction Loan'!$C$12:$K$71,'AM Table - Construction Loan'!$I$1,FALSE)))</f>
        <v>281873.55640600272</v>
      </c>
      <c r="AE40" s="151">
        <f>IF(AE2&gt;Dashboard!$F$36,(VLOOKUP((EOMONTH(AE2,-1)+1),'AM Table - Perm Loan'!$C$11:$G$70,'AM Table - Perm Loan'!$E$1,FALSE)+VLOOKUP((EOMONTH(AE2,-1)+1),'AM Table - Perm Loan'!$C$11:$G$70,'AM Table - Perm Loan'!$F$1,FALSE)),(VLOOKUP((EOMONTH(AE2,-1)+1),'AM Table - Construction Loan'!$C$12:$K$71,'AM Table - Construction Loan'!$H$1,FALSE)+VLOOKUP((EOMONTH(AE2,-1)+1),'AM Table - Construction Loan'!$C$12:$K$71,'AM Table - Construction Loan'!$I$1,FALSE)))</f>
        <v>281873.55640600272</v>
      </c>
      <c r="AF40" s="151">
        <f>IF(AF2&gt;Dashboard!$F$36,(VLOOKUP((EOMONTH(AF2,-1)+1),'AM Table - Perm Loan'!$C$11:$G$70,'AM Table - Perm Loan'!$E$1,FALSE)+VLOOKUP((EOMONTH(AF2,-1)+1),'AM Table - Perm Loan'!$C$11:$G$70,'AM Table - Perm Loan'!$F$1,FALSE)),(VLOOKUP((EOMONTH(AF2,-1)+1),'AM Table - Construction Loan'!$C$12:$K$71,'AM Table - Construction Loan'!$H$1,FALSE)+VLOOKUP((EOMONTH(AF2,-1)+1),'AM Table - Construction Loan'!$C$12:$K$71,'AM Table - Construction Loan'!$I$1,FALSE)))</f>
        <v>281873.55640600272</v>
      </c>
      <c r="AG40" s="151">
        <f>IF(AG2&gt;Dashboard!$F$36,(VLOOKUP((EOMONTH(AG2,-1)+1),'AM Table - Perm Loan'!$C$11:$G$70,'AM Table - Perm Loan'!$E$1,FALSE)+VLOOKUP((EOMONTH(AG2,-1)+1),'AM Table - Perm Loan'!$C$11:$G$70,'AM Table - Perm Loan'!$F$1,FALSE)),(VLOOKUP((EOMONTH(AG2,-1)+1),'AM Table - Construction Loan'!$C$12:$K$71,'AM Table - Construction Loan'!$H$1,FALSE)+VLOOKUP((EOMONTH(AG2,-1)+1),'AM Table - Construction Loan'!$C$12:$K$71,'AM Table - Construction Loan'!$I$1,FALSE)))</f>
        <v>281873.55640600272</v>
      </c>
      <c r="AH40" s="151">
        <f>IF(AH2&gt;Dashboard!$F$36,(VLOOKUP((EOMONTH(AH2,-1)+1),'AM Table - Perm Loan'!$C$11:$G$70,'AM Table - Perm Loan'!$E$1,FALSE)+VLOOKUP((EOMONTH(AH2,-1)+1),'AM Table - Perm Loan'!$C$11:$G$70,'AM Table - Perm Loan'!$F$1,FALSE)),(VLOOKUP((EOMONTH(AH2,-1)+1),'AM Table - Construction Loan'!$C$12:$K$71,'AM Table - Construction Loan'!$H$1,FALSE)+VLOOKUP((EOMONTH(AH2,-1)+1),'AM Table - Construction Loan'!$C$12:$K$71,'AM Table - Construction Loan'!$I$1,FALSE)))</f>
        <v>363157.96808177786</v>
      </c>
      <c r="AI40" s="151">
        <f>IF(AI2&gt;Dashboard!$F$36,(VLOOKUP((EOMONTH(AI2,-1)+1),'AM Table - Perm Loan'!$C$11:$G$70,'AM Table - Perm Loan'!$E$1,FALSE)+VLOOKUP((EOMONTH(AI2,-1)+1),'AM Table - Perm Loan'!$C$11:$G$70,'AM Table - Perm Loan'!$F$1,FALSE)),(VLOOKUP((EOMONTH(AI2,-1)+1),'AM Table - Construction Loan'!$C$12:$K$71,'AM Table - Construction Loan'!$H$1,FALSE)+VLOOKUP((EOMONTH(AI2,-1)+1),'AM Table - Construction Loan'!$C$12:$K$71,'AM Table - Construction Loan'!$I$1,FALSE)))</f>
        <v>363157.96808177792</v>
      </c>
      <c r="AJ40" s="151">
        <f>IF(AJ2&gt;Dashboard!$F$36,(VLOOKUP((EOMONTH(AJ2,-1)+1),'AM Table - Perm Loan'!$C$11:$G$70,'AM Table - Perm Loan'!$E$1,FALSE)+VLOOKUP((EOMONTH(AJ2,-1)+1),'AM Table - Perm Loan'!$C$11:$G$70,'AM Table - Perm Loan'!$F$1,FALSE)),(VLOOKUP((EOMONTH(AJ2,-1)+1),'AM Table - Construction Loan'!$C$12:$K$71,'AM Table - Construction Loan'!$H$1,FALSE)+VLOOKUP((EOMONTH(AJ2,-1)+1),'AM Table - Construction Loan'!$C$12:$K$71,'AM Table - Construction Loan'!$I$1,FALSE)))</f>
        <v>363157.96808177792</v>
      </c>
      <c r="AK40" s="151">
        <f>IF(AK2&gt;Dashboard!$F$36,(VLOOKUP((EOMONTH(AK2,-1)+1),'AM Table - Perm Loan'!$C$11:$G$70,'AM Table - Perm Loan'!$E$1,FALSE)+VLOOKUP((EOMONTH(AK2,-1)+1),'AM Table - Perm Loan'!$C$11:$G$70,'AM Table - Perm Loan'!$F$1,FALSE)),(VLOOKUP((EOMONTH(AK2,-1)+1),'AM Table - Construction Loan'!$C$12:$K$71,'AM Table - Construction Loan'!$H$1,FALSE)+VLOOKUP((EOMONTH(AK2,-1)+1),'AM Table - Construction Loan'!$C$12:$K$71,'AM Table - Construction Loan'!$I$1,FALSE)))</f>
        <v>363157.96808177792</v>
      </c>
      <c r="AL40" s="151">
        <f>IF(AL2&gt;Dashboard!$F$36,(VLOOKUP((EOMONTH(AL2,-1)+1),'AM Table - Perm Loan'!$C$11:$G$70,'AM Table - Perm Loan'!$E$1,FALSE)+VLOOKUP((EOMONTH(AL2,-1)+1),'AM Table - Perm Loan'!$C$11:$G$70,'AM Table - Perm Loan'!$F$1,FALSE)),(VLOOKUP((EOMONTH(AL2,-1)+1),'AM Table - Construction Loan'!$C$12:$K$71,'AM Table - Construction Loan'!$H$1,FALSE)+VLOOKUP((EOMONTH(AL2,-1)+1),'AM Table - Construction Loan'!$C$12:$K$71,'AM Table - Construction Loan'!$I$1,FALSE)))</f>
        <v>363157.96808177792</v>
      </c>
      <c r="AM40" s="151">
        <f>IF(AM2&gt;Dashboard!$F$36,(VLOOKUP((EOMONTH(AM2,-1)+1),'AM Table - Perm Loan'!$C$11:$G$70,'AM Table - Perm Loan'!$E$1,FALSE)+VLOOKUP((EOMONTH(AM2,-1)+1),'AM Table - Perm Loan'!$C$11:$G$70,'AM Table - Perm Loan'!$F$1,FALSE)),(VLOOKUP((EOMONTH(AM2,-1)+1),'AM Table - Construction Loan'!$C$12:$K$71,'AM Table - Construction Loan'!$H$1,FALSE)+VLOOKUP((EOMONTH(AM2,-1)+1),'AM Table - Construction Loan'!$C$12:$K$71,'AM Table - Construction Loan'!$I$1,FALSE)))</f>
        <v>363157.96808177786</v>
      </c>
      <c r="AN40" s="151">
        <f>IF(AN2&gt;Dashboard!$F$36,(VLOOKUP((EOMONTH(AN2,-1)+1),'AM Table - Perm Loan'!$C$11:$G$70,'AM Table - Perm Loan'!$E$1,FALSE)+VLOOKUP((EOMONTH(AN2,-1)+1),'AM Table - Perm Loan'!$C$11:$G$70,'AM Table - Perm Loan'!$F$1,FALSE)),(VLOOKUP((EOMONTH(AN2,-1)+1),'AM Table - Construction Loan'!$C$12:$K$71,'AM Table - Construction Loan'!$H$1,FALSE)+VLOOKUP((EOMONTH(AN2,-1)+1),'AM Table - Construction Loan'!$C$12:$K$71,'AM Table - Construction Loan'!$I$1,FALSE)))</f>
        <v>363157.96808177792</v>
      </c>
      <c r="AO40" s="151">
        <f>IF(AO2&gt;Dashboard!$F$36,(VLOOKUP((EOMONTH(AO2,-1)+1),'AM Table - Perm Loan'!$C$11:$G$70,'AM Table - Perm Loan'!$E$1,FALSE)+VLOOKUP((EOMONTH(AO2,-1)+1),'AM Table - Perm Loan'!$C$11:$G$70,'AM Table - Perm Loan'!$F$1,FALSE)),(VLOOKUP((EOMONTH(AO2,-1)+1),'AM Table - Construction Loan'!$C$12:$K$71,'AM Table - Construction Loan'!$H$1,FALSE)+VLOOKUP((EOMONTH(AO2,-1)+1),'AM Table - Construction Loan'!$C$12:$K$71,'AM Table - Construction Loan'!$I$1,FALSE)))</f>
        <v>363157.96808177792</v>
      </c>
      <c r="AP40" s="151">
        <f>IF(AP2&gt;Dashboard!$F$36,(VLOOKUP((EOMONTH(AP2,-1)+1),'AM Table - Perm Loan'!$C$11:$G$70,'AM Table - Perm Loan'!$E$1,FALSE)+VLOOKUP((EOMONTH(AP2,-1)+1),'AM Table - Perm Loan'!$C$11:$G$70,'AM Table - Perm Loan'!$F$1,FALSE)),(VLOOKUP((EOMONTH(AP2,-1)+1),'AM Table - Construction Loan'!$C$12:$K$71,'AM Table - Construction Loan'!$H$1,FALSE)+VLOOKUP((EOMONTH(AP2,-1)+1),'AM Table - Construction Loan'!$C$12:$K$71,'AM Table - Construction Loan'!$I$1,FALSE)))</f>
        <v>363157.96808177792</v>
      </c>
      <c r="AQ40" s="151">
        <f>IF(AQ2&gt;Dashboard!$F$36,(VLOOKUP((EOMONTH(AQ2,-1)+1),'AM Table - Perm Loan'!$C$11:$G$70,'AM Table - Perm Loan'!$E$1,FALSE)+VLOOKUP((EOMONTH(AQ2,-1)+1),'AM Table - Perm Loan'!$C$11:$G$70,'AM Table - Perm Loan'!$F$1,FALSE)),(VLOOKUP((EOMONTH(AQ2,-1)+1),'AM Table - Construction Loan'!$C$12:$K$71,'AM Table - Construction Loan'!$H$1,FALSE)+VLOOKUP((EOMONTH(AQ2,-1)+1),'AM Table - Construction Loan'!$C$12:$K$71,'AM Table - Construction Loan'!$I$1,FALSE)))</f>
        <v>363157.96808177792</v>
      </c>
      <c r="AR40" s="151">
        <f>IF(AR2&gt;Dashboard!$F$36,(VLOOKUP((EOMONTH(AR2,-1)+1),'AM Table - Perm Loan'!$C$11:$G$70,'AM Table - Perm Loan'!$E$1,FALSE)+VLOOKUP((EOMONTH(AR2,-1)+1),'AM Table - Perm Loan'!$C$11:$G$70,'AM Table - Perm Loan'!$F$1,FALSE)),(VLOOKUP((EOMONTH(AR2,-1)+1),'AM Table - Construction Loan'!$C$12:$K$71,'AM Table - Construction Loan'!$H$1,FALSE)+VLOOKUP((EOMONTH(AR2,-1)+1),'AM Table - Construction Loan'!$C$12:$K$71,'AM Table - Construction Loan'!$I$1,FALSE)))</f>
        <v>363157.96808177792</v>
      </c>
      <c r="AS40" s="151">
        <f>IF(AS2&gt;Dashboard!$F$36,(VLOOKUP((EOMONTH(AS2,-1)+1),'AM Table - Perm Loan'!$C$11:$G$70,'AM Table - Perm Loan'!$E$1,FALSE)+VLOOKUP((EOMONTH(AS2,-1)+1),'AM Table - Perm Loan'!$C$11:$G$70,'AM Table - Perm Loan'!$F$1,FALSE)),(VLOOKUP((EOMONTH(AS2,-1)+1),'AM Table - Construction Loan'!$C$12:$K$71,'AM Table - Construction Loan'!$H$1,FALSE)+VLOOKUP((EOMONTH(AS2,-1)+1),'AM Table - Construction Loan'!$C$12:$K$71,'AM Table - Construction Loan'!$I$1,FALSE)))</f>
        <v>363157.96808177792</v>
      </c>
      <c r="AT40" s="151">
        <f>IF(AT2&gt;Dashboard!$F$36,(VLOOKUP((EOMONTH(AT2,-1)+1),'AM Table - Perm Loan'!$C$11:$G$70,'AM Table - Perm Loan'!$E$1,FALSE)+VLOOKUP((EOMONTH(AT2,-1)+1),'AM Table - Perm Loan'!$C$11:$G$70,'AM Table - Perm Loan'!$F$1,FALSE)),(VLOOKUP((EOMONTH(AT2,-1)+1),'AM Table - Construction Loan'!$C$12:$K$71,'AM Table - Construction Loan'!$H$1,FALSE)+VLOOKUP((EOMONTH(AT2,-1)+1),'AM Table - Construction Loan'!$C$12:$K$71,'AM Table - Construction Loan'!$I$1,FALSE)))</f>
        <v>363157.96808177792</v>
      </c>
      <c r="AU40" s="151">
        <f>IF(AU2&gt;Dashboard!$F$36,(VLOOKUP((EOMONTH(AU2,-1)+1),'AM Table - Perm Loan'!$C$11:$G$70,'AM Table - Perm Loan'!$E$1,FALSE)+VLOOKUP((EOMONTH(AU2,-1)+1),'AM Table - Perm Loan'!$C$11:$G$70,'AM Table - Perm Loan'!$F$1,FALSE)),(VLOOKUP((EOMONTH(AU2,-1)+1),'AM Table - Construction Loan'!$C$12:$K$71,'AM Table - Construction Loan'!$H$1,FALSE)+VLOOKUP((EOMONTH(AU2,-1)+1),'AM Table - Construction Loan'!$C$12:$K$71,'AM Table - Construction Loan'!$I$1,FALSE)))</f>
        <v>363157.96808177792</v>
      </c>
      <c r="AV40" s="151">
        <f>IF(AV2&gt;Dashboard!$F$36,(VLOOKUP((EOMONTH(AV2,-1)+1),'AM Table - Perm Loan'!$C$11:$G$70,'AM Table - Perm Loan'!$E$1,FALSE)+VLOOKUP((EOMONTH(AV2,-1)+1),'AM Table - Perm Loan'!$C$11:$G$70,'AM Table - Perm Loan'!$F$1,FALSE)),(VLOOKUP((EOMONTH(AV2,-1)+1),'AM Table - Construction Loan'!$C$12:$K$71,'AM Table - Construction Loan'!$H$1,FALSE)+VLOOKUP((EOMONTH(AV2,-1)+1),'AM Table - Construction Loan'!$C$12:$K$71,'AM Table - Construction Loan'!$I$1,FALSE)))</f>
        <v>363157.96808177792</v>
      </c>
      <c r="AW40" s="151">
        <f>IF(AW2&gt;Dashboard!$F$36,(VLOOKUP((EOMONTH(AW2,-1)+1),'AM Table - Perm Loan'!$C$11:$G$70,'AM Table - Perm Loan'!$E$1,FALSE)+VLOOKUP((EOMONTH(AW2,-1)+1),'AM Table - Perm Loan'!$C$11:$G$70,'AM Table - Perm Loan'!$F$1,FALSE)),(VLOOKUP((EOMONTH(AW2,-1)+1),'AM Table - Construction Loan'!$C$12:$K$71,'AM Table - Construction Loan'!$H$1,FALSE)+VLOOKUP((EOMONTH(AW2,-1)+1),'AM Table - Construction Loan'!$C$12:$K$71,'AM Table - Construction Loan'!$I$1,FALSE)))</f>
        <v>363157.96808177792</v>
      </c>
      <c r="AX40" s="151">
        <f>IF(AX2&gt;Dashboard!$F$36,(VLOOKUP((EOMONTH(AX2,-1)+1),'AM Table - Perm Loan'!$C$11:$G$70,'AM Table - Perm Loan'!$E$1,FALSE)+VLOOKUP((EOMONTH(AX2,-1)+1),'AM Table - Perm Loan'!$C$11:$G$70,'AM Table - Perm Loan'!$F$1,FALSE)),(VLOOKUP((EOMONTH(AX2,-1)+1),'AM Table - Construction Loan'!$C$12:$K$71,'AM Table - Construction Loan'!$H$1,FALSE)+VLOOKUP((EOMONTH(AX2,-1)+1),'AM Table - Construction Loan'!$C$12:$K$71,'AM Table - Construction Loan'!$I$1,FALSE)))</f>
        <v>363157.96808177792</v>
      </c>
      <c r="AY40" s="151">
        <f>IF(AY2&gt;Dashboard!$F$36,(VLOOKUP((EOMONTH(AY2,-1)+1),'AM Table - Perm Loan'!$C$11:$G$70,'AM Table - Perm Loan'!$E$1,FALSE)+VLOOKUP((EOMONTH(AY2,-1)+1),'AM Table - Perm Loan'!$C$11:$G$70,'AM Table - Perm Loan'!$F$1,FALSE)),(VLOOKUP((EOMONTH(AY2,-1)+1),'AM Table - Construction Loan'!$C$12:$K$71,'AM Table - Construction Loan'!$H$1,FALSE)+VLOOKUP((EOMONTH(AY2,-1)+1),'AM Table - Construction Loan'!$C$12:$K$71,'AM Table - Construction Loan'!$I$1,FALSE)))</f>
        <v>363157.96808177792</v>
      </c>
      <c r="AZ40" s="151">
        <f>IF(AZ2&gt;Dashboard!$F$36,(VLOOKUP((EOMONTH(AZ2,-1)+1),'AM Table - Perm Loan'!$C$11:$G$70,'AM Table - Perm Loan'!$E$1,FALSE)+VLOOKUP((EOMONTH(AZ2,-1)+1),'AM Table - Perm Loan'!$C$11:$G$70,'AM Table - Perm Loan'!$F$1,FALSE)),(VLOOKUP((EOMONTH(AZ2,-1)+1),'AM Table - Construction Loan'!$C$12:$K$71,'AM Table - Construction Loan'!$H$1,FALSE)+VLOOKUP((EOMONTH(AZ2,-1)+1),'AM Table - Construction Loan'!$C$12:$K$71,'AM Table - Construction Loan'!$I$1,FALSE)))</f>
        <v>363157.96808177792</v>
      </c>
      <c r="BA40" s="151">
        <f>IF(BA2&gt;Dashboard!$F$36,(VLOOKUP((EOMONTH(BA2,-1)+1),'AM Table - Perm Loan'!$C$11:$G$70,'AM Table - Perm Loan'!$E$1,FALSE)+VLOOKUP((EOMONTH(BA2,-1)+1),'AM Table - Perm Loan'!$C$11:$G$70,'AM Table - Perm Loan'!$F$1,FALSE)),(VLOOKUP((EOMONTH(BA2,-1)+1),'AM Table - Construction Loan'!$C$12:$K$71,'AM Table - Construction Loan'!$H$1,FALSE)+VLOOKUP((EOMONTH(BA2,-1)+1),'AM Table - Construction Loan'!$C$12:$K$71,'AM Table - Construction Loan'!$I$1,FALSE)))</f>
        <v>363157.96808177792</v>
      </c>
      <c r="BB40" s="151">
        <f>IF(BB2&gt;Dashboard!$F$36,(VLOOKUP((EOMONTH(BB2,-1)+1),'AM Table - Perm Loan'!$C$11:$G$70,'AM Table - Perm Loan'!$E$1,FALSE)+VLOOKUP((EOMONTH(BB2,-1)+1),'AM Table - Perm Loan'!$C$11:$G$70,'AM Table - Perm Loan'!$F$1,FALSE)),(VLOOKUP((EOMONTH(BB2,-1)+1),'AM Table - Construction Loan'!$C$12:$K$71,'AM Table - Construction Loan'!$H$1,FALSE)+VLOOKUP((EOMONTH(BB2,-1)+1),'AM Table - Construction Loan'!$C$12:$K$71,'AM Table - Construction Loan'!$I$1,FALSE)))</f>
        <v>363157.96808177786</v>
      </c>
      <c r="BC40" s="151">
        <f>IF(BC2&gt;Dashboard!$F$36,(VLOOKUP((EOMONTH(BC2,-1)+1),'AM Table - Perm Loan'!$C$11:$G$70,'AM Table - Perm Loan'!$E$1,FALSE)+VLOOKUP((EOMONTH(BC2,-1)+1),'AM Table - Perm Loan'!$C$11:$G$70,'AM Table - Perm Loan'!$F$1,FALSE)),(VLOOKUP((EOMONTH(BC2,-1)+1),'AM Table - Construction Loan'!$C$12:$K$71,'AM Table - Construction Loan'!$H$1,FALSE)+VLOOKUP((EOMONTH(BC2,-1)+1),'AM Table - Construction Loan'!$C$12:$K$71,'AM Table - Construction Loan'!$I$1,FALSE)))</f>
        <v>363157.96808177786</v>
      </c>
      <c r="BD40" s="151">
        <f>IF(BD2&gt;Dashboard!$F$36,(VLOOKUP((EOMONTH(BD2,-1)+1),'AM Table - Perm Loan'!$C$11:$G$70,'AM Table - Perm Loan'!$E$1,FALSE)+VLOOKUP((EOMONTH(BD2,-1)+1),'AM Table - Perm Loan'!$C$11:$G$70,'AM Table - Perm Loan'!$F$1,FALSE)),(VLOOKUP((EOMONTH(BD2,-1)+1),'AM Table - Construction Loan'!$C$12:$K$71,'AM Table - Construction Loan'!$H$1,FALSE)+VLOOKUP((EOMONTH(BD2,-1)+1),'AM Table - Construction Loan'!$C$12:$K$71,'AM Table - Construction Loan'!$I$1,FALSE)))</f>
        <v>363157.96808177792</v>
      </c>
      <c r="BE40" s="151">
        <f>IF(BE2&gt;Dashboard!$F$36,(VLOOKUP((EOMONTH(BE2,-1)+1),'AM Table - Perm Loan'!$C$11:$G$70,'AM Table - Perm Loan'!$E$1,FALSE)+VLOOKUP((EOMONTH(BE2,-1)+1),'AM Table - Perm Loan'!$C$11:$G$70,'AM Table - Perm Loan'!$F$1,FALSE)),(VLOOKUP((EOMONTH(BE2,-1)+1),'AM Table - Construction Loan'!$C$12:$K$71,'AM Table - Construction Loan'!$H$1,FALSE)+VLOOKUP((EOMONTH(BE2,-1)+1),'AM Table - Construction Loan'!$C$12:$K$71,'AM Table - Construction Loan'!$I$1,FALSE)))</f>
        <v>363157.96808177797</v>
      </c>
      <c r="BF40" s="151">
        <f>IF(BF2&gt;Dashboard!$F$36,(VLOOKUP((EOMONTH(BF2,-1)+1),'AM Table - Perm Loan'!$C$11:$G$70,'AM Table - Perm Loan'!$E$1,FALSE)+VLOOKUP((EOMONTH(BF2,-1)+1),'AM Table - Perm Loan'!$C$11:$G$70,'AM Table - Perm Loan'!$F$1,FALSE)),(VLOOKUP((EOMONTH(BF2,-1)+1),'AM Table - Construction Loan'!$C$12:$K$71,'AM Table - Construction Loan'!$H$1,FALSE)+VLOOKUP((EOMONTH(BF2,-1)+1),'AM Table - Construction Loan'!$C$12:$K$71,'AM Table - Construction Loan'!$I$1,FALSE)))</f>
        <v>363157.96808177792</v>
      </c>
      <c r="BG40" s="151">
        <f>IF(BG2&gt;Dashboard!$F$36,(VLOOKUP((EOMONTH(BG2,-1)+1),'AM Table - Perm Loan'!$C$11:$G$70,'AM Table - Perm Loan'!$E$1,FALSE)+VLOOKUP((EOMONTH(BG2,-1)+1),'AM Table - Perm Loan'!$C$11:$G$70,'AM Table - Perm Loan'!$F$1,FALSE)),(VLOOKUP((EOMONTH(BG2,-1)+1),'AM Table - Construction Loan'!$C$12:$K$71,'AM Table - Construction Loan'!$H$1,FALSE)+VLOOKUP((EOMONTH(BG2,-1)+1),'AM Table - Construction Loan'!$C$12:$K$71,'AM Table - Construction Loan'!$I$1,FALSE)))</f>
        <v>363157.96808177792</v>
      </c>
      <c r="BH40" s="151">
        <f>IF(BH2&gt;Dashboard!$F$36,(VLOOKUP((EOMONTH(BH2,-1)+1),'AM Table - Perm Loan'!$C$11:$G$70,'AM Table - Perm Loan'!$E$1,FALSE)+VLOOKUP((EOMONTH(BH2,-1)+1),'AM Table - Perm Loan'!$C$11:$G$70,'AM Table - Perm Loan'!$F$1,FALSE)),(VLOOKUP((EOMONTH(BH2,-1)+1),'AM Table - Construction Loan'!$C$12:$K$71,'AM Table - Construction Loan'!$H$1,FALSE)+VLOOKUP((EOMONTH(BH2,-1)+1),'AM Table - Construction Loan'!$C$12:$K$71,'AM Table - Construction Loan'!$I$1,FALSE)))</f>
        <v>363157.96808177792</v>
      </c>
      <c r="BI40" s="151">
        <f>IF(BI2&gt;Dashboard!$F$36,(VLOOKUP((EOMONTH(BI2,-1)+1),'AM Table - Perm Loan'!$C$11:$G$70,'AM Table - Perm Loan'!$E$1,FALSE)+VLOOKUP((EOMONTH(BI2,-1)+1),'AM Table - Perm Loan'!$C$11:$G$70,'AM Table - Perm Loan'!$F$1,FALSE)),(VLOOKUP((EOMONTH(BI2,-1)+1),'AM Table - Construction Loan'!$C$12:$K$71,'AM Table - Construction Loan'!$H$1,FALSE)+VLOOKUP((EOMONTH(BI2,-1)+1),'AM Table - Construction Loan'!$C$12:$K$71,'AM Table - Construction Loan'!$I$1,FALSE)))</f>
        <v>363157.96808177792</v>
      </c>
      <c r="BJ40" s="151">
        <f>IF(BJ2&gt;Dashboard!$F$36,(VLOOKUP((EOMONTH(BJ2,-1)+1),'AM Table - Perm Loan'!$C$11:$G$70,'AM Table - Perm Loan'!$E$1,FALSE)+VLOOKUP((EOMONTH(BJ2,-1)+1),'AM Table - Perm Loan'!$C$11:$G$70,'AM Table - Perm Loan'!$F$1,FALSE)),(VLOOKUP((EOMONTH(BJ2,-1)+1),'AM Table - Construction Loan'!$C$12:$K$71,'AM Table - Construction Loan'!$H$1,FALSE)+VLOOKUP((EOMONTH(BJ2,-1)+1),'AM Table - Construction Loan'!$C$12:$K$71,'AM Table - Construction Loan'!$I$1,FALSE)))</f>
        <v>363157.96808177792</v>
      </c>
      <c r="BK40" s="151">
        <f>IF(BK2&gt;Dashboard!$F$36,(VLOOKUP((EOMONTH(BK2,-1)+1),'AM Table - Perm Loan'!$C$11:$G$70,'AM Table - Perm Loan'!$E$1,FALSE)+VLOOKUP((EOMONTH(BK2,-1)+1),'AM Table - Perm Loan'!$C$11:$G$70,'AM Table - Perm Loan'!$F$1,FALSE)),(VLOOKUP((EOMONTH(BK2,-1)+1),'AM Table - Construction Loan'!$C$12:$K$71,'AM Table - Construction Loan'!$H$1,FALSE)+VLOOKUP((EOMONTH(BK2,-1)+1),'AM Table - Construction Loan'!$C$12:$K$71,'AM Table - Construction Loan'!$I$1,FALSE)))</f>
        <v>363157.96808177792</v>
      </c>
      <c r="BL40" s="151">
        <f>IF(BL2&gt;Dashboard!$F$36,(VLOOKUP((EOMONTH(BL2,-1)+1),'AM Table - Perm Loan'!$C$11:$G$70,'AM Table - Perm Loan'!$E$1,FALSE)+VLOOKUP((EOMONTH(BL2,-1)+1),'AM Table - Perm Loan'!$C$11:$G$70,'AM Table - Perm Loan'!$F$1,FALSE)),(VLOOKUP((EOMONTH(BL2,-1)+1),'AM Table - Construction Loan'!$C$12:$K$71,'AM Table - Construction Loan'!$H$1,FALSE)+VLOOKUP((EOMONTH(BL2,-1)+1),'AM Table - Construction Loan'!$C$12:$K$71,'AM Table - Construction Loan'!$I$1,FALSE)))</f>
        <v>363157.96808177786</v>
      </c>
      <c r="BM40" s="151">
        <f>IF(BM2&gt;Dashboard!$F$36,(VLOOKUP((EOMONTH(BM2,-1)+1),'AM Table - Perm Loan'!$C$11:$G$70,'AM Table - Perm Loan'!$E$1,FALSE)+VLOOKUP((EOMONTH(BM2,-1)+1),'AM Table - Perm Loan'!$C$11:$G$70,'AM Table - Perm Loan'!$F$1,FALSE)),(VLOOKUP((EOMONTH(BM2,-1)+1),'AM Table - Construction Loan'!$C$12:$K$71,'AM Table - Construction Loan'!$H$1,FALSE)+VLOOKUP((EOMONTH(BM2,-1)+1),'AM Table - Construction Loan'!$C$12:$K$71,'AM Table - Construction Loan'!$I$1,FALSE)))</f>
        <v>363157.96808177792</v>
      </c>
      <c r="BN40" s="151">
        <f>IF(BN2&gt;Dashboard!$F$36,(VLOOKUP((EOMONTH(BN2,-1)+1),'AM Table - Perm Loan'!$C$11:$G$70,'AM Table - Perm Loan'!$E$1,FALSE)+VLOOKUP((EOMONTH(BN2,-1)+1),'AM Table - Perm Loan'!$C$11:$G$70,'AM Table - Perm Loan'!$F$1,FALSE)),(VLOOKUP((EOMONTH(BN2,-1)+1),'AM Table - Construction Loan'!$C$12:$K$71,'AM Table - Construction Loan'!$H$1,FALSE)+VLOOKUP((EOMONTH(BN2,-1)+1),'AM Table - Construction Loan'!$C$12:$K$71,'AM Table - Construction Loan'!$I$1,FALSE)))</f>
        <v>363157.96808177792</v>
      </c>
      <c r="BO40" s="151">
        <f>IF(BO2&gt;Dashboard!$F$36,(VLOOKUP((EOMONTH(BO2,-1)+1),'AM Table - Perm Loan'!$C$11:$G$70,'AM Table - Perm Loan'!$E$1,FALSE)+VLOOKUP((EOMONTH(BO2,-1)+1),'AM Table - Perm Loan'!$C$11:$G$70,'AM Table - Perm Loan'!$F$1,FALSE)),(VLOOKUP((EOMONTH(BO2,-1)+1),'AM Table - Construction Loan'!$C$12:$K$71,'AM Table - Construction Loan'!$H$1,FALSE)+VLOOKUP((EOMONTH(BO2,-1)+1),'AM Table - Construction Loan'!$C$12:$K$71,'AM Table - Construction Loan'!$I$1,FALSE)))</f>
        <v>363157.96808177792</v>
      </c>
      <c r="BP40" s="151">
        <f>IF(BP2&gt;Dashboard!$F$36,(VLOOKUP((EOMONTH(BP2,-1)+1),'AM Table - Perm Loan'!$C$11:$G$70,'AM Table - Perm Loan'!$E$1,FALSE)+VLOOKUP((EOMONTH(BP2,-1)+1),'AM Table - Perm Loan'!$C$11:$G$70,'AM Table - Perm Loan'!$F$1,FALSE)),(VLOOKUP((EOMONTH(BP2,-1)+1),'AM Table - Construction Loan'!$C$12:$K$71,'AM Table - Construction Loan'!$H$1,FALSE)+VLOOKUP((EOMONTH(BP2,-1)+1),'AM Table - Construction Loan'!$C$12:$K$71,'AM Table - Construction Loan'!$I$1,FALSE)))</f>
        <v>363157.96808177792</v>
      </c>
      <c r="BQ40" s="151">
        <f>IF(BQ2&gt;Dashboard!$F$36,(VLOOKUP((EOMONTH(BQ2,-1)+1),'AM Table - Perm Loan'!$C$11:$G$70,'AM Table - Perm Loan'!$E$1,FALSE)+VLOOKUP((EOMONTH(BQ2,-1)+1),'AM Table - Perm Loan'!$C$11:$G$70,'AM Table - Perm Loan'!$F$1,FALSE)),(VLOOKUP((EOMONTH(BQ2,-1)+1),'AM Table - Construction Loan'!$C$12:$K$71,'AM Table - Construction Loan'!$H$1,FALSE)+VLOOKUP((EOMONTH(BQ2,-1)+1),'AM Table - Construction Loan'!$C$12:$K$71,'AM Table - Construction Loan'!$I$1,FALSE)))</f>
        <v>363157.96808177792</v>
      </c>
      <c r="BR40" s="151">
        <f>IF(BR2&gt;Dashboard!$F$36,(VLOOKUP((EOMONTH(BR2,-1)+1),'AM Table - Perm Loan'!$C$11:$G$70,'AM Table - Perm Loan'!$E$1,FALSE)+VLOOKUP((EOMONTH(BR2,-1)+1),'AM Table - Perm Loan'!$C$11:$G$70,'AM Table - Perm Loan'!$F$1,FALSE)),(VLOOKUP((EOMONTH(BR2,-1)+1),'AM Table - Construction Loan'!$C$12:$K$71,'AM Table - Construction Loan'!$H$1,FALSE)+VLOOKUP((EOMONTH(BR2,-1)+1),'AM Table - Construction Loan'!$C$12:$K$71,'AM Table - Construction Loan'!$I$1,FALSE)))</f>
        <v>363157.96808177792</v>
      </c>
      <c r="BS40" s="151">
        <f>IF(BS2&gt;Dashboard!$F$36,(VLOOKUP((EOMONTH(BS2,-1)+1),'AM Table - Perm Loan'!$C$11:$G$70,'AM Table - Perm Loan'!$E$1,FALSE)+VLOOKUP((EOMONTH(BS2,-1)+1),'AM Table - Perm Loan'!$C$11:$G$70,'AM Table - Perm Loan'!$F$1,FALSE)),(VLOOKUP((EOMONTH(BS2,-1)+1),'AM Table - Construction Loan'!$C$12:$K$71,'AM Table - Construction Loan'!$H$1,FALSE)+VLOOKUP((EOMONTH(BS2,-1)+1),'AM Table - Construction Loan'!$C$12:$K$71,'AM Table - Construction Loan'!$I$1,FALSE)))</f>
        <v>363157.96808177792</v>
      </c>
      <c r="BT40" s="151">
        <f>IF(BT2&gt;Dashboard!$F$36,(VLOOKUP((EOMONTH(BT2,-1)+1),'AM Table - Perm Loan'!$C$11:$G$70,'AM Table - Perm Loan'!$E$1,FALSE)+VLOOKUP((EOMONTH(BT2,-1)+1),'AM Table - Perm Loan'!$C$11:$G$70,'AM Table - Perm Loan'!$F$1,FALSE)),(VLOOKUP((EOMONTH(BT2,-1)+1),'AM Table - Construction Loan'!$C$12:$K$71,'AM Table - Construction Loan'!$H$1,FALSE)+VLOOKUP((EOMONTH(BT2,-1)+1),'AM Table - Construction Loan'!$C$12:$K$71,'AM Table - Construction Loan'!$I$1,FALSE)))</f>
        <v>363157.96808177792</v>
      </c>
      <c r="BU40" s="151">
        <f>IF(BU2&gt;Dashboard!$F$36,(VLOOKUP((EOMONTH(BU2,-1)+1),'AM Table - Perm Loan'!$C$11:$G$70,'AM Table - Perm Loan'!$E$1,FALSE)+VLOOKUP((EOMONTH(BU2,-1)+1),'AM Table - Perm Loan'!$C$11:$G$70,'AM Table - Perm Loan'!$F$1,FALSE)),(VLOOKUP((EOMONTH(BU2,-1)+1),'AM Table - Construction Loan'!$C$12:$K$71,'AM Table - Construction Loan'!$H$1,FALSE)+VLOOKUP((EOMONTH(BU2,-1)+1),'AM Table - Construction Loan'!$C$12:$K$71,'AM Table - Construction Loan'!$I$1,FALSE)))</f>
        <v>363157.96808177792</v>
      </c>
      <c r="BV40" s="151">
        <f>IF(BV2&gt;Dashboard!$F$36,(VLOOKUP((EOMONTH(BV2,-1)+1),'AM Table - Perm Loan'!$C$11:$G$70,'AM Table - Perm Loan'!$E$1,FALSE)+VLOOKUP((EOMONTH(BV2,-1)+1),'AM Table - Perm Loan'!$C$11:$G$70,'AM Table - Perm Loan'!$F$1,FALSE)),(VLOOKUP((EOMONTH(BV2,-1)+1),'AM Table - Construction Loan'!$C$12:$K$71,'AM Table - Construction Loan'!$H$1,FALSE)+VLOOKUP((EOMONTH(BV2,-1)+1),'AM Table - Construction Loan'!$C$12:$K$71,'AM Table - Construction Loan'!$I$1,FALSE)))</f>
        <v>363157.96808177792</v>
      </c>
      <c r="BW40" s="151">
        <f>IF(BW2&gt;Dashboard!$F$36,(VLOOKUP((EOMONTH(BW2,-1)+1),'AM Table - Perm Loan'!$C$11:$G$70,'AM Table - Perm Loan'!$E$1,FALSE)+VLOOKUP((EOMONTH(BW2,-1)+1),'AM Table - Perm Loan'!$C$11:$G$70,'AM Table - Perm Loan'!$F$1,FALSE)),(VLOOKUP((EOMONTH(BW2,-1)+1),'AM Table - Construction Loan'!$C$12:$K$71,'AM Table - Construction Loan'!$H$1,FALSE)+VLOOKUP((EOMONTH(BW2,-1)+1),'AM Table - Construction Loan'!$C$12:$K$71,'AM Table - Construction Loan'!$I$1,FALSE)))</f>
        <v>363157.96808177792</v>
      </c>
      <c r="BX40" s="151">
        <f>IF(BX2&gt;Dashboard!$F$36,(VLOOKUP((EOMONTH(BX2,-1)+1),'AM Table - Perm Loan'!$C$11:$G$70,'AM Table - Perm Loan'!$E$1,FALSE)+VLOOKUP((EOMONTH(BX2,-1)+1),'AM Table - Perm Loan'!$C$11:$G$70,'AM Table - Perm Loan'!$F$1,FALSE)),(VLOOKUP((EOMONTH(BX2,-1)+1),'AM Table - Construction Loan'!$C$12:$K$71,'AM Table - Construction Loan'!$H$1,FALSE)+VLOOKUP((EOMONTH(BX2,-1)+1),'AM Table - Construction Loan'!$C$12:$K$71,'AM Table - Construction Loan'!$I$1,FALSE)))</f>
        <v>363157.96808177792</v>
      </c>
      <c r="BY40" s="151">
        <f>IF(BY2&gt;Dashboard!$F$36,(VLOOKUP((EOMONTH(BY2,-1)+1),'AM Table - Perm Loan'!$C$11:$G$70,'AM Table - Perm Loan'!$E$1,FALSE)+VLOOKUP((EOMONTH(BY2,-1)+1),'AM Table - Perm Loan'!$C$11:$G$70,'AM Table - Perm Loan'!$F$1,FALSE)),(VLOOKUP((EOMONTH(BY2,-1)+1),'AM Table - Construction Loan'!$C$12:$K$71,'AM Table - Construction Loan'!$H$1,FALSE)+VLOOKUP((EOMONTH(BY2,-1)+1),'AM Table - Construction Loan'!$C$12:$K$71,'AM Table - Construction Loan'!$I$1,FALSE)))</f>
        <v>363157.96808177786</v>
      </c>
      <c r="BZ40" s="151">
        <f>IF(BZ2&gt;Dashboard!$F$36,(VLOOKUP((EOMONTH(BZ2,-1)+1),'AM Table - Perm Loan'!$C$11:$G$70,'AM Table - Perm Loan'!$E$1,FALSE)+VLOOKUP((EOMONTH(BZ2,-1)+1),'AM Table - Perm Loan'!$C$11:$G$70,'AM Table - Perm Loan'!$F$1,FALSE)),(VLOOKUP((EOMONTH(BZ2,-1)+1),'AM Table - Construction Loan'!$C$12:$K$71,'AM Table - Construction Loan'!$H$1,FALSE)+VLOOKUP((EOMONTH(BZ2,-1)+1),'AM Table - Construction Loan'!$C$12:$K$71,'AM Table - Construction Loan'!$I$1,FALSE)))</f>
        <v>363157.96808177786</v>
      </c>
      <c r="CA40" s="151">
        <f>IF(CA2&gt;Dashboard!$F$36,(VLOOKUP((EOMONTH(CA2,-1)+1),'AM Table - Perm Loan'!$C$11:$G$70,'AM Table - Perm Loan'!$E$1,FALSE)+VLOOKUP((EOMONTH(CA2,-1)+1),'AM Table - Perm Loan'!$C$11:$G$70,'AM Table - Perm Loan'!$F$1,FALSE)),(VLOOKUP((EOMONTH(CA2,-1)+1),'AM Table - Construction Loan'!$C$12:$K$71,'AM Table - Construction Loan'!$H$1,FALSE)+VLOOKUP((EOMONTH(CA2,-1)+1),'AM Table - Construction Loan'!$C$12:$K$71,'AM Table - Construction Loan'!$I$1,FALSE)))</f>
        <v>363157.96808177792</v>
      </c>
      <c r="CB40" s="151">
        <f>IF(CB2&gt;Dashboard!$F$36,(VLOOKUP((EOMONTH(CB2,-1)+1),'AM Table - Perm Loan'!$C$11:$G$70,'AM Table - Perm Loan'!$E$1,FALSE)+VLOOKUP((EOMONTH(CB2,-1)+1),'AM Table - Perm Loan'!$C$11:$G$70,'AM Table - Perm Loan'!$F$1,FALSE)),(VLOOKUP((EOMONTH(CB2,-1)+1),'AM Table - Construction Loan'!$C$12:$K$71,'AM Table - Construction Loan'!$H$1,FALSE)+VLOOKUP((EOMONTH(CB2,-1)+1),'AM Table - Construction Loan'!$C$12:$K$71,'AM Table - Construction Loan'!$I$1,FALSE)))</f>
        <v>363157.96808177792</v>
      </c>
      <c r="CC40" s="151">
        <f>IF(CC2&gt;Dashboard!$F$36,(VLOOKUP((EOMONTH(CC2,-1)+1),'AM Table - Perm Loan'!$C$11:$G$85,'AM Table - Perm Loan'!$E$1,FALSE)+VLOOKUP((EOMONTH(CC2,-1)+1),'AM Table - Perm Loan'!$C$11:$G$85,'AM Table - Perm Loan'!$F$1,FALSE)),(VLOOKUP((EOMONTH(CC2,-1)+1),'AM Table - Construction Loan'!$C$12:$K$71,'AM Table - Construction Loan'!$H$1,FALSE)+VLOOKUP((EOMONTH(CC2,-1)+1),'AM Table - Construction Loan'!$C$12:$K$71,'AM Table - Construction Loan'!$I$1,FALSE)))</f>
        <v>363157.96808177792</v>
      </c>
      <c r="CD40" s="151">
        <f>IF(CD2&gt;Dashboard!$F$36,(VLOOKUP((EOMONTH(CD2,-1)+1),'AM Table - Perm Loan'!$C$11:$G$85,'AM Table - Perm Loan'!$E$1,FALSE)+VLOOKUP((EOMONTH(CD2,-1)+1),'AM Table - Perm Loan'!$C$11:$G$85,'AM Table - Perm Loan'!$F$1,FALSE)),(VLOOKUP((EOMONTH(CD2,-1)+1),'AM Table - Construction Loan'!$C$12:$K$71,'AM Table - Construction Loan'!$H$1,FALSE)+VLOOKUP((EOMONTH(CD2,-1)+1),'AM Table - Construction Loan'!$C$12:$K$71,'AM Table - Construction Loan'!$I$1,FALSE)))</f>
        <v>363157.96808177792</v>
      </c>
      <c r="CE40" s="151">
        <f>IF(CE2&gt;Dashboard!$F$36,(VLOOKUP((EOMONTH(CE2,-1)+1),'AM Table - Perm Loan'!$C$11:$G$85,'AM Table - Perm Loan'!$E$1,FALSE)+VLOOKUP((EOMONTH(CE2,-1)+1),'AM Table - Perm Loan'!$C$11:$G$85,'AM Table - Perm Loan'!$F$1,FALSE)),(VLOOKUP((EOMONTH(CE2,-1)+1),'AM Table - Construction Loan'!$C$12:$K$71,'AM Table - Construction Loan'!$H$1,FALSE)+VLOOKUP((EOMONTH(CE2,-1)+1),'AM Table - Construction Loan'!$C$12:$K$71,'AM Table - Construction Loan'!$I$1,FALSE)))</f>
        <v>363157.96808177786</v>
      </c>
      <c r="CF40" s="151">
        <f>IF(CF2&gt;Dashboard!$F$36,(VLOOKUP((EOMONTH(CF2,-1)+1),'AM Table - Perm Loan'!$C$11:$G$85,'AM Table - Perm Loan'!$E$1,FALSE)+VLOOKUP((EOMONTH(CF2,-1)+1),'AM Table - Perm Loan'!$C$11:$G$85,'AM Table - Perm Loan'!$F$1,FALSE)),(VLOOKUP((EOMONTH(CF2,-1)+1),'AM Table - Construction Loan'!$C$12:$K$71,'AM Table - Construction Loan'!$H$1,FALSE)+VLOOKUP((EOMONTH(CF2,-1)+1),'AM Table - Construction Loan'!$C$12:$K$71,'AM Table - Construction Loan'!$I$1,FALSE)))</f>
        <v>363157.96808177786</v>
      </c>
      <c r="CG40" s="151">
        <f>IF(CG2&gt;Dashboard!$F$36,(VLOOKUP((EOMONTH(CG2,-1)+1),'AM Table - Perm Loan'!$C$11:$G$85,'AM Table - Perm Loan'!$E$1,FALSE)+VLOOKUP((EOMONTH(CG2,-1)+1),'AM Table - Perm Loan'!$C$11:$G$85,'AM Table - Perm Loan'!$F$1,FALSE)),(VLOOKUP((EOMONTH(CG2,-1)+1),'AM Table - Construction Loan'!$C$12:$K$71,'AM Table - Construction Loan'!$H$1,FALSE)+VLOOKUP((EOMONTH(CG2,-1)+1),'AM Table - Construction Loan'!$C$12:$K$71,'AM Table - Construction Loan'!$I$1,FALSE)))</f>
        <v>363157.96808177792</v>
      </c>
      <c r="CH40" s="151">
        <f>IF(CH2&gt;Dashboard!$F$36,(VLOOKUP((EOMONTH(CH2,-1)+1),'AM Table - Perm Loan'!$C$11:$G$85,'AM Table - Perm Loan'!$E$1,FALSE)+VLOOKUP((EOMONTH(CH2,-1)+1),'AM Table - Perm Loan'!$C$11:$G$85,'AM Table - Perm Loan'!$F$1,FALSE)),(VLOOKUP((EOMONTH(CH2,-1)+1),'AM Table - Construction Loan'!$C$12:$K$71,'AM Table - Construction Loan'!$H$1,FALSE)+VLOOKUP((EOMONTH(CH2,-1)+1),'AM Table - Construction Loan'!$C$12:$K$71,'AM Table - Construction Loan'!$I$1,FALSE)))</f>
        <v>363157.96808177792</v>
      </c>
      <c r="CI40" s="151">
        <f>IF(CI2&gt;Dashboard!$F$36,(VLOOKUP((EOMONTH(CI2,-1)+1),'AM Table - Perm Loan'!$C$11:$G$85,'AM Table - Perm Loan'!$E$1,FALSE)+VLOOKUP((EOMONTH(CI2,-1)+1),'AM Table - Perm Loan'!$C$11:$G$85,'AM Table - Perm Loan'!$F$1,FALSE)),(VLOOKUP((EOMONTH(CI2,-1)+1),'AM Table - Construction Loan'!$C$12:$K$71,'AM Table - Construction Loan'!$H$1,FALSE)+VLOOKUP((EOMONTH(CI2,-1)+1),'AM Table - Construction Loan'!$C$12:$K$71,'AM Table - Construction Loan'!$I$1,FALSE)))</f>
        <v>363157.96808177786</v>
      </c>
      <c r="CJ40" s="151">
        <f>IF(CJ2&gt;Dashboard!$F$36,(VLOOKUP((EOMONTH(CJ2,-1)+1),'AM Table - Perm Loan'!$C$11:$G$85,'AM Table - Perm Loan'!$E$1,FALSE)+VLOOKUP((EOMONTH(CJ2,-1)+1),'AM Table - Perm Loan'!$C$11:$G$85,'AM Table - Perm Loan'!$F$1,FALSE)),(VLOOKUP((EOMONTH(CJ2,-1)+1),'AM Table - Construction Loan'!$C$12:$K$71,'AM Table - Construction Loan'!$H$1,FALSE)+VLOOKUP((EOMONTH(CJ2,-1)+1),'AM Table - Construction Loan'!$C$12:$K$71,'AM Table - Construction Loan'!$I$1,FALSE)))</f>
        <v>363157.96808177792</v>
      </c>
      <c r="CK40" s="151">
        <f>IF(CK2&gt;Dashboard!$F$36,(VLOOKUP((EOMONTH(CK2,-1)+1),'AM Table - Perm Loan'!$C$11:$G$85,'AM Table - Perm Loan'!$E$1,FALSE)+VLOOKUP((EOMONTH(CK2,-1)+1),'AM Table - Perm Loan'!$C$11:$G$85,'AM Table - Perm Loan'!$F$1,FALSE)),(VLOOKUP((EOMONTH(CK2,-1)+1),'AM Table - Construction Loan'!$C$12:$K$71,'AM Table - Construction Loan'!$H$1,FALSE)+VLOOKUP((EOMONTH(CK2,-1)+1),'AM Table - Construction Loan'!$C$12:$K$71,'AM Table - Construction Loan'!$I$1,FALSE)))</f>
        <v>363157.96808177792</v>
      </c>
      <c r="CL40" s="151">
        <f>IF(CL2&gt;Dashboard!$F$36,(VLOOKUP((EOMONTH(CL2,-1)+1),'AM Table - Perm Loan'!$C$11:$G$85,'AM Table - Perm Loan'!$E$1,FALSE)+VLOOKUP((EOMONTH(CL2,-1)+1),'AM Table - Perm Loan'!$C$11:$G$85,'AM Table - Perm Loan'!$F$1,FALSE)),(VLOOKUP((EOMONTH(CL2,-1)+1),'AM Table - Construction Loan'!$C$12:$K$71,'AM Table - Construction Loan'!$H$1,FALSE)+VLOOKUP((EOMONTH(CL2,-1)+1),'AM Table - Construction Loan'!$C$12:$K$71,'AM Table - Construction Loan'!$I$1,FALSE)))</f>
        <v>363157.96808177792</v>
      </c>
      <c r="CM40" s="151">
        <f>IF(CM2&gt;Dashboard!$F$36,(VLOOKUP((EOMONTH(CM2,-1)+1),'AM Table - Perm Loan'!$C$11:$G$85,'AM Table - Perm Loan'!$E$1,FALSE)+VLOOKUP((EOMONTH(CM2,-1)+1),'AM Table - Perm Loan'!$C$11:$G$85,'AM Table - Perm Loan'!$F$1,FALSE)),(VLOOKUP((EOMONTH(CM2,-1)+1),'AM Table - Construction Loan'!$C$12:$K$71,'AM Table - Construction Loan'!$H$1,FALSE)+VLOOKUP((EOMONTH(CM2,-1)+1),'AM Table - Construction Loan'!$C$12:$K$71,'AM Table - Construction Loan'!$I$1,FALSE)))</f>
        <v>363157.96808177792</v>
      </c>
      <c r="CN40" s="151">
        <f>IF(CN2&gt;Dashboard!$F$36,(VLOOKUP((EOMONTH(CN2,-1)+1),'AM Table - Perm Loan'!$C$11:$G$85,'AM Table - Perm Loan'!$E$1,FALSE)+VLOOKUP((EOMONTH(CN2,-1)+1),'AM Table - Perm Loan'!$C$11:$G$85,'AM Table - Perm Loan'!$F$1,FALSE)),(VLOOKUP((EOMONTH(CN2,-1)+1),'AM Table - Construction Loan'!$C$12:$K$71,'AM Table - Construction Loan'!$H$1,FALSE)+VLOOKUP((EOMONTH(CN2,-1)+1),'AM Table - Construction Loan'!$C$12:$K$71,'AM Table - Construction Loan'!$I$1,FALSE)))</f>
        <v>363157.96808177792</v>
      </c>
      <c r="CO40" s="151">
        <f>IF(CO2&gt;Dashboard!$F$36,(VLOOKUP((EOMONTH(CO2,-1)+1),'AM Table - Perm Loan'!$C$11:$G$85,'AM Table - Perm Loan'!$E$1,FALSE)+VLOOKUP((EOMONTH(CO2,-1)+1),'AM Table - Perm Loan'!$C$11:$G$85,'AM Table - Perm Loan'!$F$1,FALSE)),(VLOOKUP((EOMONTH(CO2,-1)+1),'AM Table - Construction Loan'!$C$12:$K$71,'AM Table - Construction Loan'!$H$1,FALSE)+VLOOKUP((EOMONTH(CO2,-1)+1),'AM Table - Construction Loan'!$C$12:$K$71,'AM Table - Construction Loan'!$I$1,FALSE)))</f>
        <v>363157.96808177792</v>
      </c>
      <c r="CP40" s="151">
        <f>IF(CP2&gt;Dashboard!$F$36,(VLOOKUP((EOMONTH(CP2,-1)+1),'AM Table - Perm Loan'!$C$11:$G$85,'AM Table - Perm Loan'!$E$1,FALSE)+VLOOKUP((EOMONTH(CP2,-1)+1),'AM Table - Perm Loan'!$C$11:$G$85,'AM Table - Perm Loan'!$F$1,FALSE)),(VLOOKUP((EOMONTH(CP2,-1)+1),'AM Table - Construction Loan'!$C$12:$K$71,'AM Table - Construction Loan'!$H$1,FALSE)+VLOOKUP((EOMONTH(CP2,-1)+1),'AM Table - Construction Loan'!$C$12:$K$71,'AM Table - Construction Loan'!$I$1,FALSE)))</f>
        <v>363157.96808177792</v>
      </c>
    </row>
    <row r="41" spans="2:94">
      <c r="B41" s="161" t="s">
        <v>146</v>
      </c>
      <c r="C41" s="161"/>
      <c r="D41" s="161"/>
      <c r="E41" s="161"/>
      <c r="F41" s="161"/>
      <c r="G41" s="161"/>
      <c r="H41" s="161"/>
      <c r="I41" s="161"/>
      <c r="J41" s="161"/>
      <c r="K41" s="161"/>
      <c r="L41" s="161"/>
      <c r="M41" s="161"/>
      <c r="N41" s="161"/>
      <c r="O41" s="161"/>
      <c r="P41" s="162">
        <f t="shared" ref="P41:AU41" si="32">P38/P40</f>
        <v>1.1438740367674842</v>
      </c>
      <c r="Q41" s="162">
        <f t="shared" si="32"/>
        <v>1.1438740367674842</v>
      </c>
      <c r="R41" s="162">
        <f t="shared" si="32"/>
        <v>1.1438740367674842</v>
      </c>
      <c r="S41" s="162">
        <f t="shared" si="32"/>
        <v>1.1438740367674842</v>
      </c>
      <c r="T41" s="162">
        <f t="shared" si="32"/>
        <v>1.1438740367674842</v>
      </c>
      <c r="U41" s="162">
        <f t="shared" si="32"/>
        <v>1.1438740367674842</v>
      </c>
      <c r="V41" s="162">
        <f t="shared" si="32"/>
        <v>1.5757543924153685</v>
      </c>
      <c r="W41" s="162">
        <f t="shared" si="32"/>
        <v>1.5757543924153685</v>
      </c>
      <c r="X41" s="162">
        <f t="shared" si="32"/>
        <v>1.5757543924153685</v>
      </c>
      <c r="Y41" s="162">
        <f t="shared" si="32"/>
        <v>1.5757543924153685</v>
      </c>
      <c r="Z41" s="162">
        <f t="shared" si="32"/>
        <v>1.5757543924153685</v>
      </c>
      <c r="AA41" s="162">
        <f t="shared" si="32"/>
        <v>1.5757543924153685</v>
      </c>
      <c r="AB41" s="162">
        <f t="shared" si="32"/>
        <v>1.6266775756147243</v>
      </c>
      <c r="AC41" s="162">
        <f t="shared" si="32"/>
        <v>1.6266775756147243</v>
      </c>
      <c r="AD41" s="162">
        <f t="shared" si="32"/>
        <v>1.6266775756147243</v>
      </c>
      <c r="AE41" s="162">
        <f t="shared" si="32"/>
        <v>1.6266775756147243</v>
      </c>
      <c r="AF41" s="162">
        <f t="shared" si="32"/>
        <v>1.6266775756147243</v>
      </c>
      <c r="AG41" s="162">
        <f t="shared" si="32"/>
        <v>1.6266775756147243</v>
      </c>
      <c r="AH41" s="162">
        <f t="shared" si="32"/>
        <v>1.2625838716587525</v>
      </c>
      <c r="AI41" s="162">
        <f t="shared" si="32"/>
        <v>1.2625838716587523</v>
      </c>
      <c r="AJ41" s="162">
        <f t="shared" si="32"/>
        <v>1.2625838716587523</v>
      </c>
      <c r="AK41" s="162">
        <f t="shared" si="32"/>
        <v>1.2625838716587523</v>
      </c>
      <c r="AL41" s="162">
        <f t="shared" si="32"/>
        <v>1.2625838716587523</v>
      </c>
      <c r="AM41" s="162">
        <f t="shared" si="32"/>
        <v>1.2625838716587525</v>
      </c>
      <c r="AN41" s="162">
        <f t="shared" si="32"/>
        <v>1.3033515179558897</v>
      </c>
      <c r="AO41" s="162">
        <f t="shared" si="32"/>
        <v>1.3033515179558897</v>
      </c>
      <c r="AP41" s="162">
        <f t="shared" si="32"/>
        <v>1.3033515179558897</v>
      </c>
      <c r="AQ41" s="162">
        <f t="shared" si="32"/>
        <v>1.3033515179558897</v>
      </c>
      <c r="AR41" s="162">
        <f t="shared" si="32"/>
        <v>1.3033515179558897</v>
      </c>
      <c r="AS41" s="162">
        <f t="shared" si="32"/>
        <v>1.3033515179558897</v>
      </c>
      <c r="AT41" s="162">
        <f t="shared" si="32"/>
        <v>1.3033515179558897</v>
      </c>
      <c r="AU41" s="162">
        <f t="shared" si="32"/>
        <v>1.3033515179558897</v>
      </c>
      <c r="AV41" s="162">
        <f t="shared" ref="AV41:BW41" si="33">AV38/AV40</f>
        <v>1.3033515179558897</v>
      </c>
      <c r="AW41" s="162">
        <f t="shared" si="33"/>
        <v>1.3033515179558897</v>
      </c>
      <c r="AX41" s="162">
        <f t="shared" si="33"/>
        <v>1.3033515179558897</v>
      </c>
      <c r="AY41" s="162">
        <f t="shared" si="33"/>
        <v>1.3033515179558897</v>
      </c>
      <c r="AZ41" s="162">
        <f t="shared" si="33"/>
        <v>1.3453999962448884</v>
      </c>
      <c r="BA41" s="162">
        <f t="shared" si="33"/>
        <v>1.3453999962448884</v>
      </c>
      <c r="BB41" s="162">
        <f t="shared" si="33"/>
        <v>1.3453999962448886</v>
      </c>
      <c r="BC41" s="162">
        <f t="shared" si="33"/>
        <v>1.3453999962448886</v>
      </c>
      <c r="BD41" s="162">
        <f t="shared" si="33"/>
        <v>1.3453999962448884</v>
      </c>
      <c r="BE41" s="162">
        <f t="shared" si="33"/>
        <v>1.3453999962448882</v>
      </c>
      <c r="BF41" s="162">
        <f t="shared" si="33"/>
        <v>1.3453999962448884</v>
      </c>
      <c r="BG41" s="162">
        <f t="shared" si="33"/>
        <v>1.3453999962448884</v>
      </c>
      <c r="BH41" s="162">
        <f t="shared" si="33"/>
        <v>1.3453999962448884</v>
      </c>
      <c r="BI41" s="162">
        <f t="shared" si="33"/>
        <v>1.3453999962448884</v>
      </c>
      <c r="BJ41" s="162">
        <f t="shared" si="33"/>
        <v>1.3453999962448884</v>
      </c>
      <c r="BK41" s="162">
        <f t="shared" si="33"/>
        <v>1.3453999962448884</v>
      </c>
      <c r="BL41" s="162">
        <f t="shared" si="33"/>
        <v>1.3886949491755072</v>
      </c>
      <c r="BM41" s="162">
        <f t="shared" si="33"/>
        <v>1.388694949175507</v>
      </c>
      <c r="BN41" s="162">
        <f t="shared" si="33"/>
        <v>1.388694949175507</v>
      </c>
      <c r="BO41" s="162">
        <f t="shared" si="33"/>
        <v>1.388694949175507</v>
      </c>
      <c r="BP41" s="162">
        <f t="shared" si="33"/>
        <v>1.388694949175507</v>
      </c>
      <c r="BQ41" s="162">
        <f t="shared" si="33"/>
        <v>1.388694949175507</v>
      </c>
      <c r="BR41" s="162">
        <f t="shared" si="33"/>
        <v>1.388694949175507</v>
      </c>
      <c r="BS41" s="162">
        <f t="shared" si="33"/>
        <v>1.388694949175507</v>
      </c>
      <c r="BT41" s="162">
        <f t="shared" si="33"/>
        <v>1.388694949175507</v>
      </c>
      <c r="BU41" s="162">
        <f t="shared" si="33"/>
        <v>1.388694949175507</v>
      </c>
      <c r="BV41" s="162">
        <f t="shared" si="33"/>
        <v>1.388694949175507</v>
      </c>
      <c r="BW41" s="162">
        <f t="shared" si="33"/>
        <v>1.3887688875375639</v>
      </c>
      <c r="BX41" s="162">
        <f t="shared" ref="BX41:CP41" si="34">BX38/BX40</f>
        <v>1.4396330418639964</v>
      </c>
      <c r="BY41" s="162">
        <f t="shared" si="34"/>
        <v>1.4396330418639967</v>
      </c>
      <c r="BZ41" s="162">
        <f t="shared" si="34"/>
        <v>1.4396330418639967</v>
      </c>
      <c r="CA41" s="162">
        <f t="shared" si="34"/>
        <v>1.4396330418639964</v>
      </c>
      <c r="CB41" s="162">
        <f t="shared" si="34"/>
        <v>1.4396330418639964</v>
      </c>
      <c r="CC41" s="162">
        <f t="shared" si="34"/>
        <v>1.4396330418639964</v>
      </c>
      <c r="CD41" s="162">
        <f t="shared" si="34"/>
        <v>1.4396330418639964</v>
      </c>
      <c r="CE41" s="162">
        <f t="shared" si="34"/>
        <v>1.4396330418639967</v>
      </c>
      <c r="CF41" s="162">
        <f t="shared" si="34"/>
        <v>1.4396330418639967</v>
      </c>
      <c r="CG41" s="162">
        <f t="shared" si="34"/>
        <v>1.4396330418639964</v>
      </c>
      <c r="CH41" s="162">
        <f t="shared" si="34"/>
        <v>1.4396330418639964</v>
      </c>
      <c r="CI41" s="162">
        <f t="shared" si="34"/>
        <v>1.4396330418639967</v>
      </c>
      <c r="CJ41" s="162">
        <f t="shared" si="34"/>
        <v>1.4396330418639964</v>
      </c>
      <c r="CK41" s="162">
        <f t="shared" si="34"/>
        <v>1.4396330418639964</v>
      </c>
      <c r="CL41" s="162">
        <f t="shared" si="34"/>
        <v>1.4396330418639964</v>
      </c>
      <c r="CM41" s="162">
        <f t="shared" si="34"/>
        <v>1.4396330418639964</v>
      </c>
      <c r="CN41" s="162">
        <f t="shared" si="34"/>
        <v>1.4396330418639964</v>
      </c>
      <c r="CO41" s="162">
        <f t="shared" si="34"/>
        <v>1.4396330418639964</v>
      </c>
      <c r="CP41" s="162">
        <f t="shared" si="34"/>
        <v>1.4396330418639964</v>
      </c>
    </row>
    <row r="42" spans="2:94" ht="9.75" customHeight="1"/>
    <row r="43" spans="2:94" ht="15.75" thickBot="1">
      <c r="B43" s="48" t="s">
        <v>144</v>
      </c>
      <c r="C43" s="536"/>
      <c r="D43" s="536"/>
      <c r="E43" s="536"/>
      <c r="F43" s="536"/>
      <c r="G43" s="536"/>
      <c r="H43" s="536"/>
      <c r="I43" s="536"/>
      <c r="J43" s="536"/>
      <c r="K43" s="536"/>
      <c r="L43" s="536"/>
      <c r="M43" s="536"/>
      <c r="N43" s="536"/>
      <c r="O43" s="536"/>
      <c r="P43" s="150">
        <f t="shared" ref="P43:AU43" si="35">P38-P40</f>
        <v>55865.937070519256</v>
      </c>
      <c r="Q43" s="150">
        <f t="shared" si="35"/>
        <v>55865.937070519256</v>
      </c>
      <c r="R43" s="150">
        <f t="shared" si="35"/>
        <v>55865.937070519256</v>
      </c>
      <c r="S43" s="150">
        <f t="shared" si="35"/>
        <v>55865.937070519256</v>
      </c>
      <c r="T43" s="150">
        <f t="shared" si="35"/>
        <v>55865.937070519256</v>
      </c>
      <c r="U43" s="150">
        <f t="shared" si="35"/>
        <v>55865.937070519256</v>
      </c>
      <c r="V43" s="150">
        <f t="shared" si="35"/>
        <v>162289.93820649723</v>
      </c>
      <c r="W43" s="150">
        <f t="shared" si="35"/>
        <v>162289.93820649723</v>
      </c>
      <c r="X43" s="150">
        <f t="shared" si="35"/>
        <v>162289.93820649723</v>
      </c>
      <c r="Y43" s="150">
        <f t="shared" si="35"/>
        <v>162289.93820649723</v>
      </c>
      <c r="Z43" s="150">
        <f t="shared" si="35"/>
        <v>162289.93820649723</v>
      </c>
      <c r="AA43" s="150">
        <f t="shared" si="35"/>
        <v>162289.93820649723</v>
      </c>
      <c r="AB43" s="150">
        <f t="shared" si="35"/>
        <v>176643.836958414</v>
      </c>
      <c r="AC43" s="150">
        <f t="shared" si="35"/>
        <v>176643.836958414</v>
      </c>
      <c r="AD43" s="150">
        <f t="shared" si="35"/>
        <v>176643.836958414</v>
      </c>
      <c r="AE43" s="150">
        <f t="shared" si="35"/>
        <v>176643.836958414</v>
      </c>
      <c r="AF43" s="150">
        <f t="shared" si="35"/>
        <v>176643.836958414</v>
      </c>
      <c r="AG43" s="150">
        <f t="shared" si="35"/>
        <v>176643.836958414</v>
      </c>
      <c r="AH43" s="150">
        <f t="shared" si="35"/>
        <v>95359.425282638869</v>
      </c>
      <c r="AI43" s="150">
        <f t="shared" si="35"/>
        <v>95359.425282638811</v>
      </c>
      <c r="AJ43" s="150">
        <f t="shared" si="35"/>
        <v>95359.425282638811</v>
      </c>
      <c r="AK43" s="150">
        <f t="shared" si="35"/>
        <v>95359.425282638811</v>
      </c>
      <c r="AL43" s="150">
        <f t="shared" si="35"/>
        <v>95359.425282638811</v>
      </c>
      <c r="AM43" s="150">
        <f t="shared" si="35"/>
        <v>95359.425282638869</v>
      </c>
      <c r="AN43" s="150">
        <f t="shared" si="35"/>
        <v>110164.52087538387</v>
      </c>
      <c r="AO43" s="150">
        <f t="shared" si="35"/>
        <v>110164.52087538387</v>
      </c>
      <c r="AP43" s="150">
        <f t="shared" si="35"/>
        <v>110164.52087538387</v>
      </c>
      <c r="AQ43" s="150">
        <f t="shared" si="35"/>
        <v>110164.52087538387</v>
      </c>
      <c r="AR43" s="150">
        <f t="shared" si="35"/>
        <v>110164.52087538387</v>
      </c>
      <c r="AS43" s="150">
        <f t="shared" si="35"/>
        <v>110164.52087538387</v>
      </c>
      <c r="AT43" s="150">
        <f t="shared" si="35"/>
        <v>110164.52087538387</v>
      </c>
      <c r="AU43" s="150">
        <f t="shared" si="35"/>
        <v>110164.52087538387</v>
      </c>
      <c r="AV43" s="150">
        <f t="shared" ref="AV43:BW43" si="36">AV38-AV40</f>
        <v>110164.52087538387</v>
      </c>
      <c r="AW43" s="150">
        <f t="shared" si="36"/>
        <v>110164.52087538387</v>
      </c>
      <c r="AX43" s="150">
        <f t="shared" si="36"/>
        <v>110164.52087538387</v>
      </c>
      <c r="AY43" s="150">
        <f t="shared" si="36"/>
        <v>110164.52087538387</v>
      </c>
      <c r="AZ43" s="150">
        <f t="shared" si="36"/>
        <v>125434.7608117474</v>
      </c>
      <c r="BA43" s="150">
        <f t="shared" si="36"/>
        <v>125434.7608117474</v>
      </c>
      <c r="BB43" s="150">
        <f t="shared" si="36"/>
        <v>125434.76081174746</v>
      </c>
      <c r="BC43" s="150">
        <f t="shared" si="36"/>
        <v>125434.76081174746</v>
      </c>
      <c r="BD43" s="150">
        <f t="shared" si="36"/>
        <v>125434.7608117474</v>
      </c>
      <c r="BE43" s="150">
        <f t="shared" si="36"/>
        <v>125434.76081174734</v>
      </c>
      <c r="BF43" s="150">
        <f t="shared" si="36"/>
        <v>125434.7608117474</v>
      </c>
      <c r="BG43" s="150">
        <f t="shared" si="36"/>
        <v>125434.7608117474</v>
      </c>
      <c r="BH43" s="150">
        <f t="shared" si="36"/>
        <v>125434.7608117474</v>
      </c>
      <c r="BI43" s="150">
        <f t="shared" si="36"/>
        <v>125434.7608117474</v>
      </c>
      <c r="BJ43" s="150">
        <f t="shared" si="36"/>
        <v>125434.7608117474</v>
      </c>
      <c r="BK43" s="150">
        <f t="shared" si="36"/>
        <v>125434.7608117474</v>
      </c>
      <c r="BL43" s="150">
        <f t="shared" si="36"/>
        <v>141157.66794622707</v>
      </c>
      <c r="BM43" s="150">
        <f t="shared" si="36"/>
        <v>141157.66794622701</v>
      </c>
      <c r="BN43" s="150">
        <f t="shared" si="36"/>
        <v>141157.66794622701</v>
      </c>
      <c r="BO43" s="150">
        <f t="shared" si="36"/>
        <v>141157.66794622701</v>
      </c>
      <c r="BP43" s="150">
        <f t="shared" si="36"/>
        <v>141157.66794622701</v>
      </c>
      <c r="BQ43" s="150">
        <f t="shared" si="36"/>
        <v>141157.66794622701</v>
      </c>
      <c r="BR43" s="150">
        <f t="shared" si="36"/>
        <v>141157.66794622701</v>
      </c>
      <c r="BS43" s="150">
        <f t="shared" si="36"/>
        <v>141157.66794622701</v>
      </c>
      <c r="BT43" s="150">
        <f t="shared" si="36"/>
        <v>141157.66794622701</v>
      </c>
      <c r="BU43" s="150">
        <f t="shared" si="36"/>
        <v>141157.66794622701</v>
      </c>
      <c r="BV43" s="150">
        <f t="shared" si="36"/>
        <v>141157.66794622701</v>
      </c>
      <c r="BW43" s="150">
        <f t="shared" si="36"/>
        <v>141184.51925155491</v>
      </c>
      <c r="BX43" s="150">
        <f t="shared" ref="BX43:CP43" si="37">BX38-BX40</f>
        <v>159656.24218494014</v>
      </c>
      <c r="BY43" s="150">
        <f t="shared" si="37"/>
        <v>159656.2421849402</v>
      </c>
      <c r="BZ43" s="150">
        <f t="shared" si="37"/>
        <v>159656.2421849402</v>
      </c>
      <c r="CA43" s="150">
        <f t="shared" si="37"/>
        <v>159656.24218494014</v>
      </c>
      <c r="CB43" s="150">
        <f t="shared" si="37"/>
        <v>159656.24218494014</v>
      </c>
      <c r="CC43" s="150">
        <f t="shared" si="37"/>
        <v>159656.24218494014</v>
      </c>
      <c r="CD43" s="150">
        <f t="shared" si="37"/>
        <v>159656.24218494014</v>
      </c>
      <c r="CE43" s="150">
        <f t="shared" si="37"/>
        <v>159656.2421849402</v>
      </c>
      <c r="CF43" s="150">
        <f t="shared" si="37"/>
        <v>159656.2421849402</v>
      </c>
      <c r="CG43" s="150">
        <f t="shared" si="37"/>
        <v>159656.24218494014</v>
      </c>
      <c r="CH43" s="150">
        <f t="shared" si="37"/>
        <v>159656.24218494014</v>
      </c>
      <c r="CI43" s="150">
        <f t="shared" si="37"/>
        <v>159656.2421849402</v>
      </c>
      <c r="CJ43" s="150">
        <f t="shared" si="37"/>
        <v>159656.24218494014</v>
      </c>
      <c r="CK43" s="150">
        <f t="shared" si="37"/>
        <v>159656.24218494014</v>
      </c>
      <c r="CL43" s="150">
        <f t="shared" si="37"/>
        <v>159656.24218494014</v>
      </c>
      <c r="CM43" s="150">
        <f t="shared" si="37"/>
        <v>159656.24218494014</v>
      </c>
      <c r="CN43" s="150">
        <f t="shared" si="37"/>
        <v>159656.24218494014</v>
      </c>
      <c r="CO43" s="150">
        <f t="shared" si="37"/>
        <v>159656.24218494014</v>
      </c>
      <c r="CP43" s="150">
        <f t="shared" si="37"/>
        <v>159656.24218494014</v>
      </c>
    </row>
    <row r="44" spans="2:94" ht="9.75" customHeight="1" thickTop="1"/>
    <row r="45" spans="2:94">
      <c r="B45" s="30" t="s">
        <v>143</v>
      </c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151">
        <f>IF(P2&gt;Dashboard!$F$36,Dashboard!$I$30*Dashboard!$C$16,0)/12</f>
        <v>0</v>
      </c>
      <c r="Q45" s="151">
        <f>IF(Q2&gt;Dashboard!$F$36,Dashboard!$I$30*Dashboard!$C$16,0)/12</f>
        <v>0</v>
      </c>
      <c r="R45" s="151">
        <f>IF(R2&gt;Dashboard!$F$36,Dashboard!$I$30*Dashboard!$C$16,0)/12</f>
        <v>0</v>
      </c>
      <c r="S45" s="151">
        <f>IF(S2&gt;Dashboard!$F$36,Dashboard!$I$30*Dashboard!$C$16,0)/12</f>
        <v>0</v>
      </c>
      <c r="T45" s="151">
        <f>IF(T2&gt;Dashboard!$F$36,Dashboard!$I$30*Dashboard!$C$16,0)/12</f>
        <v>0</v>
      </c>
      <c r="U45" s="151">
        <f>IF(U2&gt;Dashboard!$F$36,Dashboard!$I$30*Dashboard!$C$16,0)/12</f>
        <v>0</v>
      </c>
      <c r="V45" s="151">
        <f>IF(V2&gt;Dashboard!$F$36,Dashboard!$I$30*Dashboard!$C$16,0)/12</f>
        <v>1887.5</v>
      </c>
      <c r="W45" s="151">
        <f>IF(W2&gt;Dashboard!$F$36,Dashboard!$I$30*Dashboard!$C$16,0)/12</f>
        <v>1887.5</v>
      </c>
      <c r="X45" s="151">
        <f>IF(X2&gt;Dashboard!$F$36,Dashboard!$I$30*Dashboard!$C$16,0)/12</f>
        <v>1887.5</v>
      </c>
      <c r="Y45" s="151">
        <f>IF(Y2&gt;Dashboard!$F$36,Dashboard!$I$30*Dashboard!$C$16,0)/12</f>
        <v>1887.5</v>
      </c>
      <c r="Z45" s="151">
        <f>IF(Z2&gt;Dashboard!$F$36,Dashboard!$I$30*Dashboard!$C$16,0)/12</f>
        <v>1887.5</v>
      </c>
      <c r="AA45" s="151">
        <f>IF(AA2&gt;Dashboard!$F$36,Dashboard!$I$30*Dashboard!$C$16,0)/12</f>
        <v>1887.5</v>
      </c>
      <c r="AB45" s="151">
        <f>IF(AB2&gt;Dashboard!$F$36,Dashboard!$K$30*Dashboard!$C$16,0)/12</f>
        <v>1887.5</v>
      </c>
      <c r="AC45" s="151">
        <f>IF(AC2&gt;Dashboard!$F$36,Dashboard!$K$30*Dashboard!$C$16,0)/12</f>
        <v>1887.5</v>
      </c>
      <c r="AD45" s="151">
        <f>IF(AD2&gt;Dashboard!$F$36,Dashboard!$K$30*Dashboard!$C$16,0)/12</f>
        <v>1887.5</v>
      </c>
      <c r="AE45" s="151">
        <f>IF(AE2&gt;Dashboard!$F$36,Dashboard!$K$30*Dashboard!$C$16,0)/12</f>
        <v>1887.5</v>
      </c>
      <c r="AF45" s="151">
        <f>IF(AF2&gt;Dashboard!$F$36,Dashboard!$K$30*Dashboard!$C$16,0)/12</f>
        <v>1887.5</v>
      </c>
      <c r="AG45" s="151">
        <f>IF(AG2&gt;Dashboard!$F$36,Dashboard!$K$30*Dashboard!$C$16,0)/12</f>
        <v>1887.5</v>
      </c>
      <c r="AH45" s="151">
        <f>IF(AH2&gt;Dashboard!$F$36,Dashboard!$K$30*Dashboard!$C$16,0)/12</f>
        <v>1887.5</v>
      </c>
      <c r="AI45" s="151">
        <f>IF(AI2&gt;Dashboard!$F$36,Dashboard!$K$30*Dashboard!$C$16,0)/12</f>
        <v>1887.5</v>
      </c>
      <c r="AJ45" s="151">
        <f>IF(AJ2&gt;Dashboard!$F$36,Dashboard!$K$30*Dashboard!$C$16,0)/12</f>
        <v>1887.5</v>
      </c>
      <c r="AK45" s="151">
        <f>IF(AK2&gt;Dashboard!$F$36,Dashboard!$K$30*Dashboard!$C$16,0)/12</f>
        <v>1887.5</v>
      </c>
      <c r="AL45" s="151">
        <f>IF(AL2&gt;Dashboard!$F$36,Dashboard!$K$30*Dashboard!$C$16,0)/12</f>
        <v>1887.5</v>
      </c>
      <c r="AM45" s="151">
        <f>IF(AM2&gt;Dashboard!$F$36,Dashboard!$K$30*Dashboard!$C$16,0)/12</f>
        <v>1887.5</v>
      </c>
      <c r="AN45" s="151">
        <f>IF(AN2&gt;Dashboard!$F$36,Dashboard!$M$30*Dashboard!$C$16,0)/12</f>
        <v>1887.5</v>
      </c>
      <c r="AO45" s="151">
        <f>IF(AO2&gt;Dashboard!$F$36,Dashboard!$M$30*Dashboard!$C$16,0)/12</f>
        <v>1887.5</v>
      </c>
      <c r="AP45" s="151">
        <f>IF(AP2&gt;Dashboard!$F$36,Dashboard!$M$30*Dashboard!$C$16,0)/12</f>
        <v>1887.5</v>
      </c>
      <c r="AQ45" s="151">
        <f>IF(AQ2&gt;Dashboard!$F$36,Dashboard!$M$30*Dashboard!$C$16,0)/12</f>
        <v>1887.5</v>
      </c>
      <c r="AR45" s="151">
        <f>IF(AR2&gt;Dashboard!$F$36,Dashboard!$M$30*Dashboard!$C$16,0)/12</f>
        <v>1887.5</v>
      </c>
      <c r="AS45" s="151">
        <f>IF(AS2&gt;Dashboard!$F$36,Dashboard!$M$30*Dashboard!$C$16,0)/12</f>
        <v>1887.5</v>
      </c>
      <c r="AT45" s="151">
        <f>IF(AT2&gt;Dashboard!$F$36,Dashboard!$M$30*Dashboard!$C$16,0)/12</f>
        <v>1887.5</v>
      </c>
      <c r="AU45" s="151">
        <f>IF(AU2&gt;Dashboard!$F$36,Dashboard!$M$30*Dashboard!$C$16,0)/12</f>
        <v>1887.5</v>
      </c>
      <c r="AV45" s="151">
        <f>IF(AV2&gt;Dashboard!$F$36,Dashboard!$M$30*Dashboard!$C$16,0)/12</f>
        <v>1887.5</v>
      </c>
      <c r="AW45" s="151">
        <f>IF(AW2&gt;Dashboard!$F$36,Dashboard!$M$30*Dashboard!$C$16,0)/12</f>
        <v>1887.5</v>
      </c>
      <c r="AX45" s="151">
        <f>IF(AX2&gt;Dashboard!$F$36,Dashboard!$M$30*Dashboard!$C$16,0)/12</f>
        <v>1887.5</v>
      </c>
      <c r="AY45" s="151">
        <f>IF(AY2&gt;Dashboard!$F$36,Dashboard!$M$30*Dashboard!$C$16,0)/12</f>
        <v>1887.5</v>
      </c>
      <c r="AZ45" s="151">
        <f>IF(AZ2&gt;Dashboard!$F$36,Dashboard!$O$30*Dashboard!$C$16,0)/12</f>
        <v>1887.5</v>
      </c>
      <c r="BA45" s="151">
        <f>IF(BA2&gt;Dashboard!$F$36,Dashboard!$O$30*Dashboard!$C$16,0)/12</f>
        <v>1887.5</v>
      </c>
      <c r="BB45" s="151">
        <f>IF(BB2&gt;Dashboard!$F$36,Dashboard!$O$30*Dashboard!$C$16,0)/12</f>
        <v>1887.5</v>
      </c>
      <c r="BC45" s="151">
        <f>IF(BC2&gt;Dashboard!$F$36,Dashboard!$O$30*Dashboard!$C$16,0)/12</f>
        <v>1887.5</v>
      </c>
      <c r="BD45" s="151">
        <f>IF(BD2&gt;Dashboard!$F$36,Dashboard!$O$30*Dashboard!$C$16,0)/12</f>
        <v>1887.5</v>
      </c>
      <c r="BE45" s="151">
        <f>IF(BE2&gt;Dashboard!$F$36,Dashboard!$O$30*Dashboard!$C$16,0)/12</f>
        <v>1887.5</v>
      </c>
      <c r="BF45" s="151">
        <f>IF(BF2&gt;Dashboard!$F$36,Dashboard!$O$30*Dashboard!$C$16,0)/12</f>
        <v>1887.5</v>
      </c>
      <c r="BG45" s="151">
        <f>IF(BG2&gt;Dashboard!$F$36,Dashboard!$O$30*Dashboard!$C$16,0)/12</f>
        <v>1887.5</v>
      </c>
      <c r="BH45" s="151">
        <f>IF(BH2&gt;Dashboard!$F$36,Dashboard!$O$30*Dashboard!$C$16,0)/12</f>
        <v>1887.5</v>
      </c>
      <c r="BI45" s="151">
        <f>IF(BI2&gt;Dashboard!$F$36,Dashboard!$O$30*Dashboard!$C$16,0)/12</f>
        <v>1887.5</v>
      </c>
      <c r="BJ45" s="151">
        <f>IF(BJ2&gt;Dashboard!$F$36,Dashboard!$O$30*Dashboard!$C$16,0)/12</f>
        <v>1887.5</v>
      </c>
      <c r="BK45" s="151">
        <f>IF(BK2&gt;Dashboard!$F$36,Dashboard!$O$30*Dashboard!$C$16,0)/12</f>
        <v>1887.5</v>
      </c>
      <c r="BL45" s="151">
        <f>IF(BL2&gt;Dashboard!$F$36,Dashboard!$O$30*Dashboard!$C$16,0)/12</f>
        <v>1887.5</v>
      </c>
      <c r="BM45" s="151">
        <f>IF(BM2&gt;Dashboard!$F$36,Dashboard!$O$30*Dashboard!$C$16,0)/12</f>
        <v>1887.5</v>
      </c>
      <c r="BN45" s="151">
        <f>IF(BN2&gt;Dashboard!$F$36,Dashboard!$O$30*Dashboard!$C$16,0)/12</f>
        <v>1887.5</v>
      </c>
      <c r="BO45" s="151">
        <f>IF(BO2&gt;Dashboard!$F$36,Dashboard!$O$30*Dashboard!$C$16,0)/12</f>
        <v>1887.5</v>
      </c>
      <c r="BP45" s="151">
        <f>IF(BP2&gt;Dashboard!$F$36,Dashboard!$O$30*Dashboard!$C$16,0)/12</f>
        <v>1887.5</v>
      </c>
      <c r="BQ45" s="151">
        <f>IF(BQ2&gt;Dashboard!$F$36,Dashboard!$O$30*Dashboard!$C$16,0)/12</f>
        <v>1887.5</v>
      </c>
      <c r="BR45" s="151">
        <f>IF(BR2&gt;Dashboard!$F$36,Dashboard!$O$30*Dashboard!$C$16,0)/12</f>
        <v>1887.5</v>
      </c>
      <c r="BS45" s="151">
        <f>IF(BS2&gt;Dashboard!$F$36,Dashboard!$O$30*Dashboard!$C$16,0)/12</f>
        <v>1887.5</v>
      </c>
      <c r="BT45" s="151">
        <f>IF(BT2&gt;Dashboard!$F$36,Dashboard!$O$30*Dashboard!$C$16,0)/12</f>
        <v>1887.5</v>
      </c>
      <c r="BU45" s="151">
        <f>IF(BU2&gt;Dashboard!$F$36,Dashboard!$O$30*Dashboard!$C$16,0)/12</f>
        <v>1887.5</v>
      </c>
      <c r="BV45" s="151">
        <f>IF(BV2&gt;Dashboard!$F$36,Dashboard!$O$30*Dashboard!$C$16,0)/12</f>
        <v>1887.5</v>
      </c>
      <c r="BW45" s="151">
        <f>IF(BW2&gt;Dashboard!$F$36,Dashboard!$O$30*Dashboard!$C$16,0)/12</f>
        <v>1887.5</v>
      </c>
      <c r="BX45" s="151">
        <f>IF(BX2&gt;Dashboard!$F$36,Dashboard!$O$30*Dashboard!$C$16,0)/12</f>
        <v>1887.5</v>
      </c>
      <c r="BY45" s="151">
        <f>IF(BY2&gt;Dashboard!$F$36,Dashboard!$O$30*Dashboard!$C$16,0)/12</f>
        <v>1887.5</v>
      </c>
      <c r="BZ45" s="151">
        <f>IF(BZ2&gt;Dashboard!$F$36,Dashboard!$O$30*Dashboard!$C$16,0)/12</f>
        <v>1887.5</v>
      </c>
      <c r="CA45" s="151">
        <f>IF(CA2&gt;Dashboard!$F$36,Dashboard!$O$30*Dashboard!$C$16,0)/12</f>
        <v>1887.5</v>
      </c>
      <c r="CB45" s="151">
        <f>IF(CB2&gt;Dashboard!$F$36,Dashboard!$O$30*Dashboard!$C$16,0)/12</f>
        <v>1887.5</v>
      </c>
      <c r="CC45" s="151">
        <f>IF(CC2&gt;Dashboard!$F$36,Dashboard!$O$30*Dashboard!$C$16,0)/12</f>
        <v>1887.5</v>
      </c>
      <c r="CD45" s="151">
        <f>IF(CD2&gt;Dashboard!$F$36,Dashboard!$O$30*Dashboard!$C$16,0)/12</f>
        <v>1887.5</v>
      </c>
      <c r="CE45" s="151">
        <f>IF(CE2&gt;Dashboard!$F$36,Dashboard!$O$30*Dashboard!$C$16,0)/12</f>
        <v>1887.5</v>
      </c>
      <c r="CF45" s="151">
        <f>IF(CF2&gt;Dashboard!$F$36,Dashboard!$O$30*Dashboard!$C$16,0)/12</f>
        <v>1887.5</v>
      </c>
      <c r="CG45" s="151">
        <f>IF(CG2&gt;Dashboard!$F$36,Dashboard!$O$30*Dashboard!$C$16,0)/12</f>
        <v>1887.5</v>
      </c>
      <c r="CH45" s="151">
        <f>IF(CH2&gt;Dashboard!$F$36,Dashboard!$O$30*Dashboard!$C$16,0)/12</f>
        <v>1887.5</v>
      </c>
      <c r="CI45" s="151">
        <f>IF(CI2&gt;Dashboard!$F$36,Dashboard!$O$30*Dashboard!$C$16,0)/12</f>
        <v>1887.5</v>
      </c>
      <c r="CJ45" s="151">
        <f>IF(CJ2&gt;Dashboard!$F$36,Dashboard!$O$30*Dashboard!$C$16,0)/12</f>
        <v>1887.5</v>
      </c>
      <c r="CK45" s="151">
        <f>IF(CK2&gt;Dashboard!$F$36,Dashboard!$O$30*Dashboard!$C$16,0)/12</f>
        <v>1887.5</v>
      </c>
      <c r="CL45" s="151">
        <f>IF(CL2&gt;Dashboard!$F$36,Dashboard!$O$30*Dashboard!$C$16,0)/12</f>
        <v>1887.5</v>
      </c>
      <c r="CM45" s="151">
        <f>IF(CM2&gt;Dashboard!$F$36,Dashboard!$O$30*Dashboard!$C$16,0)/12</f>
        <v>1887.5</v>
      </c>
      <c r="CN45" s="151">
        <f>IF(CN2&gt;Dashboard!$F$36,Dashboard!$O$30*Dashboard!$C$16,0)/12</f>
        <v>1887.5</v>
      </c>
      <c r="CO45" s="151">
        <f>IF(CO2&gt;Dashboard!$F$36,Dashboard!$O$30*Dashboard!$C$16,0)/12</f>
        <v>1887.5</v>
      </c>
      <c r="CP45" s="151">
        <f>IF(CP2&gt;Dashboard!$F$36,Dashboard!$O$30*Dashboard!$C$16,0)/12</f>
        <v>1887.5</v>
      </c>
    </row>
    <row r="46" spans="2:94" ht="9.75" customHeight="1"/>
    <row r="47" spans="2:94" hidden="1">
      <c r="B47" s="30" t="s">
        <v>301</v>
      </c>
      <c r="P47" s="906">
        <v>0</v>
      </c>
      <c r="Q47" s="906">
        <v>0</v>
      </c>
      <c r="R47" s="906">
        <v>0</v>
      </c>
      <c r="S47" s="906">
        <v>0</v>
      </c>
      <c r="T47" s="906">
        <v>0</v>
      </c>
      <c r="U47" s="906">
        <v>0</v>
      </c>
      <c r="V47" s="906">
        <v>0</v>
      </c>
      <c r="W47" s="906">
        <v>0</v>
      </c>
      <c r="X47" s="906">
        <v>0</v>
      </c>
      <c r="Y47" s="906">
        <v>0</v>
      </c>
      <c r="Z47" s="906">
        <v>0</v>
      </c>
      <c r="AA47" s="906">
        <v>0</v>
      </c>
      <c r="AB47" s="906">
        <v>0</v>
      </c>
      <c r="AC47" s="906">
        <v>0</v>
      </c>
      <c r="AD47" s="906">
        <v>0</v>
      </c>
      <c r="AE47" s="906">
        <v>0</v>
      </c>
      <c r="AF47" s="906">
        <v>0</v>
      </c>
      <c r="AG47" s="906">
        <v>0</v>
      </c>
      <c r="AH47" s="906">
        <v>0</v>
      </c>
      <c r="AI47" s="906">
        <v>0</v>
      </c>
      <c r="AJ47" s="906">
        <v>0</v>
      </c>
      <c r="AK47" s="906">
        <v>0</v>
      </c>
      <c r="AL47" s="906">
        <v>0</v>
      </c>
      <c r="AM47" s="906">
        <v>0</v>
      </c>
      <c r="AN47" s="906">
        <v>0</v>
      </c>
      <c r="AO47" s="906">
        <v>0</v>
      </c>
      <c r="AP47" s="906">
        <v>0</v>
      </c>
      <c r="AQ47" s="906">
        <v>0</v>
      </c>
      <c r="AR47" s="906">
        <v>0</v>
      </c>
      <c r="AS47" s="906">
        <v>0</v>
      </c>
      <c r="AT47" s="906">
        <v>0</v>
      </c>
      <c r="AU47" s="906">
        <v>0</v>
      </c>
      <c r="AV47" s="906">
        <v>0</v>
      </c>
      <c r="AW47" s="906">
        <v>0</v>
      </c>
      <c r="AX47" s="906">
        <v>0</v>
      </c>
      <c r="AY47" s="906">
        <v>0</v>
      </c>
      <c r="AZ47" s="906">
        <v>0</v>
      </c>
      <c r="BA47" s="906">
        <v>0</v>
      </c>
      <c r="BB47" s="906">
        <v>0</v>
      </c>
      <c r="BC47" s="906">
        <v>0</v>
      </c>
      <c r="BD47" s="906">
        <v>0</v>
      </c>
      <c r="BE47" s="906">
        <v>0</v>
      </c>
      <c r="BF47" s="906">
        <v>0</v>
      </c>
      <c r="BG47" s="906">
        <v>0</v>
      </c>
      <c r="BH47" s="906">
        <v>0</v>
      </c>
      <c r="BI47" s="906">
        <v>0</v>
      </c>
      <c r="BJ47" s="906">
        <v>0</v>
      </c>
      <c r="BK47" s="906">
        <v>0</v>
      </c>
      <c r="BL47" s="906">
        <v>0</v>
      </c>
      <c r="BM47" s="906">
        <v>0</v>
      </c>
      <c r="BN47" s="906">
        <v>0</v>
      </c>
      <c r="BO47" s="906">
        <v>0</v>
      </c>
      <c r="BP47" s="906">
        <v>0</v>
      </c>
      <c r="BQ47" s="906">
        <v>0</v>
      </c>
      <c r="BR47" s="906">
        <v>0</v>
      </c>
      <c r="BS47" s="906">
        <v>0</v>
      </c>
      <c r="BT47" s="906">
        <v>0</v>
      </c>
      <c r="BU47" s="906">
        <v>0</v>
      </c>
      <c r="BV47" s="906">
        <v>0</v>
      </c>
      <c r="BW47" s="906">
        <v>0</v>
      </c>
      <c r="BX47" s="906">
        <v>0</v>
      </c>
      <c r="BY47" s="906">
        <v>0</v>
      </c>
      <c r="BZ47" s="906">
        <v>0</v>
      </c>
      <c r="CA47" s="906">
        <v>0</v>
      </c>
      <c r="CB47" s="906">
        <v>0</v>
      </c>
      <c r="CC47" s="105">
        <f>'Year-1 Proforma'!$P$8/12</f>
        <v>193027.92380807691</v>
      </c>
      <c r="CD47" s="105">
        <f>'Year-1 Proforma'!$P$8/12</f>
        <v>193027.92380807691</v>
      </c>
      <c r="CE47" s="105">
        <f>'Year-1 Proforma'!$P$8/12</f>
        <v>193027.92380807691</v>
      </c>
      <c r="CF47" s="105">
        <f>'Year-1 Proforma'!$P$8/12</f>
        <v>193027.92380807691</v>
      </c>
      <c r="CG47" s="105">
        <f>'Year-1 Proforma'!$P$8/12</f>
        <v>193027.92380807691</v>
      </c>
      <c r="CH47" s="105">
        <f>'Year-1 Proforma'!$P$8/12</f>
        <v>193027.92380807691</v>
      </c>
      <c r="CI47" s="105">
        <f>'Year-1 Proforma'!$P$8/12</f>
        <v>193027.92380807691</v>
      </c>
      <c r="CJ47" s="105" t="e">
        <f>'Year-1 Proforma'!#REF!/12</f>
        <v>#REF!</v>
      </c>
      <c r="CK47" s="105" t="e">
        <f>'Year-1 Proforma'!#REF!/12</f>
        <v>#REF!</v>
      </c>
      <c r="CL47" s="105" t="e">
        <f>'Year-1 Proforma'!#REF!/12</f>
        <v>#REF!</v>
      </c>
      <c r="CM47" s="105" t="e">
        <f>'Year-1 Proforma'!#REF!/12</f>
        <v>#REF!</v>
      </c>
      <c r="CN47" s="105" t="e">
        <f>'Year-1 Proforma'!#REF!/12</f>
        <v>#REF!</v>
      </c>
      <c r="CO47" s="105" t="e">
        <f>'Year-1 Proforma'!#REF!/12</f>
        <v>#REF!</v>
      </c>
      <c r="CP47" s="105" t="e">
        <f>'Year-1 Proforma'!#REF!/12</f>
        <v>#REF!</v>
      </c>
    </row>
    <row r="48" spans="2:94" ht="9.75" customHeight="1"/>
    <row r="49" spans="2:94" ht="15.75" thickBot="1">
      <c r="B49" s="48" t="s">
        <v>78</v>
      </c>
      <c r="C49" s="536"/>
      <c r="D49" s="536"/>
      <c r="E49" s="536"/>
      <c r="F49" s="536"/>
      <c r="G49" s="536"/>
      <c r="H49" s="536"/>
      <c r="I49" s="536"/>
      <c r="J49" s="536"/>
      <c r="K49" s="536"/>
      <c r="L49" s="536"/>
      <c r="M49" s="536"/>
      <c r="N49" s="536"/>
      <c r="O49" s="536"/>
      <c r="P49" s="150">
        <f>P43-P45+P47</f>
        <v>55865.937070519256</v>
      </c>
      <c r="Q49" s="150">
        <f t="shared" ref="Q49:CB49" si="38">Q43-Q45+Q47</f>
        <v>55865.937070519256</v>
      </c>
      <c r="R49" s="150">
        <f t="shared" si="38"/>
        <v>55865.937070519256</v>
      </c>
      <c r="S49" s="150">
        <f>S43-S45+S47+Dashboard!$C$55</f>
        <v>1567865.9370705192</v>
      </c>
      <c r="T49" s="150">
        <f t="shared" si="38"/>
        <v>55865.937070519256</v>
      </c>
      <c r="U49" s="150">
        <f t="shared" si="38"/>
        <v>55865.937070519256</v>
      </c>
      <c r="V49" s="150">
        <f t="shared" si="38"/>
        <v>160402.43820649723</v>
      </c>
      <c r="W49" s="150">
        <f t="shared" si="38"/>
        <v>160402.43820649723</v>
      </c>
      <c r="X49" s="150">
        <f t="shared" si="38"/>
        <v>160402.43820649723</v>
      </c>
      <c r="Y49" s="150">
        <f t="shared" si="38"/>
        <v>160402.43820649723</v>
      </c>
      <c r="Z49" s="150">
        <f t="shared" si="38"/>
        <v>160402.43820649723</v>
      </c>
      <c r="AA49" s="150">
        <f t="shared" si="38"/>
        <v>160402.43820649723</v>
      </c>
      <c r="AB49" s="150">
        <f t="shared" si="38"/>
        <v>174756.336958414</v>
      </c>
      <c r="AC49" s="150">
        <f t="shared" si="38"/>
        <v>174756.336958414</v>
      </c>
      <c r="AD49" s="150">
        <f t="shared" si="38"/>
        <v>174756.336958414</v>
      </c>
      <c r="AE49" s="150">
        <f t="shared" si="38"/>
        <v>174756.336958414</v>
      </c>
      <c r="AF49" s="150">
        <f t="shared" si="38"/>
        <v>174756.336958414</v>
      </c>
      <c r="AG49" s="150">
        <f t="shared" si="38"/>
        <v>174756.336958414</v>
      </c>
      <c r="AH49" s="150">
        <f t="shared" si="38"/>
        <v>93471.925282638869</v>
      </c>
      <c r="AI49" s="150">
        <f t="shared" si="38"/>
        <v>93471.925282638811</v>
      </c>
      <c r="AJ49" s="150">
        <f t="shared" si="38"/>
        <v>93471.925282638811</v>
      </c>
      <c r="AK49" s="150">
        <f t="shared" si="38"/>
        <v>93471.925282638811</v>
      </c>
      <c r="AL49" s="150">
        <f t="shared" si="38"/>
        <v>93471.925282638811</v>
      </c>
      <c r="AM49" s="150">
        <f t="shared" si="38"/>
        <v>93471.925282638869</v>
      </c>
      <c r="AN49" s="150">
        <f t="shared" si="38"/>
        <v>108277.02087538387</v>
      </c>
      <c r="AO49" s="150">
        <f t="shared" si="38"/>
        <v>108277.02087538387</v>
      </c>
      <c r="AP49" s="150">
        <f t="shared" si="38"/>
        <v>108277.02087538387</v>
      </c>
      <c r="AQ49" s="150">
        <f t="shared" si="38"/>
        <v>108277.02087538387</v>
      </c>
      <c r="AR49" s="150">
        <f t="shared" si="38"/>
        <v>108277.02087538387</v>
      </c>
      <c r="AS49" s="150">
        <f t="shared" si="38"/>
        <v>108277.02087538387</v>
      </c>
      <c r="AT49" s="150">
        <f t="shared" si="38"/>
        <v>108277.02087538387</v>
      </c>
      <c r="AU49" s="150">
        <f t="shared" si="38"/>
        <v>108277.02087538387</v>
      </c>
      <c r="AV49" s="150">
        <f t="shared" si="38"/>
        <v>108277.02087538387</v>
      </c>
      <c r="AW49" s="150">
        <f t="shared" si="38"/>
        <v>108277.02087538387</v>
      </c>
      <c r="AX49" s="150">
        <f t="shared" si="38"/>
        <v>108277.02087538387</v>
      </c>
      <c r="AY49" s="150">
        <f t="shared" si="38"/>
        <v>108277.02087538387</v>
      </c>
      <c r="AZ49" s="150">
        <f t="shared" si="38"/>
        <v>123547.2608117474</v>
      </c>
      <c r="BA49" s="150">
        <f t="shared" si="38"/>
        <v>123547.2608117474</v>
      </c>
      <c r="BB49" s="150">
        <f t="shared" si="38"/>
        <v>123547.26081174746</v>
      </c>
      <c r="BC49" s="150">
        <f t="shared" si="38"/>
        <v>123547.26081174746</v>
      </c>
      <c r="BD49" s="150">
        <f t="shared" si="38"/>
        <v>123547.2608117474</v>
      </c>
      <c r="BE49" s="150">
        <f t="shared" si="38"/>
        <v>123547.26081174734</v>
      </c>
      <c r="BF49" s="150">
        <f t="shared" si="38"/>
        <v>123547.2608117474</v>
      </c>
      <c r="BG49" s="150">
        <f t="shared" si="38"/>
        <v>123547.2608117474</v>
      </c>
      <c r="BH49" s="150">
        <f t="shared" si="38"/>
        <v>123547.2608117474</v>
      </c>
      <c r="BI49" s="150">
        <f t="shared" si="38"/>
        <v>123547.2608117474</v>
      </c>
      <c r="BJ49" s="150">
        <f t="shared" si="38"/>
        <v>123547.2608117474</v>
      </c>
      <c r="BK49" s="150">
        <f t="shared" si="38"/>
        <v>123547.2608117474</v>
      </c>
      <c r="BL49" s="150">
        <f t="shared" si="38"/>
        <v>139270.16794622707</v>
      </c>
      <c r="BM49" s="150">
        <f t="shared" si="38"/>
        <v>139270.16794622701</v>
      </c>
      <c r="BN49" s="150">
        <f t="shared" si="38"/>
        <v>139270.16794622701</v>
      </c>
      <c r="BO49" s="150">
        <f t="shared" si="38"/>
        <v>139270.16794622701</v>
      </c>
      <c r="BP49" s="150">
        <f t="shared" si="38"/>
        <v>139270.16794622701</v>
      </c>
      <c r="BQ49" s="150">
        <f t="shared" si="38"/>
        <v>139270.16794622701</v>
      </c>
      <c r="BR49" s="150">
        <f t="shared" si="38"/>
        <v>139270.16794622701</v>
      </c>
      <c r="BS49" s="150">
        <f t="shared" si="38"/>
        <v>139270.16794622701</v>
      </c>
      <c r="BT49" s="150">
        <f t="shared" si="38"/>
        <v>139270.16794622701</v>
      </c>
      <c r="BU49" s="150">
        <f t="shared" si="38"/>
        <v>139270.16794622701</v>
      </c>
      <c r="BV49" s="150">
        <f t="shared" si="38"/>
        <v>139270.16794622701</v>
      </c>
      <c r="BW49" s="150">
        <f t="shared" si="38"/>
        <v>139297.01925155491</v>
      </c>
      <c r="BX49" s="150">
        <f t="shared" si="38"/>
        <v>157768.74218494014</v>
      </c>
      <c r="BY49" s="150">
        <f t="shared" si="38"/>
        <v>157768.7421849402</v>
      </c>
      <c r="BZ49" s="150">
        <f t="shared" si="38"/>
        <v>157768.7421849402</v>
      </c>
      <c r="CA49" s="150">
        <f t="shared" si="38"/>
        <v>157768.74218494014</v>
      </c>
      <c r="CB49" s="150">
        <f t="shared" si="38"/>
        <v>157768.74218494014</v>
      </c>
      <c r="CC49" s="150">
        <f t="shared" ref="CC49:CP49" si="39">CC43-CC45+CC47</f>
        <v>350796.66599301703</v>
      </c>
      <c r="CD49" s="150">
        <f t="shared" si="39"/>
        <v>350796.66599301703</v>
      </c>
      <c r="CE49" s="150">
        <f t="shared" si="39"/>
        <v>350796.66599301714</v>
      </c>
      <c r="CF49" s="150">
        <f t="shared" si="39"/>
        <v>350796.66599301714</v>
      </c>
      <c r="CG49" s="150">
        <f t="shared" si="39"/>
        <v>350796.66599301703</v>
      </c>
      <c r="CH49" s="150">
        <f t="shared" si="39"/>
        <v>350796.66599301703</v>
      </c>
      <c r="CI49" s="150">
        <f t="shared" si="39"/>
        <v>350796.66599301714</v>
      </c>
      <c r="CJ49" s="150" t="e">
        <f t="shared" si="39"/>
        <v>#REF!</v>
      </c>
      <c r="CK49" s="150" t="e">
        <f t="shared" si="39"/>
        <v>#REF!</v>
      </c>
      <c r="CL49" s="150" t="e">
        <f t="shared" si="39"/>
        <v>#REF!</v>
      </c>
      <c r="CM49" s="150" t="e">
        <f t="shared" si="39"/>
        <v>#REF!</v>
      </c>
      <c r="CN49" s="150" t="e">
        <f t="shared" si="39"/>
        <v>#REF!</v>
      </c>
      <c r="CO49" s="150" t="e">
        <f t="shared" si="39"/>
        <v>#REF!</v>
      </c>
      <c r="CP49" s="150" t="e">
        <f t="shared" si="39"/>
        <v>#REF!</v>
      </c>
    </row>
    <row r="50" spans="2:94" ht="9.75" customHeight="1" thickTop="1"/>
    <row r="51" spans="2:94">
      <c r="B51" s="164" t="s">
        <v>148</v>
      </c>
      <c r="C51" s="164"/>
      <c r="D51" s="164"/>
      <c r="E51" s="164"/>
      <c r="F51" s="164"/>
      <c r="G51" s="164"/>
      <c r="H51" s="164"/>
      <c r="I51" s="164"/>
      <c r="J51" s="164"/>
      <c r="K51" s="164"/>
      <c r="L51" s="164"/>
      <c r="M51" s="164"/>
      <c r="N51" s="164"/>
      <c r="O51" s="164"/>
      <c r="P51" s="171">
        <f>(P38*12)/Dashboard!$F$11</f>
        <v>5.7271622962282082E-2</v>
      </c>
      <c r="Q51" s="171">
        <f>(Q38*12)/Dashboard!$F$11</f>
        <v>5.7271622962282082E-2</v>
      </c>
      <c r="R51" s="171">
        <f>(R38*12)/Dashboard!$F$11</f>
        <v>5.7271622962282082E-2</v>
      </c>
      <c r="S51" s="171">
        <f>(S38*12)/Dashboard!$F$11</f>
        <v>5.7271622962282082E-2</v>
      </c>
      <c r="T51" s="171">
        <f>(T38*12)/Dashboard!$F$11</f>
        <v>5.7271622962282082E-2</v>
      </c>
      <c r="U51" s="171">
        <f>(U38*12)/Dashboard!$F$11</f>
        <v>5.7271622962282082E-2</v>
      </c>
      <c r="V51" s="171">
        <f>(V38*12)/Dashboard!$F$11</f>
        <v>5.7271622962282082E-2</v>
      </c>
      <c r="W51" s="171">
        <f>(W38*12)/Dashboard!$F$11</f>
        <v>5.7271622962282082E-2</v>
      </c>
      <c r="X51" s="171">
        <f>(X38*12)/Dashboard!$F$11</f>
        <v>5.7271622962282082E-2</v>
      </c>
      <c r="Y51" s="171">
        <f>(Y38*12)/Dashboard!$F$11</f>
        <v>5.7271622962282082E-2</v>
      </c>
      <c r="Z51" s="171">
        <f>(Z38*12)/Dashboard!$F$11</f>
        <v>5.7271622962282082E-2</v>
      </c>
      <c r="AA51" s="171">
        <f>(AA38*12)/Dashboard!$F$11</f>
        <v>5.7271622962282082E-2</v>
      </c>
      <c r="AB51" s="171">
        <f>(AB38*12)/Dashboard!$F$11</f>
        <v>5.9122452864626369E-2</v>
      </c>
      <c r="AC51" s="171">
        <f>(AC38*12)/Dashboard!$F$11</f>
        <v>5.9122452864626369E-2</v>
      </c>
      <c r="AD51" s="171">
        <f>(AD38*12)/Dashboard!$F$11</f>
        <v>5.9122452864626369E-2</v>
      </c>
      <c r="AE51" s="171">
        <f>(AE38*12)/Dashboard!$F$11</f>
        <v>5.9122452864626369E-2</v>
      </c>
      <c r="AF51" s="171">
        <f>(AF38*12)/Dashboard!$F$11</f>
        <v>5.9122452864626369E-2</v>
      </c>
      <c r="AG51" s="171">
        <f>(AG38*12)/Dashboard!$F$11</f>
        <v>5.9122452864626369E-2</v>
      </c>
      <c r="AH51" s="171">
        <f>(AH38*12)/Dashboard!$F$11</f>
        <v>5.9122452864626369E-2</v>
      </c>
      <c r="AI51" s="171">
        <f>(AI38*12)/Dashboard!$F$11</f>
        <v>5.9122452864626369E-2</v>
      </c>
      <c r="AJ51" s="171">
        <f>(AJ38*12)/Dashboard!$F$11</f>
        <v>5.9122452864626369E-2</v>
      </c>
      <c r="AK51" s="171">
        <f>(AK38*12)/Dashboard!$F$11</f>
        <v>5.9122452864626369E-2</v>
      </c>
      <c r="AL51" s="171">
        <f>(AL38*12)/Dashboard!$F$11</f>
        <v>5.9122452864626369E-2</v>
      </c>
      <c r="AM51" s="171">
        <f>(AM38*12)/Dashboard!$F$11</f>
        <v>5.9122452864626369E-2</v>
      </c>
      <c r="AN51" s="171">
        <f>(AN38*12)/Dashboard!$F$11</f>
        <v>6.1031461288310489E-2</v>
      </c>
      <c r="AO51" s="171">
        <f>(AO38*12)/Dashboard!$F$11</f>
        <v>6.1031461288310489E-2</v>
      </c>
      <c r="AP51" s="171">
        <f>(AP38*12)/Dashboard!$F$11</f>
        <v>6.1031461288310489E-2</v>
      </c>
      <c r="AQ51" s="171">
        <f>(AQ38*12)/Dashboard!$F$11</f>
        <v>6.1031461288310489E-2</v>
      </c>
      <c r="AR51" s="171">
        <f>(AR38*12)/Dashboard!$F$11</f>
        <v>6.1031461288310489E-2</v>
      </c>
      <c r="AS51" s="171">
        <f>(AS38*12)/Dashboard!$F$11</f>
        <v>6.1031461288310489E-2</v>
      </c>
      <c r="AT51" s="171">
        <f>(AT38*12)/Dashboard!$F$11</f>
        <v>6.1031461288310489E-2</v>
      </c>
      <c r="AU51" s="171">
        <f>(AU38*12)/Dashboard!$F$11</f>
        <v>6.1031461288310489E-2</v>
      </c>
      <c r="AV51" s="171">
        <f>(AV38*12)/Dashboard!$F$11</f>
        <v>6.1031461288310489E-2</v>
      </c>
      <c r="AW51" s="171">
        <f>(AW38*12)/Dashboard!$F$11</f>
        <v>6.1031461288310489E-2</v>
      </c>
      <c r="AX51" s="171">
        <f>(AX38*12)/Dashboard!$F$11</f>
        <v>6.1031461288310489E-2</v>
      </c>
      <c r="AY51" s="171">
        <f>(AY38*12)/Dashboard!$F$11</f>
        <v>6.1031461288310489E-2</v>
      </c>
      <c r="AZ51" s="171">
        <f>(AZ38*12)/Dashboard!$F$11</f>
        <v>6.3000446661460013E-2</v>
      </c>
      <c r="BA51" s="171">
        <f>(BA38*12)/Dashboard!$F$11</f>
        <v>6.3000446661460013E-2</v>
      </c>
      <c r="BB51" s="171">
        <f>(BB38*12)/Dashboard!$F$11</f>
        <v>6.3000446661460013E-2</v>
      </c>
      <c r="BC51" s="171">
        <f>(BC38*12)/Dashboard!$F$11</f>
        <v>6.3000446661460013E-2</v>
      </c>
      <c r="BD51" s="171">
        <f>(BD38*12)/Dashboard!$F$11</f>
        <v>6.3000446661460013E-2</v>
      </c>
      <c r="BE51" s="171">
        <f>(BE38*12)/Dashboard!$F$11</f>
        <v>6.3000446661460013E-2</v>
      </c>
      <c r="BF51" s="171">
        <f>(BF38*12)/Dashboard!$F$11</f>
        <v>6.3000446661460013E-2</v>
      </c>
      <c r="BG51" s="171">
        <f>(BG38*12)/Dashboard!$F$11</f>
        <v>6.3000446661460013E-2</v>
      </c>
      <c r="BH51" s="171">
        <f>(BH38*12)/Dashboard!$F$11</f>
        <v>6.3000446661460013E-2</v>
      </c>
      <c r="BI51" s="171">
        <f>(BI38*12)/Dashboard!$F$11</f>
        <v>6.3000446661460013E-2</v>
      </c>
      <c r="BJ51" s="171">
        <f>(BJ38*12)/Dashboard!$F$11</f>
        <v>6.3000446661460013E-2</v>
      </c>
      <c r="BK51" s="171">
        <f>(BK38*12)/Dashboard!$F$11</f>
        <v>6.3000446661460013E-2</v>
      </c>
      <c r="BL51" s="171">
        <f>(BL38*12)/Dashboard!$F$11</f>
        <v>6.5027800147730866E-2</v>
      </c>
      <c r="BM51" s="171">
        <f>(BM38*12)/Dashboard!$F$11</f>
        <v>6.5027800147730866E-2</v>
      </c>
      <c r="BN51" s="171">
        <f>(BN38*12)/Dashboard!$F$11</f>
        <v>6.5027800147730866E-2</v>
      </c>
      <c r="BO51" s="171">
        <f>(BO38*12)/Dashboard!$F$11</f>
        <v>6.5027800147730866E-2</v>
      </c>
      <c r="BP51" s="171">
        <f>(BP38*12)/Dashboard!$F$11</f>
        <v>6.5027800147730866E-2</v>
      </c>
      <c r="BQ51" s="171">
        <f>(BQ38*12)/Dashboard!$F$11</f>
        <v>6.5027800147730866E-2</v>
      </c>
      <c r="BR51" s="171">
        <f>(BR38*12)/Dashboard!$F$11</f>
        <v>6.5027800147730866E-2</v>
      </c>
      <c r="BS51" s="171">
        <f>(BS38*12)/Dashboard!$F$11</f>
        <v>6.5027800147730866E-2</v>
      </c>
      <c r="BT51" s="171">
        <f>(BT38*12)/Dashboard!$F$11</f>
        <v>6.5027800147730866E-2</v>
      </c>
      <c r="BU51" s="171">
        <f>(BU38*12)/Dashboard!$F$11</f>
        <v>6.5027800147730866E-2</v>
      </c>
      <c r="BV51" s="171">
        <f>(BV38*12)/Dashboard!$F$11</f>
        <v>6.5027800147730866E-2</v>
      </c>
      <c r="BW51" s="171">
        <f>(BW38*12)/Dashboard!$F$11</f>
        <v>6.5031262426494055E-2</v>
      </c>
      <c r="BX51" s="171">
        <f>(BX38*12)/Dashboard!$F$11</f>
        <v>6.7413055536770988E-2</v>
      </c>
      <c r="BY51" s="171">
        <f>(BY38*12)/Dashboard!$F$11</f>
        <v>6.7413055536770988E-2</v>
      </c>
      <c r="BZ51" s="171">
        <f>(BZ38*12)/Dashboard!$F$11</f>
        <v>6.7413055536770988E-2</v>
      </c>
      <c r="CA51" s="171">
        <f>(CA38*12)/Dashboard!$F$11</f>
        <v>6.7413055536770988E-2</v>
      </c>
      <c r="CB51" s="171">
        <f>(CB38*12)/Dashboard!$F$11</f>
        <v>6.7413055536770988E-2</v>
      </c>
      <c r="CC51" s="171">
        <f>(CC38*12)/Dashboard!$F$11</f>
        <v>6.7413055536770988E-2</v>
      </c>
      <c r="CD51" s="171">
        <f>(CD38*12)/Dashboard!$F$11</f>
        <v>6.7413055536770988E-2</v>
      </c>
      <c r="CE51" s="171">
        <f>(CE38*12)/Dashboard!$F$11</f>
        <v>6.7413055536770988E-2</v>
      </c>
      <c r="CF51" s="171">
        <f>(CF38*12)/Dashboard!$F$11</f>
        <v>6.7413055536770988E-2</v>
      </c>
      <c r="CG51" s="171">
        <f>(CG38*12)/Dashboard!$F$11</f>
        <v>6.7413055536770988E-2</v>
      </c>
      <c r="CH51" s="171">
        <f>(CH38*12)/Dashboard!$F$11</f>
        <v>6.7413055536770988E-2</v>
      </c>
      <c r="CI51" s="171">
        <f>(CI38*12)/Dashboard!$F$11</f>
        <v>6.7413055536770988E-2</v>
      </c>
      <c r="CJ51" s="171">
        <f>(CJ38*12)/Dashboard!$F$11</f>
        <v>6.7413055536770988E-2</v>
      </c>
      <c r="CK51" s="171">
        <f>(CK38*12)/Dashboard!$F$11</f>
        <v>6.7413055536770988E-2</v>
      </c>
      <c r="CL51" s="171">
        <f>(CL38*12)/Dashboard!$F$11</f>
        <v>6.7413055536770988E-2</v>
      </c>
      <c r="CM51" s="171">
        <f>(CM38*12)/Dashboard!$F$11</f>
        <v>6.7413055536770988E-2</v>
      </c>
      <c r="CN51" s="171">
        <f>(CN38*12)/Dashboard!$F$11</f>
        <v>6.7413055536770988E-2</v>
      </c>
      <c r="CO51" s="171">
        <f>(CO38*12)/Dashboard!$F$11</f>
        <v>6.7413055536770988E-2</v>
      </c>
      <c r="CP51" s="171">
        <f>(CP38*12)/Dashboard!$F$11</f>
        <v>6.7413055536770988E-2</v>
      </c>
    </row>
    <row r="52" spans="2:94" ht="6.75" customHeight="1">
      <c r="B52" s="164"/>
      <c r="C52" s="164"/>
      <c r="D52" s="164"/>
      <c r="E52" s="164"/>
      <c r="F52" s="164"/>
      <c r="G52" s="164"/>
      <c r="H52" s="164"/>
      <c r="I52" s="164"/>
      <c r="J52" s="164"/>
      <c r="K52" s="164"/>
      <c r="L52" s="164"/>
      <c r="M52" s="164"/>
      <c r="N52" s="164"/>
      <c r="O52" s="164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71"/>
      <c r="BI52" s="171"/>
      <c r="BJ52" s="171"/>
      <c r="BK52" s="171"/>
      <c r="BL52" s="171"/>
      <c r="BM52" s="171"/>
      <c r="BN52" s="171"/>
      <c r="BO52" s="171"/>
      <c r="BP52" s="171"/>
      <c r="BQ52" s="171"/>
      <c r="BR52" s="171"/>
      <c r="BS52" s="171"/>
      <c r="BT52" s="171"/>
      <c r="BU52" s="171"/>
      <c r="BV52" s="171"/>
      <c r="BW52" s="171"/>
      <c r="BX52" s="171"/>
      <c r="BY52" s="171"/>
      <c r="BZ52" s="171"/>
      <c r="CA52" s="171"/>
      <c r="CB52" s="171"/>
      <c r="CC52" s="171"/>
      <c r="CD52" s="171"/>
      <c r="CE52" s="171"/>
      <c r="CF52" s="171"/>
      <c r="CG52" s="171"/>
      <c r="CH52" s="171"/>
      <c r="CI52" s="171"/>
      <c r="CJ52" s="171"/>
      <c r="CK52" s="171"/>
      <c r="CL52" s="171"/>
      <c r="CM52" s="171"/>
      <c r="CN52" s="171"/>
      <c r="CO52" s="171"/>
      <c r="CP52" s="171"/>
    </row>
    <row r="53" spans="2:94">
      <c r="B53" s="164" t="s">
        <v>149</v>
      </c>
      <c r="C53" s="164"/>
      <c r="D53" s="164"/>
      <c r="E53" s="164"/>
      <c r="F53" s="164"/>
      <c r="G53" s="164"/>
      <c r="H53" s="164"/>
      <c r="I53" s="164"/>
      <c r="J53" s="164"/>
      <c r="K53" s="164"/>
      <c r="L53" s="164"/>
      <c r="M53" s="164"/>
      <c r="N53" s="164"/>
      <c r="O53" s="164"/>
      <c r="P53" s="171">
        <f t="shared" ref="P53:AU53" si="40">(P49*12)/P65</f>
        <v>2.7893516663433898E-2</v>
      </c>
      <c r="Q53" s="171">
        <f t="shared" si="40"/>
        <v>2.7893516663433898E-2</v>
      </c>
      <c r="R53" s="171">
        <f t="shared" si="40"/>
        <v>2.7893516663433898E-2</v>
      </c>
      <c r="S53" s="171">
        <f t="shared" si="40"/>
        <v>0.78282575993494297</v>
      </c>
      <c r="T53" s="171">
        <f t="shared" si="40"/>
        <v>2.7893516663433898E-2</v>
      </c>
      <c r="U53" s="171">
        <f t="shared" si="40"/>
        <v>2.7893516663433898E-2</v>
      </c>
      <c r="V53" s="171">
        <f t="shared" si="40"/>
        <v>7.5736047853815283E-2</v>
      </c>
      <c r="W53" s="171">
        <f t="shared" si="40"/>
        <v>7.5736047853815283E-2</v>
      </c>
      <c r="X53" s="171">
        <f t="shared" si="40"/>
        <v>7.5736047853815283E-2</v>
      </c>
      <c r="Y53" s="171">
        <f t="shared" si="40"/>
        <v>7.5736047853815283E-2</v>
      </c>
      <c r="Z53" s="171">
        <f t="shared" si="40"/>
        <v>7.5736047853815283E-2</v>
      </c>
      <c r="AA53" s="171">
        <f t="shared" si="40"/>
        <v>7.5736047853815283E-2</v>
      </c>
      <c r="AB53" s="171">
        <f t="shared" si="40"/>
        <v>8.2513423403209857E-2</v>
      </c>
      <c r="AC53" s="171">
        <f t="shared" si="40"/>
        <v>8.2513423403209857E-2</v>
      </c>
      <c r="AD53" s="171">
        <f t="shared" si="40"/>
        <v>8.2513423403209857E-2</v>
      </c>
      <c r="AE53" s="171">
        <f t="shared" si="40"/>
        <v>8.2513423403209857E-2</v>
      </c>
      <c r="AF53" s="171">
        <f t="shared" si="40"/>
        <v>8.2513423403209857E-2</v>
      </c>
      <c r="AG53" s="171">
        <f t="shared" si="40"/>
        <v>8.2513423403209857E-2</v>
      </c>
      <c r="AH53" s="171">
        <f t="shared" si="40"/>
        <v>4.4133956349719845E-2</v>
      </c>
      <c r="AI53" s="171">
        <f t="shared" si="40"/>
        <v>4.4133956349719818E-2</v>
      </c>
      <c r="AJ53" s="171">
        <f t="shared" si="40"/>
        <v>4.4133956349719818E-2</v>
      </c>
      <c r="AK53" s="171">
        <f t="shared" si="40"/>
        <v>4.4133956349719818E-2</v>
      </c>
      <c r="AL53" s="171">
        <f t="shared" si="40"/>
        <v>4.4133956349719818E-2</v>
      </c>
      <c r="AM53" s="171">
        <f t="shared" si="40"/>
        <v>4.4133956349719845E-2</v>
      </c>
      <c r="AN53" s="171">
        <f t="shared" si="40"/>
        <v>5.1124370216427684E-2</v>
      </c>
      <c r="AO53" s="171">
        <f t="shared" si="40"/>
        <v>5.1124370216427684E-2</v>
      </c>
      <c r="AP53" s="171">
        <f t="shared" si="40"/>
        <v>5.1124370216427684E-2</v>
      </c>
      <c r="AQ53" s="171">
        <f t="shared" si="40"/>
        <v>5.1124370216427684E-2</v>
      </c>
      <c r="AR53" s="171">
        <f t="shared" si="40"/>
        <v>5.1124370216427684E-2</v>
      </c>
      <c r="AS53" s="171">
        <f t="shared" si="40"/>
        <v>5.1124370216427684E-2</v>
      </c>
      <c r="AT53" s="171">
        <f t="shared" si="40"/>
        <v>5.1124370216427684E-2</v>
      </c>
      <c r="AU53" s="171">
        <f t="shared" si="40"/>
        <v>5.1124370216427684E-2</v>
      </c>
      <c r="AV53" s="171">
        <f t="shared" ref="AV53:CA53" si="41">(AV49*12)/AV65</f>
        <v>5.1124370216427684E-2</v>
      </c>
      <c r="AW53" s="171">
        <f t="shared" si="41"/>
        <v>5.1124370216427684E-2</v>
      </c>
      <c r="AX53" s="171">
        <f t="shared" si="41"/>
        <v>5.1124370216427684E-2</v>
      </c>
      <c r="AY53" s="171">
        <f t="shared" si="41"/>
        <v>5.1124370216427684E-2</v>
      </c>
      <c r="AZ53" s="171">
        <f t="shared" si="41"/>
        <v>5.8334407890984832E-2</v>
      </c>
      <c r="BA53" s="171">
        <f t="shared" si="41"/>
        <v>5.8334407890984832E-2</v>
      </c>
      <c r="BB53" s="171">
        <f t="shared" si="41"/>
        <v>5.8334407890984853E-2</v>
      </c>
      <c r="BC53" s="171">
        <f t="shared" si="41"/>
        <v>5.8334407890984853E-2</v>
      </c>
      <c r="BD53" s="171">
        <f t="shared" si="41"/>
        <v>5.8334407890984832E-2</v>
      </c>
      <c r="BE53" s="171">
        <f t="shared" si="41"/>
        <v>5.8334407890984805E-2</v>
      </c>
      <c r="BF53" s="171">
        <f t="shared" si="41"/>
        <v>5.8334407890984832E-2</v>
      </c>
      <c r="BG53" s="171">
        <f t="shared" si="41"/>
        <v>5.8334407890984832E-2</v>
      </c>
      <c r="BH53" s="171">
        <f t="shared" si="41"/>
        <v>5.8334407890984832E-2</v>
      </c>
      <c r="BI53" s="171">
        <f t="shared" si="41"/>
        <v>5.8334407890984832E-2</v>
      </c>
      <c r="BJ53" s="171">
        <f t="shared" si="41"/>
        <v>5.8334407890984832E-2</v>
      </c>
      <c r="BK53" s="171">
        <f t="shared" si="41"/>
        <v>5.8334407890984832E-2</v>
      </c>
      <c r="BL53" s="171">
        <f t="shared" si="41"/>
        <v>6.5758178130718076E-2</v>
      </c>
      <c r="BM53" s="171">
        <f t="shared" si="41"/>
        <v>6.5758178130718048E-2</v>
      </c>
      <c r="BN53" s="171">
        <f t="shared" si="41"/>
        <v>6.5758178130718048E-2</v>
      </c>
      <c r="BO53" s="171">
        <f t="shared" si="41"/>
        <v>6.5758178130718048E-2</v>
      </c>
      <c r="BP53" s="171">
        <f t="shared" si="41"/>
        <v>6.5758178130718048E-2</v>
      </c>
      <c r="BQ53" s="171">
        <f t="shared" si="41"/>
        <v>6.5758178130718048E-2</v>
      </c>
      <c r="BR53" s="171">
        <f t="shared" si="41"/>
        <v>6.5758178130718048E-2</v>
      </c>
      <c r="BS53" s="171">
        <f t="shared" si="41"/>
        <v>6.5758178130718048E-2</v>
      </c>
      <c r="BT53" s="171">
        <f t="shared" si="41"/>
        <v>6.5758178130718048E-2</v>
      </c>
      <c r="BU53" s="171">
        <f t="shared" si="41"/>
        <v>6.5758178130718048E-2</v>
      </c>
      <c r="BV53" s="171">
        <f t="shared" si="41"/>
        <v>6.5758178130718048E-2</v>
      </c>
      <c r="BW53" s="171">
        <f t="shared" si="41"/>
        <v>6.577085631546381E-2</v>
      </c>
      <c r="BX53" s="171">
        <f t="shared" si="41"/>
        <v>7.4492514836790535E-2</v>
      </c>
      <c r="BY53" s="171">
        <f t="shared" si="41"/>
        <v>7.4492514836790563E-2</v>
      </c>
      <c r="BZ53" s="171">
        <f t="shared" si="41"/>
        <v>7.4492514836790563E-2</v>
      </c>
      <c r="CA53" s="171">
        <f t="shared" si="41"/>
        <v>7.4492514836790535E-2</v>
      </c>
      <c r="CB53" s="171">
        <f t="shared" ref="CB53:CP53" si="42">(CB49*12)/CB65</f>
        <v>7.4492514836790535E-2</v>
      </c>
      <c r="CC53" s="171">
        <f t="shared" si="42"/>
        <v>0.16563309996823872</v>
      </c>
      <c r="CD53" s="171">
        <f t="shared" si="42"/>
        <v>0.16563309996823872</v>
      </c>
      <c r="CE53" s="171">
        <f t="shared" si="42"/>
        <v>0.1656330999682388</v>
      </c>
      <c r="CF53" s="171">
        <f t="shared" si="42"/>
        <v>0.1656330999682388</v>
      </c>
      <c r="CG53" s="171">
        <f t="shared" si="42"/>
        <v>0.16563309996823872</v>
      </c>
      <c r="CH53" s="171">
        <f t="shared" si="42"/>
        <v>0.16563309996823872</v>
      </c>
      <c r="CI53" s="171">
        <f t="shared" si="42"/>
        <v>0.1656330999682388</v>
      </c>
      <c r="CJ53" s="171" t="e">
        <f t="shared" si="42"/>
        <v>#REF!</v>
      </c>
      <c r="CK53" s="171" t="e">
        <f t="shared" si="42"/>
        <v>#REF!</v>
      </c>
      <c r="CL53" s="171" t="e">
        <f t="shared" si="42"/>
        <v>#REF!</v>
      </c>
      <c r="CM53" s="171" t="e">
        <f t="shared" si="42"/>
        <v>#REF!</v>
      </c>
      <c r="CN53" s="171" t="e">
        <f t="shared" si="42"/>
        <v>#REF!</v>
      </c>
      <c r="CO53" s="171" t="e">
        <f t="shared" si="42"/>
        <v>#REF!</v>
      </c>
      <c r="CP53" s="171" t="e">
        <f t="shared" si="42"/>
        <v>#REF!</v>
      </c>
    </row>
    <row r="54" spans="2:94" ht="6.75" customHeight="1" thickBot="1">
      <c r="B54" s="34"/>
      <c r="C54" s="519"/>
      <c r="D54" s="519"/>
      <c r="E54" s="519"/>
      <c r="F54" s="519"/>
      <c r="G54" s="519"/>
      <c r="H54" s="519"/>
      <c r="I54" s="519"/>
      <c r="J54" s="519"/>
      <c r="K54" s="519"/>
      <c r="L54" s="519"/>
      <c r="M54" s="519"/>
      <c r="N54" s="519"/>
      <c r="O54" s="519"/>
      <c r="P54" s="165"/>
      <c r="Q54" s="165"/>
      <c r="R54" s="165"/>
      <c r="S54" s="165"/>
      <c r="T54" s="165"/>
      <c r="U54" s="165"/>
      <c r="V54" s="165"/>
      <c r="W54" s="165"/>
      <c r="X54" s="165"/>
      <c r="Y54" s="165"/>
      <c r="Z54" s="165"/>
      <c r="AA54" s="165"/>
      <c r="AB54" s="165"/>
      <c r="AC54" s="165"/>
      <c r="AD54" s="165"/>
      <c r="AE54" s="165"/>
      <c r="AF54" s="165"/>
      <c r="AG54" s="165"/>
      <c r="AH54" s="165"/>
      <c r="AI54" s="165"/>
      <c r="AJ54" s="165"/>
      <c r="AK54" s="165"/>
      <c r="AL54" s="165"/>
      <c r="AM54" s="165"/>
      <c r="AN54" s="165"/>
      <c r="AO54" s="165"/>
      <c r="AP54" s="165"/>
      <c r="AQ54" s="165"/>
      <c r="AR54" s="165"/>
      <c r="AS54" s="165"/>
      <c r="AT54" s="165"/>
      <c r="AU54" s="165"/>
      <c r="AV54" s="165"/>
      <c r="AW54" s="165"/>
      <c r="AX54" s="165"/>
      <c r="AY54" s="165"/>
      <c r="AZ54" s="165"/>
      <c r="BA54" s="165"/>
      <c r="BB54" s="165"/>
      <c r="BC54" s="165"/>
      <c r="BD54" s="165"/>
      <c r="BE54" s="165"/>
      <c r="BF54" s="165"/>
      <c r="BG54" s="165"/>
      <c r="BH54" s="165"/>
      <c r="BI54" s="165"/>
      <c r="BJ54" s="165"/>
      <c r="BK54" s="165"/>
      <c r="BL54" s="165"/>
      <c r="BM54" s="165"/>
      <c r="BN54" s="165"/>
      <c r="BO54" s="165"/>
      <c r="BP54" s="165"/>
      <c r="BQ54" s="165"/>
      <c r="BR54" s="165"/>
      <c r="BS54" s="165"/>
      <c r="BT54" s="165"/>
      <c r="BU54" s="165"/>
      <c r="BV54" s="165"/>
      <c r="BW54" s="165"/>
      <c r="BX54" s="165"/>
      <c r="BY54" s="165"/>
      <c r="BZ54" s="165"/>
      <c r="CA54" s="165"/>
      <c r="CB54" s="165"/>
      <c r="CC54" s="165"/>
      <c r="CD54" s="165"/>
      <c r="CE54" s="165"/>
      <c r="CF54" s="165"/>
      <c r="CG54" s="165"/>
      <c r="CH54" s="165"/>
      <c r="CI54" s="165"/>
      <c r="CJ54" s="165"/>
      <c r="CK54" s="165"/>
      <c r="CL54" s="165"/>
      <c r="CM54" s="165"/>
      <c r="CN54" s="165"/>
      <c r="CO54" s="165"/>
      <c r="CP54" s="165"/>
    </row>
    <row r="55" spans="2:94" ht="15" customHeight="1"/>
    <row r="56" spans="2:94">
      <c r="B56" s="170" t="s">
        <v>154</v>
      </c>
      <c r="C56" s="537"/>
      <c r="D56" s="537"/>
      <c r="E56" s="537"/>
      <c r="F56" s="537"/>
      <c r="G56" s="537"/>
      <c r="H56" s="537"/>
      <c r="I56" s="537"/>
      <c r="J56" s="537"/>
      <c r="K56" s="537"/>
      <c r="L56" s="537"/>
      <c r="M56" s="537"/>
      <c r="N56" s="537"/>
      <c r="O56" s="537"/>
      <c r="P56" s="182">
        <f t="shared" ref="P56:AU56" si="43">P2</f>
        <v>46295</v>
      </c>
      <c r="Q56" s="182">
        <f t="shared" si="43"/>
        <v>46326</v>
      </c>
      <c r="R56" s="182">
        <f t="shared" si="43"/>
        <v>46356</v>
      </c>
      <c r="S56" s="182">
        <f t="shared" si="43"/>
        <v>46387</v>
      </c>
      <c r="T56" s="182">
        <f t="shared" si="43"/>
        <v>46418</v>
      </c>
      <c r="U56" s="182">
        <f t="shared" si="43"/>
        <v>46446</v>
      </c>
      <c r="V56" s="182">
        <f t="shared" si="43"/>
        <v>46477</v>
      </c>
      <c r="W56" s="182">
        <f t="shared" si="43"/>
        <v>46507</v>
      </c>
      <c r="X56" s="182">
        <f t="shared" si="43"/>
        <v>46538</v>
      </c>
      <c r="Y56" s="182">
        <f t="shared" si="43"/>
        <v>46568</v>
      </c>
      <c r="Z56" s="182">
        <f t="shared" si="43"/>
        <v>46599</v>
      </c>
      <c r="AA56" s="182">
        <f t="shared" si="43"/>
        <v>46630</v>
      </c>
      <c r="AB56" s="182">
        <f t="shared" si="43"/>
        <v>46660</v>
      </c>
      <c r="AC56" s="182">
        <f t="shared" si="43"/>
        <v>46691</v>
      </c>
      <c r="AD56" s="182">
        <f t="shared" si="43"/>
        <v>46721</v>
      </c>
      <c r="AE56" s="182">
        <f t="shared" si="43"/>
        <v>46752</v>
      </c>
      <c r="AF56" s="182">
        <f t="shared" si="43"/>
        <v>46783</v>
      </c>
      <c r="AG56" s="182">
        <f t="shared" si="43"/>
        <v>46812</v>
      </c>
      <c r="AH56" s="182">
        <f t="shared" si="43"/>
        <v>46843</v>
      </c>
      <c r="AI56" s="182">
        <f t="shared" si="43"/>
        <v>46873</v>
      </c>
      <c r="AJ56" s="182">
        <f t="shared" si="43"/>
        <v>46904</v>
      </c>
      <c r="AK56" s="182">
        <f t="shared" si="43"/>
        <v>46934</v>
      </c>
      <c r="AL56" s="182">
        <f t="shared" si="43"/>
        <v>46965</v>
      </c>
      <c r="AM56" s="182">
        <f t="shared" si="43"/>
        <v>46996</v>
      </c>
      <c r="AN56" s="182">
        <f t="shared" si="43"/>
        <v>47026</v>
      </c>
      <c r="AO56" s="182">
        <f t="shared" si="43"/>
        <v>47057</v>
      </c>
      <c r="AP56" s="182">
        <f t="shared" si="43"/>
        <v>47087</v>
      </c>
      <c r="AQ56" s="182">
        <f t="shared" si="43"/>
        <v>47118</v>
      </c>
      <c r="AR56" s="182">
        <f t="shared" si="43"/>
        <v>47149</v>
      </c>
      <c r="AS56" s="182">
        <f t="shared" si="43"/>
        <v>47177</v>
      </c>
      <c r="AT56" s="182">
        <f t="shared" si="43"/>
        <v>47208</v>
      </c>
      <c r="AU56" s="182">
        <f t="shared" si="43"/>
        <v>47238</v>
      </c>
      <c r="AV56" s="182">
        <f t="shared" ref="AV56:CA56" si="44">AV2</f>
        <v>47269</v>
      </c>
      <c r="AW56" s="182">
        <f t="shared" si="44"/>
        <v>47299</v>
      </c>
      <c r="AX56" s="182">
        <f t="shared" si="44"/>
        <v>47330</v>
      </c>
      <c r="AY56" s="182">
        <f t="shared" si="44"/>
        <v>47361</v>
      </c>
      <c r="AZ56" s="182">
        <f t="shared" si="44"/>
        <v>47391</v>
      </c>
      <c r="BA56" s="182">
        <f t="shared" si="44"/>
        <v>47422</v>
      </c>
      <c r="BB56" s="182">
        <f t="shared" si="44"/>
        <v>47452</v>
      </c>
      <c r="BC56" s="182">
        <f t="shared" si="44"/>
        <v>47483</v>
      </c>
      <c r="BD56" s="182">
        <f t="shared" si="44"/>
        <v>47514</v>
      </c>
      <c r="BE56" s="182">
        <f t="shared" si="44"/>
        <v>47542</v>
      </c>
      <c r="BF56" s="182">
        <f t="shared" si="44"/>
        <v>47573</v>
      </c>
      <c r="BG56" s="182">
        <f t="shared" si="44"/>
        <v>47603</v>
      </c>
      <c r="BH56" s="182">
        <f t="shared" si="44"/>
        <v>47634</v>
      </c>
      <c r="BI56" s="182">
        <f t="shared" si="44"/>
        <v>47664</v>
      </c>
      <c r="BJ56" s="182">
        <f t="shared" si="44"/>
        <v>47695</v>
      </c>
      <c r="BK56" s="183">
        <f t="shared" si="44"/>
        <v>47726</v>
      </c>
      <c r="BL56" s="183">
        <f t="shared" si="44"/>
        <v>47756</v>
      </c>
      <c r="BM56" s="183">
        <f t="shared" si="44"/>
        <v>47787</v>
      </c>
      <c r="BN56" s="183">
        <f t="shared" si="44"/>
        <v>47817</v>
      </c>
      <c r="BO56" s="183">
        <f t="shared" si="44"/>
        <v>47848</v>
      </c>
      <c r="BP56" s="183">
        <f t="shared" si="44"/>
        <v>47879</v>
      </c>
      <c r="BQ56" s="183">
        <f t="shared" si="44"/>
        <v>47907</v>
      </c>
      <c r="BR56" s="183">
        <f t="shared" si="44"/>
        <v>47938</v>
      </c>
      <c r="BS56" s="183">
        <f t="shared" si="44"/>
        <v>47968</v>
      </c>
      <c r="BT56" s="183">
        <f t="shared" si="44"/>
        <v>47999</v>
      </c>
      <c r="BU56" s="183">
        <f t="shared" si="44"/>
        <v>48029</v>
      </c>
      <c r="BV56" s="183">
        <f t="shared" si="44"/>
        <v>48060</v>
      </c>
      <c r="BW56" s="183">
        <f t="shared" si="44"/>
        <v>48091</v>
      </c>
      <c r="BX56" s="183">
        <f t="shared" si="44"/>
        <v>48121</v>
      </c>
      <c r="BY56" s="183">
        <f t="shared" si="44"/>
        <v>48152</v>
      </c>
      <c r="BZ56" s="183">
        <f t="shared" si="44"/>
        <v>48182</v>
      </c>
      <c r="CA56" s="183">
        <f t="shared" si="44"/>
        <v>48213</v>
      </c>
      <c r="CB56" s="183">
        <f t="shared" ref="CB56:CP56" si="45">CB2</f>
        <v>48244</v>
      </c>
      <c r="CC56" s="183">
        <f t="shared" si="45"/>
        <v>48273</v>
      </c>
      <c r="CD56" s="183">
        <f t="shared" si="45"/>
        <v>48304</v>
      </c>
      <c r="CE56" s="183">
        <f t="shared" si="45"/>
        <v>48334</v>
      </c>
      <c r="CF56" s="183">
        <f t="shared" si="45"/>
        <v>48365</v>
      </c>
      <c r="CG56" s="183">
        <f t="shared" si="45"/>
        <v>48395</v>
      </c>
      <c r="CH56" s="183">
        <f t="shared" si="45"/>
        <v>48426</v>
      </c>
      <c r="CI56" s="183">
        <f t="shared" si="45"/>
        <v>48457</v>
      </c>
      <c r="CJ56" s="183">
        <f t="shared" si="45"/>
        <v>48487</v>
      </c>
      <c r="CK56" s="183">
        <f t="shared" si="45"/>
        <v>48518</v>
      </c>
      <c r="CL56" s="183">
        <f t="shared" si="45"/>
        <v>48548</v>
      </c>
      <c r="CM56" s="183">
        <f t="shared" si="45"/>
        <v>48579</v>
      </c>
      <c r="CN56" s="183">
        <f t="shared" si="45"/>
        <v>48610</v>
      </c>
      <c r="CO56" s="183">
        <f t="shared" si="45"/>
        <v>48638</v>
      </c>
      <c r="CP56" s="183">
        <f t="shared" si="45"/>
        <v>48669</v>
      </c>
    </row>
    <row r="57" spans="2:94">
      <c r="B57" s="184" t="s">
        <v>158</v>
      </c>
      <c r="C57" s="538"/>
      <c r="D57" s="538"/>
      <c r="E57" s="538"/>
      <c r="F57" s="538"/>
      <c r="G57" s="538"/>
      <c r="H57" s="538"/>
      <c r="I57" s="538"/>
      <c r="J57" s="538"/>
      <c r="K57" s="538"/>
      <c r="L57" s="538"/>
      <c r="M57" s="538"/>
      <c r="N57" s="538"/>
      <c r="O57" s="538"/>
      <c r="P57" s="106"/>
      <c r="Q57" s="106"/>
      <c r="R57" s="106"/>
      <c r="S57" s="106"/>
      <c r="T57" s="106"/>
      <c r="U57" s="106"/>
      <c r="V57" s="106"/>
      <c r="W57" s="106"/>
      <c r="X57" s="106"/>
      <c r="Y57" s="106"/>
      <c r="Z57" s="106"/>
      <c r="AA57" s="106"/>
      <c r="AB57" s="106"/>
      <c r="AC57" s="106"/>
      <c r="AD57" s="106"/>
      <c r="AE57" s="106"/>
      <c r="AF57" s="106"/>
      <c r="AG57" s="106"/>
      <c r="AH57" s="106"/>
      <c r="AI57" s="106"/>
      <c r="AJ57" s="106"/>
      <c r="AK57" s="106"/>
      <c r="AL57" s="106"/>
      <c r="AM57" s="106"/>
      <c r="AN57" s="106"/>
      <c r="AO57" s="106"/>
      <c r="AP57" s="106"/>
      <c r="AQ57" s="106"/>
      <c r="AR57" s="106"/>
      <c r="AS57" s="106"/>
      <c r="AT57" s="106"/>
      <c r="AU57" s="106"/>
      <c r="AV57" s="106"/>
      <c r="AW57" s="106"/>
      <c r="AX57" s="106"/>
      <c r="AY57" s="106"/>
      <c r="AZ57" s="106"/>
      <c r="BA57" s="106"/>
      <c r="BB57" s="106"/>
      <c r="BC57" s="106"/>
      <c r="BD57" s="106"/>
      <c r="BE57" s="106"/>
      <c r="BF57" s="106"/>
      <c r="BG57" s="106"/>
      <c r="BH57" s="106"/>
      <c r="BI57" s="106"/>
      <c r="BJ57" s="106"/>
      <c r="BK57" s="181"/>
      <c r="BL57" s="181"/>
      <c r="BM57" s="181"/>
      <c r="BN57" s="181"/>
      <c r="BO57" s="181"/>
      <c r="BP57" s="181"/>
      <c r="BQ57" s="181"/>
      <c r="BR57" s="181"/>
      <c r="BS57" s="181"/>
      <c r="BT57" s="181"/>
      <c r="BU57" s="181"/>
      <c r="BV57" s="181"/>
      <c r="BW57" s="181"/>
      <c r="BX57" s="181"/>
      <c r="BY57" s="181"/>
      <c r="BZ57" s="181"/>
      <c r="CA57" s="181"/>
      <c r="CB57" s="181"/>
      <c r="CC57" s="181"/>
      <c r="CD57" s="181"/>
      <c r="CE57" s="181"/>
      <c r="CF57" s="181"/>
      <c r="CG57" s="181"/>
      <c r="CH57" s="181"/>
      <c r="CI57" s="181"/>
      <c r="CJ57" s="181"/>
      <c r="CK57" s="181"/>
      <c r="CL57" s="181"/>
      <c r="CM57" s="181"/>
      <c r="CN57" s="181"/>
      <c r="CO57" s="181"/>
      <c r="CP57" s="181"/>
    </row>
    <row r="58" spans="2:94">
      <c r="B58" s="168" t="s">
        <v>155</v>
      </c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105">
        <f>P49</f>
        <v>55865.937070519256</v>
      </c>
      <c r="Q58" s="105">
        <f>Q49</f>
        <v>55865.937070519256</v>
      </c>
      <c r="R58" s="105">
        <f t="shared" ref="R58:BK58" si="46">R49</f>
        <v>55865.937070519256</v>
      </c>
      <c r="S58" s="105">
        <f t="shared" si="46"/>
        <v>1567865.9370705192</v>
      </c>
      <c r="T58" s="105">
        <f t="shared" si="46"/>
        <v>55865.937070519256</v>
      </c>
      <c r="U58" s="105">
        <f>U49</f>
        <v>55865.937070519256</v>
      </c>
      <c r="V58" s="105">
        <f t="shared" si="46"/>
        <v>160402.43820649723</v>
      </c>
      <c r="W58" s="105">
        <f t="shared" si="46"/>
        <v>160402.43820649723</v>
      </c>
      <c r="X58" s="105">
        <f t="shared" si="46"/>
        <v>160402.43820649723</v>
      </c>
      <c r="Y58" s="105">
        <f>Y49</f>
        <v>160402.43820649723</v>
      </c>
      <c r="Z58" s="105">
        <f t="shared" si="46"/>
        <v>160402.43820649723</v>
      </c>
      <c r="AA58" s="105">
        <f t="shared" si="46"/>
        <v>160402.43820649723</v>
      </c>
      <c r="AB58" s="105">
        <f t="shared" si="46"/>
        <v>174756.336958414</v>
      </c>
      <c r="AC58" s="105">
        <f t="shared" si="46"/>
        <v>174756.336958414</v>
      </c>
      <c r="AD58" s="105">
        <f t="shared" si="46"/>
        <v>174756.336958414</v>
      </c>
      <c r="AE58" s="105">
        <f t="shared" si="46"/>
        <v>174756.336958414</v>
      </c>
      <c r="AF58" s="105">
        <f t="shared" si="46"/>
        <v>174756.336958414</v>
      </c>
      <c r="AG58" s="105">
        <f t="shared" si="46"/>
        <v>174756.336958414</v>
      </c>
      <c r="AH58" s="105">
        <f t="shared" si="46"/>
        <v>93471.925282638869</v>
      </c>
      <c r="AI58" s="105">
        <f t="shared" si="46"/>
        <v>93471.925282638811</v>
      </c>
      <c r="AJ58" s="105">
        <f t="shared" si="46"/>
        <v>93471.925282638811</v>
      </c>
      <c r="AK58" s="105">
        <f t="shared" si="46"/>
        <v>93471.925282638811</v>
      </c>
      <c r="AL58" s="105">
        <f t="shared" si="46"/>
        <v>93471.925282638811</v>
      </c>
      <c r="AM58" s="105">
        <f t="shared" si="46"/>
        <v>93471.925282638869</v>
      </c>
      <c r="AN58" s="105">
        <f t="shared" si="46"/>
        <v>108277.02087538387</v>
      </c>
      <c r="AO58" s="105">
        <f t="shared" si="46"/>
        <v>108277.02087538387</v>
      </c>
      <c r="AP58" s="105">
        <f t="shared" si="46"/>
        <v>108277.02087538387</v>
      </c>
      <c r="AQ58" s="105">
        <f t="shared" si="46"/>
        <v>108277.02087538387</v>
      </c>
      <c r="AR58" s="105">
        <f t="shared" si="46"/>
        <v>108277.02087538387</v>
      </c>
      <c r="AS58" s="105">
        <f t="shared" si="46"/>
        <v>108277.02087538387</v>
      </c>
      <c r="AT58" s="105">
        <f t="shared" si="46"/>
        <v>108277.02087538387</v>
      </c>
      <c r="AU58" s="105">
        <f t="shared" si="46"/>
        <v>108277.02087538387</v>
      </c>
      <c r="AV58" s="105">
        <f t="shared" si="46"/>
        <v>108277.02087538387</v>
      </c>
      <c r="AW58" s="105">
        <f t="shared" si="46"/>
        <v>108277.02087538387</v>
      </c>
      <c r="AX58" s="105">
        <f t="shared" si="46"/>
        <v>108277.02087538387</v>
      </c>
      <c r="AY58" s="105">
        <f t="shared" si="46"/>
        <v>108277.02087538387</v>
      </c>
      <c r="AZ58" s="105">
        <f t="shared" si="46"/>
        <v>123547.2608117474</v>
      </c>
      <c r="BA58" s="105">
        <f t="shared" si="46"/>
        <v>123547.2608117474</v>
      </c>
      <c r="BB58" s="105">
        <f t="shared" si="46"/>
        <v>123547.26081174746</v>
      </c>
      <c r="BC58" s="105">
        <f t="shared" si="46"/>
        <v>123547.26081174746</v>
      </c>
      <c r="BD58" s="105">
        <f t="shared" si="46"/>
        <v>123547.2608117474</v>
      </c>
      <c r="BE58" s="105">
        <f t="shared" si="46"/>
        <v>123547.26081174734</v>
      </c>
      <c r="BF58" s="105">
        <f t="shared" si="46"/>
        <v>123547.2608117474</v>
      </c>
      <c r="BG58" s="105">
        <f t="shared" si="46"/>
        <v>123547.2608117474</v>
      </c>
      <c r="BH58" s="105">
        <f t="shared" si="46"/>
        <v>123547.2608117474</v>
      </c>
      <c r="BI58" s="105">
        <f t="shared" si="46"/>
        <v>123547.2608117474</v>
      </c>
      <c r="BJ58" s="105">
        <f t="shared" si="46"/>
        <v>123547.2608117474</v>
      </c>
      <c r="BK58" s="169">
        <f t="shared" si="46"/>
        <v>123547.2608117474</v>
      </c>
      <c r="BL58" s="169">
        <f t="shared" ref="BL58:BW58" si="47">BL49</f>
        <v>139270.16794622707</v>
      </c>
      <c r="BM58" s="169">
        <f t="shared" si="47"/>
        <v>139270.16794622701</v>
      </c>
      <c r="BN58" s="169">
        <f t="shared" si="47"/>
        <v>139270.16794622701</v>
      </c>
      <c r="BO58" s="169">
        <f t="shared" si="47"/>
        <v>139270.16794622701</v>
      </c>
      <c r="BP58" s="169">
        <f t="shared" si="47"/>
        <v>139270.16794622701</v>
      </c>
      <c r="BQ58" s="169">
        <f t="shared" si="47"/>
        <v>139270.16794622701</v>
      </c>
      <c r="BR58" s="169">
        <f t="shared" si="47"/>
        <v>139270.16794622701</v>
      </c>
      <c r="BS58" s="169">
        <f t="shared" si="47"/>
        <v>139270.16794622701</v>
      </c>
      <c r="BT58" s="169">
        <f t="shared" si="47"/>
        <v>139270.16794622701</v>
      </c>
      <c r="BU58" s="169">
        <f t="shared" si="47"/>
        <v>139270.16794622701</v>
      </c>
      <c r="BV58" s="169">
        <f t="shared" si="47"/>
        <v>139270.16794622701</v>
      </c>
      <c r="BW58" s="169">
        <f t="shared" si="47"/>
        <v>139297.01925155491</v>
      </c>
      <c r="BX58" s="169">
        <f t="shared" ref="BX58:CP58" si="48">BX49</f>
        <v>157768.74218494014</v>
      </c>
      <c r="BY58" s="169">
        <f t="shared" si="48"/>
        <v>157768.7421849402</v>
      </c>
      <c r="BZ58" s="169">
        <f t="shared" si="48"/>
        <v>157768.7421849402</v>
      </c>
      <c r="CA58" s="169">
        <f t="shared" si="48"/>
        <v>157768.74218494014</v>
      </c>
      <c r="CB58" s="169">
        <f t="shared" si="48"/>
        <v>157768.74218494014</v>
      </c>
      <c r="CC58" s="169">
        <f t="shared" si="48"/>
        <v>350796.66599301703</v>
      </c>
      <c r="CD58" s="169">
        <f t="shared" si="48"/>
        <v>350796.66599301703</v>
      </c>
      <c r="CE58" s="169">
        <f t="shared" si="48"/>
        <v>350796.66599301714</v>
      </c>
      <c r="CF58" s="169">
        <f t="shared" si="48"/>
        <v>350796.66599301714</v>
      </c>
      <c r="CG58" s="169">
        <f t="shared" si="48"/>
        <v>350796.66599301703</v>
      </c>
      <c r="CH58" s="169">
        <f t="shared" si="48"/>
        <v>350796.66599301703</v>
      </c>
      <c r="CI58" s="169">
        <f t="shared" si="48"/>
        <v>350796.66599301714</v>
      </c>
      <c r="CJ58" s="169" t="e">
        <f t="shared" si="48"/>
        <v>#REF!</v>
      </c>
      <c r="CK58" s="169" t="e">
        <f t="shared" si="48"/>
        <v>#REF!</v>
      </c>
      <c r="CL58" s="169" t="e">
        <f t="shared" si="48"/>
        <v>#REF!</v>
      </c>
      <c r="CM58" s="169" t="e">
        <f t="shared" si="48"/>
        <v>#REF!</v>
      </c>
      <c r="CN58" s="169" t="e">
        <f t="shared" si="48"/>
        <v>#REF!</v>
      </c>
      <c r="CO58" s="169" t="e">
        <f t="shared" si="48"/>
        <v>#REF!</v>
      </c>
      <c r="CP58" s="169" t="e">
        <f t="shared" si="48"/>
        <v>#REF!</v>
      </c>
    </row>
    <row r="59" spans="2:94">
      <c r="B59" s="168" t="s">
        <v>156</v>
      </c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105" t="str">
        <f>IF((EOMONTH(P2,-1)+1)=Dashboard!$F$36,Dashboard!$F$43-Dashboard!$F$33,"")</f>
        <v/>
      </c>
      <c r="Q59" s="105" t="str">
        <f>IF((P2+1)=Dashboard!$F$36,Dashboard!$F$43-Dashboard!$F$33-Dashboard!$F$7,"")</f>
        <v/>
      </c>
      <c r="R59" s="105" t="str">
        <f>IF((Q2+1)=Dashboard!$F$36,Dashboard!$F$43-Dashboard!$F$33-Dashboard!$F$7,"")</f>
        <v/>
      </c>
      <c r="S59" s="105" t="str">
        <f>IF((R2+1)=Dashboard!$F$36,Dashboard!$F$43-Dashboard!$F$33-Dashboard!$F$7,"")</f>
        <v/>
      </c>
      <c r="T59" s="105" t="str">
        <f>IF((S2+1)=Dashboard!$F$36,Dashboard!$F$43-Dashboard!$F$33-Dashboard!$F$7,"")</f>
        <v/>
      </c>
      <c r="U59" s="105" t="str">
        <f>IF((T2+1)=Dashboard!$F$36,Dashboard!$F$43-Dashboard!$F$33-Dashboard!$F$7,"")</f>
        <v/>
      </c>
      <c r="V59" s="105">
        <f>IF((U2+1)=Dashboard!$F$36,Dashboard!$F$43-Dashboard!$F$33-Dashboard!$F$7,"")</f>
        <v>-1381023.3589114696</v>
      </c>
      <c r="W59" s="105" t="str">
        <f>IF((V2+1)=Dashboard!$F$36,Dashboard!$F$43-Dashboard!$F$33-Dashboard!$F$7,"")</f>
        <v/>
      </c>
      <c r="X59" s="105" t="str">
        <f>IF((W2+1)=Dashboard!$F$36,Dashboard!$F$43-Dashboard!$F$33-Dashboard!$F$7,"")</f>
        <v/>
      </c>
      <c r="Y59" s="105" t="str">
        <f>IF((X2+1)=Dashboard!$F$36,Dashboard!$F$43-Dashboard!$F$33-Dashboard!$F$7,"")</f>
        <v/>
      </c>
      <c r="Z59" s="105" t="str">
        <f>IF((Y2+1)=Dashboard!$F$36,Dashboard!$F$43-Dashboard!$F$33-Dashboard!$F$7,"")</f>
        <v/>
      </c>
      <c r="AA59" s="105" t="str">
        <f>IF((Z2+1)=Dashboard!$F$36,Dashboard!$F$43-Dashboard!$F$33-Dashboard!$F$7,"")</f>
        <v/>
      </c>
      <c r="AB59" s="105" t="str">
        <f>IF((AA2+1)=Dashboard!$F$36,Dashboard!$F$43-Dashboard!$F$33-Dashboard!$F$7,"")</f>
        <v/>
      </c>
      <c r="AC59" s="105" t="str">
        <f>IF((AB2+1)=Dashboard!$F$36,Dashboard!$F$43-Dashboard!$F$33-Dashboard!$F$7,"")</f>
        <v/>
      </c>
      <c r="AD59" s="105" t="str">
        <f>IF((AC2+1)=Dashboard!$F$36,Dashboard!$F$43-Dashboard!$F$33-Dashboard!$F$7,"")</f>
        <v/>
      </c>
      <c r="AE59" s="105" t="str">
        <f>IF((AD2+1)=Dashboard!$F$36,Dashboard!$F$43-Dashboard!$F$33-Dashboard!$F$7,"")</f>
        <v/>
      </c>
      <c r="AF59" s="105" t="str">
        <f>IF((AE2+1)=Dashboard!$F$36,Dashboard!$F$43-Dashboard!$F$33-Dashboard!$F$7,"")</f>
        <v/>
      </c>
      <c r="AG59" s="105" t="str">
        <f>IF((AF2+1)=Dashboard!$F$36,Dashboard!$F$43-Dashboard!$F$33-Dashboard!$F$7,"")</f>
        <v/>
      </c>
      <c r="AH59" s="105" t="str">
        <f>IF((AG2+1)=Dashboard!$F$36,Dashboard!$F$43-Dashboard!$F$33-Dashboard!$F$7,"")</f>
        <v/>
      </c>
      <c r="AI59" s="105" t="str">
        <f>IF((AH2+1)=Dashboard!$F$36,Dashboard!$F$43-Dashboard!$F$33-Dashboard!$F$7,"")</f>
        <v/>
      </c>
      <c r="AJ59" s="105" t="str">
        <f>IF((AI2+1)=Dashboard!$F$36,Dashboard!$F$43-Dashboard!$F$33-Dashboard!$F$7,"")</f>
        <v/>
      </c>
      <c r="AK59" s="105" t="str">
        <f>IF((AJ2+1)=Dashboard!$F$36,Dashboard!$F$43-Dashboard!$F$33-Dashboard!$F$7,"")</f>
        <v/>
      </c>
      <c r="AL59" s="105" t="str">
        <f>IF((AK2+1)=Dashboard!$F$36,Dashboard!$F$43-Dashboard!$F$33-Dashboard!$F$7,"")</f>
        <v/>
      </c>
      <c r="AM59" s="105" t="str">
        <f>IF((AL2+1)=Dashboard!$F$36,Dashboard!$F$43-Dashboard!$F$33-Dashboard!$F$7,"")</f>
        <v/>
      </c>
      <c r="AN59" s="105" t="str">
        <f>IF((AM2+1)=Dashboard!$F$36,Dashboard!$F$43-Dashboard!$F$33-Dashboard!$F$7,"")</f>
        <v/>
      </c>
      <c r="AO59" s="105" t="str">
        <f>IF((AN2+1)=Dashboard!$F$36,Dashboard!$F$43-Dashboard!$F$33-Dashboard!$F$7,"")</f>
        <v/>
      </c>
      <c r="AP59" s="105" t="str">
        <f>IF((AO2+1)=Dashboard!$F$36,Dashboard!$F$43-Dashboard!$F$33-Dashboard!$F$7,"")</f>
        <v/>
      </c>
      <c r="AQ59" s="105" t="str">
        <f>IF((AP2+1)=Dashboard!$F$36,Dashboard!$F$43-Dashboard!$F$33-Dashboard!$F$7,"")</f>
        <v/>
      </c>
      <c r="AR59" s="105" t="str">
        <f>IF((AQ2+1)=Dashboard!$F$36,Dashboard!$F$43-Dashboard!$F$33-Dashboard!$F$7,"")</f>
        <v/>
      </c>
      <c r="AS59" s="105" t="str">
        <f>IF((AR2+1)=Dashboard!$F$36,Dashboard!$F$43-Dashboard!$F$33-Dashboard!$F$7,"")</f>
        <v/>
      </c>
      <c r="AT59" s="105" t="str">
        <f>IF((AS2+1)=Dashboard!$F$36,Dashboard!$F$43-Dashboard!$F$33-Dashboard!$F$7,"")</f>
        <v/>
      </c>
      <c r="AU59" s="105" t="str">
        <f>IF((AT2+1)=Dashboard!$F$36,Dashboard!$F$43-Dashboard!$F$33-Dashboard!$F$7,"")</f>
        <v/>
      </c>
      <c r="AV59" s="105" t="str">
        <f>IF((AU2+1)=Dashboard!$F$36,Dashboard!$F$43-Dashboard!$F$33-Dashboard!$F$7,"")</f>
        <v/>
      </c>
      <c r="AW59" s="105" t="str">
        <f>IF((AV2+1)=Dashboard!$F$36,Dashboard!$F$43-Dashboard!$F$33-Dashboard!$F$7,"")</f>
        <v/>
      </c>
      <c r="AX59" s="105" t="str">
        <f>IF((AW2+1)=Dashboard!$F$36,Dashboard!$F$43-Dashboard!$F$33-Dashboard!$F$7,"")</f>
        <v/>
      </c>
      <c r="AY59" s="105" t="str">
        <f>IF((AX2+1)=Dashboard!$F$36,Dashboard!$F$43-Dashboard!$F$33-Dashboard!$F$7,"")</f>
        <v/>
      </c>
      <c r="AZ59" s="105" t="str">
        <f>IF((AY2+1)=Dashboard!$F$36,Dashboard!$F$43-Dashboard!$F$33-Dashboard!$F$7,"")</f>
        <v/>
      </c>
      <c r="BA59" s="105" t="str">
        <f>IF((AZ2+1)=Dashboard!$F$36,Dashboard!$F$43-Dashboard!$F$33-Dashboard!$F$7,"")</f>
        <v/>
      </c>
      <c r="BB59" s="105" t="str">
        <f>IF((BA2+1)=Dashboard!$F$36,Dashboard!$F$43-Dashboard!$F$33-Dashboard!$F$7,"")</f>
        <v/>
      </c>
      <c r="BC59" s="105" t="str">
        <f>IF((BB2+1)=Dashboard!$F$36,Dashboard!$F$43-Dashboard!$F$33-Dashboard!$F$7,"")</f>
        <v/>
      </c>
      <c r="BD59" s="105" t="str">
        <f>IF((BC2+1)=Dashboard!$F$36,Dashboard!$F$43-Dashboard!$F$33-Dashboard!$F$7,"")</f>
        <v/>
      </c>
      <c r="BE59" s="105" t="str">
        <f>IF((BD2+1)=Dashboard!$F$36,Dashboard!$F$43-Dashboard!$F$33-Dashboard!$F$7,"")</f>
        <v/>
      </c>
      <c r="BF59" s="105" t="str">
        <f>IF((BE2+1)=Dashboard!$F$36,Dashboard!$F$43-Dashboard!$F$33-Dashboard!$F$7,"")</f>
        <v/>
      </c>
      <c r="BG59" s="105" t="str">
        <f>IF((BF2+1)=Dashboard!$F$36,Dashboard!$F$43-Dashboard!$F$33-Dashboard!$F$7,"")</f>
        <v/>
      </c>
      <c r="BH59" s="105" t="str">
        <f>IF((BG2+1)=Dashboard!$F$36,Dashboard!$F$43-Dashboard!$F$33-Dashboard!$F$7,"")</f>
        <v/>
      </c>
      <c r="BI59" s="105" t="str">
        <f>IF((BH2+1)=Dashboard!$F$36,Dashboard!$F$43-Dashboard!$F$33-Dashboard!$F$7,"")</f>
        <v/>
      </c>
      <c r="BJ59" s="105" t="str">
        <f>IF((BI2+1)=Dashboard!$F$36,Dashboard!$F$43-Dashboard!$F$33-Dashboard!$F$7,"")</f>
        <v/>
      </c>
      <c r="BK59" s="105" t="str">
        <f>IF((BJ2+1)=Dashboard!$F$36,Dashboard!$F$43-Dashboard!$F$33-Dashboard!$F$7,"")</f>
        <v/>
      </c>
      <c r="BL59" s="105" t="str">
        <f>IF((BK2+1)=Dashboard!$F$36,Dashboard!$F$43-Dashboard!$F$33-Dashboard!$F$7,"")</f>
        <v/>
      </c>
      <c r="BM59" s="105" t="str">
        <f>IF((BL2+1)=Dashboard!$F$36,Dashboard!$F$43-Dashboard!$F$33-Dashboard!$F$7,"")</f>
        <v/>
      </c>
      <c r="BN59" s="105" t="str">
        <f>IF((BM2+1)=Dashboard!$F$36,Dashboard!$F$43-Dashboard!$F$33-Dashboard!$F$7,"")</f>
        <v/>
      </c>
      <c r="BO59" s="105" t="str">
        <f>IF((BN2+1)=Dashboard!$F$36,Dashboard!$F$43-Dashboard!$F$33-Dashboard!$F$7,"")</f>
        <v/>
      </c>
      <c r="BP59" s="105" t="str">
        <f>IF((BO2+1)=Dashboard!$F$36,Dashboard!$F$43-Dashboard!$F$33-Dashboard!$F$7,"")</f>
        <v/>
      </c>
      <c r="BQ59" s="105" t="str">
        <f>IF((BP2+1)=Dashboard!$F$36,Dashboard!$F$43-Dashboard!$F$33-Dashboard!$F$7,"")</f>
        <v/>
      </c>
      <c r="BR59" s="105" t="str">
        <f>IF((BQ2+1)=Dashboard!$F$36,Dashboard!$F$43-Dashboard!$F$33-Dashboard!$F$7,"")</f>
        <v/>
      </c>
      <c r="BS59" s="105" t="str">
        <f>IF((BR2+1)=Dashboard!$F$36,Dashboard!$F$43-Dashboard!$F$33-Dashboard!$F$7,"")</f>
        <v/>
      </c>
      <c r="BT59" s="105" t="str">
        <f>IF((BS2+1)=Dashboard!$F$36,Dashboard!$F$43-Dashboard!$F$33-Dashboard!$F$7,"")</f>
        <v/>
      </c>
      <c r="BU59" s="105" t="str">
        <f>IF((BT2+1)=Dashboard!$F$36,Dashboard!$F$43-Dashboard!$F$33-Dashboard!$F$7,"")</f>
        <v/>
      </c>
      <c r="BV59" s="105" t="str">
        <f>IF((BU2+1)=Dashboard!$F$36,Dashboard!$F$43-Dashboard!$F$33-Dashboard!$F$7,"")</f>
        <v/>
      </c>
      <c r="BW59" s="105" t="str">
        <f>IF((BV2+1)=Dashboard!$F$36,Dashboard!$F$43-Dashboard!$F$33-Dashboard!$F$7,"")</f>
        <v/>
      </c>
      <c r="BX59" s="105" t="str">
        <f>IF((BW2+1)=Dashboard!$F$36,Dashboard!$F$43-Dashboard!$F$33-Dashboard!$F$7,"")</f>
        <v/>
      </c>
      <c r="BY59" s="105" t="str">
        <f>IF((BX2+1)=Dashboard!$F$36,Dashboard!$F$43-Dashboard!$F$33-Dashboard!$F$7,"")</f>
        <v/>
      </c>
      <c r="BZ59" s="105" t="str">
        <f>IF((BY2+1)=Dashboard!$F$36,Dashboard!$F$43-Dashboard!$F$33-Dashboard!$F$7,"")</f>
        <v/>
      </c>
      <c r="CA59" s="105" t="str">
        <f>IF((BZ2+1)=Dashboard!$F$36,Dashboard!$F$43-Dashboard!$F$33-Dashboard!$F$7,"")</f>
        <v/>
      </c>
      <c r="CB59" s="105" t="str">
        <f>IF((CA2+1)=Dashboard!$F$36,Dashboard!$F$43-Dashboard!$F$33-Dashboard!$F$7,"")</f>
        <v/>
      </c>
      <c r="CC59" s="105" t="str">
        <f>IF((CB2+1)=Dashboard!$F$36,Dashboard!$F$43-Dashboard!$F$33-Dashboard!$F$7,"")</f>
        <v/>
      </c>
      <c r="CD59" s="105" t="str">
        <f>IF((CC2+1)=Dashboard!$F$36,Dashboard!$F$43-Dashboard!$F$33-Dashboard!$F$7,"")</f>
        <v/>
      </c>
      <c r="CE59" s="105" t="str">
        <f>IF((CD2+1)=Dashboard!$F$36,Dashboard!$F$43-Dashboard!$F$33-Dashboard!$F$7,"")</f>
        <v/>
      </c>
      <c r="CF59" s="105" t="str">
        <f>IF((CE2+1)=Dashboard!$F$36,Dashboard!$F$43-Dashboard!$F$33-Dashboard!$F$7,"")</f>
        <v/>
      </c>
      <c r="CG59" s="105" t="str">
        <f>IF((CF2+1)=Dashboard!$F$36,Dashboard!$F$43-Dashboard!$F$33-Dashboard!$F$7,"")</f>
        <v/>
      </c>
      <c r="CH59" s="105" t="str">
        <f>IF((CG2+1)=Dashboard!$F$36,Dashboard!$F$43-Dashboard!$F$33-Dashboard!$F$7,"")</f>
        <v/>
      </c>
      <c r="CI59" s="105" t="str">
        <f>IF((CH2+1)=Dashboard!$F$36,Dashboard!$F$43-Dashboard!$F$33-Dashboard!$F$7,"")</f>
        <v/>
      </c>
      <c r="CJ59" s="105" t="str">
        <f>IF((CI2+1)=Dashboard!$F$36,Dashboard!$F$43-Dashboard!$F$33-Dashboard!$F$7,"")</f>
        <v/>
      </c>
      <c r="CK59" s="105" t="str">
        <f>IF((CJ2+1)=Dashboard!$F$36,Dashboard!$F$43-Dashboard!$F$33-Dashboard!$F$7,"")</f>
        <v/>
      </c>
      <c r="CL59" s="105" t="str">
        <f>IF((CK2+1)=Dashboard!$F$36,Dashboard!$F$43-Dashboard!$F$33-Dashboard!$F$7,"")</f>
        <v/>
      </c>
      <c r="CM59" s="105" t="str">
        <f>IF((CL2+1)=Dashboard!$F$36,Dashboard!$F$43-Dashboard!$F$33-Dashboard!$F$7,"")</f>
        <v/>
      </c>
      <c r="CN59" s="105" t="str">
        <f>IF((CM2+1)=Dashboard!$F$36,Dashboard!$F$43-Dashboard!$F$33-Dashboard!$F$7,"")</f>
        <v/>
      </c>
      <c r="CO59" s="105" t="str">
        <f>IF((CN2+1)=Dashboard!$F$36,Dashboard!$F$43-Dashboard!$F$33-Dashboard!$F$7,"")</f>
        <v/>
      </c>
      <c r="CP59" s="105" t="str">
        <f>IF((CO2+1)=Dashboard!$F$36,Dashboard!$F$43-Dashboard!$F$33-Dashboard!$F$7,"")</f>
        <v/>
      </c>
    </row>
    <row r="60" spans="2:94">
      <c r="B60" s="186" t="s">
        <v>157</v>
      </c>
      <c r="C60" s="539"/>
      <c r="D60" s="539"/>
      <c r="E60" s="539"/>
      <c r="F60" s="539"/>
      <c r="G60" s="539"/>
      <c r="H60" s="539"/>
      <c r="I60" s="539"/>
      <c r="J60" s="539"/>
      <c r="K60" s="539"/>
      <c r="L60" s="539"/>
      <c r="M60" s="539"/>
      <c r="N60" s="539"/>
      <c r="O60" s="539"/>
      <c r="P60" s="154">
        <f t="shared" ref="P60:AU60" si="49">SUM(P58:P59)</f>
        <v>55865.937070519256</v>
      </c>
      <c r="Q60" s="154">
        <f t="shared" si="49"/>
        <v>55865.937070519256</v>
      </c>
      <c r="R60" s="154">
        <f t="shared" si="49"/>
        <v>55865.937070519256</v>
      </c>
      <c r="S60" s="154">
        <f t="shared" si="49"/>
        <v>1567865.9370705192</v>
      </c>
      <c r="T60" s="154">
        <f t="shared" si="49"/>
        <v>55865.937070519256</v>
      </c>
      <c r="U60" s="154">
        <f t="shared" si="49"/>
        <v>55865.937070519256</v>
      </c>
      <c r="V60" s="154">
        <f t="shared" si="49"/>
        <v>-1220620.9207049725</v>
      </c>
      <c r="W60" s="154">
        <f t="shared" si="49"/>
        <v>160402.43820649723</v>
      </c>
      <c r="X60" s="154">
        <f t="shared" si="49"/>
        <v>160402.43820649723</v>
      </c>
      <c r="Y60" s="154">
        <f t="shared" si="49"/>
        <v>160402.43820649723</v>
      </c>
      <c r="Z60" s="154">
        <f t="shared" si="49"/>
        <v>160402.43820649723</v>
      </c>
      <c r="AA60" s="154">
        <f t="shared" si="49"/>
        <v>160402.43820649723</v>
      </c>
      <c r="AB60" s="154">
        <f t="shared" si="49"/>
        <v>174756.336958414</v>
      </c>
      <c r="AC60" s="154">
        <f t="shared" si="49"/>
        <v>174756.336958414</v>
      </c>
      <c r="AD60" s="154">
        <f t="shared" si="49"/>
        <v>174756.336958414</v>
      </c>
      <c r="AE60" s="154">
        <f t="shared" si="49"/>
        <v>174756.336958414</v>
      </c>
      <c r="AF60" s="154">
        <f t="shared" si="49"/>
        <v>174756.336958414</v>
      </c>
      <c r="AG60" s="154">
        <f t="shared" si="49"/>
        <v>174756.336958414</v>
      </c>
      <c r="AH60" s="154">
        <f t="shared" si="49"/>
        <v>93471.925282638869</v>
      </c>
      <c r="AI60" s="154">
        <f t="shared" si="49"/>
        <v>93471.925282638811</v>
      </c>
      <c r="AJ60" s="154">
        <f t="shared" si="49"/>
        <v>93471.925282638811</v>
      </c>
      <c r="AK60" s="154">
        <f t="shared" si="49"/>
        <v>93471.925282638811</v>
      </c>
      <c r="AL60" s="154">
        <f t="shared" si="49"/>
        <v>93471.925282638811</v>
      </c>
      <c r="AM60" s="154">
        <f t="shared" si="49"/>
        <v>93471.925282638869</v>
      </c>
      <c r="AN60" s="154">
        <f t="shared" si="49"/>
        <v>108277.02087538387</v>
      </c>
      <c r="AO60" s="154">
        <f t="shared" si="49"/>
        <v>108277.02087538387</v>
      </c>
      <c r="AP60" s="154">
        <f t="shared" si="49"/>
        <v>108277.02087538387</v>
      </c>
      <c r="AQ60" s="154">
        <f t="shared" si="49"/>
        <v>108277.02087538387</v>
      </c>
      <c r="AR60" s="154">
        <f t="shared" si="49"/>
        <v>108277.02087538387</v>
      </c>
      <c r="AS60" s="154">
        <f t="shared" si="49"/>
        <v>108277.02087538387</v>
      </c>
      <c r="AT60" s="154">
        <f t="shared" si="49"/>
        <v>108277.02087538387</v>
      </c>
      <c r="AU60" s="154">
        <f t="shared" si="49"/>
        <v>108277.02087538387</v>
      </c>
      <c r="AV60" s="154">
        <f t="shared" ref="AV60:CA60" si="50">SUM(AV58:AV59)</f>
        <v>108277.02087538387</v>
      </c>
      <c r="AW60" s="154">
        <f t="shared" si="50"/>
        <v>108277.02087538387</v>
      </c>
      <c r="AX60" s="154">
        <f t="shared" si="50"/>
        <v>108277.02087538387</v>
      </c>
      <c r="AY60" s="154">
        <f t="shared" si="50"/>
        <v>108277.02087538387</v>
      </c>
      <c r="AZ60" s="154">
        <f t="shared" si="50"/>
        <v>123547.2608117474</v>
      </c>
      <c r="BA60" s="154">
        <f t="shared" si="50"/>
        <v>123547.2608117474</v>
      </c>
      <c r="BB60" s="154">
        <f t="shared" si="50"/>
        <v>123547.26081174746</v>
      </c>
      <c r="BC60" s="154">
        <f t="shared" si="50"/>
        <v>123547.26081174746</v>
      </c>
      <c r="BD60" s="154">
        <f t="shared" si="50"/>
        <v>123547.2608117474</v>
      </c>
      <c r="BE60" s="154">
        <f t="shared" si="50"/>
        <v>123547.26081174734</v>
      </c>
      <c r="BF60" s="154">
        <f t="shared" si="50"/>
        <v>123547.2608117474</v>
      </c>
      <c r="BG60" s="154">
        <f t="shared" si="50"/>
        <v>123547.2608117474</v>
      </c>
      <c r="BH60" s="154">
        <f t="shared" si="50"/>
        <v>123547.2608117474</v>
      </c>
      <c r="BI60" s="154">
        <f t="shared" si="50"/>
        <v>123547.2608117474</v>
      </c>
      <c r="BJ60" s="154">
        <f t="shared" si="50"/>
        <v>123547.2608117474</v>
      </c>
      <c r="BK60" s="187">
        <f t="shared" si="50"/>
        <v>123547.2608117474</v>
      </c>
      <c r="BL60" s="187">
        <f t="shared" si="50"/>
        <v>139270.16794622707</v>
      </c>
      <c r="BM60" s="187">
        <f t="shared" si="50"/>
        <v>139270.16794622701</v>
      </c>
      <c r="BN60" s="187">
        <f t="shared" si="50"/>
        <v>139270.16794622701</v>
      </c>
      <c r="BO60" s="187">
        <f t="shared" si="50"/>
        <v>139270.16794622701</v>
      </c>
      <c r="BP60" s="187">
        <f t="shared" si="50"/>
        <v>139270.16794622701</v>
      </c>
      <c r="BQ60" s="187">
        <f t="shared" si="50"/>
        <v>139270.16794622701</v>
      </c>
      <c r="BR60" s="187">
        <f t="shared" si="50"/>
        <v>139270.16794622701</v>
      </c>
      <c r="BS60" s="187">
        <f t="shared" si="50"/>
        <v>139270.16794622701</v>
      </c>
      <c r="BT60" s="187">
        <f t="shared" si="50"/>
        <v>139270.16794622701</v>
      </c>
      <c r="BU60" s="187">
        <f t="shared" si="50"/>
        <v>139270.16794622701</v>
      </c>
      <c r="BV60" s="187">
        <f t="shared" si="50"/>
        <v>139270.16794622701</v>
      </c>
      <c r="BW60" s="187">
        <f t="shared" si="50"/>
        <v>139297.01925155491</v>
      </c>
      <c r="BX60" s="187">
        <f t="shared" si="50"/>
        <v>157768.74218494014</v>
      </c>
      <c r="BY60" s="187">
        <f t="shared" si="50"/>
        <v>157768.7421849402</v>
      </c>
      <c r="BZ60" s="187">
        <f t="shared" si="50"/>
        <v>157768.7421849402</v>
      </c>
      <c r="CA60" s="187">
        <f t="shared" si="50"/>
        <v>157768.74218494014</v>
      </c>
      <c r="CB60" s="187">
        <f t="shared" ref="CB60:CP60" si="51">SUM(CB58:CB59)</f>
        <v>157768.74218494014</v>
      </c>
      <c r="CC60" s="187">
        <f t="shared" si="51"/>
        <v>350796.66599301703</v>
      </c>
      <c r="CD60" s="187">
        <f t="shared" si="51"/>
        <v>350796.66599301703</v>
      </c>
      <c r="CE60" s="187">
        <f t="shared" si="51"/>
        <v>350796.66599301714</v>
      </c>
      <c r="CF60" s="187">
        <f t="shared" si="51"/>
        <v>350796.66599301714</v>
      </c>
      <c r="CG60" s="187">
        <f t="shared" si="51"/>
        <v>350796.66599301703</v>
      </c>
      <c r="CH60" s="187">
        <f t="shared" si="51"/>
        <v>350796.66599301703</v>
      </c>
      <c r="CI60" s="187">
        <f t="shared" si="51"/>
        <v>350796.66599301714</v>
      </c>
      <c r="CJ60" s="187" t="e">
        <f t="shared" si="51"/>
        <v>#REF!</v>
      </c>
      <c r="CK60" s="187" t="e">
        <f t="shared" si="51"/>
        <v>#REF!</v>
      </c>
      <c r="CL60" s="187" t="e">
        <f t="shared" si="51"/>
        <v>#REF!</v>
      </c>
      <c r="CM60" s="187" t="e">
        <f t="shared" si="51"/>
        <v>#REF!</v>
      </c>
      <c r="CN60" s="187" t="e">
        <f t="shared" si="51"/>
        <v>#REF!</v>
      </c>
      <c r="CO60" s="187" t="e">
        <f t="shared" si="51"/>
        <v>#REF!</v>
      </c>
      <c r="CP60" s="187" t="e">
        <f t="shared" si="51"/>
        <v>#REF!</v>
      </c>
    </row>
    <row r="61" spans="2:94" ht="9.75" customHeight="1">
      <c r="B61" s="176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177"/>
      <c r="Q61" s="177"/>
      <c r="R61" s="177"/>
      <c r="S61" s="177"/>
      <c r="T61" s="177"/>
      <c r="U61" s="177"/>
      <c r="V61" s="177"/>
      <c r="W61" s="177"/>
      <c r="X61" s="177"/>
      <c r="Y61" s="177"/>
      <c r="Z61" s="177"/>
      <c r="AA61" s="177"/>
      <c r="AB61" s="177"/>
      <c r="AC61" s="177"/>
      <c r="AD61" s="177"/>
      <c r="AE61" s="177"/>
      <c r="AF61" s="177"/>
      <c r="AG61" s="177"/>
      <c r="AH61" s="177"/>
      <c r="AI61" s="177"/>
      <c r="AJ61" s="177"/>
      <c r="AK61" s="177"/>
      <c r="AL61" s="177"/>
      <c r="AM61" s="177"/>
      <c r="AN61" s="177"/>
      <c r="AO61" s="177"/>
      <c r="AP61" s="177"/>
      <c r="AQ61" s="177"/>
      <c r="AR61" s="177"/>
      <c r="AS61" s="177"/>
      <c r="AT61" s="177"/>
      <c r="AU61" s="177"/>
      <c r="AV61" s="177"/>
      <c r="AW61" s="177"/>
      <c r="AX61" s="177"/>
      <c r="AY61" s="177"/>
      <c r="AZ61" s="177"/>
      <c r="BA61" s="177"/>
      <c r="BB61" s="177"/>
      <c r="BC61" s="177"/>
      <c r="BD61" s="177"/>
      <c r="BE61" s="177"/>
      <c r="BF61" s="177"/>
      <c r="BG61" s="177"/>
      <c r="BH61" s="177"/>
      <c r="BI61" s="177"/>
      <c r="BJ61" s="177"/>
      <c r="BK61" s="178"/>
      <c r="BL61" s="178"/>
      <c r="BM61" s="178"/>
      <c r="BN61" s="178"/>
      <c r="BO61" s="178"/>
      <c r="BP61" s="178"/>
      <c r="BQ61" s="178"/>
      <c r="BR61" s="178"/>
      <c r="BS61" s="178"/>
      <c r="BT61" s="178"/>
      <c r="BU61" s="178"/>
      <c r="BV61" s="178"/>
      <c r="BW61" s="178"/>
      <c r="BX61" s="178"/>
      <c r="BY61" s="178"/>
      <c r="BZ61" s="178"/>
      <c r="CA61" s="178"/>
      <c r="CB61" s="178"/>
      <c r="CC61" s="178"/>
      <c r="CD61" s="178"/>
      <c r="CE61" s="178"/>
      <c r="CF61" s="178"/>
      <c r="CG61" s="178"/>
      <c r="CH61" s="178"/>
      <c r="CI61" s="178"/>
      <c r="CJ61" s="178"/>
      <c r="CK61" s="178"/>
      <c r="CL61" s="178"/>
      <c r="CM61" s="178"/>
      <c r="CN61" s="178"/>
      <c r="CO61" s="178"/>
      <c r="CP61" s="178"/>
    </row>
    <row r="62" spans="2:94">
      <c r="B62" s="185" t="s">
        <v>147</v>
      </c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177"/>
      <c r="Q62" s="177"/>
      <c r="R62" s="177"/>
      <c r="S62" s="177"/>
      <c r="T62" s="177"/>
      <c r="U62" s="177"/>
      <c r="V62" s="177"/>
      <c r="W62" s="177"/>
      <c r="X62" s="177"/>
      <c r="Y62" s="177"/>
      <c r="Z62" s="177"/>
      <c r="AA62" s="177"/>
      <c r="AB62" s="177"/>
      <c r="AC62" s="177"/>
      <c r="AD62" s="177"/>
      <c r="AE62" s="177"/>
      <c r="AF62" s="177"/>
      <c r="AG62" s="177"/>
      <c r="AH62" s="177"/>
      <c r="AI62" s="177"/>
      <c r="AJ62" s="177"/>
      <c r="AK62" s="177"/>
      <c r="AL62" s="177"/>
      <c r="AM62" s="177"/>
      <c r="AN62" s="177"/>
      <c r="AO62" s="177"/>
      <c r="AP62" s="177"/>
      <c r="AQ62" s="177"/>
      <c r="AR62" s="177"/>
      <c r="AS62" s="177"/>
      <c r="AT62" s="177"/>
      <c r="AU62" s="177"/>
      <c r="AV62" s="177"/>
      <c r="AW62" s="177"/>
      <c r="AX62" s="177"/>
      <c r="AY62" s="177"/>
      <c r="AZ62" s="177"/>
      <c r="BA62" s="177"/>
      <c r="BB62" s="177"/>
      <c r="BC62" s="177"/>
      <c r="BD62" s="177"/>
      <c r="BE62" s="177"/>
      <c r="BF62" s="177"/>
      <c r="BG62" s="177"/>
      <c r="BH62" s="177"/>
      <c r="BI62" s="177"/>
      <c r="BJ62" s="177"/>
      <c r="BK62" s="178"/>
      <c r="BL62" s="178"/>
      <c r="BM62" s="178"/>
      <c r="BN62" s="178"/>
      <c r="BO62" s="178"/>
      <c r="BP62" s="178"/>
      <c r="BQ62" s="178"/>
      <c r="BR62" s="178"/>
      <c r="BS62" s="178"/>
      <c r="BT62" s="178"/>
      <c r="BU62" s="178"/>
      <c r="BV62" s="178"/>
      <c r="BW62" s="178"/>
      <c r="BX62" s="178"/>
      <c r="BY62" s="178"/>
      <c r="BZ62" s="178"/>
      <c r="CA62" s="178"/>
      <c r="CB62" s="178"/>
      <c r="CC62" s="178"/>
      <c r="CD62" s="178"/>
      <c r="CE62" s="178"/>
      <c r="CF62" s="178"/>
      <c r="CG62" s="178"/>
      <c r="CH62" s="178"/>
      <c r="CI62" s="178"/>
      <c r="CJ62" s="178"/>
      <c r="CK62" s="178"/>
      <c r="CL62" s="178"/>
      <c r="CM62" s="178"/>
      <c r="CN62" s="178"/>
      <c r="CO62" s="178"/>
      <c r="CP62" s="178"/>
    </row>
    <row r="63" spans="2:94">
      <c r="B63" s="168" t="s">
        <v>372</v>
      </c>
      <c r="C63" s="105">
        <f>C65*Dashboard!$E$9</f>
        <v>20428853.234784123</v>
      </c>
      <c r="D63" s="105">
        <f>D65*Dashboard!$E$9</f>
        <v>20428853.234784123</v>
      </c>
      <c r="E63" s="105">
        <f>E65*Dashboard!$E$9</f>
        <v>20428853.234784123</v>
      </c>
      <c r="F63" s="105">
        <f>F65*Dashboard!$E$9</f>
        <v>20428853.234784123</v>
      </c>
      <c r="G63" s="105">
        <f>G65*Dashboard!$E$9</f>
        <v>20428853.234784123</v>
      </c>
      <c r="H63" s="105">
        <f>H65*Dashboard!$E$9</f>
        <v>20428853.234784123</v>
      </c>
      <c r="I63" s="105">
        <f>I65*Dashboard!$E$9</f>
        <v>20428853.234784123</v>
      </c>
      <c r="J63" s="105">
        <f>J65*Dashboard!$E$9</f>
        <v>20428853.234784123</v>
      </c>
      <c r="K63" s="105">
        <f>K65*Dashboard!$E$9</f>
        <v>20428853.234784123</v>
      </c>
      <c r="L63" s="105">
        <f>L65*Dashboard!$E$9</f>
        <v>20428853.234784123</v>
      </c>
      <c r="M63" s="105">
        <f>M65*Dashboard!$E$9</f>
        <v>20428853.234784123</v>
      </c>
      <c r="N63" s="105">
        <f>N65*Dashboard!$E$9</f>
        <v>20428853.234784123</v>
      </c>
      <c r="O63" s="105">
        <f>O65*Dashboard!$E$9</f>
        <v>20428853.234784123</v>
      </c>
      <c r="P63" s="105">
        <f>P65*Dashboard!$E$9</f>
        <v>20428853.234784123</v>
      </c>
      <c r="Q63" s="105">
        <f>Q65*Dashboard!$E$9</f>
        <v>20428853.234784123</v>
      </c>
      <c r="R63" s="105">
        <f>R65*Dashboard!$E$9</f>
        <v>20428853.234784123</v>
      </c>
      <c r="S63" s="105">
        <f>S65*Dashboard!$E$9</f>
        <v>20428853.234784123</v>
      </c>
      <c r="T63" s="105">
        <f>T65*Dashboard!$E$9</f>
        <v>20428853.234784123</v>
      </c>
      <c r="U63" s="105">
        <f>U65*Dashboard!$E$9</f>
        <v>20428853.234784123</v>
      </c>
      <c r="V63" s="105">
        <f>V65*Dashboard!$E$9</f>
        <v>21602723.089858871</v>
      </c>
      <c r="W63" s="105">
        <f>W65*Dashboard!$E$9</f>
        <v>21602723.089858871</v>
      </c>
      <c r="X63" s="105">
        <f>X65*Dashboard!$E$9</f>
        <v>21602723.089858871</v>
      </c>
      <c r="Y63" s="105">
        <f>Y65*Dashboard!$E$9</f>
        <v>21602723.089858871</v>
      </c>
      <c r="Z63" s="105">
        <f>Z65*Dashboard!$E$9</f>
        <v>21602723.089858871</v>
      </c>
      <c r="AA63" s="105">
        <f>AA65*Dashboard!$E$9</f>
        <v>21602723.089858871</v>
      </c>
      <c r="AB63" s="105">
        <f>AB65*Dashboard!$E$9</f>
        <v>21602723.089858871</v>
      </c>
      <c r="AC63" s="105">
        <f>AC65*Dashboard!$E$9</f>
        <v>21602723.089858871</v>
      </c>
      <c r="AD63" s="105">
        <f>AD65*Dashboard!$E$9</f>
        <v>21602723.089858871</v>
      </c>
      <c r="AE63" s="105">
        <f>AE65*Dashboard!$E$9</f>
        <v>21602723.089858871</v>
      </c>
      <c r="AF63" s="105">
        <f>AF65*Dashboard!$E$9</f>
        <v>21602723.089858871</v>
      </c>
      <c r="AG63" s="105">
        <f>AG65*Dashboard!$E$9</f>
        <v>21602723.089858871</v>
      </c>
      <c r="AH63" s="105">
        <f>AH65*Dashboard!$E$9</f>
        <v>21602723.089858871</v>
      </c>
      <c r="AI63" s="105">
        <f>AI65*Dashboard!$E$9</f>
        <v>21602723.089858871</v>
      </c>
      <c r="AJ63" s="105">
        <f>AJ65*Dashboard!$E$9</f>
        <v>21602723.089858871</v>
      </c>
      <c r="AK63" s="105">
        <f>AK65*Dashboard!$E$9</f>
        <v>21602723.089858871</v>
      </c>
      <c r="AL63" s="105">
        <f>AL65*Dashboard!$E$9</f>
        <v>21602723.089858871</v>
      </c>
      <c r="AM63" s="105">
        <f>AM65*Dashboard!$E$9</f>
        <v>21602723.089858871</v>
      </c>
      <c r="AN63" s="105">
        <f>AN65*Dashboard!$E$9</f>
        <v>21602723.089858871</v>
      </c>
      <c r="AO63" s="105">
        <f>AO65*Dashboard!$E$9</f>
        <v>21602723.089858871</v>
      </c>
      <c r="AP63" s="105">
        <f>AP65*Dashboard!$E$9</f>
        <v>21602723.089858871</v>
      </c>
      <c r="AQ63" s="105">
        <f>AQ65*Dashboard!$E$9</f>
        <v>21602723.089858871</v>
      </c>
      <c r="AR63" s="105">
        <f>AR65*Dashboard!$E$9</f>
        <v>21602723.089858871</v>
      </c>
      <c r="AS63" s="105">
        <f>AS65*Dashboard!$E$9</f>
        <v>21602723.089858871</v>
      </c>
      <c r="AT63" s="105">
        <f>AT65*Dashboard!$E$9</f>
        <v>21602723.089858871</v>
      </c>
      <c r="AU63" s="105">
        <f>AU65*Dashboard!$E$9</f>
        <v>21602723.089858871</v>
      </c>
      <c r="AV63" s="105">
        <f>AV65*Dashboard!$E$9</f>
        <v>21602723.089858871</v>
      </c>
      <c r="AW63" s="105">
        <f>AW65*Dashboard!$E$9</f>
        <v>21602723.089858871</v>
      </c>
      <c r="AX63" s="105">
        <f>AX65*Dashboard!$E$9</f>
        <v>21602723.089858871</v>
      </c>
      <c r="AY63" s="105">
        <f>AY65*Dashboard!$E$9</f>
        <v>21602723.089858871</v>
      </c>
      <c r="AZ63" s="105">
        <f>AZ65*Dashboard!$E$9</f>
        <v>21602723.089858871</v>
      </c>
      <c r="BA63" s="105">
        <f>BA65*Dashboard!$E$9</f>
        <v>21602723.089858871</v>
      </c>
      <c r="BB63" s="105">
        <f>BB65*Dashboard!$E$9</f>
        <v>21602723.089858871</v>
      </c>
      <c r="BC63" s="105">
        <f>BC65*Dashboard!$E$9</f>
        <v>21602723.089858871</v>
      </c>
      <c r="BD63" s="105">
        <f>BD65*Dashboard!$E$9</f>
        <v>21602723.089858871</v>
      </c>
      <c r="BE63" s="105">
        <f>BE65*Dashboard!$E$9</f>
        <v>21602723.089858871</v>
      </c>
      <c r="BF63" s="105">
        <f>BF65*Dashboard!$E$9</f>
        <v>21602723.089858871</v>
      </c>
      <c r="BG63" s="105">
        <f>BG65*Dashboard!$E$9</f>
        <v>21602723.089858871</v>
      </c>
      <c r="BH63" s="105">
        <f>BH65*Dashboard!$E$9</f>
        <v>21602723.089858871</v>
      </c>
      <c r="BI63" s="105">
        <f>BI65*Dashboard!$E$9</f>
        <v>21602723.089858871</v>
      </c>
      <c r="BJ63" s="105">
        <f>BJ65*Dashboard!$E$9</f>
        <v>21602723.089858871</v>
      </c>
      <c r="BK63" s="169">
        <f>BK65*Dashboard!$E$9</f>
        <v>21602723.089858871</v>
      </c>
      <c r="BL63" s="169">
        <f>BL65*Dashboard!$E$9</f>
        <v>21602723.089858871</v>
      </c>
      <c r="BM63" s="169">
        <f>BM65*Dashboard!$E$9</f>
        <v>21602723.089858871</v>
      </c>
      <c r="BN63" s="169">
        <f>BN65*Dashboard!$E$9</f>
        <v>21602723.089858871</v>
      </c>
      <c r="BO63" s="169">
        <f>BO65*Dashboard!$E$9</f>
        <v>21602723.089858871</v>
      </c>
      <c r="BP63" s="169">
        <f>BP65*Dashboard!$E$9</f>
        <v>21602723.089858871</v>
      </c>
      <c r="BQ63" s="169">
        <f>BQ65*Dashboard!$E$9</f>
        <v>21602723.089858871</v>
      </c>
      <c r="BR63" s="169">
        <f>BR65*Dashboard!$E$9</f>
        <v>21602723.089858871</v>
      </c>
      <c r="BS63" s="169">
        <f>BS65*Dashboard!$E$9</f>
        <v>21602723.089858871</v>
      </c>
      <c r="BT63" s="169">
        <f>BT65*Dashboard!$E$9</f>
        <v>21602723.089858871</v>
      </c>
      <c r="BU63" s="169">
        <f>BU65*Dashboard!$E$9</f>
        <v>21602723.089858871</v>
      </c>
      <c r="BV63" s="169">
        <f>BV65*Dashboard!$E$9</f>
        <v>21602723.089858871</v>
      </c>
      <c r="BW63" s="169">
        <f>BW65*Dashboard!$E$9</f>
        <v>21602723.089858871</v>
      </c>
      <c r="BX63" s="169">
        <f>BX65*Dashboard!$E$9</f>
        <v>21602723.089858871</v>
      </c>
      <c r="BY63" s="169">
        <f>BY65*Dashboard!$E$9</f>
        <v>21602723.089858871</v>
      </c>
      <c r="BZ63" s="169">
        <f>BZ65*Dashboard!$E$9</f>
        <v>21602723.089858871</v>
      </c>
      <c r="CA63" s="169">
        <f>CA65*Dashboard!$E$9</f>
        <v>21602723.089858871</v>
      </c>
      <c r="CB63" s="169">
        <f>CB65*Dashboard!$E$9</f>
        <v>21602723.089858871</v>
      </c>
      <c r="CC63" s="169">
        <f>CC65*Dashboard!$E$9</f>
        <v>21602723.089858871</v>
      </c>
      <c r="CD63" s="169">
        <f>CD65*Dashboard!$E$9</f>
        <v>21602723.089858871</v>
      </c>
      <c r="CE63" s="169">
        <f>CE65*Dashboard!$E$9</f>
        <v>21602723.089858871</v>
      </c>
      <c r="CF63" s="169">
        <f>CF65*Dashboard!$E$9</f>
        <v>21602723.089858871</v>
      </c>
      <c r="CG63" s="169">
        <f>CG65*Dashboard!$E$9</f>
        <v>21602723.089858871</v>
      </c>
      <c r="CH63" s="169">
        <f>CH65*Dashboard!$E$9</f>
        <v>21602723.089858871</v>
      </c>
      <c r="CI63" s="169">
        <f>CI65*Dashboard!$E$9</f>
        <v>21602723.089858871</v>
      </c>
      <c r="CJ63" s="169">
        <f>CJ65*Dashboard!$E$9</f>
        <v>21602723.089858871</v>
      </c>
      <c r="CK63" s="169">
        <f>CK65*Dashboard!$E$9</f>
        <v>21602723.089858871</v>
      </c>
      <c r="CL63" s="169">
        <f>CL65*Dashboard!$E$9</f>
        <v>21602723.089858871</v>
      </c>
      <c r="CM63" s="169">
        <f>CM65*Dashboard!$E$9</f>
        <v>21602723.089858871</v>
      </c>
      <c r="CN63" s="169">
        <f>CN65*Dashboard!$E$9</f>
        <v>21602723.089858871</v>
      </c>
      <c r="CO63" s="169">
        <f>CO65*Dashboard!$E$9</f>
        <v>21602723.089858871</v>
      </c>
      <c r="CP63" s="169">
        <f>CP65*Dashboard!$E$9</f>
        <v>21602723.089858871</v>
      </c>
    </row>
    <row r="64" spans="2:94">
      <c r="B64" s="168" t="s">
        <v>150</v>
      </c>
      <c r="C64" s="105">
        <f>C65*Dashboard!$E$10</f>
        <v>3605091.7473148457</v>
      </c>
      <c r="D64" s="105">
        <f>D65*Dashboard!$E$10</f>
        <v>3605091.7473148457</v>
      </c>
      <c r="E64" s="105">
        <f>E65*Dashboard!$E$10</f>
        <v>3605091.7473148457</v>
      </c>
      <c r="F64" s="105">
        <f>F65*Dashboard!$E$10</f>
        <v>3605091.7473148457</v>
      </c>
      <c r="G64" s="105">
        <f>G65*Dashboard!$E$10</f>
        <v>3605091.7473148457</v>
      </c>
      <c r="H64" s="105">
        <f>H65*Dashboard!$E$10</f>
        <v>3605091.7473148457</v>
      </c>
      <c r="I64" s="105">
        <f>I65*Dashboard!$E$10</f>
        <v>3605091.7473148457</v>
      </c>
      <c r="J64" s="105">
        <f>J65*Dashboard!$E$10</f>
        <v>3605091.7473148457</v>
      </c>
      <c r="K64" s="105">
        <f>K65*Dashboard!$E$10</f>
        <v>3605091.7473148457</v>
      </c>
      <c r="L64" s="105">
        <f>L65*Dashboard!$E$10</f>
        <v>3605091.7473148457</v>
      </c>
      <c r="M64" s="105">
        <f>M65*Dashboard!$E$10</f>
        <v>3605091.7473148457</v>
      </c>
      <c r="N64" s="105">
        <f>N65*Dashboard!$E$10</f>
        <v>3605091.7473148457</v>
      </c>
      <c r="O64" s="105">
        <f>O65*Dashboard!$E$10</f>
        <v>3605091.7473148457</v>
      </c>
      <c r="P64" s="105">
        <f>P65*Dashboard!$E$10</f>
        <v>3605091.7473148457</v>
      </c>
      <c r="Q64" s="105">
        <f>Q65*Dashboard!$E$10</f>
        <v>3605091.7473148457</v>
      </c>
      <c r="R64" s="105">
        <f>R65*Dashboard!$E$10</f>
        <v>3605091.7473148457</v>
      </c>
      <c r="S64" s="105">
        <f>S65*Dashboard!$E$10</f>
        <v>3605091.7473148457</v>
      </c>
      <c r="T64" s="105">
        <f>T65*Dashboard!$E$10</f>
        <v>3605091.7473148457</v>
      </c>
      <c r="U64" s="105">
        <f>U65*Dashboard!$E$10</f>
        <v>3605091.7473148457</v>
      </c>
      <c r="V64" s="105">
        <f>V65*Dashboard!$E$10</f>
        <v>3812245.2511515659</v>
      </c>
      <c r="W64" s="105">
        <f>W65*Dashboard!$E$10</f>
        <v>3812245.2511515659</v>
      </c>
      <c r="X64" s="105">
        <f>X65*Dashboard!$E$10</f>
        <v>3812245.2511515659</v>
      </c>
      <c r="Y64" s="105">
        <f>Y65*Dashboard!$E$10</f>
        <v>3812245.2511515659</v>
      </c>
      <c r="Z64" s="105">
        <f>Z65*Dashboard!$E$10</f>
        <v>3812245.2511515659</v>
      </c>
      <c r="AA64" s="105">
        <f>AA65*Dashboard!$E$10</f>
        <v>3812245.2511515659</v>
      </c>
      <c r="AB64" s="105">
        <f>AB65*Dashboard!$E$10</f>
        <v>3812245.2511515659</v>
      </c>
      <c r="AC64" s="105">
        <f>AC65*Dashboard!$E$10</f>
        <v>3812245.2511515659</v>
      </c>
      <c r="AD64" s="105">
        <f>AD65*Dashboard!$E$10</f>
        <v>3812245.2511515659</v>
      </c>
      <c r="AE64" s="105">
        <f>AE65*Dashboard!$E$10</f>
        <v>3812245.2511515659</v>
      </c>
      <c r="AF64" s="105">
        <f>AF65*Dashboard!$E$10</f>
        <v>3812245.2511515659</v>
      </c>
      <c r="AG64" s="105">
        <f>AG65*Dashboard!$E$10</f>
        <v>3812245.2511515659</v>
      </c>
      <c r="AH64" s="105">
        <f>AH65*Dashboard!$E$10</f>
        <v>3812245.2511515659</v>
      </c>
      <c r="AI64" s="105">
        <f>AI65*Dashboard!$E$10</f>
        <v>3812245.2511515659</v>
      </c>
      <c r="AJ64" s="105">
        <f>AJ65*Dashboard!$E$10</f>
        <v>3812245.2511515659</v>
      </c>
      <c r="AK64" s="105">
        <f>AK65*Dashboard!$E$10</f>
        <v>3812245.2511515659</v>
      </c>
      <c r="AL64" s="105">
        <f>AL65*Dashboard!$E$10</f>
        <v>3812245.2511515659</v>
      </c>
      <c r="AM64" s="105">
        <f>AM65*Dashboard!$E$10</f>
        <v>3812245.2511515659</v>
      </c>
      <c r="AN64" s="105">
        <f>AN65*Dashboard!$E$10</f>
        <v>3812245.2511515659</v>
      </c>
      <c r="AO64" s="105">
        <f>AO65*Dashboard!$E$10</f>
        <v>3812245.2511515659</v>
      </c>
      <c r="AP64" s="105">
        <f>AP65*Dashboard!$E$10</f>
        <v>3812245.2511515659</v>
      </c>
      <c r="AQ64" s="105">
        <f>AQ65*Dashboard!$E$10</f>
        <v>3812245.2511515659</v>
      </c>
      <c r="AR64" s="105">
        <f>AR65*Dashboard!$E$10</f>
        <v>3812245.2511515659</v>
      </c>
      <c r="AS64" s="105">
        <f>AS65*Dashboard!$E$10</f>
        <v>3812245.2511515659</v>
      </c>
      <c r="AT64" s="105">
        <f>AT65*Dashboard!$E$10</f>
        <v>3812245.2511515659</v>
      </c>
      <c r="AU64" s="105">
        <f>AU65*Dashboard!$E$10</f>
        <v>3812245.2511515659</v>
      </c>
      <c r="AV64" s="105">
        <f>AV65*Dashboard!$E$10</f>
        <v>3812245.2511515659</v>
      </c>
      <c r="AW64" s="105">
        <f>AW65*Dashboard!$E$10</f>
        <v>3812245.2511515659</v>
      </c>
      <c r="AX64" s="105">
        <f>AX65*Dashboard!$E$10</f>
        <v>3812245.2511515659</v>
      </c>
      <c r="AY64" s="105">
        <f>AY65*Dashboard!$E$10</f>
        <v>3812245.2511515659</v>
      </c>
      <c r="AZ64" s="105">
        <f>AZ65*Dashboard!$E$10</f>
        <v>3812245.2511515659</v>
      </c>
      <c r="BA64" s="105">
        <f>BA65*Dashboard!$E$10</f>
        <v>3812245.2511515659</v>
      </c>
      <c r="BB64" s="105">
        <f>BB65*Dashboard!$E$10</f>
        <v>3812245.2511515659</v>
      </c>
      <c r="BC64" s="105">
        <f>BC65*Dashboard!$E$10</f>
        <v>3812245.2511515659</v>
      </c>
      <c r="BD64" s="105">
        <f>BD65*Dashboard!$E$10</f>
        <v>3812245.2511515659</v>
      </c>
      <c r="BE64" s="105">
        <f>BE65*Dashboard!$E$10</f>
        <v>3812245.2511515659</v>
      </c>
      <c r="BF64" s="105">
        <f>BF65*Dashboard!$E$10</f>
        <v>3812245.2511515659</v>
      </c>
      <c r="BG64" s="105">
        <f>BG65*Dashboard!$E$10</f>
        <v>3812245.2511515659</v>
      </c>
      <c r="BH64" s="105">
        <f>BH65*Dashboard!$E$10</f>
        <v>3812245.2511515659</v>
      </c>
      <c r="BI64" s="105">
        <f>BI65*Dashboard!$E$10</f>
        <v>3812245.2511515659</v>
      </c>
      <c r="BJ64" s="105">
        <f>BJ65*Dashboard!$E$10</f>
        <v>3812245.2511515659</v>
      </c>
      <c r="BK64" s="169">
        <f>BK65*Dashboard!$E$10</f>
        <v>3812245.2511515659</v>
      </c>
      <c r="BL64" s="169">
        <f>BL65*Dashboard!$E$10</f>
        <v>3812245.2511515659</v>
      </c>
      <c r="BM64" s="169">
        <f>BM65*Dashboard!$E$10</f>
        <v>3812245.2511515659</v>
      </c>
      <c r="BN64" s="169">
        <f>BN65*Dashboard!$E$10</f>
        <v>3812245.2511515659</v>
      </c>
      <c r="BO64" s="169">
        <f>BO65*Dashboard!$E$10</f>
        <v>3812245.2511515659</v>
      </c>
      <c r="BP64" s="169">
        <f>BP65*Dashboard!$E$10</f>
        <v>3812245.2511515659</v>
      </c>
      <c r="BQ64" s="169">
        <f>BQ65*Dashboard!$E$10</f>
        <v>3812245.2511515659</v>
      </c>
      <c r="BR64" s="169">
        <f>BR65*Dashboard!$E$10</f>
        <v>3812245.2511515659</v>
      </c>
      <c r="BS64" s="169">
        <f>BS65*Dashboard!$E$10</f>
        <v>3812245.2511515659</v>
      </c>
      <c r="BT64" s="169">
        <f>BT65*Dashboard!$E$10</f>
        <v>3812245.2511515659</v>
      </c>
      <c r="BU64" s="169">
        <f>BU65*Dashboard!$E$10</f>
        <v>3812245.2511515659</v>
      </c>
      <c r="BV64" s="169">
        <f>BV65*Dashboard!$E$10</f>
        <v>3812245.2511515659</v>
      </c>
      <c r="BW64" s="169">
        <f>BW65*Dashboard!$E$10</f>
        <v>3812245.2511515659</v>
      </c>
      <c r="BX64" s="169">
        <f>BX65*Dashboard!$E$10</f>
        <v>3812245.2511515659</v>
      </c>
      <c r="BY64" s="169">
        <f>BY65*Dashboard!$E$10</f>
        <v>3812245.2511515659</v>
      </c>
      <c r="BZ64" s="169">
        <f>BZ65*Dashboard!$E$10</f>
        <v>3812245.2511515659</v>
      </c>
      <c r="CA64" s="169">
        <f>CA65*Dashboard!$E$10</f>
        <v>3812245.2511515659</v>
      </c>
      <c r="CB64" s="169">
        <f>CB65*Dashboard!$E$10</f>
        <v>3812245.2511515659</v>
      </c>
      <c r="CC64" s="169">
        <f>CC65*Dashboard!$E$10</f>
        <v>3812245.2511515659</v>
      </c>
      <c r="CD64" s="169">
        <f>CD65*Dashboard!$E$10</f>
        <v>3812245.2511515659</v>
      </c>
      <c r="CE64" s="169">
        <f>CE65*Dashboard!$E$10</f>
        <v>3812245.2511515659</v>
      </c>
      <c r="CF64" s="169">
        <f>CF65*Dashboard!$E$10</f>
        <v>3812245.2511515659</v>
      </c>
      <c r="CG64" s="169">
        <f>CG65*Dashboard!$E$10</f>
        <v>3812245.2511515659</v>
      </c>
      <c r="CH64" s="169">
        <f>CH65*Dashboard!$E$10</f>
        <v>3812245.2511515659</v>
      </c>
      <c r="CI64" s="169">
        <f>CI65*Dashboard!$E$10</f>
        <v>3812245.2511515659</v>
      </c>
      <c r="CJ64" s="169">
        <f>CJ65*Dashboard!$E$10</f>
        <v>3812245.2511515659</v>
      </c>
      <c r="CK64" s="169">
        <f>CK65*Dashboard!$E$10</f>
        <v>3812245.2511515659</v>
      </c>
      <c r="CL64" s="169">
        <f>CL65*Dashboard!$E$10</f>
        <v>3812245.2511515659</v>
      </c>
      <c r="CM64" s="169">
        <f>CM65*Dashboard!$E$10</f>
        <v>3812245.2511515659</v>
      </c>
      <c r="CN64" s="169">
        <f>CN65*Dashboard!$E$10</f>
        <v>3812245.2511515659</v>
      </c>
      <c r="CO64" s="169">
        <f>CO65*Dashboard!$E$10</f>
        <v>3812245.2511515659</v>
      </c>
      <c r="CP64" s="169">
        <f>CP65*Dashboard!$E$10</f>
        <v>3812245.2511515659</v>
      </c>
    </row>
    <row r="65" spans="2:94">
      <c r="B65" s="186" t="s">
        <v>151</v>
      </c>
      <c r="C65" s="154">
        <f>IF(C2&lt;Dashboard!$F$36,SUM(Dashboard!$F$9:$F$10),SUM(Dashboard!$F$9:$F$10)-(Dashboard!$F$43-Dashboard!$F$33-Dashboard!$F$7))</f>
        <v>24033944.982098967</v>
      </c>
      <c r="D65" s="154">
        <f>IF(D2&lt;Dashboard!$F$36,SUM(Dashboard!$F$9:$F$10),SUM(Dashboard!$F$9:$F$10)-(Dashboard!$F$43-Dashboard!$F$33-Dashboard!$F$7))</f>
        <v>24033944.982098967</v>
      </c>
      <c r="E65" s="154">
        <f>IF(E2&lt;Dashboard!$F$36,SUM(Dashboard!$F$9:$F$10),SUM(Dashboard!$F$9:$F$10)-(Dashboard!$F$43-Dashboard!$F$33-Dashboard!$F$7))</f>
        <v>24033944.982098967</v>
      </c>
      <c r="F65" s="154">
        <f>IF(F2&lt;Dashboard!$F$36,SUM(Dashboard!$F$9:$F$10),SUM(Dashboard!$F$9:$F$10)-(Dashboard!$F$43-Dashboard!$F$33-Dashboard!$F$7))</f>
        <v>24033944.982098967</v>
      </c>
      <c r="G65" s="154">
        <f>IF(G2&lt;Dashboard!$F$36,SUM(Dashboard!$F$9:$F$10),SUM(Dashboard!$F$9:$F$10)-(Dashboard!$F$43-Dashboard!$F$33-Dashboard!$F$7))</f>
        <v>24033944.982098967</v>
      </c>
      <c r="H65" s="154">
        <f>IF(H2&lt;Dashboard!$F$36,SUM(Dashboard!$F$9:$F$10),SUM(Dashboard!$F$9:$F$10)-(Dashboard!$F$43-Dashboard!$F$33-Dashboard!$F$7))</f>
        <v>24033944.982098967</v>
      </c>
      <c r="I65" s="154">
        <f>IF(I2&lt;Dashboard!$F$36,SUM(Dashboard!$F$9:$F$10),SUM(Dashboard!$F$9:$F$10)-(Dashboard!$F$43-Dashboard!$F$33-Dashboard!$F$7))</f>
        <v>24033944.982098967</v>
      </c>
      <c r="J65" s="154">
        <f>IF(J2&lt;Dashboard!$F$36,SUM(Dashboard!$F$9:$F$10),SUM(Dashboard!$F$9:$F$10)-(Dashboard!$F$43-Dashboard!$F$33-Dashboard!$F$7))</f>
        <v>24033944.982098967</v>
      </c>
      <c r="K65" s="154">
        <f>IF(K2&lt;Dashboard!$F$36,SUM(Dashboard!$F$9:$F$10),SUM(Dashboard!$F$9:$F$10)-(Dashboard!$F$43-Dashboard!$F$33-Dashboard!$F$7))</f>
        <v>24033944.982098967</v>
      </c>
      <c r="L65" s="154">
        <f>IF(L2&lt;Dashboard!$F$36,SUM(Dashboard!$F$9:$F$10),SUM(Dashboard!$F$9:$F$10)-(Dashboard!$F$43-Dashboard!$F$33-Dashboard!$F$7))</f>
        <v>24033944.982098967</v>
      </c>
      <c r="M65" s="154">
        <f>IF(M2&lt;Dashboard!$F$36,SUM(Dashboard!$F$9:$F$10),SUM(Dashboard!$F$9:$F$10)-(Dashboard!$F$43-Dashboard!$F$33-Dashboard!$F$7))</f>
        <v>24033944.982098967</v>
      </c>
      <c r="N65" s="154">
        <f>IF(N2&lt;Dashboard!$F$36,SUM(Dashboard!$F$9:$F$10),SUM(Dashboard!$F$9:$F$10)-(Dashboard!$F$43-Dashboard!$F$33-Dashboard!$F$7))</f>
        <v>24033944.982098967</v>
      </c>
      <c r="O65" s="154">
        <f>IF(O2&lt;Dashboard!$F$36,SUM(Dashboard!$F$9:$F$10),SUM(Dashboard!$F$9:$F$10)-(Dashboard!$F$43-Dashboard!$F$33-Dashboard!$F$7))</f>
        <v>24033944.982098967</v>
      </c>
      <c r="P65" s="154">
        <f>IF(P2&lt;Dashboard!$F$36,SUM(Dashboard!$F$9:$F$10),SUM(Dashboard!$F$9:$F$10)-(Dashboard!$F$43-Dashboard!$F$33-Dashboard!$F$7))</f>
        <v>24033944.982098967</v>
      </c>
      <c r="Q65" s="154">
        <f>IF(Q2&lt;Dashboard!$F$36,SUM(Dashboard!$F$9:$F$10),SUM(Dashboard!$F$9:$F$10)-(Dashboard!$F$43-Dashboard!$F$33-Dashboard!$F$7))</f>
        <v>24033944.982098967</v>
      </c>
      <c r="R65" s="154">
        <f>IF(R2&lt;Dashboard!$F$36,SUM(Dashboard!$F$9:$F$10),SUM(Dashboard!$F$9:$F$10)-(Dashboard!$F$43-Dashboard!$F$33-Dashboard!$F$7))</f>
        <v>24033944.982098967</v>
      </c>
      <c r="S65" s="154">
        <f>IF(S2&lt;Dashboard!$F$36,SUM(Dashboard!$F$9:$F$10),SUM(Dashboard!$F$9:$F$10)-(Dashboard!$F$43-Dashboard!$F$33-Dashboard!$F$7))</f>
        <v>24033944.982098967</v>
      </c>
      <c r="T65" s="154">
        <f>IF(T2&lt;Dashboard!$F$36,SUM(Dashboard!$F$9:$F$10),SUM(Dashboard!$F$9:$F$10)-(Dashboard!$F$43-Dashboard!$F$33-Dashboard!$F$7))</f>
        <v>24033944.982098967</v>
      </c>
      <c r="U65" s="154">
        <f>IF(U2&lt;Dashboard!$F$36,SUM(Dashboard!$F$9:$F$10),SUM(Dashboard!$F$9:$F$10)-(Dashboard!$F$43-Dashboard!$F$33-Dashboard!$F$7))</f>
        <v>24033944.982098967</v>
      </c>
      <c r="V65" s="154">
        <f>IF(V2&lt;Dashboard!$F$36,SUM(Dashboard!$F$9:$F$10),SUM(Dashboard!$F$9:$F$10)-(Dashboard!$F$43-Dashboard!$F$33-Dashboard!$F$7))</f>
        <v>25414968.341010436</v>
      </c>
      <c r="W65" s="154">
        <f>IF(W2&lt;Dashboard!$F$36,SUM(Dashboard!$F$9:$F$10),SUM(Dashboard!$F$9:$F$10)-(Dashboard!$F$43-Dashboard!$F$33-Dashboard!$F$7))</f>
        <v>25414968.341010436</v>
      </c>
      <c r="X65" s="154">
        <f>IF(X2&lt;Dashboard!$F$36,SUM(Dashboard!$F$9:$F$10),SUM(Dashboard!$F$9:$F$10)-(Dashboard!$F$43-Dashboard!$F$33-Dashboard!$F$7))</f>
        <v>25414968.341010436</v>
      </c>
      <c r="Y65" s="154">
        <f>IF(Y2&lt;Dashboard!$F$36,SUM(Dashboard!$F$9:$F$10),SUM(Dashboard!$F$9:$F$10)-(Dashboard!$F$43-Dashboard!$F$33-Dashboard!$F$7))</f>
        <v>25414968.341010436</v>
      </c>
      <c r="Z65" s="154">
        <f>IF(Z2&lt;Dashboard!$F$36,SUM(Dashboard!$F$9:$F$10),SUM(Dashboard!$F$9:$F$10)-(Dashboard!$F$43-Dashboard!$F$33-Dashboard!$F$7))</f>
        <v>25414968.341010436</v>
      </c>
      <c r="AA65" s="154">
        <f>IF(AA2&lt;Dashboard!$F$36,SUM(Dashboard!$F$9:$F$10),SUM(Dashboard!$F$9:$F$10)-(Dashboard!$F$43-Dashboard!$F$33-Dashboard!$F$7))</f>
        <v>25414968.341010436</v>
      </c>
      <c r="AB65" s="154">
        <f>IF(AB2&lt;Dashboard!$F$36,SUM(Dashboard!$F$9:$F$10),SUM(Dashboard!$F$9:$F$10)-(Dashboard!$F$43-Dashboard!$F$33-Dashboard!$F$7))</f>
        <v>25414968.341010436</v>
      </c>
      <c r="AC65" s="154">
        <f>IF(AC2&lt;Dashboard!$F$36,SUM(Dashboard!$F$9:$F$10),SUM(Dashboard!$F$9:$F$10)-(Dashboard!$F$43-Dashboard!$F$33-Dashboard!$F$7))</f>
        <v>25414968.341010436</v>
      </c>
      <c r="AD65" s="154">
        <f>IF(AD2&lt;Dashboard!$F$36,SUM(Dashboard!$F$9:$F$10),SUM(Dashboard!$F$9:$F$10)-(Dashboard!$F$43-Dashboard!$F$33-Dashboard!$F$7))</f>
        <v>25414968.341010436</v>
      </c>
      <c r="AE65" s="154">
        <f>IF(AE2&lt;Dashboard!$F$36,SUM(Dashboard!$F$9:$F$10),SUM(Dashboard!$F$9:$F$10)-(Dashboard!$F$43-Dashboard!$F$33-Dashboard!$F$7))</f>
        <v>25414968.341010436</v>
      </c>
      <c r="AF65" s="154">
        <f>IF(AF2&lt;Dashboard!$F$36,SUM(Dashboard!$F$9:$F$10),SUM(Dashboard!$F$9:$F$10)-(Dashboard!$F$43-Dashboard!$F$33-Dashboard!$F$7))</f>
        <v>25414968.341010436</v>
      </c>
      <c r="AG65" s="154">
        <f>IF(AG2&lt;Dashboard!$F$36,SUM(Dashboard!$F$9:$F$10),SUM(Dashboard!$F$9:$F$10)-(Dashboard!$F$43-Dashboard!$F$33-Dashboard!$F$7))</f>
        <v>25414968.341010436</v>
      </c>
      <c r="AH65" s="154">
        <f>IF(AH2&lt;Dashboard!$F$36,SUM(Dashboard!$F$9:$F$10),SUM(Dashboard!$F$9:$F$10)-(Dashboard!$F$43-Dashboard!$F$33-Dashboard!$F$7))</f>
        <v>25414968.341010436</v>
      </c>
      <c r="AI65" s="154">
        <f>IF(AI2&lt;Dashboard!$F$36,SUM(Dashboard!$F$9:$F$10),SUM(Dashboard!$F$9:$F$10)-(Dashboard!$F$43-Dashboard!$F$33-Dashboard!$F$7))</f>
        <v>25414968.341010436</v>
      </c>
      <c r="AJ65" s="154">
        <f>IF(AJ2&lt;Dashboard!$F$36,SUM(Dashboard!$F$9:$F$10),SUM(Dashboard!$F$9:$F$10)-(Dashboard!$F$43-Dashboard!$F$33-Dashboard!$F$7))</f>
        <v>25414968.341010436</v>
      </c>
      <c r="AK65" s="154">
        <f>IF(AK2&lt;Dashboard!$F$36,SUM(Dashboard!$F$9:$F$10),SUM(Dashboard!$F$9:$F$10)-(Dashboard!$F$43-Dashboard!$F$33-Dashboard!$F$7))</f>
        <v>25414968.341010436</v>
      </c>
      <c r="AL65" s="154">
        <f>IF(AL2&lt;Dashboard!$F$36,SUM(Dashboard!$F$9:$F$10),SUM(Dashboard!$F$9:$F$10)-(Dashboard!$F$43-Dashboard!$F$33-Dashboard!$F$7))</f>
        <v>25414968.341010436</v>
      </c>
      <c r="AM65" s="154">
        <f>IF(AM2&lt;Dashboard!$F$36,SUM(Dashboard!$F$9:$F$10),SUM(Dashboard!$F$9:$F$10)-(Dashboard!$F$43-Dashboard!$F$33-Dashboard!$F$7))</f>
        <v>25414968.341010436</v>
      </c>
      <c r="AN65" s="154">
        <f>IF(AN2&lt;Dashboard!$F$36,SUM(Dashboard!$F$9:$F$10),SUM(Dashboard!$F$9:$F$10)-(Dashboard!$F$43-Dashboard!$F$33-Dashboard!$F$7))</f>
        <v>25414968.341010436</v>
      </c>
      <c r="AO65" s="154">
        <f>IF(AO2&lt;Dashboard!$F$36,SUM(Dashboard!$F$9:$F$10),SUM(Dashboard!$F$9:$F$10)-(Dashboard!$F$43-Dashboard!$F$33-Dashboard!$F$7))</f>
        <v>25414968.341010436</v>
      </c>
      <c r="AP65" s="154">
        <f>IF(AP2&lt;Dashboard!$F$36,SUM(Dashboard!$F$9:$F$10),SUM(Dashboard!$F$9:$F$10)-(Dashboard!$F$43-Dashboard!$F$33-Dashboard!$F$7))</f>
        <v>25414968.341010436</v>
      </c>
      <c r="AQ65" s="154">
        <f>IF(AQ2&lt;Dashboard!$F$36,SUM(Dashboard!$F$9:$F$10),SUM(Dashboard!$F$9:$F$10)-(Dashboard!$F$43-Dashboard!$F$33-Dashboard!$F$7))</f>
        <v>25414968.341010436</v>
      </c>
      <c r="AR65" s="154">
        <f>IF(AR2&lt;Dashboard!$F$36,SUM(Dashboard!$F$9:$F$10),SUM(Dashboard!$F$9:$F$10)-(Dashboard!$F$43-Dashboard!$F$33-Dashboard!$F$7))</f>
        <v>25414968.341010436</v>
      </c>
      <c r="AS65" s="154">
        <f>IF(AS2&lt;Dashboard!$F$36,SUM(Dashboard!$F$9:$F$10),SUM(Dashboard!$F$9:$F$10)-(Dashboard!$F$43-Dashboard!$F$33-Dashboard!$F$7))</f>
        <v>25414968.341010436</v>
      </c>
      <c r="AT65" s="154">
        <f>IF(AT2&lt;Dashboard!$F$36,SUM(Dashboard!$F$9:$F$10),SUM(Dashboard!$F$9:$F$10)-(Dashboard!$F$43-Dashboard!$F$33-Dashboard!$F$7))</f>
        <v>25414968.341010436</v>
      </c>
      <c r="AU65" s="154">
        <f>IF(AU2&lt;Dashboard!$F$36,SUM(Dashboard!$F$9:$F$10),SUM(Dashboard!$F$9:$F$10)-(Dashboard!$F$43-Dashboard!$F$33-Dashboard!$F$7))</f>
        <v>25414968.341010436</v>
      </c>
      <c r="AV65" s="154">
        <f>IF(AV2&lt;Dashboard!$F$36,SUM(Dashboard!$F$9:$F$10),SUM(Dashboard!$F$9:$F$10)-(Dashboard!$F$43-Dashboard!$F$33-Dashboard!$F$7))</f>
        <v>25414968.341010436</v>
      </c>
      <c r="AW65" s="154">
        <f>IF(AW2&lt;Dashboard!$F$36,SUM(Dashboard!$F$9:$F$10),SUM(Dashboard!$F$9:$F$10)-(Dashboard!$F$43-Dashboard!$F$33-Dashboard!$F$7))</f>
        <v>25414968.341010436</v>
      </c>
      <c r="AX65" s="154">
        <f>IF(AX2&lt;Dashboard!$F$36,SUM(Dashboard!$F$9:$F$10),SUM(Dashboard!$F$9:$F$10)-(Dashboard!$F$43-Dashboard!$F$33-Dashboard!$F$7))</f>
        <v>25414968.341010436</v>
      </c>
      <c r="AY65" s="154">
        <f>IF(AY2&lt;Dashboard!$F$36,SUM(Dashboard!$F$9:$F$10),SUM(Dashboard!$F$9:$F$10)-(Dashboard!$F$43-Dashboard!$F$33-Dashboard!$F$7))</f>
        <v>25414968.341010436</v>
      </c>
      <c r="AZ65" s="154">
        <f>IF(AZ2&lt;Dashboard!$F$36,SUM(Dashboard!$F$9:$F$10),SUM(Dashboard!$F$9:$F$10)-(Dashboard!$F$43-Dashboard!$F$33-Dashboard!$F$7))</f>
        <v>25414968.341010436</v>
      </c>
      <c r="BA65" s="154">
        <f>IF(BA2&lt;Dashboard!$F$36,SUM(Dashboard!$F$9:$F$10),SUM(Dashboard!$F$9:$F$10)-(Dashboard!$F$43-Dashboard!$F$33-Dashboard!$F$7))</f>
        <v>25414968.341010436</v>
      </c>
      <c r="BB65" s="154">
        <f>IF(BB2&lt;Dashboard!$F$36,SUM(Dashboard!$F$9:$F$10),SUM(Dashboard!$F$9:$F$10)-(Dashboard!$F$43-Dashboard!$F$33-Dashboard!$F$7))</f>
        <v>25414968.341010436</v>
      </c>
      <c r="BC65" s="154">
        <f>IF(BC2&lt;Dashboard!$F$36,SUM(Dashboard!$F$9:$F$10),SUM(Dashboard!$F$9:$F$10)-(Dashboard!$F$43-Dashboard!$F$33-Dashboard!$F$7))</f>
        <v>25414968.341010436</v>
      </c>
      <c r="BD65" s="154">
        <f>IF(BD2&lt;Dashboard!$F$36,SUM(Dashboard!$F$9:$F$10),SUM(Dashboard!$F$9:$F$10)-(Dashboard!$F$43-Dashboard!$F$33-Dashboard!$F$7))</f>
        <v>25414968.341010436</v>
      </c>
      <c r="BE65" s="154">
        <f>IF(BE2&lt;Dashboard!$F$36,SUM(Dashboard!$F$9:$F$10),SUM(Dashboard!$F$9:$F$10)-(Dashboard!$F$43-Dashboard!$F$33-Dashboard!$F$7))</f>
        <v>25414968.341010436</v>
      </c>
      <c r="BF65" s="154">
        <f>IF(BF2&lt;Dashboard!$F$36,SUM(Dashboard!$F$9:$F$10),SUM(Dashboard!$F$9:$F$10)-(Dashboard!$F$43-Dashboard!$F$33-Dashboard!$F$7))</f>
        <v>25414968.341010436</v>
      </c>
      <c r="BG65" s="154">
        <f>IF(BG2&lt;Dashboard!$F$36,SUM(Dashboard!$F$9:$F$10),SUM(Dashboard!$F$9:$F$10)-(Dashboard!$F$43-Dashboard!$F$33-Dashboard!$F$7))</f>
        <v>25414968.341010436</v>
      </c>
      <c r="BH65" s="154">
        <f>IF(BH2&lt;Dashboard!$F$36,SUM(Dashboard!$F$9:$F$10),SUM(Dashboard!$F$9:$F$10)-(Dashboard!$F$43-Dashboard!$F$33-Dashboard!$F$7))</f>
        <v>25414968.341010436</v>
      </c>
      <c r="BI65" s="154">
        <f>IF(BI2&lt;Dashboard!$F$36,SUM(Dashboard!$F$9:$F$10),SUM(Dashboard!$F$9:$F$10)-(Dashboard!$F$43-Dashboard!$F$33-Dashboard!$F$7))</f>
        <v>25414968.341010436</v>
      </c>
      <c r="BJ65" s="154">
        <f>IF(BJ2&lt;Dashboard!$F$36,SUM(Dashboard!$F$9:$F$10),SUM(Dashboard!$F$9:$F$10)-(Dashboard!$F$43-Dashboard!$F$33-Dashboard!$F$7))</f>
        <v>25414968.341010436</v>
      </c>
      <c r="BK65" s="187">
        <f>IF(BK2&lt;Dashboard!$F$36,SUM(Dashboard!$F$9:$F$10),SUM(Dashboard!$F$9:$F$10)-(Dashboard!$F$43-Dashboard!$F$33-Dashboard!$F$7))</f>
        <v>25414968.341010436</v>
      </c>
      <c r="BL65" s="187">
        <f>IF(BL2&lt;Dashboard!$F$36,SUM(Dashboard!$F$9:$F$10),SUM(Dashboard!$F$9:$F$10)-(Dashboard!$F$43-Dashboard!$F$33-Dashboard!$F$7))</f>
        <v>25414968.341010436</v>
      </c>
      <c r="BM65" s="187">
        <f>IF(BM2&lt;Dashboard!$F$36,SUM(Dashboard!$F$9:$F$10),SUM(Dashboard!$F$9:$F$10)-(Dashboard!$F$43-Dashboard!$F$33-Dashboard!$F$7))</f>
        <v>25414968.341010436</v>
      </c>
      <c r="BN65" s="187">
        <f>IF(BN2&lt;Dashboard!$F$36,SUM(Dashboard!$F$9:$F$10),SUM(Dashboard!$F$9:$F$10)-(Dashboard!$F$43-Dashboard!$F$33-Dashboard!$F$7))</f>
        <v>25414968.341010436</v>
      </c>
      <c r="BO65" s="187">
        <f>IF(BO2&lt;Dashboard!$F$36,SUM(Dashboard!$F$9:$F$10),SUM(Dashboard!$F$9:$F$10)-(Dashboard!$F$43-Dashboard!$F$33-Dashboard!$F$7))</f>
        <v>25414968.341010436</v>
      </c>
      <c r="BP65" s="187">
        <f>IF(BP2&lt;Dashboard!$F$36,SUM(Dashboard!$F$9:$F$10),SUM(Dashboard!$F$9:$F$10)-(Dashboard!$F$43-Dashboard!$F$33-Dashboard!$F$7))</f>
        <v>25414968.341010436</v>
      </c>
      <c r="BQ65" s="187">
        <f>IF(BQ2&lt;Dashboard!$F$36,SUM(Dashboard!$F$9:$F$10),SUM(Dashboard!$F$9:$F$10)-(Dashboard!$F$43-Dashboard!$F$33-Dashboard!$F$7))</f>
        <v>25414968.341010436</v>
      </c>
      <c r="BR65" s="187">
        <f>IF(BR2&lt;Dashboard!$F$36,SUM(Dashboard!$F$9:$F$10),SUM(Dashboard!$F$9:$F$10)-(Dashboard!$F$43-Dashboard!$F$33-Dashboard!$F$7))</f>
        <v>25414968.341010436</v>
      </c>
      <c r="BS65" s="187">
        <f>IF(BS2&lt;Dashboard!$F$36,SUM(Dashboard!$F$9:$F$10),SUM(Dashboard!$F$9:$F$10)-(Dashboard!$F$43-Dashboard!$F$33-Dashboard!$F$7))</f>
        <v>25414968.341010436</v>
      </c>
      <c r="BT65" s="187">
        <f>IF(BT2&lt;Dashboard!$F$36,SUM(Dashboard!$F$9:$F$10),SUM(Dashboard!$F$9:$F$10)-(Dashboard!$F$43-Dashboard!$F$33-Dashboard!$F$7))</f>
        <v>25414968.341010436</v>
      </c>
      <c r="BU65" s="187">
        <f>IF(BU2&lt;Dashboard!$F$36,SUM(Dashboard!$F$9:$F$10),SUM(Dashboard!$F$9:$F$10)-(Dashboard!$F$43-Dashboard!$F$33-Dashboard!$F$7))</f>
        <v>25414968.341010436</v>
      </c>
      <c r="BV65" s="187">
        <f>IF(BV2&lt;Dashboard!$F$36,SUM(Dashboard!$F$9:$F$10),SUM(Dashboard!$F$9:$F$10)-(Dashboard!$F$43-Dashboard!$F$33-Dashboard!$F$7))</f>
        <v>25414968.341010436</v>
      </c>
      <c r="BW65" s="187">
        <f>IF(BW2&lt;Dashboard!$F$36,SUM(Dashboard!$F$9:$F$10),SUM(Dashboard!$F$9:$F$10)-(Dashboard!$F$43-Dashboard!$F$33-Dashboard!$F$7))</f>
        <v>25414968.341010436</v>
      </c>
      <c r="BX65" s="187">
        <f>IF(BX2&lt;Dashboard!$F$36,SUM(Dashboard!$F$9:$F$10),SUM(Dashboard!$F$9:$F$10)-(Dashboard!$F$43-Dashboard!$F$33-Dashboard!$F$7))</f>
        <v>25414968.341010436</v>
      </c>
      <c r="BY65" s="187">
        <f>IF(BY2&lt;Dashboard!$F$36,SUM(Dashboard!$F$9:$F$10),SUM(Dashboard!$F$9:$F$10)-(Dashboard!$F$43-Dashboard!$F$33-Dashboard!$F$7))</f>
        <v>25414968.341010436</v>
      </c>
      <c r="BZ65" s="187">
        <f>IF(BZ2&lt;Dashboard!$F$36,SUM(Dashboard!$F$9:$F$10),SUM(Dashboard!$F$9:$F$10)-(Dashboard!$F$43-Dashboard!$F$33-Dashboard!$F$7))</f>
        <v>25414968.341010436</v>
      </c>
      <c r="CA65" s="187">
        <f>IF(CA2&lt;Dashboard!$F$36,SUM(Dashboard!$F$9:$F$10),SUM(Dashboard!$F$9:$F$10)-(Dashboard!$F$43-Dashboard!$F$33-Dashboard!$F$7))</f>
        <v>25414968.341010436</v>
      </c>
      <c r="CB65" s="187">
        <f>IF(CB2&lt;Dashboard!$F$36,SUM(Dashboard!$F$9:$F$10),SUM(Dashboard!$F$9:$F$10)-(Dashboard!$F$43-Dashboard!$F$33-Dashboard!$F$7))</f>
        <v>25414968.341010436</v>
      </c>
      <c r="CC65" s="187">
        <f>IF(CC2&lt;Dashboard!$F$36,SUM(Dashboard!$F$9:$F$10),SUM(Dashboard!$F$9:$F$10)-(Dashboard!$F$43-Dashboard!$F$33-Dashboard!$F$7))</f>
        <v>25414968.341010436</v>
      </c>
      <c r="CD65" s="187">
        <f>IF(CD2&lt;Dashboard!$F$36,SUM(Dashboard!$F$9:$F$10),SUM(Dashboard!$F$9:$F$10)-(Dashboard!$F$43-Dashboard!$F$33-Dashboard!$F$7))</f>
        <v>25414968.341010436</v>
      </c>
      <c r="CE65" s="187">
        <f>IF(CE2&lt;Dashboard!$F$36,SUM(Dashboard!$F$9:$F$10),SUM(Dashboard!$F$9:$F$10)-(Dashboard!$F$43-Dashboard!$F$33-Dashboard!$F$7))</f>
        <v>25414968.341010436</v>
      </c>
      <c r="CF65" s="187">
        <f>IF(CF2&lt;Dashboard!$F$36,SUM(Dashboard!$F$9:$F$10),SUM(Dashboard!$F$9:$F$10)-(Dashboard!$F$43-Dashboard!$F$33-Dashboard!$F$7))</f>
        <v>25414968.341010436</v>
      </c>
      <c r="CG65" s="187">
        <f>IF(CG2&lt;Dashboard!$F$36,SUM(Dashboard!$F$9:$F$10),SUM(Dashboard!$F$9:$F$10)-(Dashboard!$F$43-Dashboard!$F$33-Dashboard!$F$7))</f>
        <v>25414968.341010436</v>
      </c>
      <c r="CH65" s="187">
        <f>IF(CH2&lt;Dashboard!$F$36,SUM(Dashboard!$F$9:$F$10),SUM(Dashboard!$F$9:$F$10)-(Dashboard!$F$43-Dashboard!$F$33-Dashboard!$F$7))</f>
        <v>25414968.341010436</v>
      </c>
      <c r="CI65" s="187">
        <f>IF(CI2&lt;Dashboard!$F$36,SUM(Dashboard!$F$9:$F$10),SUM(Dashboard!$F$9:$F$10)-(Dashboard!$F$43-Dashboard!$F$33-Dashboard!$F$7))</f>
        <v>25414968.341010436</v>
      </c>
      <c r="CJ65" s="187">
        <f>IF(CJ2&lt;Dashboard!$F$36,SUM(Dashboard!$F$9:$F$10),SUM(Dashboard!$F$9:$F$10)-(Dashboard!$F$43-Dashboard!$F$33-Dashboard!$F$7))</f>
        <v>25414968.341010436</v>
      </c>
      <c r="CK65" s="187">
        <f>IF(CK2&lt;Dashboard!$F$36,SUM(Dashboard!$F$9:$F$10),SUM(Dashboard!$F$9:$F$10)-(Dashboard!$F$43-Dashboard!$F$33-Dashboard!$F$7))</f>
        <v>25414968.341010436</v>
      </c>
      <c r="CL65" s="187">
        <f>IF(CL2&lt;Dashboard!$F$36,SUM(Dashboard!$F$9:$F$10),SUM(Dashboard!$F$9:$F$10)-(Dashboard!$F$43-Dashboard!$F$33-Dashboard!$F$7))</f>
        <v>25414968.341010436</v>
      </c>
      <c r="CM65" s="187">
        <f>IF(CM2&lt;Dashboard!$F$36,SUM(Dashboard!$F$9:$F$10),SUM(Dashboard!$F$9:$F$10)-(Dashboard!$F$43-Dashboard!$F$33-Dashboard!$F$7))</f>
        <v>25414968.341010436</v>
      </c>
      <c r="CN65" s="187">
        <f>IF(CN2&lt;Dashboard!$F$36,SUM(Dashboard!$F$9:$F$10),SUM(Dashboard!$F$9:$F$10)-(Dashboard!$F$43-Dashboard!$F$33-Dashboard!$F$7))</f>
        <v>25414968.341010436</v>
      </c>
      <c r="CO65" s="187">
        <f>IF(CO2&lt;Dashboard!$F$36,SUM(Dashboard!$F$9:$F$10),SUM(Dashboard!$F$9:$F$10)-(Dashboard!$F$43-Dashboard!$F$33-Dashboard!$F$7))</f>
        <v>25414968.341010436</v>
      </c>
      <c r="CP65" s="187">
        <f>IF(CP2&lt;Dashboard!$F$36,SUM(Dashboard!$F$9:$F$10),SUM(Dashboard!$F$9:$F$10)-(Dashboard!$F$43-Dashboard!$F$33-Dashboard!$F$7))</f>
        <v>25414968.341010436</v>
      </c>
    </row>
    <row r="66" spans="2:94">
      <c r="P66" s="163"/>
    </row>
    <row r="67" spans="2:94">
      <c r="P67" s="163"/>
    </row>
    <row r="69" spans="2:94">
      <c r="P69" s="163"/>
    </row>
    <row r="70" spans="2:94">
      <c r="C70" s="501"/>
    </row>
  </sheetData>
  <pageMargins left="0.7" right="0.7" top="0.75" bottom="0.75" header="0.3" footer="0.3"/>
  <pageSetup scale="78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rgb="FFFFC000"/>
  </sheetPr>
  <dimension ref="B1:AJ72"/>
  <sheetViews>
    <sheetView showGridLines="0" zoomScale="85" zoomScaleNormal="85" zoomScaleSheetLayoutView="85" workbookViewId="0">
      <pane ySplit="2" topLeftCell="A3" activePane="bottomLeft" state="frozen"/>
      <selection activeCell="D3" sqref="D3"/>
      <selection pane="bottomLeft" activeCell="B3" sqref="B3"/>
    </sheetView>
  </sheetViews>
  <sheetFormatPr defaultColWidth="9.140625" defaultRowHeight="15"/>
  <cols>
    <col min="1" max="1" width="1.85546875" customWidth="1"/>
    <col min="2" max="2" width="37.42578125" customWidth="1"/>
    <col min="3" max="6" width="20.7109375" style="42" customWidth="1"/>
    <col min="7" max="7" width="20.7109375" customWidth="1"/>
    <col min="8" max="8" width="1.7109375" customWidth="1"/>
  </cols>
  <sheetData>
    <row r="1" spans="2:36" ht="9" customHeight="1" thickBot="1"/>
    <row r="2" spans="2:36" ht="21" customHeight="1">
      <c r="B2" s="678" t="s">
        <v>380</v>
      </c>
      <c r="C2" s="167">
        <f>Dashboard!I19</f>
        <v>46266</v>
      </c>
      <c r="D2" s="167">
        <f>Dashboard!K19</f>
        <v>46631</v>
      </c>
      <c r="E2" s="167">
        <f>Dashboard!M19</f>
        <v>46997</v>
      </c>
      <c r="F2" s="167">
        <f>Dashboard!O19</f>
        <v>47362</v>
      </c>
      <c r="G2" s="707">
        <f>Dashboard!Q19</f>
        <v>47727</v>
      </c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</row>
    <row r="3" spans="2:36" ht="15" customHeight="1">
      <c r="B3" s="680"/>
      <c r="C3" s="173"/>
      <c r="D3" s="173"/>
      <c r="E3" s="173"/>
      <c r="F3" s="173"/>
      <c r="G3" s="684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</row>
    <row r="4" spans="2:36" ht="15" customHeight="1">
      <c r="B4" s="680" t="s">
        <v>152</v>
      </c>
      <c r="C4" s="173">
        <f>EOMONTH(C2,11)</f>
        <v>46630</v>
      </c>
      <c r="D4" s="173">
        <f>EOMONTH(C4,12)</f>
        <v>46996</v>
      </c>
      <c r="E4" s="173">
        <f t="shared" ref="E4:F4" si="0">EOMONTH(D4,12)</f>
        <v>47361</v>
      </c>
      <c r="F4" s="173">
        <f t="shared" si="0"/>
        <v>47726</v>
      </c>
      <c r="G4" s="684">
        <f t="shared" ref="G4" si="1">EOMONTH(F4,12)</f>
        <v>48091</v>
      </c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</row>
    <row r="5" spans="2:36" ht="9.75" customHeight="1">
      <c r="B5" s="26"/>
      <c r="G5" s="685"/>
    </row>
    <row r="6" spans="2:36" ht="15" hidden="1" customHeight="1">
      <c r="B6" s="686" t="s">
        <v>374</v>
      </c>
      <c r="C6" s="713">
        <v>0.88100000000000001</v>
      </c>
      <c r="D6" s="713">
        <v>0.875</v>
      </c>
      <c r="E6" s="713">
        <v>0.88400000000000001</v>
      </c>
      <c r="F6" s="713">
        <v>0.89200000000000002</v>
      </c>
      <c r="G6" s="714">
        <v>0.90100000000000002</v>
      </c>
    </row>
    <row r="7" spans="2:36" s="104" customFormat="1" ht="15" customHeight="1">
      <c r="B7" s="686" t="s">
        <v>116</v>
      </c>
      <c r="C7" s="713">
        <f>AVERAGE('Monthly CF''s'!P4:AA4)</f>
        <v>0.94500000000000017</v>
      </c>
      <c r="D7" s="713">
        <f>AVERAGE('Monthly CF''s'!AB4:AM4)</f>
        <v>0.94500000000000017</v>
      </c>
      <c r="E7" s="713">
        <f>AVERAGE('Monthly CF''s'!AN4:AY4)</f>
        <v>0.94500000000000017</v>
      </c>
      <c r="F7" s="713">
        <f>AVERAGE('Monthly CF''s'!AZ4:BK4)</f>
        <v>0.94500000000000017</v>
      </c>
      <c r="G7" s="714">
        <f>AVERAGE('Monthly CF''s'!BL4:BW4)</f>
        <v>0.94500000000000017</v>
      </c>
    </row>
    <row r="8" spans="2:36" ht="9.75" customHeight="1">
      <c r="B8" s="26"/>
      <c r="G8" s="685"/>
    </row>
    <row r="9" spans="2:36">
      <c r="B9" s="51" t="str">
        <f>'Year-1 Proforma'!B4</f>
        <v>Rental Revenue</v>
      </c>
      <c r="G9" s="685"/>
    </row>
    <row r="10" spans="2:36">
      <c r="B10" s="663" t="str">
        <f>'Year-1 Proforma'!B5</f>
        <v>Gross Potential Rent</v>
      </c>
      <c r="C10" s="105">
        <f>SUM('Monthly CF''s'!P7:AA7)</f>
        <v>7376336.0000000009</v>
      </c>
      <c r="D10" s="105">
        <f>SUM('Monthly CF''s'!AB7:AM7)</f>
        <v>7597626.080000001</v>
      </c>
      <c r="E10" s="105">
        <f>SUM('Monthly CF''s'!AN7:AY7)</f>
        <v>7825554.8624000018</v>
      </c>
      <c r="F10" s="105">
        <f>SUM('Monthly CF''s'!AZ7:BK7)</f>
        <v>8060321.5082720034</v>
      </c>
      <c r="G10" s="687">
        <f>SUM('Monthly CF''s'!BL7:BW7)</f>
        <v>8302131.1535201631</v>
      </c>
    </row>
    <row r="11" spans="2:36">
      <c r="B11" s="663" t="str">
        <f>'Year-1 Proforma'!B6</f>
        <v>Vacancy Loss</v>
      </c>
      <c r="C11" s="105">
        <f>SUM('Monthly CF''s'!P8:AA8)</f>
        <v>-405698.48000000021</v>
      </c>
      <c r="D11" s="105">
        <f>SUM('Monthly CF''s'!AB8:AM8)</f>
        <v>-417869.43440000055</v>
      </c>
      <c r="E11" s="105">
        <f>SUM('Monthly CF''s'!AN8:AY8)</f>
        <v>-430405.51743200043</v>
      </c>
      <c r="F11" s="105">
        <f>SUM('Monthly CF''s'!AZ8:BK8)</f>
        <v>-443317.6829549605</v>
      </c>
      <c r="G11" s="687">
        <f>SUM('Monthly CF''s'!BL8:BW8)</f>
        <v>-456617.21344360919</v>
      </c>
    </row>
    <row r="12" spans="2:36">
      <c r="B12" s="663" t="str">
        <f>'Year-1 Proforma'!B7</f>
        <v>Rent Concessions</v>
      </c>
      <c r="C12" s="105">
        <f>SUM('Monthly CF''s'!P9:AA9)</f>
        <v>-73763.360000000015</v>
      </c>
      <c r="D12" s="105">
        <f>SUM('Monthly CF''s'!AB9:AM9)</f>
        <v>-75976.260800000018</v>
      </c>
      <c r="E12" s="105">
        <f>SUM('Monthly CF''s'!AN9:AY9)</f>
        <v>-78255.548624000003</v>
      </c>
      <c r="F12" s="105">
        <f>SUM('Monthly CF''s'!AZ9:BK9)</f>
        <v>-80603.215082719995</v>
      </c>
      <c r="G12" s="687">
        <f>SUM('Monthly CF''s'!BL9:BW9)</f>
        <v>-83021.311535201618</v>
      </c>
    </row>
    <row r="13" spans="2:36">
      <c r="B13" s="663" t="str">
        <f>'Year-1 Proforma'!B8</f>
        <v>Non-Revenue Units</v>
      </c>
      <c r="C13" s="105">
        <f>SUM('Monthly CF''s'!P10:AA10)</f>
        <v>-36881.680000000008</v>
      </c>
      <c r="D13" s="105">
        <f>SUM('Monthly CF''s'!AB10:AM10)</f>
        <v>-37988.130400000009</v>
      </c>
      <c r="E13" s="105">
        <f>SUM('Monthly CF''s'!AN10:AY10)</f>
        <v>-39127.774312000001</v>
      </c>
      <c r="F13" s="105">
        <f>SUM('Monthly CF''s'!AZ10:BK10)</f>
        <v>-40301.607541359997</v>
      </c>
      <c r="G13" s="687">
        <f>SUM('Monthly CF''s'!BL10:BW10)</f>
        <v>-41510.655767600809</v>
      </c>
    </row>
    <row r="14" spans="2:36">
      <c r="B14" s="663" t="str">
        <f>'Year-1 Proforma'!B9</f>
        <v>Credit Loss / Bad Debt</v>
      </c>
      <c r="C14" s="105">
        <f>SUM('Monthly CF''s'!P11:AA11)</f>
        <v>-92204.2</v>
      </c>
      <c r="D14" s="105">
        <f>SUM('Monthly CF''s'!AB11:AM11)</f>
        <v>-94970.326000000045</v>
      </c>
      <c r="E14" s="105">
        <f>SUM('Monthly CF''s'!AN11:AY11)</f>
        <v>-97819.43578</v>
      </c>
      <c r="F14" s="105">
        <f>SUM('Monthly CF''s'!AZ11:BK11)</f>
        <v>-100754.01885340002</v>
      </c>
      <c r="G14" s="687">
        <f>SUM('Monthly CF''s'!BL11:BW11)</f>
        <v>-103776.63941900204</v>
      </c>
    </row>
    <row r="15" spans="2:36">
      <c r="B15" s="688" t="str">
        <f>'Year-1 Proforma'!B10</f>
        <v>Total Rental Revenue</v>
      </c>
      <c r="C15" s="106">
        <f>SUM(C10:C14)</f>
        <v>6767788.2800000003</v>
      </c>
      <c r="D15" s="106">
        <f>SUM(D10:D14)</f>
        <v>6970821.9283999996</v>
      </c>
      <c r="E15" s="106">
        <f>SUM(E10:E14)</f>
        <v>7179946.586252002</v>
      </c>
      <c r="F15" s="106">
        <f>SUM(F10:F14)</f>
        <v>7395344.9838395631</v>
      </c>
      <c r="G15" s="689">
        <f t="shared" ref="G15" si="2">SUM(G10:G14)</f>
        <v>7617205.3333547488</v>
      </c>
    </row>
    <row r="16" spans="2:36" ht="6" customHeight="1">
      <c r="B16" s="26"/>
      <c r="G16" s="685"/>
    </row>
    <row r="17" spans="2:7">
      <c r="B17" s="51" t="str">
        <f>'Year-1 Proforma'!B12</f>
        <v>Other Income</v>
      </c>
      <c r="G17" s="685"/>
    </row>
    <row r="18" spans="2:7">
      <c r="B18" s="663" t="str">
        <f>'Year-1 Proforma'!B13</f>
        <v>Admin &amp; App Income</v>
      </c>
      <c r="C18" s="105">
        <f>SUM('Monthly CF''s'!P15:AA15)</f>
        <v>45552</v>
      </c>
      <c r="D18" s="105">
        <f>SUM('Monthly CF''s'!AB15:AM15)</f>
        <v>46463.039999999986</v>
      </c>
      <c r="E18" s="105">
        <f>SUM('Monthly CF''s'!AN15:AY15)</f>
        <v>47392.300799999975</v>
      </c>
      <c r="F18" s="105">
        <f>SUM('Monthly CF''s'!AZ15:BK15)</f>
        <v>48340.146815999971</v>
      </c>
      <c r="G18" s="687">
        <f>SUM('Monthly CF''s'!BL15:BW15)</f>
        <v>49233.096750239987</v>
      </c>
    </row>
    <row r="19" spans="2:7">
      <c r="B19" s="663" t="str">
        <f>'Year-1 Proforma'!B14</f>
        <v>Fee &amp; Penalty Income</v>
      </c>
      <c r="C19" s="105">
        <f>SUM('Monthly CF''s'!P16:AA16)</f>
        <v>21187</v>
      </c>
      <c r="D19" s="105">
        <f>SUM('Monthly CF''s'!AB16:AM16)</f>
        <v>21610.74</v>
      </c>
      <c r="E19" s="105">
        <f>SUM('Monthly CF''s'!AN16:AY16)</f>
        <v>22042.954799999996</v>
      </c>
      <c r="F19" s="105">
        <f>SUM('Monthly CF''s'!AZ16:BK16)</f>
        <v>22483.813896000003</v>
      </c>
      <c r="G19" s="687">
        <f>SUM('Monthly CF''s'!BL16:BW16)</f>
        <v>22899.139902690004</v>
      </c>
    </row>
    <row r="20" spans="2:7">
      <c r="B20" s="663" t="str">
        <f>'Year-1 Proforma'!B15</f>
        <v>Other Income</v>
      </c>
      <c r="C20" s="105">
        <f>SUM('Monthly CF''s'!P17:AA17)</f>
        <v>33294</v>
      </c>
      <c r="D20" s="105">
        <f>SUM('Monthly CF''s'!AB17:AM17)</f>
        <v>33959.87999999999</v>
      </c>
      <c r="E20" s="105">
        <f>SUM('Monthly CF''s'!AN17:AY17)</f>
        <v>34639.077599999982</v>
      </c>
      <c r="F20" s="105">
        <f>SUM('Monthly CF''s'!AZ17:BK17)</f>
        <v>35331.859151999983</v>
      </c>
      <c r="G20" s="687">
        <f>SUM('Monthly CF''s'!BL17:BW17)</f>
        <v>35984.517105779982</v>
      </c>
    </row>
    <row r="21" spans="2:7">
      <c r="B21" s="663" t="str">
        <f>'Year-1 Proforma'!B16</f>
        <v>Parking Income</v>
      </c>
      <c r="C21" s="105">
        <f>SUM('Monthly CF''s'!P18:AA18)</f>
        <v>87780</v>
      </c>
      <c r="D21" s="105">
        <f>SUM('Monthly CF''s'!AB18:AM18)</f>
        <v>89535.60000000002</v>
      </c>
      <c r="E21" s="105">
        <f>SUM('Monthly CF''s'!AN18:AY18)</f>
        <v>91326.311999999991</v>
      </c>
      <c r="F21" s="105">
        <f>SUM('Monthly CF''s'!AZ18:BK18)</f>
        <v>93152.838240000012</v>
      </c>
      <c r="G21" s="687">
        <f>SUM('Monthly CF''s'!BL18:BW18)</f>
        <v>94873.578168600041</v>
      </c>
    </row>
    <row r="22" spans="2:7">
      <c r="B22" s="688" t="str">
        <f>'Year-1 Proforma'!B17</f>
        <v>Total Other Income</v>
      </c>
      <c r="C22" s="106">
        <f>SUM(C18:C21)</f>
        <v>187813</v>
      </c>
      <c r="D22" s="106">
        <f>SUM(D18:D21)</f>
        <v>191569.26</v>
      </c>
      <c r="E22" s="106">
        <f>SUM(E18:E21)</f>
        <v>195400.64519999997</v>
      </c>
      <c r="F22" s="106">
        <f>SUM(F18:F21)</f>
        <v>199308.65810399997</v>
      </c>
      <c r="G22" s="689">
        <f t="shared" ref="G22" si="3">SUM(G18:G21)</f>
        <v>202990.33192731001</v>
      </c>
    </row>
    <row r="23" spans="2:7" ht="6" customHeight="1">
      <c r="B23" s="26"/>
      <c r="G23" s="685"/>
    </row>
    <row r="24" spans="2:7">
      <c r="B24" s="690" t="str">
        <f>'Year-1 Proforma'!B19</f>
        <v>Total Revenue</v>
      </c>
      <c r="C24" s="691">
        <f>C15+C22</f>
        <v>6955601.2800000003</v>
      </c>
      <c r="D24" s="691">
        <f t="shared" ref="D24:F24" si="4">D15+D22</f>
        <v>7162391.1883999994</v>
      </c>
      <c r="E24" s="691">
        <f t="shared" si="4"/>
        <v>7375347.2314520022</v>
      </c>
      <c r="F24" s="691">
        <f t="shared" si="4"/>
        <v>7594653.6419435628</v>
      </c>
      <c r="G24" s="692">
        <f t="shared" ref="G24" si="5">G15+G22</f>
        <v>7820195.6652820585</v>
      </c>
    </row>
    <row r="25" spans="2:7" ht="9.75" customHeight="1">
      <c r="B25" s="26"/>
      <c r="G25" s="685"/>
    </row>
    <row r="26" spans="2:7">
      <c r="B26" s="51" t="str">
        <f>'Year-1 Proforma'!B21</f>
        <v>Expenses</v>
      </c>
      <c r="G26" s="685"/>
    </row>
    <row r="27" spans="2:7">
      <c r="B27" s="693" t="str">
        <f>'Year-1 Proforma'!B22</f>
        <v>Controllable</v>
      </c>
      <c r="G27" s="685"/>
    </row>
    <row r="28" spans="2:7">
      <c r="B28" s="663" t="str">
        <f>'Year-1 Proforma'!B23</f>
        <v>General &amp; Administrative</v>
      </c>
      <c r="C28" s="105">
        <f>SUM('Monthly CF''s'!P25:AA25)</f>
        <v>59472</v>
      </c>
      <c r="D28" s="105">
        <f>SUM('Monthly CF''s'!AB25:AM25)</f>
        <v>60661.44000000001</v>
      </c>
      <c r="E28" s="105">
        <f>SUM('Monthly CF''s'!AN25:AY25)</f>
        <v>61874.668800000007</v>
      </c>
      <c r="F28" s="105">
        <f>SUM('Monthly CF''s'!AZ25:BK25)</f>
        <v>63112.162176000005</v>
      </c>
      <c r="G28" s="687">
        <f>SUM('Monthly CF''s'!BL25:BW25)</f>
        <v>64374.405419520022</v>
      </c>
    </row>
    <row r="29" spans="2:7">
      <c r="B29" s="663" t="str">
        <f>'Year-1 Proforma'!B24</f>
        <v>Payroll &amp; Benefits</v>
      </c>
      <c r="C29" s="105">
        <f>SUM('Monthly CF''s'!P26:AA26)</f>
        <v>365694</v>
      </c>
      <c r="D29" s="105">
        <f>SUM('Monthly CF''s'!AB26:AM26)</f>
        <v>373007.87999999995</v>
      </c>
      <c r="E29" s="105">
        <f>SUM('Monthly CF''s'!AN26:AY26)</f>
        <v>380468.03759999987</v>
      </c>
      <c r="F29" s="105">
        <f>SUM('Monthly CF''s'!AZ26:BK26)</f>
        <v>388077.39835199976</v>
      </c>
      <c r="G29" s="687">
        <f>SUM('Monthly CF''s'!BL26:BW26)</f>
        <v>395838.94631903974</v>
      </c>
    </row>
    <row r="30" spans="2:7">
      <c r="B30" s="663" t="str">
        <f>'Year-1 Proforma'!B26</f>
        <v>Leasing &amp; Marketing</v>
      </c>
      <c r="C30" s="105">
        <f>SUM('Monthly CF''s'!P27:AA27)</f>
        <v>79119</v>
      </c>
      <c r="D30" s="105">
        <f>SUM('Monthly CF''s'!AB27:AM27)</f>
        <v>80701.38</v>
      </c>
      <c r="E30" s="105">
        <f>SUM('Monthly CF''s'!AN27:AY27)</f>
        <v>82315.407599999991</v>
      </c>
      <c r="F30" s="105">
        <f>SUM('Monthly CF''s'!AZ27:BK27)</f>
        <v>83961.715751999989</v>
      </c>
      <c r="G30" s="687">
        <f>SUM('Monthly CF''s'!BL27:BW27)</f>
        <v>85640.950067039987</v>
      </c>
    </row>
    <row r="31" spans="2:7">
      <c r="B31" s="663" t="str">
        <f>'Year-1 Proforma'!B27</f>
        <v>Contract Services</v>
      </c>
      <c r="C31" s="105">
        <f>SUM('Monthly CF''s'!P28:AA28)</f>
        <v>212928</v>
      </c>
      <c r="D31" s="105">
        <f>SUM('Monthly CF''s'!AB28:AM28)</f>
        <v>217186.56000000003</v>
      </c>
      <c r="E31" s="105">
        <f>SUM('Monthly CF''s'!AN28:AY28)</f>
        <v>221530.29119999998</v>
      </c>
      <c r="F31" s="105">
        <f>SUM('Monthly CF''s'!AZ28:BK28)</f>
        <v>225960.89702399992</v>
      </c>
      <c r="G31" s="687">
        <f>SUM('Monthly CF''s'!BL28:BW28)</f>
        <v>230480.1149644799</v>
      </c>
    </row>
    <row r="32" spans="2:7">
      <c r="B32" s="663" t="str">
        <f>'Year-1 Proforma'!B25</f>
        <v>Management Fee</v>
      </c>
      <c r="C32" s="105">
        <f>SUM('Monthly CF''s'!P29:AA29)</f>
        <v>208668.03840000005</v>
      </c>
      <c r="D32" s="105">
        <f>SUM('Monthly CF''s'!AB29:AM29)</f>
        <v>214871.73565200006</v>
      </c>
      <c r="E32" s="105">
        <f>SUM('Monthly CF''s'!AN29:AY29)</f>
        <v>221260.41694356009</v>
      </c>
      <c r="F32" s="105">
        <f>SUM('Monthly CF''s'!AZ29:BK29)</f>
        <v>227839.60925830688</v>
      </c>
      <c r="G32" s="687">
        <f>SUM('Monthly CF''s'!BL29:BW29)</f>
        <v>234605.86995846173</v>
      </c>
    </row>
    <row r="33" spans="2:7">
      <c r="B33" s="663" t="str">
        <f>'Year-1 Proforma'!B28</f>
        <v>Repairs &amp; Maintenance</v>
      </c>
      <c r="C33" s="105">
        <f>SUM('Monthly CF''s'!P30:AA30)</f>
        <v>96000</v>
      </c>
      <c r="D33" s="105">
        <f>SUM('Monthly CF''s'!AB30:AM30)</f>
        <v>97920</v>
      </c>
      <c r="E33" s="105">
        <f>SUM('Monthly CF''s'!AN30:AY30)</f>
        <v>99878.39999999998</v>
      </c>
      <c r="F33" s="105">
        <f>SUM('Monthly CF''s'!AZ30:BK30)</f>
        <v>101875.96800000001</v>
      </c>
      <c r="G33" s="687">
        <f>SUM('Monthly CF''s'!BL30:BW30)</f>
        <v>103913.48736000001</v>
      </c>
    </row>
    <row r="34" spans="2:7">
      <c r="B34" s="663" t="str">
        <f>'Year-1 Proforma'!B29</f>
        <v>Turnover / Make Ready</v>
      </c>
      <c r="C34" s="105">
        <f>SUM('Monthly CF''s'!P31:AA31)</f>
        <v>86022</v>
      </c>
      <c r="D34" s="105">
        <f>SUM('Monthly CF''s'!AB31:AM31)</f>
        <v>87742.439999999988</v>
      </c>
      <c r="E34" s="105">
        <f>SUM('Monthly CF''s'!AN31:AY31)</f>
        <v>89497.28879999998</v>
      </c>
      <c r="F34" s="105">
        <f>SUM('Monthly CF''s'!AZ31:BK31)</f>
        <v>91287.234575999973</v>
      </c>
      <c r="G34" s="687">
        <f>SUM('Monthly CF''s'!BL31:BW31)</f>
        <v>93112.979267519957</v>
      </c>
    </row>
    <row r="35" spans="2:7">
      <c r="B35" s="693" t="str">
        <f>'Year-1 Proforma'!B31</f>
        <v>Non-Controllable</v>
      </c>
      <c r="G35" s="685"/>
    </row>
    <row r="36" spans="2:7">
      <c r="B36" s="663" t="str">
        <f>'Year-1 Proforma'!B32</f>
        <v>Insurance</v>
      </c>
      <c r="C36" s="105">
        <f>SUM('Monthly CF''s'!P33:AA33)</f>
        <v>199136.30625000005</v>
      </c>
      <c r="D36" s="105">
        <f>SUM('Monthly CF''s'!AB33:AM33)</f>
        <v>203119.0323750001</v>
      </c>
      <c r="E36" s="105">
        <f>SUM('Monthly CF''s'!AN33:AY33)</f>
        <v>207181.41302250014</v>
      </c>
      <c r="F36" s="105">
        <f>SUM('Monthly CF''s'!AZ33:BK33)</f>
        <v>211325.04128295009</v>
      </c>
      <c r="G36" s="687">
        <f>SUM('Monthly CF''s'!BL33:BW33)</f>
        <v>215551.54210860908</v>
      </c>
    </row>
    <row r="37" spans="2:7">
      <c r="B37" s="663" t="str">
        <f>'Year-1 Proforma'!B33</f>
        <v>Real Estate Taxes</v>
      </c>
      <c r="C37" s="105">
        <f>SUM('Monthly CF''s'!P34:AA34)</f>
        <v>0</v>
      </c>
      <c r="D37" s="105">
        <f>SUM('Monthly CF''s'!AB34:AM34)</f>
        <v>0</v>
      </c>
      <c r="E37" s="105">
        <f>SUM('Monthly CF''s'!AN34:AY34)</f>
        <v>0</v>
      </c>
      <c r="F37" s="105">
        <f>SUM('Monthly CF''s'!AZ34:BK34)</f>
        <v>0</v>
      </c>
      <c r="G37" s="687">
        <f>SUM('Monthly CF''s'!BL34:BW34)</f>
        <v>0</v>
      </c>
    </row>
    <row r="38" spans="2:7">
      <c r="B38" s="663" t="str">
        <f>'Year-1 Proforma'!B34</f>
        <v>Utilities</v>
      </c>
      <c r="C38" s="105">
        <f>SUM('Monthly CF''s'!P35:AA35)</f>
        <v>318600</v>
      </c>
      <c r="D38" s="105">
        <f>SUM('Monthly CF''s'!AB35:AM35)</f>
        <v>324972</v>
      </c>
      <c r="E38" s="105">
        <f>SUM('Monthly CF''s'!AN35:AY35)</f>
        <v>331471.44</v>
      </c>
      <c r="F38" s="105">
        <f>SUM('Monthly CF''s'!AZ35:BK35)</f>
        <v>338100.8688</v>
      </c>
      <c r="G38" s="687">
        <f>SUM('Monthly CF''s'!BL35:BW35)</f>
        <v>344862.886176</v>
      </c>
    </row>
    <row r="39" spans="2:7">
      <c r="B39" s="624" t="str">
        <f>'Year-1 Proforma'!B36</f>
        <v>Total Expenses</v>
      </c>
      <c r="C39" s="493">
        <f>SUM(C28:C34)+SUM(C36:C38)</f>
        <v>1625639.3446499999</v>
      </c>
      <c r="D39" s="493">
        <f>SUM(D28:D34)+SUM(D36:D38)</f>
        <v>1660182.4680270003</v>
      </c>
      <c r="E39" s="493">
        <f>SUM(E28:E34)+SUM(E36:E38)</f>
        <v>1695477.3639660601</v>
      </c>
      <c r="F39" s="493">
        <f>SUM(F28:F34)+SUM(F36:F38)</f>
        <v>1731540.8952212567</v>
      </c>
      <c r="G39" s="694">
        <f>SUM(G28:G34)+SUM(G36:G38)</f>
        <v>1768381.1816406706</v>
      </c>
    </row>
    <row r="40" spans="2:7" ht="9.75" customHeight="1">
      <c r="B40" s="26"/>
      <c r="G40" s="685"/>
    </row>
    <row r="41" spans="2:7" ht="15.75" thickBot="1">
      <c r="B41" s="695" t="str">
        <f>'Year-1 Proforma'!B38</f>
        <v>NOI</v>
      </c>
      <c r="C41" s="696">
        <f>C24-C39</f>
        <v>5329961.9353500009</v>
      </c>
      <c r="D41" s="696">
        <f>D24-D39</f>
        <v>5502208.7203729991</v>
      </c>
      <c r="E41" s="696">
        <f>E24-E39</f>
        <v>5679869.8674859423</v>
      </c>
      <c r="F41" s="696">
        <f>F24-F39</f>
        <v>5863112.7467223061</v>
      </c>
      <c r="G41" s="697">
        <f>G24-G39</f>
        <v>6051814.4836413879</v>
      </c>
    </row>
    <row r="42" spans="2:7" ht="9.75" customHeight="1" thickTop="1">
      <c r="B42" s="26"/>
      <c r="G42" s="685"/>
    </row>
    <row r="43" spans="2:7">
      <c r="B43" s="693" t="s">
        <v>77</v>
      </c>
      <c r="C43" s="151">
        <f>SUM('Monthly CF''s'!P40:AA40)</f>
        <v>4021026.6836878993</v>
      </c>
      <c r="D43" s="151">
        <f>SUM('Monthly CF''s'!AB40:AM40)</f>
        <v>3870189.1469266838</v>
      </c>
      <c r="E43" s="151">
        <f>SUM('Monthly CF''s'!AN40:AY40)</f>
        <v>4357895.616981335</v>
      </c>
      <c r="F43" s="151">
        <f>SUM('Monthly CF''s'!AZ40:BK40)</f>
        <v>4357895.616981335</v>
      </c>
      <c r="G43" s="698">
        <f>SUM('Monthly CF''s'!BL40:BW40)</f>
        <v>4357895.616981335</v>
      </c>
    </row>
    <row r="44" spans="2:7">
      <c r="B44" s="699" t="s">
        <v>146</v>
      </c>
      <c r="C44" s="162">
        <f>C41/C43</f>
        <v>1.3255226474800725</v>
      </c>
      <c r="D44" s="162">
        <f t="shared" ref="D44:F44" si="6">D41/D43</f>
        <v>1.4216898739283328</v>
      </c>
      <c r="E44" s="162">
        <f t="shared" si="6"/>
        <v>1.3033515179558899</v>
      </c>
      <c r="F44" s="162">
        <f t="shared" si="6"/>
        <v>1.345399996244889</v>
      </c>
      <c r="G44" s="700">
        <f t="shared" ref="G44" si="7">G41/G43</f>
        <v>1.3887011107056786</v>
      </c>
    </row>
    <row r="45" spans="2:7" ht="9.75" customHeight="1">
      <c r="B45" s="26"/>
      <c r="G45" s="685"/>
    </row>
    <row r="46" spans="2:7" ht="15.75" thickBot="1">
      <c r="B46" s="516" t="s">
        <v>144</v>
      </c>
      <c r="C46" s="701">
        <f>C41-C43</f>
        <v>1308935.2516621016</v>
      </c>
      <c r="D46" s="701">
        <f>D41-D43</f>
        <v>1632019.5734463152</v>
      </c>
      <c r="E46" s="701">
        <f t="shared" ref="E46:F46" si="8">E41-E43</f>
        <v>1321974.2505046073</v>
      </c>
      <c r="F46" s="701">
        <f t="shared" si="8"/>
        <v>1505217.1297409711</v>
      </c>
      <c r="G46" s="702">
        <f t="shared" ref="G46" si="9">G41-G43</f>
        <v>1693918.8666600529</v>
      </c>
    </row>
    <row r="47" spans="2:7" ht="9.75" customHeight="1" thickTop="1">
      <c r="B47" s="26"/>
      <c r="G47" s="685"/>
    </row>
    <row r="48" spans="2:7">
      <c r="B48" s="693" t="s">
        <v>143</v>
      </c>
      <c r="C48" s="151">
        <f>SUM('Monthly CF''s'!P45:AA45)</f>
        <v>11325</v>
      </c>
      <c r="D48" s="151">
        <f>SUM('Monthly CF''s'!AB45:AM45)</f>
        <v>22650</v>
      </c>
      <c r="E48" s="151">
        <f>SUM('Monthly CF''s'!AN45:AY45)</f>
        <v>22650</v>
      </c>
      <c r="F48" s="151">
        <f>SUM('Monthly CF''s'!AZ45:BK45)</f>
        <v>22650</v>
      </c>
      <c r="G48" s="698">
        <f>SUM('Monthly CF''s'!BL45:BW45)</f>
        <v>22650</v>
      </c>
    </row>
    <row r="49" spans="2:7" ht="9" customHeight="1">
      <c r="B49" s="693"/>
      <c r="C49" s="151"/>
      <c r="D49" s="151"/>
      <c r="E49" s="151"/>
      <c r="F49" s="151"/>
      <c r="G49" s="698"/>
    </row>
    <row r="50" spans="2:7">
      <c r="B50" s="693" t="str">
        <f>+'Monthly CF''s'!B47</f>
        <v>Tax Abatement Savings</v>
      </c>
      <c r="C50" s="151">
        <f>SUM('Monthly CF''s'!P47:AA47)</f>
        <v>0</v>
      </c>
      <c r="D50" s="151">
        <f>SUM('Monthly CF''s'!AB47:AM47)</f>
        <v>0</v>
      </c>
      <c r="E50" s="151">
        <f>SUM('Monthly CF''s'!AN47:AY47)</f>
        <v>0</v>
      </c>
      <c r="F50" s="151">
        <f>SUM('Monthly CF''s'!AZ47:BK47)</f>
        <v>0</v>
      </c>
      <c r="G50" s="698">
        <f>SUM('Monthly CF''s'!BL47:BW47)</f>
        <v>0</v>
      </c>
    </row>
    <row r="51" spans="2:7" ht="9.75" customHeight="1">
      <c r="B51" s="26"/>
      <c r="G51" s="685"/>
    </row>
    <row r="52" spans="2:7" ht="15.75" thickBot="1">
      <c r="B52" s="516" t="s">
        <v>78</v>
      </c>
      <c r="C52" s="701">
        <f>C46-C48+C50</f>
        <v>1297610.2516621016</v>
      </c>
      <c r="D52" s="701">
        <f t="shared" ref="D52:G52" si="10">D46-D48+D50</f>
        <v>1609369.5734463152</v>
      </c>
      <c r="E52" s="701">
        <f t="shared" si="10"/>
        <v>1299324.2505046073</v>
      </c>
      <c r="F52" s="701">
        <f t="shared" si="10"/>
        <v>1482567.1297409711</v>
      </c>
      <c r="G52" s="701">
        <f t="shared" si="10"/>
        <v>1671268.8666600529</v>
      </c>
    </row>
    <row r="53" spans="2:7" ht="9.75" customHeight="1" thickTop="1">
      <c r="B53" s="26"/>
      <c r="G53" s="685"/>
    </row>
    <row r="54" spans="2:7">
      <c r="B54" s="703" t="s">
        <v>86</v>
      </c>
      <c r="C54" s="171">
        <f>C41/Dashboard!$F$11</f>
        <v>5.7271622962282102E-2</v>
      </c>
      <c r="D54" s="171">
        <f>D41/Dashboard!$F$11</f>
        <v>5.9122452864626349E-2</v>
      </c>
      <c r="E54" s="171">
        <f>E41/Dashboard!$F$11</f>
        <v>6.1031461288310503E-2</v>
      </c>
      <c r="F54" s="171">
        <f>F41/Dashboard!$F$11</f>
        <v>6.3000446661460055E-2</v>
      </c>
      <c r="G54" s="704">
        <f>G41/Dashboard!$F$11</f>
        <v>6.5028088670961146E-2</v>
      </c>
    </row>
    <row r="55" spans="2:7" ht="6" customHeight="1">
      <c r="B55" s="703"/>
      <c r="C55" s="171"/>
      <c r="D55" s="171"/>
      <c r="E55" s="171"/>
      <c r="F55" s="171"/>
      <c r="G55" s="704"/>
    </row>
    <row r="56" spans="2:7">
      <c r="B56" s="703" t="s">
        <v>87</v>
      </c>
      <c r="C56" s="171">
        <f>AVERAGE('Monthly CF''s'!P53:AA53)</f>
        <v>0.11472580253125038</v>
      </c>
      <c r="D56" s="171">
        <f>AVERAGE('Monthly CF''s'!AB53:AM53)</f>
        <v>6.3323689876464848E-2</v>
      </c>
      <c r="E56" s="171">
        <f>AVERAGE('Monthly CF''s'!AN53:AY53)</f>
        <v>5.1124370216427684E-2</v>
      </c>
      <c r="F56" s="171">
        <f>AVERAGE('Monthly CF''s'!AZ53:BK53)</f>
        <v>5.8334407890984846E-2</v>
      </c>
      <c r="G56" s="704">
        <f>AVERAGE('Monthly CF''s'!BA53:BL53)</f>
        <v>5.8953055410962608E-2</v>
      </c>
    </row>
    <row r="57" spans="2:7" ht="6.75" customHeight="1" thickBot="1">
      <c r="B57" s="705"/>
      <c r="C57" s="191"/>
      <c r="D57" s="191"/>
      <c r="E57" s="191"/>
      <c r="F57" s="191"/>
      <c r="G57" s="706"/>
    </row>
    <row r="58" spans="2:7" ht="15" customHeight="1">
      <c r="B58" s="164"/>
      <c r="C58" s="171"/>
      <c r="D58" s="171"/>
      <c r="E58" s="171"/>
      <c r="F58" s="171"/>
      <c r="G58" s="171"/>
    </row>
    <row r="59" spans="2:7">
      <c r="B59" s="192" t="s">
        <v>154</v>
      </c>
      <c r="C59" s="195">
        <f>C4</f>
        <v>46630</v>
      </c>
      <c r="D59" s="195">
        <f>D4</f>
        <v>46996</v>
      </c>
      <c r="E59" s="195">
        <f>E4</f>
        <v>47361</v>
      </c>
      <c r="F59" s="196">
        <f>F4</f>
        <v>47726</v>
      </c>
      <c r="G59" s="196">
        <f>G4</f>
        <v>48091</v>
      </c>
    </row>
    <row r="60" spans="2:7">
      <c r="B60" s="179" t="s">
        <v>158</v>
      </c>
      <c r="C60" s="174"/>
      <c r="D60" s="174"/>
      <c r="E60" s="174"/>
      <c r="F60" s="175"/>
      <c r="G60" s="175"/>
    </row>
    <row r="61" spans="2:7">
      <c r="B61" s="190" t="s">
        <v>155</v>
      </c>
      <c r="C61" s="105">
        <f>C52</f>
        <v>1297610.2516621016</v>
      </c>
      <c r="D61" s="105">
        <f>D52</f>
        <v>1609369.5734463152</v>
      </c>
      <c r="E61" s="105">
        <f>E52</f>
        <v>1299324.2505046073</v>
      </c>
      <c r="F61" s="169">
        <f>F52</f>
        <v>1482567.1297409711</v>
      </c>
      <c r="G61" s="169">
        <f t="shared" ref="G61" si="11">G52</f>
        <v>1671268.8666600529</v>
      </c>
    </row>
    <row r="62" spans="2:7">
      <c r="B62" s="190" t="s">
        <v>156</v>
      </c>
      <c r="C62" s="105">
        <f>IF(SUM('Monthly CF''s'!P59:AA59)=0,"",SUM('Monthly CF''s'!P59:AA59))</f>
        <v>-1381023.3589114696</v>
      </c>
      <c r="D62" s="105" t="str">
        <f>IF(SUM('Monthly CF''s'!AB59:AM59)=0,"",SUM('Monthly CF''s'!AB59:AM59))</f>
        <v/>
      </c>
      <c r="E62" s="105" t="str">
        <f>IF(SUM('Monthly CF''s'!AN59:AY59)=0,"",SUM('Monthly CF''s'!AN59:AY59))</f>
        <v/>
      </c>
      <c r="F62" s="199" t="str">
        <f>IF(SUM('Monthly CF''s'!AZ59:BK59)=0,"",SUM('Monthly CF''s'!AZ59:BK59))</f>
        <v/>
      </c>
      <c r="G62" s="199" t="str">
        <f>IF(SUM('Monthly CF''s'!BA59:BL59)=0,"",SUM('Monthly CF''s'!BA59:BL59))</f>
        <v/>
      </c>
    </row>
    <row r="63" spans="2:7">
      <c r="B63" s="189" t="s">
        <v>157</v>
      </c>
      <c r="C63" s="154">
        <f>SUM(C61:C62)</f>
        <v>-83413.107249367982</v>
      </c>
      <c r="D63" s="154">
        <f>SUM(D61:D62)</f>
        <v>1609369.5734463152</v>
      </c>
      <c r="E63" s="154">
        <f>SUM(E61:E62)</f>
        <v>1299324.2505046073</v>
      </c>
      <c r="F63" s="187">
        <f>SUM(F61:F62)</f>
        <v>1482567.1297409711</v>
      </c>
      <c r="G63" s="187">
        <f>SUM(G61:G62)</f>
        <v>1671268.8666600529</v>
      </c>
    </row>
    <row r="64" spans="2:7" ht="9.75" customHeight="1">
      <c r="B64" s="188"/>
      <c r="C64" s="177"/>
      <c r="D64" s="177"/>
      <c r="E64" s="177"/>
      <c r="F64" s="178"/>
      <c r="G64" s="178"/>
    </row>
    <row r="65" spans="2:7">
      <c r="B65" s="188" t="s">
        <v>159</v>
      </c>
      <c r="C65" s="177"/>
      <c r="D65" s="177"/>
      <c r="E65" s="177"/>
      <c r="F65" s="178"/>
      <c r="G65" s="178"/>
    </row>
    <row r="66" spans="2:7">
      <c r="B66" s="168" t="s">
        <v>372</v>
      </c>
      <c r="C66" s="105">
        <f>'Monthly CF''s'!AA63</f>
        <v>21602723.089858871</v>
      </c>
      <c r="D66" s="105">
        <f>'Monthly CF''s'!AM63</f>
        <v>21602723.089858871</v>
      </c>
      <c r="E66" s="105">
        <f>'Monthly CF''s'!AY63</f>
        <v>21602723.089858871</v>
      </c>
      <c r="F66" s="169">
        <f>'Monthly CF''s'!BK63</f>
        <v>21602723.089858871</v>
      </c>
      <c r="G66" s="169">
        <f>'Monthly CF''s'!BL63</f>
        <v>21602723.089858871</v>
      </c>
    </row>
    <row r="67" spans="2:7">
      <c r="B67" s="168" t="s">
        <v>150</v>
      </c>
      <c r="C67" s="105">
        <f>'Monthly CF''s'!AA64</f>
        <v>3812245.2511515659</v>
      </c>
      <c r="D67" s="105">
        <f>'Monthly CF''s'!AM64</f>
        <v>3812245.2511515659</v>
      </c>
      <c r="E67" s="105">
        <f>'Monthly CF''s'!AY64</f>
        <v>3812245.2511515659</v>
      </c>
      <c r="F67" s="169">
        <f>'Monthly CF''s'!BK64</f>
        <v>3812245.2511515659</v>
      </c>
      <c r="G67" s="169">
        <f>'Monthly CF''s'!BL64</f>
        <v>3812245.2511515659</v>
      </c>
    </row>
    <row r="68" spans="2:7">
      <c r="B68" s="492" t="s">
        <v>151</v>
      </c>
      <c r="C68" s="493">
        <f>SUM(C66:C67)</f>
        <v>25414968.341010436</v>
      </c>
      <c r="D68" s="493">
        <f>SUM(D66:D67)</f>
        <v>25414968.341010436</v>
      </c>
      <c r="E68" s="493">
        <f>SUM(E66:E67)</f>
        <v>25414968.341010436</v>
      </c>
      <c r="F68" s="494">
        <f>SUM(F66:F67)</f>
        <v>25414968.341010436</v>
      </c>
      <c r="G68" s="494">
        <f t="shared" ref="G68" si="12">SUM(G66:G67)</f>
        <v>25414968.341010436</v>
      </c>
    </row>
    <row r="69" spans="2:7">
      <c r="B69" s="41" t="s">
        <v>160</v>
      </c>
      <c r="C69" s="163"/>
    </row>
    <row r="70" spans="2:7">
      <c r="C70" s="163"/>
    </row>
    <row r="72" spans="2:7">
      <c r="C72" s="163"/>
    </row>
  </sheetData>
  <pageMargins left="0.7" right="0.7" top="0.75" bottom="0.75" header="0.3" footer="0.3"/>
  <pageSetup scale="63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rgb="FFFFC000"/>
  </sheetPr>
  <dimension ref="B1:AJ72"/>
  <sheetViews>
    <sheetView showGridLines="0" view="pageBreakPreview" zoomScale="85" zoomScaleNormal="85" zoomScaleSheetLayoutView="85" workbookViewId="0">
      <pane ySplit="2" topLeftCell="A39" activePane="bottomLeft" state="frozen"/>
      <selection activeCell="D3" sqref="D3"/>
      <selection pane="bottomLeft" activeCell="D52" sqref="D52"/>
    </sheetView>
  </sheetViews>
  <sheetFormatPr defaultColWidth="9.140625" defaultRowHeight="15"/>
  <cols>
    <col min="1" max="1" width="1.85546875" customWidth="1"/>
    <col min="2" max="2" width="37.42578125" customWidth="1"/>
    <col min="3" max="6" width="20.7109375" style="42" customWidth="1"/>
    <col min="7" max="7" width="2.5703125" customWidth="1"/>
  </cols>
  <sheetData>
    <row r="1" spans="2:36" ht="9" customHeight="1" thickBot="1"/>
    <row r="2" spans="2:36" ht="21" customHeight="1">
      <c r="B2" s="678" t="s">
        <v>153</v>
      </c>
      <c r="C2" s="172">
        <f>YEAR(Dashboard!I32)</f>
        <v>2026</v>
      </c>
      <c r="D2" s="172">
        <f>YEAR(Dashboard!K32)</f>
        <v>2027</v>
      </c>
      <c r="E2" s="172">
        <f>YEAR(Dashboard!M32)</f>
        <v>2028</v>
      </c>
      <c r="F2" s="679">
        <f>YEAR(Dashboard!O32)</f>
        <v>2029</v>
      </c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</row>
    <row r="3" spans="2:36" ht="15" customHeight="1">
      <c r="B3" s="680" t="s">
        <v>217</v>
      </c>
      <c r="C3" s="681">
        <f>YEARFRAC(Dashboard!$F$54,C$4)</f>
        <v>2</v>
      </c>
      <c r="D3" s="681">
        <f>YEARFRAC(Dashboard!$F$54,D$4)</f>
        <v>3</v>
      </c>
      <c r="E3" s="681">
        <f>YEARFRAC(Dashboard!$F$54,E$4)</f>
        <v>4</v>
      </c>
      <c r="F3" s="682">
        <f>YEARFRAC(Dashboard!$F$54,F$4)</f>
        <v>5</v>
      </c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</row>
    <row r="4" spans="2:36" ht="15" customHeight="1">
      <c r="B4" s="680" t="s">
        <v>152</v>
      </c>
      <c r="C4" s="683">
        <f>EOMONTH(Dashboard!$I$32,12-MONTH(Dashboard!$F$56))</f>
        <v>46387</v>
      </c>
      <c r="D4" s="683">
        <f>EOMONTH(C4,12)</f>
        <v>46752</v>
      </c>
      <c r="E4" s="683">
        <f t="shared" ref="E4:F4" si="0">EOMONTH(D4,12)</f>
        <v>47118</v>
      </c>
      <c r="F4" s="684">
        <f t="shared" si="0"/>
        <v>47483</v>
      </c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</row>
    <row r="5" spans="2:36" ht="9.75" customHeight="1">
      <c r="B5" s="26"/>
      <c r="F5" s="685"/>
    </row>
    <row r="6" spans="2:36" ht="15" hidden="1" customHeight="1">
      <c r="B6" s="686" t="s">
        <v>374</v>
      </c>
      <c r="C6" s="713">
        <v>0.88100000000000001</v>
      </c>
      <c r="D6" s="713">
        <v>0.875</v>
      </c>
      <c r="E6" s="713">
        <v>0.88400000000000001</v>
      </c>
      <c r="F6" s="715">
        <v>0.89200000000000002</v>
      </c>
    </row>
    <row r="7" spans="2:36" s="104" customFormat="1">
      <c r="B7" s="686" t="s">
        <v>116</v>
      </c>
      <c r="C7" s="713">
        <f>AVERAGEIFS('Monthly CF''s'!$P4:$BK4,'Monthly CF''s'!$P$2:$BK$2,"&gt;"&amp;(EOMONTH(C$4,-12)),'Monthly CF''s'!$P$2:$BK$2,"&lt;="&amp;'Annual CF''s (Calendar Year)'!C$4)</f>
        <v>0.94499999999999995</v>
      </c>
      <c r="D7" s="713">
        <f>AVERAGEIFS('Monthly CF''s'!$P4:$BK4,'Monthly CF''s'!$P$2:$BK$2,"&gt;"&amp;'Annual CF''s (Calendar Year)'!C$4,'Monthly CF''s'!$P$2:$BK$2,"&lt;="&amp;'Annual CF''s (Calendar Year)'!D$4)</f>
        <v>0.94500000000000017</v>
      </c>
      <c r="E7" s="713">
        <f>AVERAGEIFS('Monthly CF''s'!$P4:$BK4,'Monthly CF''s'!$P$2:$BK$2,"&gt;"&amp;'Annual CF''s (Calendar Year)'!D$4,'Monthly CF''s'!$P$2:$BK$2,"&lt;="&amp;'Annual CF''s (Calendar Year)'!E$4)</f>
        <v>0.94500000000000017</v>
      </c>
      <c r="F7" s="714">
        <f>AVERAGEIFS('Monthly CF''s'!$P4:$BK4,'Monthly CF''s'!$P$2:$BK$2,"&gt;"&amp;'Annual CF''s (Calendar Year)'!E$4,'Monthly CF''s'!$P$2:$BK$2,"&lt;="&amp;'Annual CF''s (Calendar Year)'!F$4)</f>
        <v>0.94500000000000017</v>
      </c>
    </row>
    <row r="8" spans="2:36" ht="9.75" customHeight="1">
      <c r="B8" s="26"/>
      <c r="F8" s="685"/>
    </row>
    <row r="9" spans="2:36">
      <c r="B9" s="51" t="str">
        <f>'Year-1 Proforma'!B4</f>
        <v>Rental Revenue</v>
      </c>
      <c r="F9" s="685"/>
    </row>
    <row r="10" spans="2:36">
      <c r="B10" s="663" t="str">
        <f>'Year-1 Proforma'!B5</f>
        <v>Gross Potential Rent</v>
      </c>
      <c r="C10" s="105">
        <f>SUMIFS('Monthly CF''s'!$P7:$BK7,'Monthly CF''s'!$P$2:$BK$2,"&gt;"&amp;(EOMONTH(C$4,-12)),'Monthly CF''s'!$P$2:$BK$2,"&lt;="&amp;'Annual CF''s (Calendar Year)'!C$4)</f>
        <v>2458778.6666666665</v>
      </c>
      <c r="D10" s="105">
        <f>SUMIFS('Monthly CF''s'!$P7:$BK7,'Monthly CF''s'!$P$2:$BK$2,"&gt;"&amp;'Annual CF''s (Calendar Year)'!C$4,'Monthly CF''s'!$P$2:$BK$2,"&lt;="&amp;'Annual CF''s (Calendar Year)'!D$4)</f>
        <v>7450099.3600000003</v>
      </c>
      <c r="E10" s="105">
        <f>SUMIFS('Monthly CF''s'!$P7:$BK7,'Monthly CF''s'!$P$2:$BK$2,"&gt;"&amp;'Annual CF''s (Calendar Year)'!D$4,'Monthly CF''s'!$P$2:$BK$2,"&lt;="&amp;'Annual CF''s (Calendar Year)'!E$4)</f>
        <v>7673602.3408000013</v>
      </c>
      <c r="F10" s="687">
        <f>SUMIFS('Monthly CF''s'!$P7:$BK7,'Monthly CF''s'!$P$2:$BK$2,"&gt;"&amp;'Annual CF''s (Calendar Year)'!E$4,'Monthly CF''s'!$P$2:$BK$2,"&lt;="&amp;'Annual CF''s (Calendar Year)'!F$4)</f>
        <v>7903810.4110240024</v>
      </c>
    </row>
    <row r="11" spans="2:36">
      <c r="B11" s="663" t="str">
        <f>'Year-1 Proforma'!B6</f>
        <v>Vacancy Loss</v>
      </c>
      <c r="C11" s="105">
        <f>SUMIFS('Monthly CF''s'!$P8:$BK8,'Monthly CF''s'!$P$2:$BK$2,"&gt;"&amp;(EOMONTH(C$4,-12)),'Monthly CF''s'!$P$2:$BK$2,"&lt;="&amp;'Annual CF''s (Calendar Year)'!C$4)</f>
        <v>-135232.82666666678</v>
      </c>
      <c r="D11" s="105">
        <f>SUMIFS('Monthly CF''s'!$P8:$BK8,'Monthly CF''s'!$P$2:$BK$2,"&gt;"&amp;'Annual CF''s (Calendar Year)'!C$4,'Monthly CF''s'!$P$2:$BK$2,"&lt;="&amp;'Annual CF''s (Calendar Year)'!D$4)</f>
        <v>-409755.46480000042</v>
      </c>
      <c r="E11" s="105">
        <f>SUMIFS('Monthly CF''s'!$P8:$BK8,'Monthly CF''s'!$P$2:$BK$2,"&gt;"&amp;'Annual CF''s (Calendar Year)'!D$4,'Monthly CF''s'!$P$2:$BK$2,"&lt;="&amp;'Annual CF''s (Calendar Year)'!E$4)</f>
        <v>-422048.12874400051</v>
      </c>
      <c r="F11" s="687">
        <f>SUMIFS('Monthly CF''s'!$P8:$BK8,'Monthly CF''s'!$P$2:$BK$2,"&gt;"&amp;'Annual CF''s (Calendar Year)'!E$4,'Monthly CF''s'!$P$2:$BK$2,"&lt;="&amp;'Annual CF''s (Calendar Year)'!F$4)</f>
        <v>-434709.57260632043</v>
      </c>
    </row>
    <row r="12" spans="2:36">
      <c r="B12" s="663" t="str">
        <f>'Year-1 Proforma'!B7</f>
        <v>Rent Concessions</v>
      </c>
      <c r="C12" s="105">
        <f>SUMIFS('Monthly CF''s'!$P9:$BK9,'Monthly CF''s'!$P$2:$BK$2,"&gt;"&amp;(EOMONTH(C$4,-12)),'Monthly CF''s'!$P$2:$BK$2,"&lt;="&amp;'Annual CF''s (Calendar Year)'!C$4)</f>
        <v>-24587.786666666667</v>
      </c>
      <c r="D12" s="105">
        <f>SUMIFS('Monthly CF''s'!$P9:$BK9,'Monthly CF''s'!$P$2:$BK$2,"&gt;"&amp;'Annual CF''s (Calendar Year)'!C$4,'Monthly CF''s'!$P$2:$BK$2,"&lt;="&amp;'Annual CF''s (Calendar Year)'!D$4)</f>
        <v>-74500.993600000016</v>
      </c>
      <c r="E12" s="105">
        <f>SUMIFS('Monthly CF''s'!$P9:$BK9,'Monthly CF''s'!$P$2:$BK$2,"&gt;"&amp;'Annual CF''s (Calendar Year)'!D$4,'Monthly CF''s'!$P$2:$BK$2,"&lt;="&amp;'Annual CF''s (Calendar Year)'!E$4)</f>
        <v>-76736.023407999994</v>
      </c>
      <c r="F12" s="687">
        <f>SUMIFS('Monthly CF''s'!$P9:$BK9,'Monthly CF''s'!$P$2:$BK$2,"&gt;"&amp;'Annual CF''s (Calendar Year)'!E$4,'Monthly CF''s'!$P$2:$BK$2,"&lt;="&amp;'Annual CF''s (Calendar Year)'!F$4)</f>
        <v>-79038.104110240005</v>
      </c>
    </row>
    <row r="13" spans="2:36">
      <c r="B13" s="663" t="str">
        <f>'Year-1 Proforma'!B8</f>
        <v>Non-Revenue Units</v>
      </c>
      <c r="C13" s="105">
        <f>SUMIFS('Monthly CF''s'!$P10:$BK10,'Monthly CF''s'!$P$2:$BK$2,"&gt;"&amp;(EOMONTH(C$4,-12)),'Monthly CF''s'!$P$2:$BK$2,"&lt;="&amp;'Annual CF''s (Calendar Year)'!C$4)</f>
        <v>-12293.893333333333</v>
      </c>
      <c r="D13" s="105">
        <f>SUMIFS('Monthly CF''s'!$P10:$BK10,'Monthly CF''s'!$P$2:$BK$2,"&gt;"&amp;'Annual CF''s (Calendar Year)'!C$4,'Monthly CF''s'!$P$2:$BK$2,"&lt;="&amp;'Annual CF''s (Calendar Year)'!D$4)</f>
        <v>-37250.496800000008</v>
      </c>
      <c r="E13" s="105">
        <f>SUMIFS('Monthly CF''s'!$P10:$BK10,'Monthly CF''s'!$P$2:$BK$2,"&gt;"&amp;'Annual CF''s (Calendar Year)'!D$4,'Monthly CF''s'!$P$2:$BK$2,"&lt;="&amp;'Annual CF''s (Calendar Year)'!E$4)</f>
        <v>-38368.011703999997</v>
      </c>
      <c r="F13" s="687">
        <f>SUMIFS('Monthly CF''s'!$P10:$BK10,'Monthly CF''s'!$P$2:$BK$2,"&gt;"&amp;'Annual CF''s (Calendar Year)'!E$4,'Monthly CF''s'!$P$2:$BK$2,"&lt;="&amp;'Annual CF''s (Calendar Year)'!F$4)</f>
        <v>-39519.052055120002</v>
      </c>
    </row>
    <row r="14" spans="2:36">
      <c r="B14" s="663" t="str">
        <f>'Year-1 Proforma'!B9</f>
        <v>Credit Loss / Bad Debt</v>
      </c>
      <c r="C14" s="105">
        <f>SUMIFS('Monthly CF''s'!$P11:$BK11,'Monthly CF''s'!$P$2:$BK$2,"&gt;"&amp;(EOMONTH(C$4,-12)),'Monthly CF''s'!$P$2:$BK$2,"&lt;="&amp;'Annual CF''s (Calendar Year)'!C$4)</f>
        <v>-30734.733333333334</v>
      </c>
      <c r="D14" s="105">
        <f>SUMIFS('Monthly CF''s'!$P11:$BK11,'Monthly CF''s'!$P$2:$BK$2,"&gt;"&amp;'Annual CF''s (Calendar Year)'!C$4,'Monthly CF''s'!$P$2:$BK$2,"&lt;="&amp;'Annual CF''s (Calendar Year)'!D$4)</f>
        <v>-93126.242000000013</v>
      </c>
      <c r="E14" s="105">
        <f>SUMIFS('Monthly CF''s'!$P11:$BK11,'Monthly CF''s'!$P$2:$BK$2,"&gt;"&amp;'Annual CF''s (Calendar Year)'!D$4,'Monthly CF''s'!$P$2:$BK$2,"&lt;="&amp;'Annual CF''s (Calendar Year)'!E$4)</f>
        <v>-95920.029260000025</v>
      </c>
      <c r="F14" s="687">
        <f>SUMIFS('Monthly CF''s'!$P11:$BK11,'Monthly CF''s'!$P$2:$BK$2,"&gt;"&amp;'Annual CF''s (Calendar Year)'!E$4,'Monthly CF''s'!$P$2:$BK$2,"&lt;="&amp;'Annual CF''s (Calendar Year)'!F$4)</f>
        <v>-98797.630137800006</v>
      </c>
    </row>
    <row r="15" spans="2:36">
      <c r="B15" s="688" t="str">
        <f>'Year-1 Proforma'!B10</f>
        <v>Total Rental Revenue</v>
      </c>
      <c r="C15" s="106">
        <f>SUM(C10:C14)</f>
        <v>2255929.4266666663</v>
      </c>
      <c r="D15" s="106">
        <f t="shared" ref="D15:E15" si="1">SUM(D10:D14)</f>
        <v>6835466.162800001</v>
      </c>
      <c r="E15" s="106">
        <f t="shared" si="1"/>
        <v>7040530.1476840004</v>
      </c>
      <c r="F15" s="689">
        <f>SUM(F10:F14)</f>
        <v>7251746.0521145212</v>
      </c>
    </row>
    <row r="16" spans="2:36" ht="6" customHeight="1">
      <c r="B16" s="26"/>
      <c r="F16" s="685"/>
    </row>
    <row r="17" spans="2:6">
      <c r="B17" s="51" t="str">
        <f>'Year-1 Proforma'!B12</f>
        <v>Other Income</v>
      </c>
      <c r="F17" s="685"/>
    </row>
    <row r="18" spans="2:6">
      <c r="B18" s="663" t="str">
        <f>'Year-1 Proforma'!B13</f>
        <v>Admin &amp; App Income</v>
      </c>
      <c r="C18" s="105">
        <f>SUMIFS('Monthly CF''s'!$P15:$BK15,'Monthly CF''s'!$P$2:$BK$2,"&gt;"&amp;(EOMONTH(C$4,-12)),'Monthly CF''s'!$P$2:$BK$2,"&lt;="&amp;'Annual CF''s (Calendar Year)'!C$4)</f>
        <v>15184</v>
      </c>
      <c r="D18" s="105">
        <f>SUMIFS('Monthly CF''s'!$P15:$BK15,'Monthly CF''s'!$P$2:$BK$2,"&gt;"&amp;'Annual CF''s (Calendar Year)'!C$4,'Monthly CF''s'!$P$2:$BK$2,"&lt;="&amp;'Annual CF''s (Calendar Year)'!D$4)</f>
        <v>45855.679999999993</v>
      </c>
      <c r="E18" s="105">
        <f>SUMIFS('Monthly CF''s'!$P15:$BK15,'Monthly CF''s'!$P$2:$BK$2,"&gt;"&amp;'Annual CF''s (Calendar Year)'!D$4,'Monthly CF''s'!$P$2:$BK$2,"&lt;="&amp;'Annual CF''s (Calendar Year)'!E$4)</f>
        <v>46772.793599999983</v>
      </c>
      <c r="F18" s="687">
        <f>SUMIFS('Monthly CF''s'!$P15:$BK15,'Monthly CF''s'!$P$2:$BK$2,"&gt;"&amp;'Annual CF''s (Calendar Year)'!E$4,'Monthly CF''s'!$P$2:$BK$2,"&lt;="&amp;'Annual CF''s (Calendar Year)'!F$4)</f>
        <v>47708.249471999974</v>
      </c>
    </row>
    <row r="19" spans="2:6">
      <c r="B19" s="663" t="str">
        <f>'Year-1 Proforma'!B14</f>
        <v>Fee &amp; Penalty Income</v>
      </c>
      <c r="C19" s="105">
        <f>SUMIFS('Monthly CF''s'!$P16:$BK16,'Monthly CF''s'!$P$2:$BK$2,"&gt;"&amp;(EOMONTH(C$4,-12)),'Monthly CF''s'!$P$2:$BK$2,"&lt;="&amp;'Annual CF''s (Calendar Year)'!C$4)</f>
        <v>7062.333333333333</v>
      </c>
      <c r="D19" s="105">
        <f>SUMIFS('Monthly CF''s'!$P16:$BK16,'Monthly CF''s'!$P$2:$BK$2,"&gt;"&amp;'Annual CF''s (Calendar Year)'!C$4,'Monthly CF''s'!$P$2:$BK$2,"&lt;="&amp;'Annual CF''s (Calendar Year)'!D$4)</f>
        <v>21328.24666666667</v>
      </c>
      <c r="E19" s="105">
        <f>SUMIFS('Monthly CF''s'!$P16:$BK16,'Monthly CF''s'!$P$2:$BK$2,"&gt;"&amp;'Annual CF''s (Calendar Year)'!D$4,'Monthly CF''s'!$P$2:$BK$2,"&lt;="&amp;'Annual CF''s (Calendar Year)'!E$4)</f>
        <v>21754.811600000001</v>
      </c>
      <c r="F19" s="687">
        <f>SUMIFS('Monthly CF''s'!$P16:$BK16,'Monthly CF''s'!$P$2:$BK$2,"&gt;"&amp;'Annual CF''s (Calendar Year)'!E$4,'Monthly CF''s'!$P$2:$BK$2,"&lt;="&amp;'Annual CF''s (Calendar Year)'!F$4)</f>
        <v>22189.907832000001</v>
      </c>
    </row>
    <row r="20" spans="2:6">
      <c r="B20" s="663" t="str">
        <f>'Year-1 Proforma'!B15</f>
        <v>Other Income</v>
      </c>
      <c r="C20" s="105">
        <f>SUMIFS('Monthly CF''s'!$P17:$BK17,'Monthly CF''s'!$P$2:$BK$2,"&gt;"&amp;(EOMONTH(C$4,-12)),'Monthly CF''s'!$P$2:$BK$2,"&lt;="&amp;'Annual CF''s (Calendar Year)'!C$4)</f>
        <v>11098</v>
      </c>
      <c r="D20" s="105">
        <f>SUMIFS('Monthly CF''s'!$P17:$BK17,'Monthly CF''s'!$P$2:$BK$2,"&gt;"&amp;'Annual CF''s (Calendar Year)'!C$4,'Monthly CF''s'!$P$2:$BK$2,"&lt;="&amp;'Annual CF''s (Calendar Year)'!D$4)</f>
        <v>33515.959999999992</v>
      </c>
      <c r="E20" s="105">
        <f>SUMIFS('Monthly CF''s'!$P17:$BK17,'Monthly CF''s'!$P$2:$BK$2,"&gt;"&amp;'Annual CF''s (Calendar Year)'!D$4,'Monthly CF''s'!$P$2:$BK$2,"&lt;="&amp;'Annual CF''s (Calendar Year)'!E$4)</f>
        <v>34186.27919999999</v>
      </c>
      <c r="F20" s="687">
        <f>SUMIFS('Monthly CF''s'!$P17:$BK17,'Monthly CF''s'!$P$2:$BK$2,"&gt;"&amp;'Annual CF''s (Calendar Year)'!E$4,'Monthly CF''s'!$P$2:$BK$2,"&lt;="&amp;'Annual CF''s (Calendar Year)'!F$4)</f>
        <v>34870.004783999982</v>
      </c>
    </row>
    <row r="21" spans="2:6">
      <c r="B21" s="663" t="str">
        <f>'Year-1 Proforma'!B16</f>
        <v>Parking Income</v>
      </c>
      <c r="C21" s="105">
        <f>SUMIFS('Monthly CF''s'!$P18:$BK18,'Monthly CF''s'!$P$2:$BK$2,"&gt;"&amp;(EOMONTH(C$4,-12)),'Monthly CF''s'!$P$2:$BK$2,"&lt;="&amp;'Annual CF''s (Calendar Year)'!C$4)</f>
        <v>29260</v>
      </c>
      <c r="D21" s="105">
        <f>SUMIFS('Monthly CF''s'!$P18:$BK18,'Monthly CF''s'!$P$2:$BK$2,"&gt;"&amp;'Annual CF''s (Calendar Year)'!C$4,'Monthly CF''s'!$P$2:$BK$2,"&lt;="&amp;'Annual CF''s (Calendar Year)'!D$4)</f>
        <v>88365.200000000012</v>
      </c>
      <c r="E21" s="105">
        <f>SUMIFS('Monthly CF''s'!$P18:$BK18,'Monthly CF''s'!$P$2:$BK$2,"&gt;"&amp;'Annual CF''s (Calendar Year)'!D$4,'Monthly CF''s'!$P$2:$BK$2,"&lt;="&amp;'Annual CF''s (Calendar Year)'!E$4)</f>
        <v>90132.504000000001</v>
      </c>
      <c r="F21" s="687">
        <f>SUMIFS('Monthly CF''s'!$P18:$BK18,'Monthly CF''s'!$P$2:$BK$2,"&gt;"&amp;'Annual CF''s (Calendar Year)'!E$4,'Monthly CF''s'!$P$2:$BK$2,"&lt;="&amp;'Annual CF''s (Calendar Year)'!F$4)</f>
        <v>91935.154080000022</v>
      </c>
    </row>
    <row r="22" spans="2:6">
      <c r="B22" s="688" t="str">
        <f>'Year-1 Proforma'!B17</f>
        <v>Total Other Income</v>
      </c>
      <c r="C22" s="106">
        <f>SUM(C18:C21)</f>
        <v>62604.333333333328</v>
      </c>
      <c r="D22" s="106">
        <f t="shared" ref="D22:F22" si="2">SUM(D18:D21)</f>
        <v>189065.08666666667</v>
      </c>
      <c r="E22" s="106">
        <f>SUM(E18:E21)</f>
        <v>192846.3884</v>
      </c>
      <c r="F22" s="689">
        <f t="shared" si="2"/>
        <v>196703.31616799999</v>
      </c>
    </row>
    <row r="23" spans="2:6" ht="6" customHeight="1">
      <c r="B23" s="26"/>
      <c r="F23" s="685"/>
    </row>
    <row r="24" spans="2:6">
      <c r="B24" s="690" t="str">
        <f>'Year-1 Proforma'!B19</f>
        <v>Total Revenue</v>
      </c>
      <c r="C24" s="691">
        <f>C15+C22</f>
        <v>2318533.7599999998</v>
      </c>
      <c r="D24" s="691">
        <f t="shared" ref="D24" si="3">D15+D22</f>
        <v>7024531.2494666679</v>
      </c>
      <c r="E24" s="691">
        <f>E15+E22</f>
        <v>7233376.536084</v>
      </c>
      <c r="F24" s="692">
        <f>F15+F22</f>
        <v>7448449.3682825211</v>
      </c>
    </row>
    <row r="25" spans="2:6" ht="9.75" customHeight="1">
      <c r="B25" s="26"/>
      <c r="F25" s="685"/>
    </row>
    <row r="26" spans="2:6">
      <c r="B26" s="51" t="str">
        <f>'Year-1 Proforma'!B21</f>
        <v>Expenses</v>
      </c>
      <c r="F26" s="685"/>
    </row>
    <row r="27" spans="2:6">
      <c r="B27" s="693" t="str">
        <f>'Year-1 Proforma'!B22</f>
        <v>Controllable</v>
      </c>
      <c r="F27" s="685"/>
    </row>
    <row r="28" spans="2:6">
      <c r="B28" s="663" t="str">
        <f>'Year-1 Proforma'!B23</f>
        <v>General &amp; Administrative</v>
      </c>
      <c r="C28" s="105">
        <f>SUMIFS('Monthly CF''s'!$P25:$BK25,'Monthly CF''s'!$P$2:$BK$2,"&gt;"&amp;(EOMONTH(C$4,-12)),'Monthly CF''s'!$P$2:$BK$2,"&lt;="&amp;'Annual CF''s (Calendar Year)'!C$4)</f>
        <v>19824</v>
      </c>
      <c r="D28" s="105">
        <f>SUMIFS('Monthly CF''s'!$P25:$BK25,'Monthly CF''s'!$P$2:$BK$2,"&gt;"&amp;'Annual CF''s (Calendar Year)'!C$4,'Monthly CF''s'!$P$2:$BK$2,"&lt;="&amp;'Annual CF''s (Calendar Year)'!D$4)</f>
        <v>59868.48000000001</v>
      </c>
      <c r="E28" s="105">
        <f>SUMIFS('Monthly CF''s'!$P25:$BK25,'Monthly CF''s'!$P$2:$BK$2,"&gt;"&amp;'Annual CF''s (Calendar Year)'!D$4,'Monthly CF''s'!$P$2:$BK$2,"&lt;="&amp;'Annual CF''s (Calendar Year)'!E$4)</f>
        <v>61065.849599999994</v>
      </c>
      <c r="F28" s="687">
        <f>SUMIFS('Monthly CF''s'!$P25:$BK25,'Monthly CF''s'!$P$2:$BK$2,"&gt;"&amp;'Annual CF''s (Calendar Year)'!E$4,'Monthly CF''s'!$P$2:$BK$2,"&lt;="&amp;'Annual CF''s (Calendar Year)'!F$4)</f>
        <v>62287.166592000016</v>
      </c>
    </row>
    <row r="29" spans="2:6">
      <c r="B29" s="663" t="str">
        <f>'Year-1 Proforma'!B24</f>
        <v>Payroll &amp; Benefits</v>
      </c>
      <c r="C29" s="105">
        <f>SUMIFS('Monthly CF''s'!$P26:$BK26,'Monthly CF''s'!$P$2:$BK$2,"&gt;"&amp;(EOMONTH(C$4,-12)),'Monthly CF''s'!$P$2:$BK$2,"&lt;="&amp;'Annual CF''s (Calendar Year)'!C$4)</f>
        <v>121898</v>
      </c>
      <c r="D29" s="105">
        <f>SUMIFS('Monthly CF''s'!$P26:$BK26,'Monthly CF''s'!$P$2:$BK$2,"&gt;"&amp;'Annual CF''s (Calendar Year)'!C$4,'Monthly CF''s'!$P$2:$BK$2,"&lt;="&amp;'Annual CF''s (Calendar Year)'!D$4)</f>
        <v>368131.95999999996</v>
      </c>
      <c r="E29" s="105">
        <f>SUMIFS('Monthly CF''s'!$P26:$BK26,'Monthly CF''s'!$P$2:$BK$2,"&gt;"&amp;'Annual CF''s (Calendar Year)'!D$4,'Monthly CF''s'!$P$2:$BK$2,"&lt;="&amp;'Annual CF''s (Calendar Year)'!E$4)</f>
        <v>375494.59919999988</v>
      </c>
      <c r="F29" s="687">
        <f>SUMIFS('Monthly CF''s'!$P26:$BK26,'Monthly CF''s'!$P$2:$BK$2,"&gt;"&amp;'Annual CF''s (Calendar Year)'!E$4,'Monthly CF''s'!$P$2:$BK$2,"&lt;="&amp;'Annual CF''s (Calendar Year)'!F$4)</f>
        <v>383004.49118399987</v>
      </c>
    </row>
    <row r="30" spans="2:6">
      <c r="B30" s="663" t="str">
        <f>'Year-1 Proforma'!B26</f>
        <v>Leasing &amp; Marketing</v>
      </c>
      <c r="C30" s="105">
        <f>SUMIFS('Monthly CF''s'!$P27:$BK27,'Monthly CF''s'!$P$2:$BK$2,"&gt;"&amp;(EOMONTH(C$4,-12)),'Monthly CF''s'!$P$2:$BK$2,"&lt;="&amp;'Annual CF''s (Calendar Year)'!C$4)</f>
        <v>26373</v>
      </c>
      <c r="D30" s="105">
        <f>SUMIFS('Monthly CF''s'!$P27:$BK27,'Monthly CF''s'!$P$2:$BK$2,"&gt;"&amp;'Annual CF''s (Calendar Year)'!C$4,'Monthly CF''s'!$P$2:$BK$2,"&lt;="&amp;'Annual CF''s (Calendar Year)'!D$4)</f>
        <v>79646.460000000006</v>
      </c>
      <c r="E30" s="105">
        <f>SUMIFS('Monthly CF''s'!$P27:$BK27,'Monthly CF''s'!$P$2:$BK$2,"&gt;"&amp;'Annual CF''s (Calendar Year)'!D$4,'Monthly CF''s'!$P$2:$BK$2,"&lt;="&amp;'Annual CF''s (Calendar Year)'!E$4)</f>
        <v>81239.389199999991</v>
      </c>
      <c r="F30" s="687">
        <f>SUMIFS('Monthly CF''s'!$P27:$BK27,'Monthly CF''s'!$P$2:$BK$2,"&gt;"&amp;'Annual CF''s (Calendar Year)'!E$4,'Monthly CF''s'!$P$2:$BK$2,"&lt;="&amp;'Annual CF''s (Calendar Year)'!F$4)</f>
        <v>82864.176983999991</v>
      </c>
    </row>
    <row r="31" spans="2:6">
      <c r="B31" s="663" t="str">
        <f>'Year-1 Proforma'!B27</f>
        <v>Contract Services</v>
      </c>
      <c r="C31" s="105">
        <f>SUMIFS('Monthly CF''s'!$P28:$BK28,'Monthly CF''s'!$P$2:$BK$2,"&gt;"&amp;(EOMONTH(C$4,-12)),'Monthly CF''s'!$P$2:$BK$2,"&lt;="&amp;'Annual CF''s (Calendar Year)'!C$4)</f>
        <v>70976</v>
      </c>
      <c r="D31" s="105">
        <f>SUMIFS('Monthly CF''s'!$P28:$BK28,'Monthly CF''s'!$P$2:$BK$2,"&gt;"&amp;'Annual CF''s (Calendar Year)'!C$4,'Monthly CF''s'!$P$2:$BK$2,"&lt;="&amp;'Annual CF''s (Calendar Year)'!D$4)</f>
        <v>214347.52000000002</v>
      </c>
      <c r="E31" s="105">
        <f>SUMIFS('Monthly CF''s'!$P28:$BK28,'Monthly CF''s'!$P$2:$BK$2,"&gt;"&amp;'Annual CF''s (Calendar Year)'!D$4,'Monthly CF''s'!$P$2:$BK$2,"&lt;="&amp;'Annual CF''s (Calendar Year)'!E$4)</f>
        <v>218634.47039999999</v>
      </c>
      <c r="F31" s="687">
        <f>SUMIFS('Monthly CF''s'!$P28:$BK28,'Monthly CF''s'!$P$2:$BK$2,"&gt;"&amp;'Annual CF''s (Calendar Year)'!E$4,'Monthly CF''s'!$P$2:$BK$2,"&lt;="&amp;'Annual CF''s (Calendar Year)'!F$4)</f>
        <v>223007.15980799997</v>
      </c>
    </row>
    <row r="32" spans="2:6">
      <c r="B32" s="663" t="str">
        <f>'Year-1 Proforma'!B25</f>
        <v>Management Fee</v>
      </c>
      <c r="C32" s="105">
        <f>SUMIFS('Monthly CF''s'!$P29:$BK29,'Monthly CF''s'!$P$2:$BK$2,"&gt;"&amp;(EOMONTH(C$4,-12)),'Monthly CF''s'!$P$2:$BK$2,"&lt;="&amp;'Annual CF''s (Calendar Year)'!C$4)</f>
        <v>69556.012799999997</v>
      </c>
      <c r="D32" s="105">
        <f>SUMIFS('Monthly CF''s'!$P29:$BK29,'Monthly CF''s'!$P$2:$BK$2,"&gt;"&amp;'Annual CF''s (Calendar Year)'!C$4,'Monthly CF''s'!$P$2:$BK$2,"&lt;="&amp;'Annual CF''s (Calendar Year)'!D$4)</f>
        <v>210735.93748400005</v>
      </c>
      <c r="E32" s="105">
        <f>SUMIFS('Monthly CF''s'!$P29:$BK29,'Monthly CF''s'!$P$2:$BK$2,"&gt;"&amp;'Annual CF''s (Calendar Year)'!D$4,'Monthly CF''s'!$P$2:$BK$2,"&lt;="&amp;'Annual CF''s (Calendar Year)'!E$4)</f>
        <v>217001.29608252004</v>
      </c>
      <c r="F32" s="687">
        <f>SUMIFS('Monthly CF''s'!$P29:$BK29,'Monthly CF''s'!$P$2:$BK$2,"&gt;"&amp;'Annual CF''s (Calendar Year)'!E$4,'Monthly CF''s'!$P$2:$BK$2,"&lt;="&amp;'Annual CF''s (Calendar Year)'!F$4)</f>
        <v>223453.48104847569</v>
      </c>
    </row>
    <row r="33" spans="2:6">
      <c r="B33" s="663" t="str">
        <f>'Year-1 Proforma'!B28</f>
        <v>Repairs &amp; Maintenance</v>
      </c>
      <c r="C33" s="105">
        <f>SUMIFS('Monthly CF''s'!$P30:$BK30,'Monthly CF''s'!$P$2:$BK$2,"&gt;"&amp;(EOMONTH(C$4,-12)),'Monthly CF''s'!$P$2:$BK$2,"&lt;="&amp;'Annual CF''s (Calendar Year)'!C$4)</f>
        <v>32000</v>
      </c>
      <c r="D33" s="105">
        <f>SUMIFS('Monthly CF''s'!$P30:$BK30,'Monthly CF''s'!$P$2:$BK$2,"&gt;"&amp;'Annual CF''s (Calendar Year)'!C$4,'Monthly CF''s'!$P$2:$BK$2,"&lt;="&amp;'Annual CF''s (Calendar Year)'!D$4)</f>
        <v>96640</v>
      </c>
      <c r="E33" s="105">
        <f>SUMIFS('Monthly CF''s'!$P30:$BK30,'Monthly CF''s'!$P$2:$BK$2,"&gt;"&amp;'Annual CF''s (Calendar Year)'!D$4,'Monthly CF''s'!$P$2:$BK$2,"&lt;="&amp;'Annual CF''s (Calendar Year)'!E$4)</f>
        <v>98572.799999999988</v>
      </c>
      <c r="F33" s="687">
        <f>SUMIFS('Monthly CF''s'!$P30:$BK30,'Monthly CF''s'!$P$2:$BK$2,"&gt;"&amp;'Annual CF''s (Calendar Year)'!E$4,'Monthly CF''s'!$P$2:$BK$2,"&lt;="&amp;'Annual CF''s (Calendar Year)'!F$4)</f>
        <v>100544.25600000001</v>
      </c>
    </row>
    <row r="34" spans="2:6">
      <c r="B34" s="663" t="str">
        <f>'Year-1 Proforma'!B29</f>
        <v>Turnover / Make Ready</v>
      </c>
      <c r="C34" s="105">
        <f>SUMIFS('Monthly CF''s'!$P31:$BK31,'Monthly CF''s'!$P$2:$BK$2,"&gt;"&amp;(EOMONTH(C$4,-12)),'Monthly CF''s'!$P$2:$BK$2,"&lt;="&amp;'Annual CF''s (Calendar Year)'!C$4)</f>
        <v>28674</v>
      </c>
      <c r="D34" s="105">
        <f>SUMIFS('Monthly CF''s'!$P31:$BK31,'Monthly CF''s'!$P$2:$BK$2,"&gt;"&amp;'Annual CF''s (Calendar Year)'!C$4,'Monthly CF''s'!$P$2:$BK$2,"&lt;="&amp;'Annual CF''s (Calendar Year)'!D$4)</f>
        <v>86595.48</v>
      </c>
      <c r="E34" s="105">
        <f>SUMIFS('Monthly CF''s'!$P31:$BK31,'Monthly CF''s'!$P$2:$BK$2,"&gt;"&amp;'Annual CF''s (Calendar Year)'!D$4,'Monthly CF''s'!$P$2:$BK$2,"&lt;="&amp;'Annual CF''s (Calendar Year)'!E$4)</f>
        <v>88327.38959999998</v>
      </c>
      <c r="F34" s="687">
        <f>SUMIFS('Monthly CF''s'!$P31:$BK31,'Monthly CF''s'!$P$2:$BK$2,"&gt;"&amp;'Annual CF''s (Calendar Year)'!E$4,'Monthly CF''s'!$P$2:$BK$2,"&lt;="&amp;'Annual CF''s (Calendar Year)'!F$4)</f>
        <v>90093.937391999993</v>
      </c>
    </row>
    <row r="35" spans="2:6">
      <c r="B35" s="693" t="str">
        <f>'Year-1 Proforma'!B31</f>
        <v>Non-Controllable</v>
      </c>
      <c r="F35" s="685"/>
    </row>
    <row r="36" spans="2:6">
      <c r="B36" s="663" t="str">
        <f>'Year-1 Proforma'!B32</f>
        <v>Insurance</v>
      </c>
      <c r="C36" s="105">
        <f>SUMIFS('Monthly CF''s'!$P33:$BK33,'Monthly CF''s'!$P$2:$BK$2,"&gt;"&amp;(EOMONTH(C$4,-12)),'Monthly CF''s'!$P$2:$BK$2,"&lt;="&amp;'Annual CF''s (Calendar Year)'!C$4)</f>
        <v>66378.768750000003</v>
      </c>
      <c r="D36" s="105">
        <f>SUMIFS('Monthly CF''s'!$P33:$BK33,'Monthly CF''s'!$P$2:$BK$2,"&gt;"&amp;'Annual CF''s (Calendar Year)'!C$4,'Monthly CF''s'!$P$2:$BK$2,"&lt;="&amp;'Annual CF''s (Calendar Year)'!D$4)</f>
        <v>200463.88162500007</v>
      </c>
      <c r="E36" s="105">
        <f>SUMIFS('Monthly CF''s'!$P33:$BK33,'Monthly CF''s'!$P$2:$BK$2,"&gt;"&amp;'Annual CF''s (Calendar Year)'!D$4,'Monthly CF''s'!$P$2:$BK$2,"&lt;="&amp;'Annual CF''s (Calendar Year)'!E$4)</f>
        <v>204473.15925750011</v>
      </c>
      <c r="F36" s="687">
        <f>SUMIFS('Monthly CF''s'!$P33:$BK33,'Monthly CF''s'!$P$2:$BK$2,"&gt;"&amp;'Annual CF''s (Calendar Year)'!E$4,'Monthly CF''s'!$P$2:$BK$2,"&lt;="&amp;'Annual CF''s (Calendar Year)'!F$4)</f>
        <v>208562.62244265008</v>
      </c>
    </row>
    <row r="37" spans="2:6">
      <c r="B37" s="663" t="str">
        <f>'Year-1 Proforma'!B33</f>
        <v>Real Estate Taxes</v>
      </c>
      <c r="C37" s="105">
        <f>SUMIFS('Monthly CF''s'!$P34:$BK34,'Monthly CF''s'!$P$2:$BK$2,"&gt;"&amp;(EOMONTH(C$4,-12)),'Monthly CF''s'!$P$2:$BK$2,"&lt;="&amp;'Annual CF''s (Calendar Year)'!C$4)</f>
        <v>0</v>
      </c>
      <c r="D37" s="105">
        <f>SUMIFS('Monthly CF''s'!$P34:$BK34,'Monthly CF''s'!$P$2:$BK$2,"&gt;"&amp;'Annual CF''s (Calendar Year)'!C$4,'Monthly CF''s'!$P$2:$BK$2,"&lt;="&amp;'Annual CF''s (Calendar Year)'!D$4)</f>
        <v>0</v>
      </c>
      <c r="E37" s="105">
        <f>SUMIFS('Monthly CF''s'!$P34:$BK34,'Monthly CF''s'!$P$2:$BK$2,"&gt;"&amp;'Annual CF''s (Calendar Year)'!D$4,'Monthly CF''s'!$P$2:$BK$2,"&lt;="&amp;'Annual CF''s (Calendar Year)'!E$4)</f>
        <v>0</v>
      </c>
      <c r="F37" s="687">
        <f>SUMIFS('Monthly CF''s'!$P34:$BK34,'Monthly CF''s'!$P$2:$BK$2,"&gt;"&amp;'Annual CF''s (Calendar Year)'!E$4,'Monthly CF''s'!$P$2:$BK$2,"&lt;="&amp;'Annual CF''s (Calendar Year)'!F$4)</f>
        <v>0</v>
      </c>
    </row>
    <row r="38" spans="2:6">
      <c r="B38" s="663" t="str">
        <f>'Year-1 Proforma'!B34</f>
        <v>Utilities</v>
      </c>
      <c r="C38" s="105">
        <f>SUMIFS('Monthly CF''s'!$P35:$BK35,'Monthly CF''s'!$P$2:$BK$2,"&gt;"&amp;(EOMONTH(C$4,-12)),'Monthly CF''s'!$P$2:$BK$2,"&lt;="&amp;'Annual CF''s (Calendar Year)'!C$4)</f>
        <v>106200</v>
      </c>
      <c r="D38" s="105">
        <f>SUMIFS('Monthly CF''s'!$P35:$BK35,'Monthly CF''s'!$P$2:$BK$2,"&gt;"&amp;'Annual CF''s (Calendar Year)'!C$4,'Monthly CF''s'!$P$2:$BK$2,"&lt;="&amp;'Annual CF''s (Calendar Year)'!D$4)</f>
        <v>320724</v>
      </c>
      <c r="E38" s="105">
        <f>SUMIFS('Monthly CF''s'!$P35:$BK35,'Monthly CF''s'!$P$2:$BK$2,"&gt;"&amp;'Annual CF''s (Calendar Year)'!D$4,'Monthly CF''s'!$P$2:$BK$2,"&lt;="&amp;'Annual CF''s (Calendar Year)'!E$4)</f>
        <v>327138.48</v>
      </c>
      <c r="F38" s="687">
        <f>SUMIFS('Monthly CF''s'!$P35:$BK35,'Monthly CF''s'!$P$2:$BK$2,"&gt;"&amp;'Annual CF''s (Calendar Year)'!E$4,'Monthly CF''s'!$P$2:$BK$2,"&lt;="&amp;'Annual CF''s (Calendar Year)'!F$4)</f>
        <v>333681.24959999998</v>
      </c>
    </row>
    <row r="39" spans="2:6">
      <c r="B39" s="624" t="str">
        <f>'Year-1 Proforma'!B36</f>
        <v>Total Expenses</v>
      </c>
      <c r="C39" s="493">
        <f>SUM(C28:C34)+SUM(C36:C38)</f>
        <v>541879.78154999996</v>
      </c>
      <c r="D39" s="493">
        <f>SUM(D28:D34)+SUM(D36:D38)</f>
        <v>1637153.7191090002</v>
      </c>
      <c r="E39" s="493">
        <f>SUM(E28:E34)+SUM(E36:E38)</f>
        <v>1671947.43334002</v>
      </c>
      <c r="F39" s="694">
        <f>SUM(F28:F34)+SUM(F36:F38)</f>
        <v>1707498.5410511259</v>
      </c>
    </row>
    <row r="40" spans="2:6" ht="9.75" customHeight="1">
      <c r="B40" s="26"/>
      <c r="F40" s="685"/>
    </row>
    <row r="41" spans="2:6" ht="15.75" thickBot="1">
      <c r="B41" s="695" t="str">
        <f>'Year-1 Proforma'!B38</f>
        <v>NOI</v>
      </c>
      <c r="C41" s="696">
        <f>C24-C39</f>
        <v>1776653.9784499998</v>
      </c>
      <c r="D41" s="696">
        <f>D24-D39</f>
        <v>5387377.5303576682</v>
      </c>
      <c r="E41" s="696">
        <f>E24-E39</f>
        <v>5561429.1027439795</v>
      </c>
      <c r="F41" s="697">
        <f>F24-F39</f>
        <v>5740950.8272313951</v>
      </c>
    </row>
    <row r="42" spans="2:6" ht="9.75" customHeight="1" thickTop="1">
      <c r="B42" s="26"/>
      <c r="F42" s="685"/>
    </row>
    <row r="43" spans="2:6">
      <c r="B43" s="693" t="s">
        <v>77</v>
      </c>
      <c r="C43" s="151">
        <f>SUMIFS('Monthly CF''s'!$P40:$BK40,'Monthly CF''s'!$P$2:$BK$2,"&gt;"&amp;(EOMONTH(C$4,-12)),'Monthly CF''s'!$P$2:$BK$2,"&lt;="&amp;'Annual CF''s (Calendar Year)'!C$4)</f>
        <v>1553190.2301679228</v>
      </c>
      <c r="D43" s="151">
        <f>SUMIFS('Monthly CF''s'!$P40:$BK40,'Monthly CF''s'!$P$2:$BK$2,"&gt;"&amp;'Annual CF''s (Calendar Year)'!C$4,'Monthly CF''s'!$P$2:$BK$2,"&lt;="&amp;'Annual CF''s (Calendar Year)'!D$4)</f>
        <v>3595330.6791439876</v>
      </c>
      <c r="E43" s="151">
        <f>SUMIFS('Monthly CF''s'!$P40:$BK40,'Monthly CF''s'!$P$2:$BK$2,"&gt;"&amp;'Annual CF''s (Calendar Year)'!D$4,'Monthly CF''s'!$P$2:$BK$2,"&lt;="&amp;'Annual CF''s (Calendar Year)'!E$4)</f>
        <v>4195326.7936297841</v>
      </c>
      <c r="F43" s="698">
        <f>SUMIFS('Monthly CF''s'!$P40:$BK40,'Monthly CF''s'!$P$2:$BK$2,"&gt;"&amp;'Annual CF''s (Calendar Year)'!E$4,'Monthly CF''s'!$P$2:$BK$2,"&lt;="&amp;'Annual CF''s (Calendar Year)'!F$4)</f>
        <v>4357895.616981335</v>
      </c>
    </row>
    <row r="44" spans="2:6">
      <c r="B44" s="699" t="s">
        <v>146</v>
      </c>
      <c r="C44" s="162">
        <f>C41/C43</f>
        <v>1.1438740367674842</v>
      </c>
      <c r="D44" s="162">
        <f>D41/D43</f>
        <v>1.4984372818915086</v>
      </c>
      <c r="E44" s="162">
        <f>E41/E43</f>
        <v>1.3256247668688159</v>
      </c>
      <c r="F44" s="700">
        <f>F41/F43</f>
        <v>1.3173676773855558</v>
      </c>
    </row>
    <row r="45" spans="2:6" ht="9.75" customHeight="1">
      <c r="B45" s="26"/>
      <c r="F45" s="685"/>
    </row>
    <row r="46" spans="2:6" ht="15.75" thickBot="1">
      <c r="B46" s="516" t="s">
        <v>144</v>
      </c>
      <c r="C46" s="701">
        <f>C41-C43</f>
        <v>223463.74828207702</v>
      </c>
      <c r="D46" s="701">
        <f>D41-D43</f>
        <v>1792046.8512136806</v>
      </c>
      <c r="E46" s="701">
        <f t="shared" ref="E46:F46" si="4">E41-E43</f>
        <v>1366102.3091141954</v>
      </c>
      <c r="F46" s="702">
        <f t="shared" si="4"/>
        <v>1383055.2102500601</v>
      </c>
    </row>
    <row r="47" spans="2:6" ht="9.75" customHeight="1" thickTop="1">
      <c r="B47" s="26"/>
      <c r="F47" s="685"/>
    </row>
    <row r="48" spans="2:6">
      <c r="B48" s="693" t="s">
        <v>143</v>
      </c>
      <c r="C48" s="151">
        <f>SUMIFS('Monthly CF''s'!$P45:$BK45,'Monthly CF''s'!$P$2:$BK$2,"&gt;"&amp;(EOMONTH(C$4,-12)),'Monthly CF''s'!$P$2:$BK$2,"&lt;="&amp;'Annual CF''s (Calendar Year)'!C$4)</f>
        <v>0</v>
      </c>
      <c r="D48" s="151">
        <f>SUMIFS('Monthly CF''s'!$P45:$BK45,'Monthly CF''s'!$P$2:$BK$2,"&gt;"&amp;'Annual CF''s (Calendar Year)'!C$4,'Monthly CF''s'!$P$2:$BK$2,"&lt;="&amp;'Annual CF''s (Calendar Year)'!D$4)</f>
        <v>18875</v>
      </c>
      <c r="E48" s="151">
        <f>SUMIFS('Monthly CF''s'!$P45:$BK45,'Monthly CF''s'!$P$2:$BK$2,"&gt;"&amp;'Annual CF''s (Calendar Year)'!D$4,'Monthly CF''s'!$P$2:$BK$2,"&lt;="&amp;'Annual CF''s (Calendar Year)'!E$4)</f>
        <v>22650</v>
      </c>
      <c r="F48" s="698">
        <f>SUMIFS('Monthly CF''s'!$P45:$BK45,'Monthly CF''s'!$P$2:$BK$2,"&gt;"&amp;'Annual CF''s (Calendar Year)'!E$4,'Monthly CF''s'!$P$2:$BK$2,"&lt;="&amp;'Annual CF''s (Calendar Year)'!F$4)</f>
        <v>22650</v>
      </c>
    </row>
    <row r="49" spans="2:6" ht="9.75" customHeight="1">
      <c r="B49" s="26"/>
      <c r="F49" s="685"/>
    </row>
    <row r="50" spans="2:6">
      <c r="B50" s="693" t="str">
        <f>+'Monthly CF''s'!B47</f>
        <v>Tax Abatement Savings</v>
      </c>
      <c r="C50" s="151">
        <f>SUMIFS('Monthly CF''s'!$P47:$BK47,'Monthly CF''s'!$P$2:$BK$2,"&gt;"&amp;(EOMONTH(C$4,-12)),'Monthly CF''s'!$P$2:$BK$2,"&lt;="&amp;'Annual CF''s (Calendar Year)'!C$4)</f>
        <v>0</v>
      </c>
      <c r="D50" s="151">
        <f>SUMIFS('Monthly CF''s'!$P47:$BK47,'Monthly CF''s'!$P$2:$BK$2,"&gt;"&amp;'Annual CF''s (Calendar Year)'!C$4,'Monthly CF''s'!$P$2:$BK$2,"&lt;="&amp;'Annual CF''s (Calendar Year)'!D$4)</f>
        <v>0</v>
      </c>
      <c r="E50" s="151">
        <f>SUMIFS('Monthly CF''s'!$P47:$BK47,'Monthly CF''s'!$P$2:$BK$2,"&gt;"&amp;'Annual CF''s (Calendar Year)'!D$4,'Monthly CF''s'!$P$2:$BK$2,"&lt;="&amp;'Annual CF''s (Calendar Year)'!E$4)</f>
        <v>0</v>
      </c>
      <c r="F50" s="698">
        <f>SUMIFS('Monthly CF''s'!$P47:$BK47,'Monthly CF''s'!$P$2:$BK$2,"&gt;"&amp;'Annual CF''s (Calendar Year)'!E$4,'Monthly CF''s'!$P$2:$BK$2,"&lt;="&amp;'Annual CF''s (Calendar Year)'!F$4)</f>
        <v>0</v>
      </c>
    </row>
    <row r="51" spans="2:6" ht="9.75" customHeight="1">
      <c r="B51" s="26"/>
      <c r="F51" s="685"/>
    </row>
    <row r="52" spans="2:6" ht="15.75" thickBot="1">
      <c r="B52" s="516" t="s">
        <v>78</v>
      </c>
      <c r="C52" s="701">
        <f>C46-C48+C50</f>
        <v>223463.74828207702</v>
      </c>
      <c r="D52" s="701">
        <f t="shared" ref="D52:F52" si="5">D46-D48+D50</f>
        <v>1773171.8512136806</v>
      </c>
      <c r="E52" s="701">
        <f t="shared" si="5"/>
        <v>1343452.3091141954</v>
      </c>
      <c r="F52" s="701">
        <f t="shared" si="5"/>
        <v>1360405.2102500601</v>
      </c>
    </row>
    <row r="53" spans="2:6" ht="9.75" customHeight="1" thickTop="1">
      <c r="B53" s="26"/>
      <c r="F53" s="685"/>
    </row>
    <row r="54" spans="2:6">
      <c r="B54" s="703" t="s">
        <v>86</v>
      </c>
      <c r="C54" s="171">
        <f>AVERAGEIFS('Monthly CF''s'!$P51:$BK51,'Monthly CF''s'!$P$2:$BK$2,"&gt;"&amp;(EOMONTH(C$4,-12)),'Monthly CF''s'!$P$2:$BK$2,"&lt;="&amp;'Annual CF''s (Calendar Year)'!C$4)</f>
        <v>5.7271622962282082E-2</v>
      </c>
      <c r="D54" s="171">
        <f>AVERAGEIFS('Monthly CF''s'!$P51:$BK51,'Monthly CF''s'!$P$2:$BK$2,"&gt;"&amp;'Annual CF''s (Calendar Year)'!C$4,'Monthly CF''s'!$P$2:$BK$2,"&lt;="&amp;'Annual CF''s (Calendar Year)'!D$4)</f>
        <v>5.7888566263063497E-2</v>
      </c>
      <c r="E54" s="171">
        <f>AVERAGEIFS('Monthly CF''s'!$P51:$BK51,'Monthly CF''s'!$P$2:$BK$2,"&gt;"&amp;'Annual CF''s (Calendar Year)'!D$4,'Monthly CF''s'!$P$2:$BK$2,"&lt;="&amp;'Annual CF''s (Calendar Year)'!E$4)</f>
        <v>5.9758789005854407E-2</v>
      </c>
      <c r="F54" s="704">
        <f>AVERAGEIFS('Monthly CF''s'!$P51:$BK51,'Monthly CF''s'!$P$2:$BK$2,"&gt;"&amp;'Annual CF''s (Calendar Year)'!E$4,'Monthly CF''s'!$P$2:$BK$2,"&lt;="&amp;'Annual CF''s (Calendar Year)'!F$4)</f>
        <v>6.168778974602699E-2</v>
      </c>
    </row>
    <row r="55" spans="2:6" ht="6" customHeight="1">
      <c r="B55" s="703"/>
      <c r="C55" s="171"/>
      <c r="D55" s="171"/>
      <c r="E55" s="171"/>
      <c r="F55" s="704"/>
    </row>
    <row r="56" spans="2:6">
      <c r="B56" s="703" t="s">
        <v>87</v>
      </c>
      <c r="C56" s="171">
        <f>AVERAGEIFS('Monthly CF''s'!$P53:$BK53,'Monthly CF''s'!$P$2:$BK$2,"&gt;"&amp;(EOMONTH(C$4,-12)),'Monthly CF''s'!$P$2:$BK$2,"&lt;="&amp;'Annual CF''s (Calendar Year)'!C$4)</f>
        <v>0.21662657748131117</v>
      </c>
      <c r="D56" s="171">
        <f>AVERAGEIFS('Monthly CF''s'!$P53:$BK53,'Monthly CF''s'!$P$2:$BK$2,"&gt;"&amp;'Annual CF''s (Calendar Year)'!C$4,'Monthly CF''s'!$P$2:$BK$2,"&lt;="&amp;'Annual CF''s (Calendar Year)'!D$4)</f>
        <v>7.0021417838549913E-2</v>
      </c>
      <c r="E56" s="171">
        <f>AVERAGEIFS('Monthly CF''s'!$P53:$BK53,'Monthly CF''s'!$P$2:$BK$2,"&gt;"&amp;'Annual CF''s (Calendar Year)'!D$4,'Monthly CF''s'!$P$2:$BK$2,"&lt;="&amp;'Annual CF''s (Calendar Year)'!E$4)</f>
        <v>5.2860672147537459E-2</v>
      </c>
      <c r="F56" s="704">
        <f>AVERAGEIFS('Monthly CF''s'!$P53:$BK53,'Monthly CF''s'!$P$2:$BK$2,"&gt;"&amp;'Annual CF''s (Calendar Year)'!E$4,'Monthly CF''s'!$P$2:$BK$2,"&lt;="&amp;'Annual CF''s (Calendar Year)'!F$4)</f>
        <v>5.3527716107946738E-2</v>
      </c>
    </row>
    <row r="57" spans="2:6" ht="6.75" customHeight="1" thickBot="1">
      <c r="B57" s="705"/>
      <c r="C57" s="191"/>
      <c r="D57" s="191"/>
      <c r="E57" s="191"/>
      <c r="F57" s="706"/>
    </row>
    <row r="58" spans="2:6" ht="15" customHeight="1">
      <c r="B58" s="164"/>
      <c r="C58" s="171"/>
      <c r="D58" s="171"/>
      <c r="E58" s="171"/>
      <c r="F58" s="171"/>
    </row>
    <row r="59" spans="2:6">
      <c r="B59" s="170" t="s">
        <v>154</v>
      </c>
      <c r="C59" s="193">
        <f>C2</f>
        <v>2026</v>
      </c>
      <c r="D59" s="193">
        <f>D2</f>
        <v>2027</v>
      </c>
      <c r="E59" s="193">
        <f>E2</f>
        <v>2028</v>
      </c>
      <c r="F59" s="194">
        <f>F2</f>
        <v>2029</v>
      </c>
    </row>
    <row r="60" spans="2:6">
      <c r="B60" s="179" t="s">
        <v>158</v>
      </c>
      <c r="C60" s="174"/>
      <c r="D60" s="174"/>
      <c r="E60" s="174"/>
      <c r="F60" s="175"/>
    </row>
    <row r="61" spans="2:6">
      <c r="B61" s="190" t="s">
        <v>155</v>
      </c>
      <c r="C61" s="105">
        <f>C52</f>
        <v>223463.74828207702</v>
      </c>
      <c r="D61" s="105">
        <f>D52</f>
        <v>1773171.8512136806</v>
      </c>
      <c r="E61" s="105">
        <f>E52</f>
        <v>1343452.3091141954</v>
      </c>
      <c r="F61" s="169">
        <f>F52</f>
        <v>1360405.2102500601</v>
      </c>
    </row>
    <row r="62" spans="2:6">
      <c r="B62" s="190" t="s">
        <v>156</v>
      </c>
      <c r="C62" s="105" t="str">
        <f>IF(SUMIFS('Monthly CF''s'!$P59:$BK59,'Monthly CF''s'!$P$2:$BK$2,"&gt;"&amp;(EOMONTH(C$4,-12)),'Monthly CF''s'!$P$2:$BK$2,"&lt;="&amp;'Annual CF''s (Calendar Year)'!C$4)=0,"",SUMIFS('Monthly CF''s'!$P59:$BK59,'Monthly CF''s'!$P$2:$BK$2,"&gt;"&amp;(EOMONTH(C$4,-12)),'Monthly CF''s'!$P$2:$BK$2,"&lt;="&amp;'Annual CF''s (Calendar Year)'!C$4))</f>
        <v/>
      </c>
      <c r="D62" s="105">
        <f>IF(SUMIFS('Monthly CF''s'!$P59:$BK59,'Monthly CF''s'!$P$2:$BK$2,"&gt;"&amp;(EOMONTH(D$4,-12)),'Monthly CF''s'!$P$2:$BK$2,"&lt;="&amp;'Annual CF''s (Calendar Year)'!D$4)=0,"",SUMIFS('Monthly CF''s'!$P59:$BK59,'Monthly CF''s'!$P$2:$BK$2,"&gt;"&amp;(EOMONTH(D$4,-12)),'Monthly CF''s'!$P$2:$BK$2,"&lt;="&amp;'Annual CF''s (Calendar Year)'!D$4))</f>
        <v>-1381023.3589114696</v>
      </c>
      <c r="E62" s="105" t="str">
        <f>IF(SUMIFS('Monthly CF''s'!$P59:$BK59,'Monthly CF''s'!$P$2:$BK$2,"&gt;"&amp;(EOMONTH(E$4,-12)),'Monthly CF''s'!$P$2:$BK$2,"&lt;="&amp;'Annual CF''s (Calendar Year)'!E$4)=0,"",SUMIFS('Monthly CF''s'!$P59:$BK59,'Monthly CF''s'!$P$2:$BK$2,"&gt;"&amp;(EOMONTH(E$4,-12)),'Monthly CF''s'!$P$2:$BK$2,"&lt;="&amp;'Annual CF''s (Calendar Year)'!E$4))</f>
        <v/>
      </c>
      <c r="F62" s="199" t="str">
        <f>IF(SUMIFS('Monthly CF''s'!$P59:$BK59,'Monthly CF''s'!$P$2:$BK$2,"&gt;"&amp;(EOMONTH(F$4,-12)),'Monthly CF''s'!$P$2:$BK$2,"&lt;="&amp;'Annual CF''s (Calendar Year)'!F$4)=0,"",SUMIFS('Monthly CF''s'!$P59:$BK59,'Monthly CF''s'!$P$2:$BK$2,"&gt;"&amp;(EOMONTH(F$4,-12)),'Monthly CF''s'!$P$2:$BK$2,"&lt;="&amp;'Annual CF''s (Calendar Year)'!F$4))</f>
        <v/>
      </c>
    </row>
    <row r="63" spans="2:6">
      <c r="B63" s="189" t="s">
        <v>157</v>
      </c>
      <c r="C63" s="154">
        <f>SUM(C61:C62)</f>
        <v>223463.74828207702</v>
      </c>
      <c r="D63" s="154">
        <f t="shared" ref="D63:F63" si="6">SUM(D61:D62)</f>
        <v>392148.492302211</v>
      </c>
      <c r="E63" s="154">
        <f t="shared" si="6"/>
        <v>1343452.3091141954</v>
      </c>
      <c r="F63" s="187">
        <f t="shared" si="6"/>
        <v>1360405.2102500601</v>
      </c>
    </row>
    <row r="64" spans="2:6" ht="9.75" customHeight="1">
      <c r="B64" s="188"/>
      <c r="C64" s="177"/>
      <c r="D64" s="177"/>
      <c r="E64" s="177"/>
      <c r="F64" s="178"/>
    </row>
    <row r="65" spans="2:6">
      <c r="B65" s="188" t="s">
        <v>159</v>
      </c>
      <c r="C65" s="177"/>
      <c r="D65" s="177"/>
      <c r="E65" s="177"/>
      <c r="F65" s="178"/>
    </row>
    <row r="66" spans="2:6">
      <c r="B66" s="168" t="s">
        <v>372</v>
      </c>
      <c r="C66" s="105">
        <f>SUMIFS('Monthly CF''s'!$P63:$BK63,'Monthly CF''s'!$P$2:$BK$2,"="&amp;'Annual CF''s (Calendar Year)'!C$4)</f>
        <v>20428853.234784123</v>
      </c>
      <c r="D66" s="105">
        <f>SUMIFS('Monthly CF''s'!$P63:$BK63,'Monthly CF''s'!$P$2:$BK$2,"="&amp;'Annual CF''s (Calendar Year)'!D$4)</f>
        <v>21602723.089858871</v>
      </c>
      <c r="E66" s="105">
        <f>SUMIFS('Monthly CF''s'!$P63:$BK63,'Monthly CF''s'!$P$2:$BK$2,"="&amp;'Annual CF''s (Calendar Year)'!E$4)</f>
        <v>21602723.089858871</v>
      </c>
      <c r="F66" s="169">
        <f>SUMIFS('Monthly CF''s'!$P63:$BK63,'Monthly CF''s'!$P$2:$BK$2,"="&amp;'Annual CF''s (Calendar Year)'!F$4)</f>
        <v>21602723.089858871</v>
      </c>
    </row>
    <row r="67" spans="2:6">
      <c r="B67" s="168" t="s">
        <v>150</v>
      </c>
      <c r="C67" s="105">
        <f>SUMIFS('Monthly CF''s'!$P64:$BK64,'Monthly CF''s'!$P$2:$BK$2,"="&amp;'Annual CF''s (Calendar Year)'!C$4)</f>
        <v>3605091.7473148457</v>
      </c>
      <c r="D67" s="105">
        <f>SUMIFS('Monthly CF''s'!$P64:$BK64,'Monthly CF''s'!$P$2:$BK$2,"="&amp;'Annual CF''s (Calendar Year)'!D$4)</f>
        <v>3812245.2511515659</v>
      </c>
      <c r="E67" s="105">
        <f>SUMIFS('Monthly CF''s'!$P64:$BK64,'Monthly CF''s'!$P$2:$BK$2,"="&amp;'Annual CF''s (Calendar Year)'!E$4)</f>
        <v>3812245.2511515659</v>
      </c>
      <c r="F67" s="169">
        <f>SUMIFS('Monthly CF''s'!$P64:$BK64,'Monthly CF''s'!$P$2:$BK$2,"="&amp;'Annual CF''s (Calendar Year)'!F$4)</f>
        <v>3812245.2511515659</v>
      </c>
    </row>
    <row r="68" spans="2:6">
      <c r="B68" s="186" t="s">
        <v>151</v>
      </c>
      <c r="C68" s="154">
        <f>SUM(C66:C67)</f>
        <v>24033944.982098967</v>
      </c>
      <c r="D68" s="154">
        <f>SUM(D66:D67)</f>
        <v>25414968.341010436</v>
      </c>
      <c r="E68" s="154">
        <f>SUM(E66:E67)</f>
        <v>25414968.341010436</v>
      </c>
      <c r="F68" s="187">
        <f>SUM(F66:F67)</f>
        <v>25414968.341010436</v>
      </c>
    </row>
    <row r="69" spans="2:6">
      <c r="B69" s="41" t="s">
        <v>161</v>
      </c>
      <c r="C69" s="163"/>
    </row>
    <row r="70" spans="2:6">
      <c r="C70" s="163"/>
    </row>
    <row r="72" spans="2:6">
      <c r="C72" s="163"/>
    </row>
  </sheetData>
  <pageMargins left="0.7" right="0.7" top="0.75" bottom="0.75" header="0.3" footer="0.3"/>
  <pageSetup scale="73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rgb="FF0070C0"/>
  </sheetPr>
  <dimension ref="A1:P77"/>
  <sheetViews>
    <sheetView showGridLines="0" topLeftCell="A18" zoomScale="85" zoomScaleNormal="85" workbookViewId="0">
      <selection activeCell="G12" sqref="G12"/>
    </sheetView>
  </sheetViews>
  <sheetFormatPr defaultColWidth="9.140625" defaultRowHeight="15"/>
  <cols>
    <col min="1" max="1" width="6.28515625" style="210" customWidth="1"/>
    <col min="2" max="2" width="59.42578125" style="211" customWidth="1"/>
    <col min="3" max="3" width="12.7109375" style="211" customWidth="1"/>
    <col min="4" max="4" width="15.140625" style="211" customWidth="1"/>
    <col min="5" max="5" width="3.7109375" style="211" customWidth="1"/>
    <col min="6" max="6" width="28.42578125" style="211" customWidth="1"/>
    <col min="7" max="8" width="14.5703125" style="211" customWidth="1"/>
    <col min="9" max="9" width="14.5703125" style="212" customWidth="1"/>
    <col min="10" max="10" width="14" style="212" customWidth="1"/>
    <col min="11" max="11" width="13.85546875" style="212" customWidth="1"/>
    <col min="12" max="12" width="15.42578125" style="213" customWidth="1"/>
    <col min="13" max="15" width="12.28515625" style="212" bestFit="1" customWidth="1"/>
    <col min="16" max="16384" width="9.140625" style="212"/>
  </cols>
  <sheetData>
    <row r="1" spans="1:14" ht="15.75" thickBot="1"/>
    <row r="2" spans="1:14" ht="15.75" thickBot="1">
      <c r="B2" s="351" t="s">
        <v>188</v>
      </c>
      <c r="C2" s="352"/>
      <c r="D2" s="353"/>
      <c r="E2" s="241"/>
      <c r="F2" s="359" t="s">
        <v>189</v>
      </c>
      <c r="G2" s="360"/>
      <c r="H2" s="360"/>
      <c r="I2" s="361"/>
    </row>
    <row r="3" spans="1:14">
      <c r="B3" s="226" t="str">
        <f>Dashboard!B61</f>
        <v>Disposition Date</v>
      </c>
      <c r="C3" s="1111">
        <f>Dashboard!B63</f>
        <v>46447</v>
      </c>
      <c r="D3" s="1112"/>
      <c r="E3" s="241"/>
      <c r="F3" s="362"/>
      <c r="G3" s="356" t="s">
        <v>190</v>
      </c>
      <c r="H3" s="356" t="s">
        <v>191</v>
      </c>
      <c r="I3" s="363" t="s">
        <v>47</v>
      </c>
      <c r="K3" s="908" t="s">
        <v>192</v>
      </c>
    </row>
    <row r="4" spans="1:14">
      <c r="B4" s="316" t="str">
        <f>Dashboard!C61</f>
        <v>Hold Period</v>
      </c>
      <c r="C4" s="1109">
        <f>Dashboard!C63</f>
        <v>2.1666666666666665</v>
      </c>
      <c r="D4" s="1110"/>
      <c r="E4" s="244"/>
      <c r="F4" s="251">
        <f>Dashboard!E14</f>
        <v>1</v>
      </c>
      <c r="G4" s="357">
        <v>1</v>
      </c>
      <c r="H4" s="367">
        <f>1-G4</f>
        <v>0</v>
      </c>
      <c r="I4" s="371">
        <f>Dashboard!F14</f>
        <v>0.1</v>
      </c>
      <c r="J4" s="358"/>
      <c r="K4" s="909">
        <f>(((1+I4)^(YEARFRAC($C$6,$D$6)))-1)</f>
        <v>0.22937436000579892</v>
      </c>
    </row>
    <row r="5" spans="1:14">
      <c r="B5" s="374" t="s">
        <v>41</v>
      </c>
      <c r="C5" s="375"/>
      <c r="D5" s="400">
        <f>SUM(Dashboard!$F$9:$F$10)</f>
        <v>24033944.982098967</v>
      </c>
      <c r="E5" s="212"/>
      <c r="F5" s="364" t="str">
        <f>Dashboard!E15</f>
        <v>2nd Priority - Return of Capital</v>
      </c>
      <c r="G5" s="368"/>
      <c r="H5" s="368"/>
      <c r="I5" s="365"/>
      <c r="J5" s="254"/>
      <c r="K5" s="910"/>
    </row>
    <row r="6" spans="1:14">
      <c r="B6" s="245" t="s">
        <v>158</v>
      </c>
      <c r="C6" s="246">
        <f>'Property Level Return Calcs'!D4</f>
        <v>45658</v>
      </c>
      <c r="D6" s="247">
        <f>'Property Level Return Calcs'!C2</f>
        <v>46447</v>
      </c>
      <c r="E6" s="246"/>
      <c r="F6" s="251">
        <f>Dashboard!E16</f>
        <v>0.85</v>
      </c>
      <c r="G6" s="369">
        <v>0.6</v>
      </c>
      <c r="H6" s="357">
        <f>1-G6</f>
        <v>0.4</v>
      </c>
      <c r="I6" s="371">
        <f>Dashboard!F16</f>
        <v>0.18</v>
      </c>
      <c r="K6" s="909">
        <f>(((1+I6)^(YEARFRAC($C$6,$D$6)))-1)</f>
        <v>0.43134507877823047</v>
      </c>
      <c r="M6" s="214"/>
      <c r="N6" s="214"/>
    </row>
    <row r="7" spans="1:14">
      <c r="B7" s="248" t="s">
        <v>164</v>
      </c>
      <c r="C7" s="249">
        <f>-D5</f>
        <v>-24033944.982098967</v>
      </c>
      <c r="D7" s="250"/>
      <c r="E7" s="249"/>
      <c r="F7" s="251">
        <f>Dashboard!E18</f>
        <v>0.75</v>
      </c>
      <c r="G7" s="369">
        <v>0.5</v>
      </c>
      <c r="H7" s="357">
        <f>1-G7</f>
        <v>0.5</v>
      </c>
      <c r="I7" s="371">
        <v>1</v>
      </c>
      <c r="K7" s="909">
        <f>(((1+I7)^(YEARFRAC($C$6,$D$6)))-1)</f>
        <v>3.4898481932374912</v>
      </c>
    </row>
    <row r="8" spans="1:14" ht="15.75" thickBot="1">
      <c r="B8" s="248" t="s">
        <v>165</v>
      </c>
      <c r="C8" s="249"/>
      <c r="D8" s="252">
        <f>SUM('Property Level Return Calcs'!$E$9:$AZ$9)</f>
        <v>1847195.6224231154</v>
      </c>
      <c r="E8" s="253"/>
      <c r="F8" s="317">
        <f>Dashboard!E20</f>
        <v>0.65</v>
      </c>
      <c r="G8" s="370">
        <v>0.5</v>
      </c>
      <c r="H8" s="366">
        <f>1-G8</f>
        <v>0.5</v>
      </c>
      <c r="I8" s="372">
        <v>1</v>
      </c>
      <c r="K8" s="909">
        <f>(((1+I8)^(YEARFRAC($C$6,$D$6)))-1)</f>
        <v>3.4898481932374912</v>
      </c>
    </row>
    <row r="9" spans="1:14">
      <c r="B9" s="255" t="s">
        <v>84</v>
      </c>
      <c r="C9" s="249"/>
      <c r="D9" s="252">
        <f>SUM('Property Level Return Calcs'!$E$11:$AZ$11)</f>
        <v>33551787.168016102</v>
      </c>
      <c r="E9" s="253"/>
      <c r="F9" s="212"/>
      <c r="G9" s="212"/>
      <c r="H9" s="212"/>
    </row>
    <row r="10" spans="1:14" s="216" customFormat="1">
      <c r="A10" s="215"/>
      <c r="B10" s="226" t="s">
        <v>167</v>
      </c>
      <c r="C10" s="256">
        <f>SUM(C7:C9)</f>
        <v>-24033944.982098967</v>
      </c>
      <c r="D10" s="257">
        <f>SUM(D7:D9)</f>
        <v>35398982.790439218</v>
      </c>
      <c r="E10" s="258"/>
    </row>
    <row r="11" spans="1:14" s="216" customFormat="1">
      <c r="A11" s="215"/>
      <c r="B11" s="226"/>
      <c r="D11" s="217"/>
    </row>
    <row r="12" spans="1:14">
      <c r="B12" s="226" t="s">
        <v>91</v>
      </c>
      <c r="C12" s="213"/>
      <c r="D12" s="259">
        <f>XIRR(C10:D10,C6:D6)</f>
        <v>0.19617658257484435</v>
      </c>
      <c r="E12" s="212"/>
      <c r="F12" s="260"/>
      <c r="G12" s="261"/>
      <c r="H12" s="262"/>
    </row>
    <row r="13" spans="1:14">
      <c r="B13" s="226" t="s">
        <v>168</v>
      </c>
      <c r="C13" s="224"/>
      <c r="D13" s="263">
        <f>SUM(D10)/-C10</f>
        <v>1.4728744206082351</v>
      </c>
      <c r="E13" s="212"/>
      <c r="F13" s="264"/>
      <c r="G13" s="261"/>
      <c r="H13" s="265"/>
    </row>
    <row r="14" spans="1:14" s="216" customFormat="1" ht="15.75" thickBot="1">
      <c r="A14" s="215"/>
      <c r="B14" s="409" t="s">
        <v>169</v>
      </c>
      <c r="C14" s="410"/>
      <c r="D14" s="411">
        <f>D10</f>
        <v>35398982.790439218</v>
      </c>
      <c r="F14" s="266"/>
      <c r="G14" s="261"/>
      <c r="H14" s="267"/>
    </row>
    <row r="15" spans="1:14" ht="15.75" thickTop="1">
      <c r="B15" s="242" t="s">
        <v>170</v>
      </c>
      <c r="C15" s="292" t="s">
        <v>171</v>
      </c>
      <c r="D15" s="270">
        <f>D5</f>
        <v>24033944.982098967</v>
      </c>
      <c r="E15" s="248"/>
      <c r="F15" s="266"/>
      <c r="G15" s="261"/>
      <c r="H15" s="219"/>
    </row>
    <row r="16" spans="1:14">
      <c r="B16" s="248" t="s">
        <v>373</v>
      </c>
      <c r="C16" s="355">
        <f>Dashboard!E9</f>
        <v>0.85</v>
      </c>
      <c r="D16" s="336">
        <f>D15*C16</f>
        <v>20428853.234784123</v>
      </c>
      <c r="E16" s="248"/>
      <c r="F16" s="271"/>
      <c r="G16" s="272"/>
      <c r="H16" s="212"/>
    </row>
    <row r="17" spans="1:16">
      <c r="B17" s="248" t="s">
        <v>172</v>
      </c>
      <c r="C17" s="355">
        <f>Dashboard!E10</f>
        <v>0.15000000000000002</v>
      </c>
      <c r="D17" s="336">
        <f>D15*C17</f>
        <v>3605091.7473148457</v>
      </c>
      <c r="E17" s="248"/>
      <c r="F17" s="272"/>
      <c r="G17" s="272"/>
      <c r="H17" s="212"/>
      <c r="L17" s="220"/>
    </row>
    <row r="18" spans="1:16" ht="15.75" thickBot="1">
      <c r="B18" s="273"/>
      <c r="C18" s="274"/>
      <c r="D18" s="275"/>
      <c r="E18" s="276"/>
      <c r="F18" s="272"/>
      <c r="G18" s="272"/>
      <c r="H18" s="212"/>
      <c r="J18" s="221"/>
    </row>
    <row r="19" spans="1:16">
      <c r="B19" s="315" t="s">
        <v>173</v>
      </c>
      <c r="C19" s="373"/>
      <c r="D19" s="373"/>
      <c r="E19" s="276"/>
      <c r="F19" s="272"/>
      <c r="G19" s="272"/>
      <c r="H19" s="212"/>
      <c r="J19" s="221"/>
    </row>
    <row r="20" spans="1:16" s="216" customFormat="1">
      <c r="A20" s="215"/>
      <c r="B20" s="384" t="s">
        <v>174</v>
      </c>
      <c r="C20" s="385"/>
      <c r="D20" s="386"/>
      <c r="E20" s="279"/>
      <c r="F20" s="280"/>
      <c r="G20" s="280"/>
      <c r="J20" s="222"/>
      <c r="L20" s="219"/>
    </row>
    <row r="21" spans="1:16" s="216" customFormat="1">
      <c r="A21" s="215"/>
      <c r="B21" s="281" t="s">
        <v>175</v>
      </c>
      <c r="C21" s="282"/>
      <c r="D21" s="282">
        <f>+MIN(D10,((-C25*$K$4)))</f>
        <v>5512770.7486835327</v>
      </c>
      <c r="E21" s="283"/>
      <c r="F21" s="224"/>
      <c r="G21" s="224"/>
      <c r="H21" s="224"/>
      <c r="J21" s="222"/>
      <c r="L21" s="219"/>
    </row>
    <row r="22" spans="1:16" s="216" customFormat="1">
      <c r="A22" s="215"/>
      <c r="B22" s="281" t="s">
        <v>176</v>
      </c>
      <c r="C22" s="282"/>
      <c r="D22" s="282">
        <f>-((+C25*$K$4)+D21)</f>
        <v>0</v>
      </c>
      <c r="E22" s="283"/>
      <c r="F22" s="278"/>
      <c r="G22" s="278"/>
      <c r="H22" s="278"/>
      <c r="L22" s="219"/>
    </row>
    <row r="23" spans="1:16" s="216" customFormat="1">
      <c r="A23" s="215"/>
      <c r="B23" s="284" t="s">
        <v>177</v>
      </c>
      <c r="C23" s="285"/>
      <c r="D23" s="285">
        <f>IF(D10&gt;D21,+MIN(-C25,D10-D21),0)</f>
        <v>24033944.982098967</v>
      </c>
      <c r="E23" s="286"/>
      <c r="F23" s="282"/>
      <c r="G23" s="282"/>
      <c r="H23" s="282"/>
      <c r="L23" s="219"/>
    </row>
    <row r="24" spans="1:16" s="216" customFormat="1">
      <c r="A24" s="215"/>
      <c r="B24" s="279" t="s">
        <v>178</v>
      </c>
      <c r="C24" s="223"/>
      <c r="D24" s="223">
        <f>D10-D21-D23</f>
        <v>5852267.0596567169</v>
      </c>
      <c r="E24" s="287"/>
      <c r="F24" s="282"/>
      <c r="G24" s="282"/>
      <c r="H24" s="282"/>
      <c r="K24" s="223"/>
      <c r="L24" s="223"/>
      <c r="M24" s="223"/>
      <c r="N24" s="223"/>
      <c r="O24" s="223"/>
    </row>
    <row r="25" spans="1:16" s="216" customFormat="1">
      <c r="A25" s="215"/>
      <c r="B25" s="288" t="s">
        <v>179</v>
      </c>
      <c r="C25" s="289">
        <f>-D15</f>
        <v>-24033944.982098967</v>
      </c>
      <c r="D25" s="289">
        <f>C25+D23-D22</f>
        <v>0</v>
      </c>
      <c r="E25" s="290"/>
      <c r="F25" s="285"/>
      <c r="G25" s="285"/>
      <c r="H25" s="285"/>
      <c r="K25" s="223"/>
      <c r="L25" s="223"/>
      <c r="M25" s="223"/>
      <c r="N25" s="223"/>
      <c r="O25" s="223"/>
    </row>
    <row r="26" spans="1:16" s="216" customFormat="1">
      <c r="A26" s="215"/>
      <c r="B26" s="288"/>
      <c r="C26" s="289"/>
      <c r="D26" s="289"/>
      <c r="E26" s="290"/>
      <c r="F26" s="223"/>
      <c r="G26" s="223"/>
      <c r="H26" s="223"/>
      <c r="K26" s="223"/>
      <c r="L26" s="219"/>
      <c r="O26" s="224"/>
    </row>
    <row r="27" spans="1:16" s="216" customFormat="1">
      <c r="A27" s="215"/>
      <c r="B27" s="279" t="s">
        <v>180</v>
      </c>
      <c r="C27" s="223"/>
      <c r="D27" s="223"/>
      <c r="E27" s="287"/>
      <c r="F27" s="289"/>
      <c r="G27" s="289"/>
      <c r="H27" s="289"/>
      <c r="J27" s="223"/>
      <c r="K27" s="223"/>
      <c r="L27" s="223"/>
      <c r="M27" s="223"/>
      <c r="N27" s="223"/>
      <c r="O27" s="223"/>
      <c r="P27" s="225"/>
    </row>
    <row r="28" spans="1:16" s="216" customFormat="1">
      <c r="A28" s="215"/>
      <c r="B28" s="226"/>
      <c r="C28" s="224"/>
      <c r="D28" s="224"/>
      <c r="E28" s="276"/>
      <c r="F28" s="289"/>
      <c r="G28" s="289"/>
      <c r="H28" s="289"/>
      <c r="L28" s="219"/>
      <c r="O28" s="224"/>
    </row>
    <row r="29" spans="1:16" s="216" customFormat="1">
      <c r="A29" s="215"/>
      <c r="B29" s="384">
        <f>F6</f>
        <v>0.85</v>
      </c>
      <c r="C29" s="385"/>
      <c r="D29" s="386"/>
      <c r="E29" s="226"/>
      <c r="F29" s="223"/>
      <c r="G29" s="223"/>
      <c r="H29" s="223"/>
      <c r="L29" s="219"/>
    </row>
    <row r="30" spans="1:16" s="216" customFormat="1">
      <c r="A30" s="215"/>
      <c r="B30" s="291" t="s">
        <v>181</v>
      </c>
      <c r="D30" s="289">
        <f>+MIN(+$G$6*D24,D31)</f>
        <v>3511360.2357940301</v>
      </c>
      <c r="E30" s="290"/>
      <c r="F30" s="224"/>
      <c r="G30" s="224"/>
      <c r="H30" s="224"/>
      <c r="L30" s="219"/>
    </row>
    <row r="31" spans="1:16" s="216" customFormat="1">
      <c r="A31" s="215"/>
      <c r="B31" s="291" t="s">
        <v>182</v>
      </c>
      <c r="C31" s="292" t="s">
        <v>171</v>
      </c>
      <c r="D31" s="289">
        <f>-C25*(1+$K$6)-D21-D23</f>
        <v>4854153.1429715976</v>
      </c>
      <c r="E31" s="290"/>
      <c r="L31" s="219"/>
    </row>
    <row r="32" spans="1:16" s="216" customFormat="1">
      <c r="A32" s="215"/>
      <c r="B32" s="248" t="s">
        <v>41</v>
      </c>
      <c r="C32" s="214">
        <f>G6</f>
        <v>0.6</v>
      </c>
      <c r="D32" s="293">
        <f>D30</f>
        <v>3511360.2357940301</v>
      </c>
      <c r="E32" s="294"/>
      <c r="F32" s="289"/>
      <c r="G32" s="289"/>
      <c r="H32" s="289"/>
      <c r="L32" s="219"/>
    </row>
    <row r="33" spans="1:12" s="216" customFormat="1">
      <c r="A33" s="215"/>
      <c r="B33" s="248" t="s">
        <v>150</v>
      </c>
      <c r="C33" s="214">
        <f>100%-C32</f>
        <v>0.4</v>
      </c>
      <c r="D33" s="293">
        <f>ROUND(((D32/$C$32)*$C$33),0)</f>
        <v>2340907</v>
      </c>
      <c r="E33" s="294"/>
      <c r="F33" s="289"/>
      <c r="G33" s="289"/>
      <c r="H33" s="289"/>
      <c r="L33" s="219"/>
    </row>
    <row r="34" spans="1:12" s="216" customFormat="1">
      <c r="A34" s="215"/>
      <c r="B34" s="226"/>
      <c r="C34" s="224"/>
      <c r="D34" s="224"/>
      <c r="E34" s="276"/>
      <c r="F34" s="221"/>
      <c r="G34" s="293"/>
      <c r="H34" s="293"/>
      <c r="L34" s="219"/>
    </row>
    <row r="35" spans="1:12" s="216" customFormat="1">
      <c r="A35" s="215"/>
      <c r="B35" s="384">
        <f>F7</f>
        <v>0.75</v>
      </c>
      <c r="C35" s="385"/>
      <c r="D35" s="386"/>
      <c r="E35" s="226"/>
      <c r="F35" s="293"/>
      <c r="G35" s="293"/>
      <c r="H35" s="293"/>
      <c r="J35" s="224"/>
      <c r="L35" s="219"/>
    </row>
    <row r="36" spans="1:12" s="216" customFormat="1">
      <c r="A36" s="215"/>
      <c r="B36" s="291" t="s">
        <v>181</v>
      </c>
      <c r="C36" s="292"/>
      <c r="D36" s="289">
        <f>+MIN(+$G$7*(D24-D32-D33),D37)</f>
        <v>-8.8068656623363495E-2</v>
      </c>
      <c r="E36" s="290"/>
      <c r="F36" s="224"/>
      <c r="G36" s="224"/>
      <c r="H36" s="224"/>
      <c r="J36" s="224"/>
      <c r="L36" s="219"/>
    </row>
    <row r="37" spans="1:12" s="216" customFormat="1">
      <c r="A37" s="215"/>
      <c r="B37" s="291" t="s">
        <v>182</v>
      </c>
      <c r="C37" s="292" t="s">
        <v>171</v>
      </c>
      <c r="D37" s="289">
        <f>-C25*(1+$K$7)-D21-D23-D32</f>
        <v>74850688.487669796</v>
      </c>
      <c r="E37" s="290"/>
      <c r="J37" s="224"/>
      <c r="L37" s="219"/>
    </row>
    <row r="38" spans="1:12" s="216" customFormat="1">
      <c r="A38" s="215"/>
      <c r="B38" s="248" t="s">
        <v>41</v>
      </c>
      <c r="C38" s="214">
        <f>G7</f>
        <v>0.5</v>
      </c>
      <c r="D38" s="293">
        <f>MIN((D24-D32-D33)*$C$38,D37)</f>
        <v>-8.8068656623363495E-2</v>
      </c>
      <c r="E38" s="294"/>
      <c r="F38" s="289"/>
      <c r="G38" s="289"/>
      <c r="H38" s="289"/>
      <c r="L38" s="219"/>
    </row>
    <row r="39" spans="1:12" s="216" customFormat="1">
      <c r="A39" s="215"/>
      <c r="B39" s="248" t="s">
        <v>150</v>
      </c>
      <c r="C39" s="214">
        <f>100%-C38</f>
        <v>0.5</v>
      </c>
      <c r="D39" s="293">
        <f>ROUND(((D38/$C$38)*$C$39),0)</f>
        <v>0</v>
      </c>
      <c r="E39" s="294"/>
      <c r="F39" s="289"/>
      <c r="G39" s="289"/>
      <c r="H39" s="289"/>
      <c r="L39" s="219"/>
    </row>
    <row r="40" spans="1:12" s="216" customFormat="1">
      <c r="A40" s="215"/>
      <c r="B40" s="226"/>
      <c r="C40" s="224"/>
      <c r="D40" s="224"/>
      <c r="E40" s="276"/>
      <c r="F40" s="293"/>
      <c r="G40" s="293"/>
      <c r="H40" s="293"/>
      <c r="L40" s="219"/>
    </row>
    <row r="41" spans="1:12" s="216" customFormat="1">
      <c r="A41" s="215"/>
      <c r="B41" s="384">
        <f>F8</f>
        <v>0.65</v>
      </c>
      <c r="C41" s="387" t="s">
        <v>171</v>
      </c>
      <c r="D41" s="388">
        <f>D24-D32-D33-D38-D39</f>
        <v>-8.8068656623363495E-2</v>
      </c>
      <c r="E41" s="296"/>
      <c r="F41" s="293"/>
      <c r="G41" s="293"/>
      <c r="H41" s="293"/>
      <c r="L41" s="219"/>
    </row>
    <row r="42" spans="1:12" s="216" customFormat="1">
      <c r="A42" s="215"/>
      <c r="B42" s="248" t="s">
        <v>41</v>
      </c>
      <c r="C42" s="214">
        <f>G8</f>
        <v>0.5</v>
      </c>
      <c r="D42" s="293">
        <f>$D$41*C42</f>
        <v>-4.4034328311681747E-2</v>
      </c>
      <c r="E42" s="297"/>
      <c r="F42" s="224"/>
      <c r="G42" s="224"/>
      <c r="H42" s="224"/>
      <c r="L42" s="219"/>
    </row>
    <row r="43" spans="1:12" s="216" customFormat="1" ht="15.75" thickBot="1">
      <c r="A43" s="215"/>
      <c r="B43" s="298" t="s">
        <v>150</v>
      </c>
      <c r="C43" s="299">
        <f>100%-C42</f>
        <v>0.5</v>
      </c>
      <c r="D43" s="293">
        <f>$D$41*C43</f>
        <v>-4.4034328311681747E-2</v>
      </c>
      <c r="E43" s="297"/>
      <c r="F43" s="289"/>
      <c r="G43" s="295"/>
      <c r="H43" s="300"/>
      <c r="L43" s="219"/>
    </row>
    <row r="44" spans="1:12" s="216" customFormat="1">
      <c r="A44" s="215"/>
      <c r="B44" s="301"/>
      <c r="C44" s="277"/>
      <c r="D44" s="277"/>
      <c r="E44" s="302"/>
      <c r="F44" s="293"/>
      <c r="G44" s="293"/>
      <c r="H44" s="293"/>
      <c r="L44" s="219"/>
    </row>
    <row r="45" spans="1:12" s="216" customFormat="1">
      <c r="A45" s="215"/>
      <c r="B45" s="377" t="s">
        <v>183</v>
      </c>
      <c r="C45" s="378"/>
      <c r="D45" s="379"/>
      <c r="E45" s="376"/>
      <c r="F45" s="293"/>
      <c r="G45" s="293"/>
      <c r="H45" s="293"/>
      <c r="L45" s="219"/>
    </row>
    <row r="46" spans="1:12" s="216" customFormat="1">
      <c r="A46" s="215"/>
      <c r="B46" s="380" t="s">
        <v>375</v>
      </c>
      <c r="C46" s="340"/>
      <c r="D46" s="340">
        <f>((D21+D23)*$C$16)+(D32*$C$16)+(D38*$C$16)+(D42*$C$16)</f>
        <v>28099364.459302511</v>
      </c>
      <c r="E46" s="304"/>
      <c r="F46" s="224"/>
      <c r="G46" s="224"/>
      <c r="H46" s="224"/>
      <c r="L46" s="219"/>
    </row>
    <row r="47" spans="1:12" s="216" customFormat="1">
      <c r="A47" s="215"/>
      <c r="B47" s="381" t="s">
        <v>184</v>
      </c>
      <c r="C47" s="382"/>
      <c r="D47" s="383">
        <f>((D21+D23)*$C$17)+(D32*$C$17)+D33+(D38*$C$17)+D39+(D42*$C$17)+D43</f>
        <v>7299618.3311367044</v>
      </c>
      <c r="E47" s="478"/>
      <c r="F47" s="479" t="s">
        <v>91</v>
      </c>
      <c r="G47" s="479" t="s">
        <v>185</v>
      </c>
      <c r="L47" s="219"/>
    </row>
    <row r="48" spans="1:12" s="216" customFormat="1" ht="21.75" customHeight="1" thickBot="1">
      <c r="A48" s="215"/>
      <c r="B48" s="409" t="s">
        <v>167</v>
      </c>
      <c r="C48" s="426">
        <f>C10</f>
        <v>-24033944.982098967</v>
      </c>
      <c r="D48" s="427">
        <f>SUM(D46:D47)</f>
        <v>35398982.790439218</v>
      </c>
      <c r="E48" s="412"/>
      <c r="F48" s="413">
        <f>XIRR(C48:D48,C6:D6)</f>
        <v>0.19617658257484435</v>
      </c>
      <c r="G48" s="414">
        <f>SUM(D48:D48)/-C48</f>
        <v>1.4728744206082351</v>
      </c>
      <c r="L48" s="219"/>
    </row>
    <row r="49" spans="1:12" s="216" customFormat="1" ht="15.75" customHeight="1" thickTop="1">
      <c r="A49" s="215"/>
      <c r="B49" s="305"/>
      <c r="C49" s="306"/>
      <c r="D49" s="307"/>
      <c r="F49" s="390"/>
      <c r="G49" s="390"/>
      <c r="L49" s="219"/>
    </row>
    <row r="50" spans="1:12" s="216" customFormat="1" ht="15" customHeight="1">
      <c r="A50" s="215"/>
      <c r="B50" s="395" t="s">
        <v>376</v>
      </c>
      <c r="C50" s="396"/>
      <c r="D50" s="397"/>
      <c r="E50" s="480"/>
      <c r="F50" s="481" t="s">
        <v>91</v>
      </c>
      <c r="G50" s="481" t="s">
        <v>185</v>
      </c>
      <c r="L50" s="219"/>
    </row>
    <row r="51" spans="1:12" s="216" customFormat="1" ht="15.75" customHeight="1" thickBot="1">
      <c r="A51" s="215"/>
      <c r="B51" s="899">
        <f>C16</f>
        <v>0.85</v>
      </c>
      <c r="C51" s="418">
        <f>-D16</f>
        <v>-20428853.234784123</v>
      </c>
      <c r="D51" s="419">
        <f>D46</f>
        <v>28099364.459302511</v>
      </c>
      <c r="E51" s="389"/>
      <c r="F51" s="391">
        <f>XIRR(C51:D51,C6:D6)</f>
        <v>0.15890981554985051</v>
      </c>
      <c r="G51" s="392">
        <f>SUM(D51:D51)/-C51</f>
        <v>1.3754743908707436</v>
      </c>
      <c r="L51" s="219"/>
    </row>
    <row r="52" spans="1:12" s="216" customFormat="1" ht="15.75" customHeight="1" thickTop="1">
      <c r="A52" s="215"/>
      <c r="B52" s="308"/>
      <c r="C52" s="309"/>
      <c r="D52" s="310"/>
      <c r="E52" s="222"/>
      <c r="F52" s="393"/>
      <c r="G52" s="394"/>
      <c r="L52" s="219"/>
    </row>
    <row r="53" spans="1:12" s="216" customFormat="1" ht="15" customHeight="1">
      <c r="A53" s="228"/>
      <c r="B53" s="395" t="s">
        <v>186</v>
      </c>
      <c r="C53" s="396"/>
      <c r="D53" s="397"/>
      <c r="E53" s="482"/>
      <c r="F53" s="483" t="s">
        <v>91</v>
      </c>
      <c r="G53" s="483" t="s">
        <v>185</v>
      </c>
      <c r="L53" s="219"/>
    </row>
    <row r="54" spans="1:12" ht="15.75" customHeight="1" thickBot="1">
      <c r="A54" s="229"/>
      <c r="B54" s="420">
        <f>C17</f>
        <v>0.15000000000000002</v>
      </c>
      <c r="C54" s="421">
        <f>-D17</f>
        <v>-3605091.7473148457</v>
      </c>
      <c r="D54" s="422">
        <f>D47</f>
        <v>7299618.3311367044</v>
      </c>
      <c r="E54" s="423"/>
      <c r="F54" s="424">
        <f>XIRR(C54:D54,C6:D6)</f>
        <v>0.38591470122337346</v>
      </c>
      <c r="G54" s="425">
        <f>SUM(D54:D54)/-C54</f>
        <v>2.0248079224540199</v>
      </c>
      <c r="H54" s="212"/>
    </row>
    <row r="55" spans="1:12" ht="16.5" customHeight="1" thickTop="1">
      <c r="A55" s="229"/>
      <c r="B55" s="305"/>
      <c r="C55" s="311"/>
      <c r="D55" s="312"/>
      <c r="E55" s="313"/>
      <c r="F55" s="212"/>
      <c r="G55" s="212"/>
      <c r="H55" s="212"/>
    </row>
    <row r="56" spans="1:12" ht="15.75" thickBot="1">
      <c r="A56" s="229"/>
      <c r="B56" s="415" t="s">
        <v>187</v>
      </c>
      <c r="C56" s="416"/>
      <c r="D56" s="417">
        <f>D46+D47</f>
        <v>35398982.790439218</v>
      </c>
      <c r="E56" s="248"/>
      <c r="F56" s="212"/>
      <c r="G56" s="212"/>
      <c r="H56" s="212"/>
    </row>
    <row r="57" spans="1:12" s="216" customFormat="1">
      <c r="A57" s="215"/>
      <c r="B57" s="232"/>
      <c r="F57" s="231"/>
      <c r="G57" s="231"/>
      <c r="H57" s="231"/>
      <c r="L57" s="219"/>
    </row>
    <row r="58" spans="1:12" s="216" customFormat="1">
      <c r="A58" s="215"/>
      <c r="F58" s="233"/>
      <c r="G58" s="234"/>
      <c r="L58" s="219"/>
    </row>
    <row r="59" spans="1:12" s="216" customFormat="1">
      <c r="A59" s="215"/>
      <c r="B59" s="230"/>
      <c r="C59" s="235"/>
      <c r="D59" s="236"/>
      <c r="E59" s="236"/>
      <c r="F59" s="236"/>
      <c r="G59" s="236"/>
      <c r="H59" s="236"/>
      <c r="L59" s="219"/>
    </row>
    <row r="60" spans="1:12" s="216" customFormat="1">
      <c r="A60" s="215"/>
      <c r="B60" s="230"/>
      <c r="C60" s="235"/>
      <c r="D60" s="235"/>
      <c r="E60" s="235"/>
      <c r="F60" s="235"/>
      <c r="G60" s="235"/>
      <c r="H60" s="237"/>
      <c r="L60" s="219"/>
    </row>
    <row r="61" spans="1:12" s="216" customFormat="1">
      <c r="A61" s="215"/>
      <c r="B61" s="238"/>
      <c r="C61" s="218"/>
      <c r="D61" s="218"/>
      <c r="E61" s="218"/>
      <c r="F61" s="218"/>
      <c r="G61" s="218"/>
      <c r="H61" s="227"/>
      <c r="L61" s="219"/>
    </row>
    <row r="62" spans="1:12" s="216" customFormat="1">
      <c r="A62" s="215"/>
      <c r="E62" s="218"/>
      <c r="F62" s="218"/>
      <c r="G62" s="218"/>
      <c r="H62" s="218"/>
      <c r="L62" s="219"/>
    </row>
    <row r="63" spans="1:12" s="216" customFormat="1">
      <c r="A63" s="215"/>
      <c r="E63" s="218"/>
      <c r="F63" s="218"/>
      <c r="G63" s="218"/>
      <c r="H63" s="218"/>
      <c r="L63" s="219"/>
    </row>
    <row r="64" spans="1:12" s="216" customFormat="1">
      <c r="A64" s="215"/>
      <c r="E64" s="218"/>
      <c r="F64" s="218"/>
      <c r="G64" s="218"/>
      <c r="H64" s="218"/>
      <c r="L64" s="219"/>
    </row>
    <row r="65" spans="1:12" s="216" customFormat="1">
      <c r="A65" s="215"/>
      <c r="E65" s="218"/>
      <c r="F65" s="218"/>
      <c r="G65" s="218"/>
      <c r="H65" s="218"/>
      <c r="L65" s="219"/>
    </row>
    <row r="66" spans="1:12" s="216" customFormat="1">
      <c r="A66" s="215"/>
      <c r="E66" s="218"/>
      <c r="F66" s="218"/>
      <c r="G66" s="218"/>
      <c r="H66" s="218"/>
      <c r="L66" s="219"/>
    </row>
    <row r="67" spans="1:12" s="216" customFormat="1">
      <c r="A67" s="215"/>
      <c r="E67" s="218"/>
      <c r="F67" s="218"/>
      <c r="G67" s="218"/>
      <c r="H67" s="218"/>
      <c r="L67" s="219"/>
    </row>
    <row r="68" spans="1:12" s="216" customFormat="1">
      <c r="A68" s="215"/>
      <c r="E68" s="218"/>
      <c r="F68" s="218"/>
      <c r="G68" s="218"/>
      <c r="H68" s="218"/>
      <c r="L68" s="219"/>
    </row>
    <row r="69" spans="1:12" s="216" customFormat="1">
      <c r="A69" s="215"/>
      <c r="E69" s="218"/>
      <c r="F69" s="218"/>
      <c r="G69" s="218"/>
      <c r="H69" s="218"/>
      <c r="L69" s="219"/>
    </row>
    <row r="70" spans="1:12" s="216" customFormat="1">
      <c r="A70" s="215"/>
      <c r="E70" s="218"/>
      <c r="F70" s="218"/>
      <c r="G70" s="218"/>
      <c r="H70" s="218"/>
      <c r="L70" s="219"/>
    </row>
    <row r="71" spans="1:12" s="216" customFormat="1">
      <c r="A71" s="215"/>
      <c r="E71" s="218"/>
      <c r="F71" s="218"/>
      <c r="G71" s="218"/>
      <c r="H71" s="218"/>
      <c r="L71" s="219"/>
    </row>
    <row r="72" spans="1:12" s="216" customFormat="1">
      <c r="A72" s="215"/>
      <c r="E72" s="218"/>
      <c r="F72" s="218"/>
      <c r="G72" s="218"/>
      <c r="H72" s="218"/>
      <c r="L72" s="219"/>
    </row>
    <row r="73" spans="1:12" s="216" customFormat="1">
      <c r="A73" s="215"/>
      <c r="E73" s="218"/>
      <c r="F73" s="218"/>
      <c r="G73" s="218"/>
      <c r="H73" s="218"/>
      <c r="L73" s="219"/>
    </row>
    <row r="74" spans="1:12" s="216" customFormat="1">
      <c r="A74" s="215"/>
      <c r="E74" s="218"/>
      <c r="F74" s="218"/>
      <c r="G74" s="218"/>
      <c r="H74" s="218"/>
      <c r="L74" s="219"/>
    </row>
    <row r="75" spans="1:12" s="216" customFormat="1">
      <c r="A75" s="215"/>
      <c r="B75" s="238"/>
      <c r="C75" s="218"/>
      <c r="D75" s="218"/>
      <c r="E75" s="218"/>
      <c r="F75" s="218"/>
      <c r="G75" s="218"/>
      <c r="H75" s="218"/>
      <c r="L75" s="219"/>
    </row>
    <row r="76" spans="1:12">
      <c r="C76" s="239"/>
      <c r="H76" s="240"/>
    </row>
    <row r="77" spans="1:12">
      <c r="B77" s="238"/>
    </row>
  </sheetData>
  <mergeCells count="2">
    <mergeCell ref="C4:D4"/>
    <mergeCell ref="C3:D3"/>
  </mergeCells>
  <pageMargins left="0.7" right="0.7" top="0.75" bottom="0.75" header="0.3" footer="0.3"/>
  <pageSetup scale="41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>
    <tabColor rgb="FF0070C0"/>
  </sheetPr>
  <dimension ref="A1:P76"/>
  <sheetViews>
    <sheetView showGridLines="0" topLeftCell="A30" zoomScale="85" zoomScaleNormal="85" workbookViewId="0">
      <selection activeCell="B38" sqref="B38"/>
    </sheetView>
  </sheetViews>
  <sheetFormatPr defaultColWidth="9.140625" defaultRowHeight="15"/>
  <cols>
    <col min="1" max="1" width="6.28515625" style="210" customWidth="1"/>
    <col min="2" max="2" width="56" style="211" customWidth="1"/>
    <col min="3" max="4" width="12.7109375" style="211" customWidth="1"/>
    <col min="5" max="5" width="14.140625" style="211" customWidth="1"/>
    <col min="6" max="6" width="3.5703125" style="211" customWidth="1"/>
    <col min="7" max="7" width="30.140625" style="211" customWidth="1"/>
    <col min="8" max="8" width="15.140625" style="211" customWidth="1"/>
    <col min="9" max="9" width="14.85546875" style="212" customWidth="1"/>
    <col min="10" max="10" width="14" style="212" customWidth="1"/>
    <col min="11" max="11" width="13.85546875" style="212" customWidth="1"/>
    <col min="12" max="12" width="15.42578125" style="213" customWidth="1"/>
    <col min="13" max="15" width="12.28515625" style="212" bestFit="1" customWidth="1"/>
    <col min="16" max="16384" width="9.140625" style="212"/>
  </cols>
  <sheetData>
    <row r="1" spans="1:14" ht="15.75" thickBot="1"/>
    <row r="2" spans="1:14" ht="15.75" thickBot="1">
      <c r="B2" s="315" t="s">
        <v>188</v>
      </c>
      <c r="C2" s="314"/>
      <c r="D2" s="314"/>
      <c r="E2" s="314"/>
      <c r="F2" s="318"/>
      <c r="G2" s="359" t="s">
        <v>189</v>
      </c>
      <c r="H2" s="360"/>
      <c r="I2" s="360"/>
      <c r="J2" s="361"/>
      <c r="L2" s="485"/>
    </row>
    <row r="3" spans="1:14">
      <c r="B3" s="226" t="str">
        <f>Dashboard!B61</f>
        <v>Disposition Date</v>
      </c>
      <c r="C3" s="241"/>
      <c r="D3" s="1113">
        <f>Dashboard!B64</f>
        <v>46813</v>
      </c>
      <c r="E3" s="1114"/>
      <c r="F3" s="318"/>
      <c r="G3" s="362"/>
      <c r="H3" s="356" t="str">
        <f>'Waterfall I Annual'!G3</f>
        <v>Equity CF (%)</v>
      </c>
      <c r="I3" s="356" t="str">
        <f>'Waterfall I Annual'!H3</f>
        <v>Promote (%)</v>
      </c>
      <c r="J3" s="363" t="str">
        <f>'Waterfall I Annual'!I3</f>
        <v>IRR Threshold</v>
      </c>
      <c r="L3" s="908" t="s">
        <v>192</v>
      </c>
      <c r="M3" s="499"/>
    </row>
    <row r="4" spans="1:14">
      <c r="B4" s="316" t="str">
        <f>Dashboard!C61</f>
        <v>Hold Period</v>
      </c>
      <c r="C4" s="243"/>
      <c r="D4" s="1109">
        <f>Dashboard!C64</f>
        <v>3.1666666666666665</v>
      </c>
      <c r="E4" s="1110"/>
      <c r="F4" s="319"/>
      <c r="G4" s="251">
        <f>'Waterfall I Annual'!F4</f>
        <v>1</v>
      </c>
      <c r="H4" s="357">
        <f>'Waterfall I Annual'!G4</f>
        <v>1</v>
      </c>
      <c r="I4" s="357">
        <f>'Waterfall I Annual'!H4</f>
        <v>0</v>
      </c>
      <c r="J4" s="398">
        <f>'Waterfall I Annual'!I4</f>
        <v>0.1</v>
      </c>
      <c r="L4" s="909">
        <f>(((1+J4)^(YEARFRAC($C$6,$D$6)))-1)</f>
        <v>0.22937436000579892</v>
      </c>
      <c r="M4" s="487"/>
    </row>
    <row r="5" spans="1:14">
      <c r="B5" s="401" t="s">
        <v>41</v>
      </c>
      <c r="C5" s="402"/>
      <c r="D5" s="403"/>
      <c r="E5" s="400">
        <f>SUM(Dashboard!$F$9:$F$10)</f>
        <v>24033944.982098967</v>
      </c>
      <c r="F5" s="319"/>
      <c r="G5" s="364" t="str">
        <f>'Waterfall I Annual'!F5</f>
        <v>2nd Priority - Return of Capital</v>
      </c>
      <c r="H5" s="368"/>
      <c r="I5" s="368"/>
      <c r="J5" s="365"/>
      <c r="L5" s="910"/>
      <c r="M5" s="213"/>
    </row>
    <row r="6" spans="1:14">
      <c r="B6" s="245" t="s">
        <v>158</v>
      </c>
      <c r="C6" s="246">
        <f>'Property Level Return Calcs'!D20</f>
        <v>45658</v>
      </c>
      <c r="D6" s="246">
        <f>Dashboard!I52</f>
        <v>46447</v>
      </c>
      <c r="E6" s="246">
        <f>Dashboard!K52</f>
        <v>46813</v>
      </c>
      <c r="F6" s="320"/>
      <c r="G6" s="251">
        <f>'Waterfall I Annual'!F6</f>
        <v>0.85</v>
      </c>
      <c r="H6" s="357">
        <f>'Waterfall I Annual'!G6</f>
        <v>0.6</v>
      </c>
      <c r="I6" s="357">
        <f>'Waterfall I Annual'!H6</f>
        <v>0.4</v>
      </c>
      <c r="J6" s="398">
        <f>'Waterfall I Annual'!I6</f>
        <v>0.18</v>
      </c>
      <c r="L6" s="909">
        <f>(((1+J6)^(YEARFRAC($C$6,$D$6)))-1)</f>
        <v>0.43134507877823047</v>
      </c>
      <c r="M6" s="487"/>
      <c r="N6" s="214"/>
    </row>
    <row r="7" spans="1:14">
      <c r="B7" s="248" t="s">
        <v>164</v>
      </c>
      <c r="C7" s="249">
        <f>-E5</f>
        <v>-24033944.982098967</v>
      </c>
      <c r="D7" s="249"/>
      <c r="E7" s="249"/>
      <c r="F7" s="321"/>
      <c r="G7" s="251">
        <f>'Waterfall I Annual'!F7</f>
        <v>0.75</v>
      </c>
      <c r="H7" s="357">
        <f>'Waterfall I Annual'!G7</f>
        <v>0.5</v>
      </c>
      <c r="I7" s="357">
        <f>'Waterfall I Annual'!H7</f>
        <v>0.5</v>
      </c>
      <c r="J7" s="398">
        <f>'Waterfall I Annual'!I7</f>
        <v>1</v>
      </c>
      <c r="L7" s="909">
        <f>(((1+J7)^(YEARFRAC($C$6,$D$6)))-1)</f>
        <v>3.4898481932374912</v>
      </c>
      <c r="M7" s="487"/>
    </row>
    <row r="8" spans="1:14" ht="15.75" thickBot="1">
      <c r="B8" s="248" t="s">
        <v>165</v>
      </c>
      <c r="C8" s="249"/>
      <c r="D8" s="253">
        <f>SUMIFS('Property Level Return Calcs'!$E25:$AZ25,'Property Level Return Calcs'!$E$20:$AZ$20,"&gt;"&amp;C$6,'Property Level Return Calcs'!$E$20:$AZ$20,"&lt;="&amp;'Waterfall II Annual'!D$6)</f>
        <v>1847195.6224231154</v>
      </c>
      <c r="E8" s="253">
        <f>SUMIFS('Property Level Return Calcs'!$E25:$AZ25,'Property Level Return Calcs'!$E$20:$AZ$20,"&gt;"&amp;D$6,'Property Level Return Calcs'!$E$20:$AZ$20,"&lt;="&amp;'Waterfall II Annual'!E$6)</f>
        <v>2010952.650989467</v>
      </c>
      <c r="F8" s="322"/>
      <c r="G8" s="317">
        <f>'Waterfall I Annual'!F8</f>
        <v>0.65</v>
      </c>
      <c r="H8" s="366">
        <f>'Waterfall I Annual'!G8</f>
        <v>0.5</v>
      </c>
      <c r="I8" s="366">
        <f>'Waterfall I Annual'!H8</f>
        <v>0.5</v>
      </c>
      <c r="J8" s="399">
        <f>'Waterfall I Annual'!I8</f>
        <v>1</v>
      </c>
      <c r="L8" s="909">
        <f>(((1+J8)^(YEARFRAC($C$6,$D$6)))-1)</f>
        <v>3.4898481932374912</v>
      </c>
      <c r="M8" s="487"/>
    </row>
    <row r="9" spans="1:14">
      <c r="B9" s="404" t="s">
        <v>156</v>
      </c>
      <c r="C9" s="213"/>
      <c r="D9" s="253">
        <f>SUMIFS('Property Level Return Calcs'!$E26:$AZ26,'Property Level Return Calcs'!$E$20:$AZ$20,"&gt;"&amp;C$6,'Property Level Return Calcs'!$E$20:$AZ$20,"&lt;="&amp;EOMONTH('Waterfall II Annual'!D$6,0))</f>
        <v>-1381023.3589114696</v>
      </c>
      <c r="E9" s="253">
        <f>SUMIFS('Property Level Return Calcs'!$E26:$AZ26,'Property Level Return Calcs'!$E$20:$AZ$20,"&gt;"&amp;EDATE(D$6,1),'Property Level Return Calcs'!$E$20:$AZ$20,"&lt;="&amp;EOMONTH('Waterfall II Annual'!E$6,0))</f>
        <v>0</v>
      </c>
      <c r="F9" s="322"/>
      <c r="G9" s="212"/>
      <c r="H9" s="212"/>
    </row>
    <row r="10" spans="1:14" s="216" customFormat="1">
      <c r="A10" s="215"/>
      <c r="B10" s="255" t="s">
        <v>166</v>
      </c>
      <c r="C10" s="249"/>
      <c r="D10" s="253">
        <f>SUMIFS('Property Level Return Calcs'!$E27:$AZ27,'Property Level Return Calcs'!$E$20:$AZ$20,"&gt;"&amp;C$6,'Property Level Return Calcs'!$E$20:$AZ$20,"&lt;="&amp;'Waterfall II Annual'!D$6)</f>
        <v>0</v>
      </c>
      <c r="E10" s="253">
        <f>SUMIFS('Property Level Return Calcs'!$E27:$AZ27,'Property Level Return Calcs'!$E$20:$AZ$20,"&gt;"&amp;D$6,'Property Level Return Calcs'!$E$20:$AZ$20,"&lt;="&amp;'Waterfall II Annual'!E$6)</f>
        <v>39959331.37553376</v>
      </c>
      <c r="F10" s="322"/>
    </row>
    <row r="11" spans="1:14" s="216" customFormat="1">
      <c r="A11" s="215"/>
      <c r="B11" s="226" t="s">
        <v>167</v>
      </c>
      <c r="C11" s="256">
        <f>SUM(C7:C10)</f>
        <v>-24033944.982098967</v>
      </c>
      <c r="D11" s="256">
        <f>SUM(D7:D10)</f>
        <v>466172.26351164584</v>
      </c>
      <c r="E11" s="256">
        <f>SUM(E7:E10)</f>
        <v>41970284.026523225</v>
      </c>
      <c r="F11" s="323"/>
    </row>
    <row r="12" spans="1:14">
      <c r="B12" s="248"/>
      <c r="C12" s="213"/>
      <c r="D12" s="324"/>
      <c r="E12" s="324"/>
      <c r="F12" s="325"/>
      <c r="G12" s="264"/>
      <c r="H12" s="486"/>
      <c r="I12" s="265"/>
    </row>
    <row r="13" spans="1:14" s="216" customFormat="1">
      <c r="A13" s="215"/>
      <c r="B13" s="226" t="s">
        <v>91</v>
      </c>
      <c r="C13" s="213"/>
      <c r="D13" s="326"/>
      <c r="E13" s="327">
        <f>XIRR(C11:E11,C6:E6)</f>
        <v>0.19764377474784856</v>
      </c>
      <c r="F13" s="328"/>
      <c r="G13" s="266"/>
      <c r="H13" s="261"/>
      <c r="I13" s="267"/>
    </row>
    <row r="14" spans="1:14">
      <c r="B14" s="226" t="s">
        <v>168</v>
      </c>
      <c r="C14" s="224"/>
      <c r="D14" s="224"/>
      <c r="E14" s="329">
        <f>SUM(D11:E11)/-C11</f>
        <v>1.7656883346301455</v>
      </c>
      <c r="F14" s="302"/>
      <c r="G14" s="266"/>
      <c r="H14" s="261"/>
      <c r="I14" s="219"/>
    </row>
    <row r="15" spans="1:14" ht="15.75" thickBot="1">
      <c r="B15" s="428" t="s">
        <v>169</v>
      </c>
      <c r="C15" s="429"/>
      <c r="D15" s="429"/>
      <c r="E15" s="430">
        <f>SUM(D11:E11)</f>
        <v>42436456.290034868</v>
      </c>
      <c r="F15" s="297"/>
      <c r="G15" s="272"/>
      <c r="H15" s="212"/>
    </row>
    <row r="16" spans="1:14">
      <c r="B16" s="268" t="s">
        <v>170</v>
      </c>
      <c r="C16" s="269" t="s">
        <v>171</v>
      </c>
      <c r="D16" s="330"/>
      <c r="E16" s="270">
        <f>E5</f>
        <v>24033944.982098967</v>
      </c>
      <c r="F16" s="308"/>
      <c r="G16" s="272"/>
      <c r="H16" s="212"/>
      <c r="L16" s="220"/>
    </row>
    <row r="17" spans="1:16">
      <c r="B17" s="248" t="s">
        <v>373</v>
      </c>
      <c r="C17" s="355">
        <f>Dashboard!E9</f>
        <v>0.85</v>
      </c>
      <c r="D17" s="293"/>
      <c r="E17" s="336">
        <f>E16*C17</f>
        <v>20428853.234784123</v>
      </c>
      <c r="F17" s="308"/>
      <c r="G17" s="272"/>
      <c r="H17" s="212"/>
      <c r="J17" s="221"/>
    </row>
    <row r="18" spans="1:16">
      <c r="B18" s="248" t="s">
        <v>172</v>
      </c>
      <c r="C18" s="355">
        <f>Dashboard!E10</f>
        <v>0.15000000000000002</v>
      </c>
      <c r="D18" s="293"/>
      <c r="E18" s="336">
        <f>E16*C18</f>
        <v>3605091.7473148457</v>
      </c>
      <c r="F18" s="308"/>
      <c r="G18" s="272"/>
      <c r="H18" s="212"/>
      <c r="J18" s="221"/>
    </row>
    <row r="19" spans="1:16" s="216" customFormat="1" ht="15.75" thickBot="1">
      <c r="A19" s="215"/>
      <c r="B19" s="273"/>
      <c r="C19" s="274"/>
      <c r="D19" s="274"/>
      <c r="E19" s="274"/>
      <c r="F19" s="302"/>
      <c r="G19" s="280"/>
      <c r="J19" s="222"/>
      <c r="L19" s="219"/>
    </row>
    <row r="20" spans="1:16" s="216" customFormat="1">
      <c r="A20" s="215"/>
      <c r="B20" s="431" t="s">
        <v>173</v>
      </c>
      <c r="C20" s="432"/>
      <c r="D20" s="432"/>
      <c r="E20" s="433"/>
      <c r="F20" s="276"/>
      <c r="G20" s="224"/>
      <c r="H20" s="484"/>
      <c r="J20" s="222"/>
      <c r="L20" s="219"/>
    </row>
    <row r="21" spans="1:16" s="216" customFormat="1">
      <c r="A21" s="215"/>
      <c r="B21" s="434" t="s">
        <v>174</v>
      </c>
      <c r="C21" s="435"/>
      <c r="D21" s="435"/>
      <c r="E21" s="436"/>
      <c r="F21" s="279"/>
      <c r="G21" s="266"/>
      <c r="H21" s="254"/>
      <c r="I21" s="461"/>
      <c r="L21" s="219"/>
    </row>
    <row r="22" spans="1:16" s="216" customFormat="1">
      <c r="A22" s="215"/>
      <c r="B22" s="281" t="s">
        <v>175</v>
      </c>
      <c r="C22" s="282"/>
      <c r="D22" s="488">
        <f>+MIN(D11,((-C26*$L$4)))</f>
        <v>466172.26351164584</v>
      </c>
      <c r="E22" s="332">
        <f>+MIN(E11,((-D26*$J$4)))</f>
        <v>2908054.3467270858</v>
      </c>
      <c r="F22" s="283"/>
      <c r="G22" s="266"/>
      <c r="I22" s="461"/>
      <c r="L22" s="219"/>
    </row>
    <row r="23" spans="1:16" s="216" customFormat="1">
      <c r="A23" s="215"/>
      <c r="B23" s="281" t="s">
        <v>176</v>
      </c>
      <c r="C23" s="282"/>
      <c r="D23" s="488">
        <f>-((+C26*$L$4)+D22)</f>
        <v>5046598.4851718871</v>
      </c>
      <c r="E23" s="332">
        <f>-((+D26*$J$4)+E22)</f>
        <v>0</v>
      </c>
      <c r="F23" s="283"/>
      <c r="G23" s="266"/>
      <c r="H23" s="254"/>
      <c r="I23" s="254"/>
      <c r="K23" s="223"/>
      <c r="L23" s="223"/>
      <c r="M23" s="223"/>
      <c r="N23" s="223"/>
      <c r="O23" s="223"/>
    </row>
    <row r="24" spans="1:16" s="216" customFormat="1">
      <c r="A24" s="215"/>
      <c r="B24" s="284" t="s">
        <v>177</v>
      </c>
      <c r="C24" s="285"/>
      <c r="D24" s="285">
        <f>IF(D11&gt;D22,+MIN(-C26,D11-D22),0)</f>
        <v>0</v>
      </c>
      <c r="E24" s="333">
        <f>IF(E11&gt;E22,+MIN(-D26,E11-E22),0)</f>
        <v>29080543.467270855</v>
      </c>
      <c r="F24" s="286"/>
      <c r="G24" s="266"/>
      <c r="K24" s="223"/>
      <c r="L24" s="223"/>
      <c r="M24" s="223"/>
      <c r="N24" s="223"/>
      <c r="O24" s="223"/>
    </row>
    <row r="25" spans="1:16" s="216" customFormat="1">
      <c r="A25" s="215"/>
      <c r="B25" s="279" t="s">
        <v>178</v>
      </c>
      <c r="C25" s="223"/>
      <c r="D25" s="223">
        <f>D11-D22-D24</f>
        <v>0</v>
      </c>
      <c r="E25" s="334">
        <f>E11-E22-E24</f>
        <v>9981686.2125252821</v>
      </c>
      <c r="F25" s="287"/>
      <c r="G25" s="266"/>
      <c r="K25" s="223"/>
      <c r="L25" s="219"/>
      <c r="O25" s="224"/>
    </row>
    <row r="26" spans="1:16" s="216" customFormat="1">
      <c r="A26" s="215"/>
      <c r="B26" s="288" t="s">
        <v>179</v>
      </c>
      <c r="C26" s="289">
        <f>-E16</f>
        <v>-24033944.982098967</v>
      </c>
      <c r="D26" s="289">
        <f>C26+D24-D23</f>
        <v>-29080543.467270855</v>
      </c>
      <c r="E26" s="335">
        <f>D26+E24-E23</f>
        <v>0</v>
      </c>
      <c r="F26" s="290"/>
      <c r="G26" s="266"/>
      <c r="J26" s="223"/>
      <c r="K26" s="223"/>
      <c r="L26" s="223"/>
      <c r="M26" s="223"/>
      <c r="N26" s="223"/>
      <c r="O26" s="223"/>
      <c r="P26" s="225"/>
    </row>
    <row r="27" spans="1:16" s="216" customFormat="1">
      <c r="A27" s="215"/>
      <c r="B27" s="288"/>
      <c r="C27" s="289"/>
      <c r="D27" s="289"/>
      <c r="E27" s="335"/>
      <c r="F27" s="290"/>
      <c r="G27" s="289"/>
      <c r="H27" s="289"/>
      <c r="L27" s="219"/>
      <c r="O27" s="224"/>
    </row>
    <row r="28" spans="1:16" s="216" customFormat="1">
      <c r="A28" s="215"/>
      <c r="B28" s="279" t="s">
        <v>180</v>
      </c>
      <c r="C28" s="223"/>
      <c r="D28" s="223"/>
      <c r="E28" s="334"/>
      <c r="F28" s="287"/>
      <c r="G28" s="223"/>
      <c r="H28" s="223"/>
      <c r="L28" s="219"/>
    </row>
    <row r="29" spans="1:16" s="216" customFormat="1">
      <c r="A29" s="215"/>
      <c r="B29" s="226"/>
      <c r="C29" s="224"/>
      <c r="D29" s="224"/>
      <c r="E29" s="270"/>
      <c r="F29" s="276"/>
      <c r="G29" s="224"/>
      <c r="H29" s="224"/>
      <c r="L29" s="219"/>
    </row>
    <row r="30" spans="1:16" s="216" customFormat="1">
      <c r="A30" s="215"/>
      <c r="B30" s="434">
        <f>G6</f>
        <v>0.85</v>
      </c>
      <c r="C30" s="435"/>
      <c r="D30" s="435"/>
      <c r="E30" s="436"/>
      <c r="F30" s="226"/>
      <c r="L30" s="219"/>
    </row>
    <row r="31" spans="1:16" s="216" customFormat="1">
      <c r="A31" s="215"/>
      <c r="B31" s="291" t="s">
        <v>181</v>
      </c>
      <c r="D31" s="289">
        <f>+MIN(+$H$6*D25,D32)</f>
        <v>0</v>
      </c>
      <c r="E31" s="335">
        <f>+MIN(+$H$6*E25,E32)</f>
        <v>5989011.7275151694</v>
      </c>
      <c r="F31" s="500"/>
      <c r="G31" s="489"/>
      <c r="H31" s="289"/>
      <c r="L31" s="219"/>
    </row>
    <row r="32" spans="1:16" s="216" customFormat="1">
      <c r="A32" s="215"/>
      <c r="B32" s="291" t="s">
        <v>182</v>
      </c>
      <c r="C32" s="292" t="s">
        <v>171</v>
      </c>
      <c r="D32" s="489">
        <f>-C26*(1+$L$6)-D22-D24</f>
        <v>33934696.610242456</v>
      </c>
      <c r="E32" s="335">
        <f>(D32-D31)*(1+$J$6)-E22-E24</f>
        <v>8054344.186088156</v>
      </c>
      <c r="F32" s="500"/>
      <c r="G32" s="489"/>
      <c r="H32" s="289"/>
      <c r="L32" s="219"/>
    </row>
    <row r="33" spans="1:12" s="216" customFormat="1">
      <c r="A33" s="215"/>
      <c r="B33" s="248" t="s">
        <v>41</v>
      </c>
      <c r="C33" s="214">
        <f>H6</f>
        <v>0.6</v>
      </c>
      <c r="D33" s="293">
        <f>D31</f>
        <v>0</v>
      </c>
      <c r="E33" s="336">
        <f>E31</f>
        <v>5989011.7275151694</v>
      </c>
      <c r="F33" s="297"/>
      <c r="G33" s="271"/>
      <c r="H33" s="293"/>
      <c r="L33" s="219"/>
    </row>
    <row r="34" spans="1:12" s="216" customFormat="1">
      <c r="A34" s="215"/>
      <c r="B34" s="248" t="s">
        <v>150</v>
      </c>
      <c r="C34" s="214">
        <f>100%-C33</f>
        <v>0.4</v>
      </c>
      <c r="D34" s="293">
        <f>ROUND(((D33/$C$33)*$C$34),0)</f>
        <v>0</v>
      </c>
      <c r="E34" s="336">
        <f>ROUND(((E33/$C$33)*$C$34),0)</f>
        <v>3992674</v>
      </c>
      <c r="F34" s="297"/>
      <c r="G34" s="271"/>
      <c r="H34" s="293"/>
      <c r="J34" s="224"/>
      <c r="L34" s="219"/>
    </row>
    <row r="35" spans="1:12" s="216" customFormat="1">
      <c r="A35" s="215"/>
      <c r="B35" s="226"/>
      <c r="C35" s="224"/>
      <c r="D35" s="224"/>
      <c r="E35" s="270"/>
      <c r="F35" s="302"/>
      <c r="G35" s="280"/>
      <c r="H35" s="224"/>
      <c r="J35" s="224"/>
      <c r="L35" s="219"/>
    </row>
    <row r="36" spans="1:12" s="216" customFormat="1">
      <c r="A36" s="215"/>
      <c r="B36" s="434">
        <f>G7</f>
        <v>0.75</v>
      </c>
      <c r="C36" s="435"/>
      <c r="D36" s="435"/>
      <c r="E36" s="436"/>
      <c r="F36" s="226"/>
      <c r="J36" s="224"/>
      <c r="L36" s="219"/>
    </row>
    <row r="37" spans="1:12" s="216" customFormat="1">
      <c r="A37" s="215"/>
      <c r="B37" s="291" t="s">
        <v>181</v>
      </c>
      <c r="C37" s="292"/>
      <c r="D37" s="289">
        <f>+MIN(+$H$7*(D25-D33-D34),D38)</f>
        <v>0</v>
      </c>
      <c r="E37" s="335">
        <f>+MIN(+$H$7*(E25-E33-E34),E38)</f>
        <v>0.24250505631789565</v>
      </c>
      <c r="F37" s="290"/>
      <c r="G37" s="289"/>
      <c r="H37" s="289"/>
      <c r="L37" s="219"/>
    </row>
    <row r="38" spans="1:12" s="216" customFormat="1">
      <c r="A38" s="215"/>
      <c r="B38" s="291" t="s">
        <v>182</v>
      </c>
      <c r="C38" s="292" t="s">
        <v>171</v>
      </c>
      <c r="D38" s="489">
        <f>-C26*(1+$L$7)-D22-D24-D33</f>
        <v>107442592.19073467</v>
      </c>
      <c r="E38" s="335">
        <f>(D38-D39)*(1+$J$7)-E22-E24-E33</f>
        <v>176907574.83995625</v>
      </c>
      <c r="F38" s="290"/>
      <c r="G38" s="289"/>
      <c r="H38" s="289"/>
      <c r="L38" s="219"/>
    </row>
    <row r="39" spans="1:12" s="216" customFormat="1">
      <c r="A39" s="215"/>
      <c r="B39" s="248" t="s">
        <v>41</v>
      </c>
      <c r="C39" s="214">
        <f>H7</f>
        <v>0.5</v>
      </c>
      <c r="D39" s="293">
        <f>MIN((D25-D33-D34)*$C$39,D38)</f>
        <v>0</v>
      </c>
      <c r="E39" s="336">
        <f>MIN((E25-E33-E34)*$C$39,E38)</f>
        <v>0.24250505631789565</v>
      </c>
      <c r="F39" s="294"/>
      <c r="G39" s="293"/>
      <c r="H39" s="293"/>
      <c r="L39" s="219"/>
    </row>
    <row r="40" spans="1:12" s="216" customFormat="1">
      <c r="A40" s="215"/>
      <c r="B40" s="248" t="s">
        <v>150</v>
      </c>
      <c r="C40" s="214">
        <f>100%-C39</f>
        <v>0.5</v>
      </c>
      <c r="D40" s="293">
        <f>ROUND(((D39/$C$39)*$C$40),0)</f>
        <v>0</v>
      </c>
      <c r="E40" s="336">
        <f>ROUND(((E39/$C$39)*$C$40),0)</f>
        <v>0</v>
      </c>
      <c r="F40" s="294"/>
      <c r="G40" s="293"/>
      <c r="H40" s="293"/>
      <c r="L40" s="219"/>
    </row>
    <row r="41" spans="1:12" s="216" customFormat="1">
      <c r="A41" s="215"/>
      <c r="B41" s="226"/>
      <c r="C41" s="224"/>
      <c r="D41" s="224"/>
      <c r="E41" s="270"/>
      <c r="F41" s="276"/>
      <c r="G41" s="224"/>
      <c r="H41" s="224"/>
      <c r="L41" s="219"/>
    </row>
    <row r="42" spans="1:12" s="216" customFormat="1">
      <c r="A42" s="215"/>
      <c r="B42" s="437">
        <f>G8</f>
        <v>0.65</v>
      </c>
      <c r="C42" s="438" t="s">
        <v>171</v>
      </c>
      <c r="D42" s="439"/>
      <c r="E42" s="440">
        <f>E25-E33-E34-E39-E40</f>
        <v>0.24250505631789565</v>
      </c>
      <c r="F42" s="290"/>
      <c r="G42" s="295"/>
      <c r="H42" s="300"/>
      <c r="L42" s="219"/>
    </row>
    <row r="43" spans="1:12" s="216" customFormat="1">
      <c r="A43" s="215"/>
      <c r="B43" s="248" t="s">
        <v>41</v>
      </c>
      <c r="C43" s="214">
        <f>H8</f>
        <v>0.5</v>
      </c>
      <c r="D43" s="289"/>
      <c r="E43" s="336">
        <f>$E$42*C43</f>
        <v>0.12125252815894783</v>
      </c>
      <c r="F43" s="294"/>
      <c r="G43" s="293"/>
      <c r="H43" s="293"/>
      <c r="L43" s="219"/>
    </row>
    <row r="44" spans="1:12" s="216" customFormat="1" ht="15.75" thickBot="1">
      <c r="A44" s="215"/>
      <c r="B44" s="298" t="s">
        <v>150</v>
      </c>
      <c r="C44" s="299">
        <f>100%-C43</f>
        <v>0.5</v>
      </c>
      <c r="D44" s="337"/>
      <c r="E44" s="338">
        <f>$E$42*C44</f>
        <v>0.12125252815894783</v>
      </c>
      <c r="F44" s="294"/>
      <c r="G44" s="293"/>
      <c r="H44" s="293"/>
      <c r="L44" s="219"/>
    </row>
    <row r="45" spans="1:12" s="216" customFormat="1">
      <c r="A45" s="215"/>
      <c r="B45" s="301"/>
      <c r="C45" s="277"/>
      <c r="D45" s="277"/>
      <c r="E45" s="331"/>
      <c r="F45" s="276"/>
      <c r="G45" s="224"/>
      <c r="H45" s="224"/>
      <c r="L45" s="219"/>
    </row>
    <row r="46" spans="1:12" s="216" customFormat="1">
      <c r="A46" s="215"/>
      <c r="B46" s="457" t="s">
        <v>183</v>
      </c>
      <c r="C46" s="458"/>
      <c r="D46" s="459"/>
      <c r="E46" s="460"/>
      <c r="F46" s="339"/>
      <c r="G46" s="303"/>
      <c r="H46" s="280"/>
      <c r="L46" s="219"/>
    </row>
    <row r="47" spans="1:12" s="216" customFormat="1">
      <c r="A47" s="215"/>
      <c r="B47" s="380" t="s">
        <v>375</v>
      </c>
      <c r="C47" s="340"/>
      <c r="D47" s="340">
        <f>((D22+D24)*$C$17)+(D33*$C$17)+(D39*$C$17)+(D43*$C$17)</f>
        <v>396246.42398489895</v>
      </c>
      <c r="E47" s="448">
        <f>((E22+E24)*$C$17)+(E33*$C$17)+(E39*$C$17)+(E43*$C$17)</f>
        <v>32280968.419480089</v>
      </c>
      <c r="F47" s="304"/>
      <c r="G47" s="340"/>
      <c r="H47" s="340"/>
      <c r="L47" s="219"/>
    </row>
    <row r="48" spans="1:12" s="216" customFormat="1">
      <c r="A48" s="215"/>
      <c r="B48" s="380" t="s">
        <v>184</v>
      </c>
      <c r="C48" s="340"/>
      <c r="D48" s="340">
        <f>((D22+D24)*$C$18)+(D33*$C$18)+D34+(D39*$C$18)+D40+(D43*$C$18)+D44</f>
        <v>69925.839526746888</v>
      </c>
      <c r="E48" s="448">
        <f>((E22+E24)*$C$18)+(E33*$C$18)+E34+(E39*$C$18)+E40+(E43*$C$18)+E44</f>
        <v>9689315.6070431322</v>
      </c>
      <c r="F48" s="478"/>
      <c r="G48" s="479" t="s">
        <v>91</v>
      </c>
      <c r="H48" s="479" t="s">
        <v>185</v>
      </c>
      <c r="L48" s="219"/>
    </row>
    <row r="49" spans="1:12" s="216" customFormat="1" ht="15.75" thickBot="1">
      <c r="A49" s="215"/>
      <c r="B49" s="445" t="s">
        <v>167</v>
      </c>
      <c r="C49" s="446">
        <f>C11</f>
        <v>-24033944.982098967</v>
      </c>
      <c r="D49" s="446">
        <f>SUM(D47:D48)</f>
        <v>466172.26351164584</v>
      </c>
      <c r="E49" s="447">
        <f>SUM(E47:E48)</f>
        <v>41970284.026523218</v>
      </c>
      <c r="F49" s="412"/>
      <c r="G49" s="413">
        <f>XIRR(C49:E49,C6:E6)</f>
        <v>0.19764377474784856</v>
      </c>
      <c r="H49" s="414">
        <f>SUM(D49:E49)/-C49</f>
        <v>1.7656883346301453</v>
      </c>
      <c r="L49" s="219"/>
    </row>
    <row r="50" spans="1:12" s="216" customFormat="1" ht="15.75" thickTop="1">
      <c r="A50" s="215"/>
      <c r="B50" s="305"/>
      <c r="C50" s="306"/>
      <c r="D50" s="341"/>
      <c r="E50" s="307"/>
      <c r="G50" s="390"/>
      <c r="H50" s="390"/>
      <c r="L50" s="219"/>
    </row>
    <row r="51" spans="1:12" s="216" customFormat="1">
      <c r="A51" s="215"/>
      <c r="B51" s="305" t="s">
        <v>376</v>
      </c>
      <c r="C51" s="306"/>
      <c r="D51" s="341"/>
      <c r="E51" s="307"/>
      <c r="F51" s="480"/>
      <c r="G51" s="481" t="s">
        <v>91</v>
      </c>
      <c r="H51" s="481" t="s">
        <v>185</v>
      </c>
      <c r="L51" s="219"/>
    </row>
    <row r="52" spans="1:12" s="216" customFormat="1" ht="15.75" thickBot="1">
      <c r="A52" s="228"/>
      <c r="B52" s="900">
        <f>C17</f>
        <v>0.85</v>
      </c>
      <c r="C52" s="449">
        <f>-E17</f>
        <v>-20428853.234784123</v>
      </c>
      <c r="D52" s="449">
        <f>D47</f>
        <v>396246.42398489895</v>
      </c>
      <c r="E52" s="450">
        <f>E47</f>
        <v>32280968.419480089</v>
      </c>
      <c r="F52" s="389"/>
      <c r="G52" s="391">
        <f>XIRR(C52:E52,C6:E6)</f>
        <v>0.16074255108833316</v>
      </c>
      <c r="H52" s="392">
        <f>SUM(D52:E52)/-C52</f>
        <v>1.5995618778946257</v>
      </c>
      <c r="L52" s="219"/>
    </row>
    <row r="53" spans="1:12" ht="15.75" thickTop="1">
      <c r="A53" s="229"/>
      <c r="B53" s="308"/>
      <c r="C53" s="309"/>
      <c r="D53" s="309"/>
      <c r="E53" s="310"/>
      <c r="F53" s="222"/>
      <c r="G53" s="393"/>
      <c r="H53" s="394"/>
    </row>
    <row r="54" spans="1:12">
      <c r="A54" s="229"/>
      <c r="B54" s="305" t="s">
        <v>186</v>
      </c>
      <c r="C54" s="309"/>
      <c r="D54" s="309"/>
      <c r="E54" s="310"/>
      <c r="F54" s="482"/>
      <c r="G54" s="483" t="s">
        <v>91</v>
      </c>
      <c r="H54" s="483" t="s">
        <v>185</v>
      </c>
    </row>
    <row r="55" spans="1:12" ht="15.75" thickBot="1">
      <c r="A55" s="229"/>
      <c r="B55" s="451">
        <v>0.1</v>
      </c>
      <c r="C55" s="452">
        <f>-E18</f>
        <v>-3605091.7473148457</v>
      </c>
      <c r="D55" s="452">
        <f>D48</f>
        <v>69925.839526746888</v>
      </c>
      <c r="E55" s="453">
        <f>E48</f>
        <v>9689315.6070431322</v>
      </c>
      <c r="F55" s="423"/>
      <c r="G55" s="424">
        <f>XIRR(C55:E55,C6:E6)</f>
        <v>0.37101729512214654</v>
      </c>
      <c r="H55" s="425">
        <f>SUM(D55:E55)/-C55</f>
        <v>2.7070715894647575</v>
      </c>
    </row>
    <row r="56" spans="1:12" s="216" customFormat="1" ht="15.75" thickTop="1">
      <c r="A56" s="228"/>
      <c r="B56" s="305"/>
      <c r="C56" s="311"/>
      <c r="D56" s="342"/>
      <c r="E56" s="312"/>
      <c r="F56" s="343"/>
      <c r="G56" s="313"/>
      <c r="H56" s="313"/>
      <c r="L56" s="219"/>
    </row>
    <row r="57" spans="1:12" s="216" customFormat="1" ht="15.75" thickBot="1">
      <c r="A57" s="215"/>
      <c r="B57" s="454" t="s">
        <v>187</v>
      </c>
      <c r="C57" s="455"/>
      <c r="D57" s="455"/>
      <c r="E57" s="456">
        <f>SUM(D47:E47)+SUM(D48:E48)</f>
        <v>42436456.290034868</v>
      </c>
      <c r="F57" s="344"/>
      <c r="G57" s="234"/>
      <c r="L57" s="219"/>
    </row>
    <row r="58" spans="1:12" s="216" customFormat="1">
      <c r="A58" s="215"/>
      <c r="B58" s="230"/>
      <c r="C58" s="235"/>
      <c r="D58" s="236"/>
      <c r="E58" s="236"/>
      <c r="F58" s="236"/>
      <c r="G58" s="236"/>
      <c r="H58" s="236"/>
      <c r="L58" s="219"/>
    </row>
    <row r="59" spans="1:12" s="216" customFormat="1">
      <c r="A59" s="215"/>
      <c r="B59" s="230"/>
      <c r="C59" s="235"/>
      <c r="D59" s="235"/>
      <c r="E59" s="235"/>
      <c r="F59" s="235"/>
      <c r="G59" s="235"/>
      <c r="H59" s="237"/>
      <c r="L59" s="219"/>
    </row>
    <row r="60" spans="1:12" s="216" customFormat="1">
      <c r="A60" s="215"/>
      <c r="B60" s="238"/>
      <c r="C60" s="218"/>
      <c r="D60" s="218"/>
      <c r="E60" s="218"/>
      <c r="F60" s="218"/>
      <c r="G60" s="218"/>
      <c r="H60" s="227"/>
      <c r="L60" s="219"/>
    </row>
    <row r="61" spans="1:12" s="216" customFormat="1">
      <c r="A61" s="215"/>
      <c r="E61" s="218"/>
      <c r="F61" s="218"/>
      <c r="G61" s="218"/>
      <c r="H61" s="218"/>
      <c r="L61" s="219"/>
    </row>
    <row r="62" spans="1:12" s="216" customFormat="1">
      <c r="A62" s="215"/>
      <c r="E62" s="218"/>
      <c r="F62" s="218"/>
      <c r="G62" s="218"/>
      <c r="H62" s="218"/>
      <c r="L62" s="219"/>
    </row>
    <row r="63" spans="1:12" s="216" customFormat="1">
      <c r="A63" s="215"/>
      <c r="E63" s="218"/>
      <c r="F63" s="218"/>
      <c r="G63" s="218"/>
      <c r="H63" s="218"/>
      <c r="L63" s="219"/>
    </row>
    <row r="64" spans="1:12" s="216" customFormat="1">
      <c r="A64" s="215"/>
      <c r="E64" s="218"/>
      <c r="F64" s="218"/>
      <c r="G64" s="218"/>
      <c r="H64" s="218"/>
      <c r="L64" s="219"/>
    </row>
    <row r="65" spans="1:12" s="216" customFormat="1">
      <c r="A65" s="215"/>
      <c r="E65" s="218"/>
      <c r="F65" s="218"/>
      <c r="G65" s="218"/>
      <c r="H65" s="218"/>
      <c r="L65" s="219"/>
    </row>
    <row r="66" spans="1:12" s="216" customFormat="1">
      <c r="A66" s="215"/>
      <c r="E66" s="218"/>
      <c r="F66" s="218"/>
      <c r="G66" s="218"/>
      <c r="H66" s="218"/>
      <c r="L66" s="219"/>
    </row>
    <row r="67" spans="1:12" s="216" customFormat="1">
      <c r="A67" s="215"/>
      <c r="E67" s="218"/>
      <c r="F67" s="218"/>
      <c r="G67" s="218"/>
      <c r="H67" s="218"/>
      <c r="L67" s="219"/>
    </row>
    <row r="68" spans="1:12" s="216" customFormat="1">
      <c r="A68" s="215"/>
      <c r="E68" s="218"/>
      <c r="F68" s="218"/>
      <c r="G68" s="218"/>
      <c r="H68" s="218"/>
      <c r="L68" s="219"/>
    </row>
    <row r="69" spans="1:12" s="216" customFormat="1">
      <c r="A69" s="215"/>
      <c r="E69" s="218"/>
      <c r="F69" s="218"/>
      <c r="G69" s="218"/>
      <c r="H69" s="218"/>
      <c r="L69" s="219"/>
    </row>
    <row r="70" spans="1:12" s="216" customFormat="1">
      <c r="A70" s="215"/>
      <c r="E70" s="218"/>
      <c r="F70" s="218"/>
      <c r="G70" s="218"/>
      <c r="H70" s="218"/>
      <c r="L70" s="219"/>
    </row>
    <row r="71" spans="1:12" s="216" customFormat="1">
      <c r="A71" s="215"/>
      <c r="E71" s="218"/>
      <c r="F71" s="218"/>
      <c r="G71" s="218"/>
      <c r="H71" s="218"/>
      <c r="L71" s="219"/>
    </row>
    <row r="72" spans="1:12" s="216" customFormat="1">
      <c r="A72" s="215"/>
      <c r="E72" s="218"/>
      <c r="F72" s="218"/>
      <c r="G72" s="218"/>
      <c r="H72" s="218"/>
      <c r="L72" s="219"/>
    </row>
    <row r="73" spans="1:12" s="216" customFormat="1">
      <c r="A73" s="215"/>
      <c r="E73" s="218"/>
      <c r="F73" s="218"/>
      <c r="G73" s="218"/>
      <c r="H73" s="218"/>
      <c r="L73" s="219"/>
    </row>
    <row r="74" spans="1:12" s="216" customFormat="1">
      <c r="A74" s="215"/>
      <c r="B74" s="238"/>
      <c r="C74" s="218"/>
      <c r="D74" s="218"/>
      <c r="E74" s="218"/>
      <c r="F74" s="218"/>
      <c r="G74" s="218"/>
      <c r="H74" s="218"/>
      <c r="L74" s="219"/>
    </row>
    <row r="75" spans="1:12">
      <c r="C75" s="239"/>
      <c r="H75" s="240"/>
    </row>
    <row r="76" spans="1:12">
      <c r="B76" s="238"/>
    </row>
  </sheetData>
  <mergeCells count="2">
    <mergeCell ref="D3:E3"/>
    <mergeCell ref="D4:E4"/>
  </mergeCells>
  <conditionalFormatting sqref="C7:E10">
    <cfRule type="cellIs" dxfId="186" priority="1" operator="equal">
      <formula>0</formula>
    </cfRule>
  </conditionalFormatting>
  <pageMargins left="0.7" right="0.7" top="0.75" bottom="0.75" header="0.3" footer="0.3"/>
  <pageSetup scale="41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0070C0"/>
  </sheetPr>
  <dimension ref="A1:O76"/>
  <sheetViews>
    <sheetView showGridLines="0" topLeftCell="A30" zoomScale="85" zoomScaleNormal="85" workbookViewId="0">
      <selection activeCell="B52" sqref="B52"/>
    </sheetView>
  </sheetViews>
  <sheetFormatPr defaultColWidth="9.140625" defaultRowHeight="15"/>
  <cols>
    <col min="1" max="1" width="6.28515625" style="210" customWidth="1"/>
    <col min="2" max="2" width="56" style="211" customWidth="1"/>
    <col min="3" max="6" width="12.7109375" style="211" customWidth="1"/>
    <col min="7" max="7" width="3.85546875" style="211" customWidth="1"/>
    <col min="8" max="8" width="30.140625" style="212" customWidth="1"/>
    <col min="9" max="9" width="14.5703125" style="212" customWidth="1"/>
    <col min="10" max="10" width="13.85546875" style="212" customWidth="1"/>
    <col min="11" max="11" width="15.42578125" style="213" customWidth="1"/>
    <col min="12" max="12" width="12.28515625" style="212" bestFit="1" customWidth="1"/>
    <col min="13" max="13" width="15.85546875" style="212" customWidth="1"/>
    <col min="14" max="14" width="12.28515625" style="212" bestFit="1" customWidth="1"/>
    <col min="15" max="16384" width="9.140625" style="212"/>
  </cols>
  <sheetData>
    <row r="1" spans="1:13" ht="15.75" thickBot="1"/>
    <row r="2" spans="1:13" ht="15.75" thickBot="1">
      <c r="B2" s="315" t="s">
        <v>188</v>
      </c>
      <c r="C2" s="314"/>
      <c r="D2" s="314"/>
      <c r="E2" s="314"/>
      <c r="F2" s="314"/>
      <c r="G2" s="242"/>
      <c r="H2" s="359" t="str">
        <f>'Waterfall II Annual'!G2</f>
        <v>JV RETURN STRUCTURE</v>
      </c>
      <c r="I2" s="360"/>
      <c r="J2" s="360"/>
      <c r="K2" s="361"/>
    </row>
    <row r="3" spans="1:13">
      <c r="B3" s="226" t="s">
        <v>89</v>
      </c>
      <c r="C3" s="241"/>
      <c r="D3" s="241"/>
      <c r="E3" s="1113">
        <f>Dashboard!B65</f>
        <v>47178</v>
      </c>
      <c r="F3" s="1114"/>
      <c r="G3" s="242"/>
      <c r="H3" s="362"/>
      <c r="I3" s="356" t="str">
        <f>'Waterfall II Annual'!H3</f>
        <v>Equity CF (%)</v>
      </c>
      <c r="J3" s="356" t="str">
        <f>'Waterfall II Annual'!I3</f>
        <v>Promote (%)</v>
      </c>
      <c r="K3" s="363" t="str">
        <f>'Waterfall II Annual'!J3</f>
        <v>IRR Threshold</v>
      </c>
      <c r="M3" s="390" t="s">
        <v>192</v>
      </c>
    </row>
    <row r="4" spans="1:13">
      <c r="B4" s="316" t="s">
        <v>81</v>
      </c>
      <c r="C4" s="243"/>
      <c r="D4" s="244"/>
      <c r="E4" s="1109">
        <f>Dashboard!C65</f>
        <v>4.166666666666667</v>
      </c>
      <c r="F4" s="1110"/>
      <c r="G4" s="248"/>
      <c r="H4" s="251">
        <f>'Waterfall II Annual'!G4</f>
        <v>1</v>
      </c>
      <c r="I4" s="357">
        <f>'Waterfall II Annual'!H4</f>
        <v>1</v>
      </c>
      <c r="J4" s="357">
        <f>1-I4</f>
        <v>0</v>
      </c>
      <c r="K4" s="398">
        <f>'Waterfall II Annual'!J4</f>
        <v>0.1</v>
      </c>
      <c r="M4" s="487">
        <f>(((1+K4)^(YEARFRAC($C$6,$D$6)))-1)</f>
        <v>0.22937436000579892</v>
      </c>
    </row>
    <row r="5" spans="1:13">
      <c r="B5" s="466" t="s">
        <v>41</v>
      </c>
      <c r="C5" s="467"/>
      <c r="D5" s="468"/>
      <c r="E5" s="468"/>
      <c r="F5" s="469">
        <f>SUM(Dashboard!$F$9:$F$10)</f>
        <v>24033944.982098967</v>
      </c>
      <c r="G5" s="248"/>
      <c r="H5" s="364" t="str">
        <f>'Waterfall II Annual'!G5</f>
        <v>2nd Priority - Return of Capital</v>
      </c>
      <c r="I5" s="368"/>
      <c r="J5" s="368"/>
      <c r="K5" s="365"/>
      <c r="M5" s="213"/>
    </row>
    <row r="6" spans="1:13">
      <c r="B6" s="245" t="s">
        <v>158</v>
      </c>
      <c r="C6" s="246">
        <f>'Property Level Return Calcs'!D52</f>
        <v>45658</v>
      </c>
      <c r="D6" s="246">
        <f>Dashboard!I52</f>
        <v>46447</v>
      </c>
      <c r="E6" s="246">
        <f>Dashboard!K52</f>
        <v>46813</v>
      </c>
      <c r="F6" s="246">
        <f>Dashboard!M52</f>
        <v>47178</v>
      </c>
      <c r="G6" s="345"/>
      <c r="H6" s="251">
        <f>'Waterfall II Annual'!G6</f>
        <v>0.85</v>
      </c>
      <c r="I6" s="357">
        <f>'Waterfall II Annual'!H6</f>
        <v>0.6</v>
      </c>
      <c r="J6" s="357">
        <f>1-I6</f>
        <v>0.4</v>
      </c>
      <c r="K6" s="398">
        <f>'Waterfall II Annual'!J6</f>
        <v>0.18</v>
      </c>
      <c r="L6" s="214"/>
      <c r="M6" s="487">
        <f>(((1+K6)^(YEARFRAC($C$6,$D$6)))-1)</f>
        <v>0.43134507877823047</v>
      </c>
    </row>
    <row r="7" spans="1:13">
      <c r="B7" s="248" t="str">
        <f>'Waterfall II Annual'!B7</f>
        <v>Initial Equity</v>
      </c>
      <c r="C7" s="249">
        <f>-F5</f>
        <v>-24033944.982098967</v>
      </c>
      <c r="D7" s="249"/>
      <c r="E7" s="249"/>
      <c r="F7" s="249"/>
      <c r="G7" s="346"/>
      <c r="H7" s="251">
        <f>'Waterfall II Annual'!G7</f>
        <v>0.75</v>
      </c>
      <c r="I7" s="357">
        <f>'Waterfall II Annual'!H7</f>
        <v>0.5</v>
      </c>
      <c r="J7" s="357">
        <f t="shared" ref="J7:J8" si="0">1-I7</f>
        <v>0.5</v>
      </c>
      <c r="K7" s="398">
        <f>'Waterfall II Annual'!J7</f>
        <v>1</v>
      </c>
      <c r="M7" s="487">
        <f>(((1+K7)^(YEARFRAC($C$6,$D$6)))-1)</f>
        <v>3.4898481932374912</v>
      </c>
    </row>
    <row r="8" spans="1:13" ht="15.75" thickBot="1">
      <c r="B8" s="248" t="str">
        <f>'Waterfall II Annual'!B8</f>
        <v>Net Cash Flows</v>
      </c>
      <c r="C8" s="249"/>
      <c r="D8" s="253">
        <f>SUMIFS('Property Level Return Calcs'!$E41:$AZ41,'Property Level Return Calcs'!$E$36:$AZ$36,"&gt;"&amp;C$6,'Property Level Return Calcs'!$E$36:$AZ$36,"&lt;="&amp;D$6)</f>
        <v>1847195.6224231154</v>
      </c>
      <c r="E8" s="253">
        <f>SUMIFS('Property Level Return Calcs'!$E41:$AZ41,'Property Level Return Calcs'!$E$36:$AZ$36,"&gt;"&amp;D$6,'Property Level Return Calcs'!$E$36:$AZ$36,"&lt;="&amp;E$6)</f>
        <v>2010952.650989467</v>
      </c>
      <c r="F8" s="253">
        <f>SUMIFS('Property Level Return Calcs'!$E41:$AZ41,'Property Level Return Calcs'!$E$36:$AZ$36,"&gt;"&amp;E$6,'Property Level Return Calcs'!$E$36:$AZ$36,"&lt;="&amp;F$6)</f>
        <v>1102216.6560727523</v>
      </c>
      <c r="G8" s="322"/>
      <c r="H8" s="317">
        <f>'Waterfall II Annual'!G8</f>
        <v>0.65</v>
      </c>
      <c r="I8" s="366">
        <f>'Waterfall II Annual'!H8</f>
        <v>0.5</v>
      </c>
      <c r="J8" s="366">
        <f t="shared" si="0"/>
        <v>0.5</v>
      </c>
      <c r="K8" s="399">
        <f>'Waterfall II Annual'!J8</f>
        <v>1</v>
      </c>
      <c r="M8" s="487">
        <f>(((1+K8)^(YEARFRAC($C$6,$D$6)))-1)</f>
        <v>3.4898481932374912</v>
      </c>
    </row>
    <row r="9" spans="1:13">
      <c r="B9" s="248" t="str">
        <f>'Waterfall II Annual'!B9</f>
        <v>Net Refi Proceeds</v>
      </c>
      <c r="C9" s="213"/>
      <c r="D9" s="253">
        <f>SUMIFS('Property Level Return Calcs'!$E42:$AZ42,'Property Level Return Calcs'!$E$36:$AZ$36,"&gt;"&amp;C$6,'Property Level Return Calcs'!$E$36:$AZ$36,"&lt;="&amp;EOMONTH('Waterfall III Annual'!D$6,0))</f>
        <v>-1381023.3589114696</v>
      </c>
      <c r="E9" s="253">
        <f>SUMIFS('Property Level Return Calcs'!$E42:$AZ42,'Property Level Return Calcs'!$E$36:$AZ$36,"&gt;"&amp;EDATE(D$6,1),'Property Level Return Calcs'!$E$36:$AZ$36,"&lt;="&amp;EOMONTH('Waterfall III Annual'!E$6,0))</f>
        <v>0</v>
      </c>
      <c r="F9" s="253">
        <f>SUMIFS('Property Level Return Calcs'!$E42:$AZ42,'Property Level Return Calcs'!$E$36:$AZ$36,"&gt;"&amp;EDATE(E$6,1),'Property Level Return Calcs'!$E$36:$AZ$36,"&lt;="&amp;EOMONTH('Waterfall III Annual'!F$6,0))</f>
        <v>0</v>
      </c>
      <c r="G9" s="347"/>
    </row>
    <row r="10" spans="1:13" s="216" customFormat="1">
      <c r="A10" s="215"/>
      <c r="B10" s="255" t="str">
        <f>'Waterfall II Annual'!B10</f>
        <v>Sale Proceeds</v>
      </c>
      <c r="C10" s="249"/>
      <c r="D10" s="253">
        <f>SUMIFS('Property Level Return Calcs'!$E43:$AZ43,'Property Level Return Calcs'!$E$36:$AZ$36,"&gt;"&amp;C$6,'Property Level Return Calcs'!$E$36:$AZ$36,"&lt;="&amp;D$6)</f>
        <v>0</v>
      </c>
      <c r="E10" s="253">
        <f>SUMIFS('Property Level Return Calcs'!$E43:$AZ43,'Property Level Return Calcs'!$E$36:$AZ$36,"&gt;"&amp;D$6,'Property Level Return Calcs'!$E$36:$AZ$36,"&lt;="&amp;E$6)</f>
        <v>0</v>
      </c>
      <c r="F10" s="253">
        <f>SUMIFS('Property Level Return Calcs'!$E43:$AZ43,'Property Level Return Calcs'!$E$36:$AZ$36,"&gt;"&amp;E$6,'Property Level Return Calcs'!$E$36:$AZ$36,"&lt;="&amp;F$6)</f>
        <v>0</v>
      </c>
      <c r="G10" s="348"/>
    </row>
    <row r="11" spans="1:13" s="216" customFormat="1">
      <c r="A11" s="215"/>
      <c r="B11" s="226" t="s">
        <v>167</v>
      </c>
      <c r="C11" s="256">
        <f>SUM(C7:C10)</f>
        <v>-24033944.982098967</v>
      </c>
      <c r="D11" s="256">
        <f>SUM(D7:D10)</f>
        <v>466172.26351164584</v>
      </c>
      <c r="E11" s="256">
        <f>SUM(E7:E10)</f>
        <v>2010952.650989467</v>
      </c>
      <c r="F11" s="256">
        <f>SUM(F7:F10)</f>
        <v>1102216.6560727523</v>
      </c>
      <c r="G11" s="349"/>
    </row>
    <row r="12" spans="1:13">
      <c r="B12" s="248"/>
      <c r="C12" s="213"/>
      <c r="D12" s="324"/>
      <c r="E12" s="324"/>
      <c r="F12" s="324"/>
      <c r="G12" s="248"/>
    </row>
    <row r="13" spans="1:13" s="216" customFormat="1">
      <c r="A13" s="215"/>
      <c r="B13" s="226" t="s">
        <v>91</v>
      </c>
      <c r="C13" s="213"/>
      <c r="D13" s="326"/>
      <c r="E13" s="326"/>
      <c r="F13" s="327">
        <f>XIRR(C11:F11,C6:F6)</f>
        <v>-0.42408317644149057</v>
      </c>
      <c r="G13" s="226"/>
    </row>
    <row r="14" spans="1:13">
      <c r="B14" s="226" t="s">
        <v>168</v>
      </c>
      <c r="C14" s="224"/>
      <c r="D14" s="224"/>
      <c r="E14" s="224"/>
      <c r="F14" s="329">
        <f>SUM(D11:F11)/-C11</f>
        <v>0.14892859134194744</v>
      </c>
      <c r="G14" s="276"/>
    </row>
    <row r="15" spans="1:13" ht="15.75" thickBot="1">
      <c r="B15" s="470" t="s">
        <v>169</v>
      </c>
      <c r="C15" s="471"/>
      <c r="D15" s="471"/>
      <c r="E15" s="471"/>
      <c r="F15" s="472">
        <f>SUM(D11:F11)</f>
        <v>3579341.5705738654</v>
      </c>
      <c r="G15" s="248"/>
      <c r="H15" s="266"/>
      <c r="I15" s="254"/>
      <c r="J15" s="461"/>
    </row>
    <row r="16" spans="1:13" ht="15.75" thickTop="1">
      <c r="B16" s="242" t="s">
        <v>170</v>
      </c>
      <c r="C16" s="292" t="s">
        <v>171</v>
      </c>
      <c r="D16" s="293"/>
      <c r="E16" s="293"/>
      <c r="F16" s="406">
        <f>F5</f>
        <v>24033944.982098967</v>
      </c>
      <c r="G16" s="248"/>
      <c r="H16" s="266"/>
      <c r="J16" s="461"/>
      <c r="K16" s="220"/>
    </row>
    <row r="17" spans="1:15">
      <c r="B17" s="248" t="s">
        <v>373</v>
      </c>
      <c r="C17" s="355">
        <f>Dashboard!E9</f>
        <v>0.85</v>
      </c>
      <c r="D17" s="293"/>
      <c r="E17" s="293"/>
      <c r="F17" s="336">
        <f>F16*C17</f>
        <v>20428853.234784123</v>
      </c>
      <c r="G17" s="248"/>
      <c r="H17" s="266"/>
      <c r="I17" s="254"/>
      <c r="J17" s="254"/>
    </row>
    <row r="18" spans="1:15">
      <c r="B18" s="248" t="s">
        <v>172</v>
      </c>
      <c r="C18" s="355">
        <f>Dashboard!E10</f>
        <v>0.15000000000000002</v>
      </c>
      <c r="D18" s="293"/>
      <c r="E18" s="293"/>
      <c r="F18" s="336">
        <f>F16*C18</f>
        <v>3605091.7473148457</v>
      </c>
      <c r="G18" s="248"/>
      <c r="H18" s="266"/>
    </row>
    <row r="19" spans="1:15" s="216" customFormat="1" ht="15.75" thickBot="1">
      <c r="A19" s="215"/>
      <c r="B19" s="462"/>
      <c r="C19" s="407"/>
      <c r="D19" s="407"/>
      <c r="E19" s="407"/>
      <c r="F19" s="463"/>
      <c r="G19" s="226"/>
      <c r="H19" s="266"/>
      <c r="K19" s="219"/>
    </row>
    <row r="20" spans="1:15" s="216" customFormat="1">
      <c r="A20" s="215"/>
      <c r="B20" s="315" t="s">
        <v>173</v>
      </c>
      <c r="C20" s="373"/>
      <c r="D20" s="373"/>
      <c r="E20" s="373"/>
      <c r="F20" s="373"/>
      <c r="G20" s="276"/>
      <c r="H20" s="266"/>
      <c r="K20" s="219"/>
    </row>
    <row r="21" spans="1:15" s="216" customFormat="1">
      <c r="A21" s="215"/>
      <c r="B21" s="434" t="s">
        <v>174</v>
      </c>
      <c r="C21" s="435"/>
      <c r="D21" s="435"/>
      <c r="E21" s="435"/>
      <c r="F21" s="436"/>
      <c r="G21" s="279"/>
      <c r="K21" s="219"/>
    </row>
    <row r="22" spans="1:15" s="216" customFormat="1">
      <c r="A22" s="215"/>
      <c r="B22" s="281" t="s">
        <v>175</v>
      </c>
      <c r="C22" s="282"/>
      <c r="D22" s="282">
        <f>+MIN(D11,((-C26*$M$4)))</f>
        <v>466172.26351164584</v>
      </c>
      <c r="E22" s="282">
        <f>+MIN(E11,((-D26*$K$4)))</f>
        <v>2010952.650989467</v>
      </c>
      <c r="F22" s="282">
        <f>+MIN(F11,((-E26*$K$4)))</f>
        <v>1102216.6560727523</v>
      </c>
      <c r="G22" s="283"/>
      <c r="K22" s="219"/>
    </row>
    <row r="23" spans="1:15" s="216" customFormat="1">
      <c r="A23" s="215"/>
      <c r="B23" s="281" t="s">
        <v>176</v>
      </c>
      <c r="C23" s="282"/>
      <c r="D23" s="282">
        <f>-((+C26*$M$4)+D22)</f>
        <v>5046598.4851718871</v>
      </c>
      <c r="E23" s="282">
        <f>-((+D26*$K$4)+E22)</f>
        <v>897101.69573761872</v>
      </c>
      <c r="F23" s="282">
        <f>-((+E26*$K$4)+F22)</f>
        <v>1895547.8602280954</v>
      </c>
      <c r="G23" s="283"/>
      <c r="J23" s="223"/>
      <c r="K23" s="223"/>
      <c r="L23" s="223"/>
      <c r="M23" s="223"/>
      <c r="N23" s="223"/>
    </row>
    <row r="24" spans="1:15" s="216" customFormat="1">
      <c r="A24" s="215"/>
      <c r="B24" s="284" t="s">
        <v>177</v>
      </c>
      <c r="C24" s="285"/>
      <c r="D24" s="285">
        <f>IF(D11&gt;D22,+MIN(-C26,D11-D22),0)</f>
        <v>0</v>
      </c>
      <c r="E24" s="285">
        <f>IF(E11&gt;E22,+MIN(-D26,E11-E22),0)</f>
        <v>0</v>
      </c>
      <c r="F24" s="285">
        <f>IF(F11&gt;F22,+MIN(-E26,F11-F22),0)</f>
        <v>0</v>
      </c>
      <c r="G24" s="286"/>
      <c r="J24" s="223"/>
      <c r="K24" s="223"/>
      <c r="L24" s="223"/>
      <c r="M24" s="223"/>
      <c r="N24" s="223"/>
    </row>
    <row r="25" spans="1:15" s="216" customFormat="1">
      <c r="A25" s="215"/>
      <c r="B25" s="279" t="s">
        <v>178</v>
      </c>
      <c r="C25" s="223"/>
      <c r="D25" s="223">
        <f>D11-D22-D24</f>
        <v>0</v>
      </c>
      <c r="E25" s="223">
        <f>E11-E22-E24</f>
        <v>0</v>
      </c>
      <c r="F25" s="223">
        <f>F11-F22-F24</f>
        <v>0</v>
      </c>
      <c r="G25" s="287"/>
      <c r="J25" s="223"/>
      <c r="K25" s="219"/>
      <c r="N25" s="224"/>
    </row>
    <row r="26" spans="1:15" s="216" customFormat="1">
      <c r="A26" s="215"/>
      <c r="B26" s="288" t="s">
        <v>179</v>
      </c>
      <c r="C26" s="289">
        <f>-F16</f>
        <v>-24033944.982098967</v>
      </c>
      <c r="D26" s="289">
        <f>C26+D24-D23</f>
        <v>-29080543.467270855</v>
      </c>
      <c r="E26" s="289">
        <f>D26+E24-E23</f>
        <v>-29977645.163008474</v>
      </c>
      <c r="F26" s="289">
        <f>E26+F24-F23</f>
        <v>-31873193.023236569</v>
      </c>
      <c r="G26" s="290"/>
      <c r="I26" s="223"/>
      <c r="J26" s="223"/>
      <c r="K26" s="223"/>
      <c r="L26" s="223"/>
      <c r="M26" s="223"/>
      <c r="N26" s="223"/>
      <c r="O26" s="225"/>
    </row>
    <row r="27" spans="1:15" s="216" customFormat="1">
      <c r="A27" s="215"/>
      <c r="B27" s="288"/>
      <c r="C27" s="289"/>
      <c r="D27" s="289"/>
      <c r="E27" s="289"/>
      <c r="F27" s="289"/>
      <c r="G27" s="290"/>
      <c r="K27" s="219"/>
      <c r="N27" s="224"/>
    </row>
    <row r="28" spans="1:15" s="216" customFormat="1">
      <c r="A28" s="215"/>
      <c r="B28" s="279" t="s">
        <v>180</v>
      </c>
      <c r="C28" s="223"/>
      <c r="D28" s="223"/>
      <c r="E28" s="223"/>
      <c r="F28" s="223"/>
      <c r="G28" s="287"/>
      <c r="K28" s="219"/>
    </row>
    <row r="29" spans="1:15" s="216" customFormat="1">
      <c r="A29" s="215"/>
      <c r="B29" s="226"/>
      <c r="C29" s="224"/>
      <c r="D29" s="224"/>
      <c r="E29" s="224"/>
      <c r="F29" s="224"/>
      <c r="G29" s="276"/>
      <c r="K29" s="219"/>
    </row>
    <row r="30" spans="1:15" s="216" customFormat="1">
      <c r="A30" s="215"/>
      <c r="B30" s="434">
        <f>H6</f>
        <v>0.85</v>
      </c>
      <c r="C30" s="435"/>
      <c r="D30" s="435"/>
      <c r="E30" s="435"/>
      <c r="F30" s="436"/>
      <c r="G30" s="226"/>
      <c r="K30" s="219"/>
    </row>
    <row r="31" spans="1:15" s="216" customFormat="1">
      <c r="A31" s="215"/>
      <c r="B31" s="291" t="s">
        <v>181</v>
      </c>
      <c r="D31" s="289">
        <f>+MIN(+$I$6*D25,D32)</f>
        <v>0</v>
      </c>
      <c r="E31" s="289">
        <f>+MIN(+$I$6*E25,E32)</f>
        <v>0</v>
      </c>
      <c r="F31" s="289">
        <f>+MIN(+$I$6*F25,F32)</f>
        <v>0</v>
      </c>
      <c r="G31" s="290"/>
      <c r="K31" s="219"/>
    </row>
    <row r="32" spans="1:15" s="216" customFormat="1">
      <c r="A32" s="215"/>
      <c r="B32" s="291" t="s">
        <v>182</v>
      </c>
      <c r="C32" s="292" t="s">
        <v>171</v>
      </c>
      <c r="D32" s="289">
        <f>-C26*(1+$M$6)-D22-D24</f>
        <v>33934696.610242456</v>
      </c>
      <c r="E32" s="289">
        <f>(D32-D31)*(1+$K$6)-E22-E24</f>
        <v>38031989.349096633</v>
      </c>
      <c r="F32" s="289">
        <f>(E32-E31)*(1+$K$6)-F22-F24</f>
        <v>43775530.775861278</v>
      </c>
      <c r="G32" s="290"/>
      <c r="K32" s="219"/>
    </row>
    <row r="33" spans="1:11" s="216" customFormat="1">
      <c r="A33" s="215"/>
      <c r="B33" s="248" t="s">
        <v>41</v>
      </c>
      <c r="C33" s="214">
        <f>I6</f>
        <v>0.6</v>
      </c>
      <c r="D33" s="293">
        <f>D31</f>
        <v>0</v>
      </c>
      <c r="E33" s="293">
        <f>E31</f>
        <v>0</v>
      </c>
      <c r="F33" s="293">
        <f>F31</f>
        <v>0</v>
      </c>
      <c r="G33" s="294"/>
      <c r="K33" s="219"/>
    </row>
    <row r="34" spans="1:11" s="216" customFormat="1">
      <c r="A34" s="215"/>
      <c r="B34" s="248" t="s">
        <v>150</v>
      </c>
      <c r="C34" s="214">
        <f>100%-C33</f>
        <v>0.4</v>
      </c>
      <c r="D34" s="293">
        <f>ROUND(((D33/$C$33)*$C$34),0)</f>
        <v>0</v>
      </c>
      <c r="E34" s="293">
        <f>ROUND(((E33/$C$33)*$C$34),0)</f>
        <v>0</v>
      </c>
      <c r="F34" s="293">
        <f>ROUND(((F33/$C$33)*$C$34),0)</f>
        <v>0</v>
      </c>
      <c r="G34" s="294"/>
      <c r="I34" s="224"/>
      <c r="K34" s="219"/>
    </row>
    <row r="35" spans="1:11" s="216" customFormat="1">
      <c r="A35" s="215"/>
      <c r="B35" s="226"/>
      <c r="C35" s="224"/>
      <c r="D35" s="224"/>
      <c r="E35" s="224"/>
      <c r="F35" s="224"/>
      <c r="G35" s="276"/>
      <c r="I35" s="224"/>
      <c r="K35" s="219"/>
    </row>
    <row r="36" spans="1:11" s="216" customFormat="1">
      <c r="A36" s="215"/>
      <c r="B36" s="434">
        <f>H7</f>
        <v>0.75</v>
      </c>
      <c r="C36" s="435"/>
      <c r="D36" s="435"/>
      <c r="E36" s="435"/>
      <c r="F36" s="436"/>
      <c r="G36" s="226"/>
      <c r="I36" s="224"/>
      <c r="K36" s="219"/>
    </row>
    <row r="37" spans="1:11" s="216" customFormat="1">
      <c r="A37" s="215"/>
      <c r="B37" s="291" t="s">
        <v>181</v>
      </c>
      <c r="C37" s="292"/>
      <c r="D37" s="289">
        <f>+MIN(+$I$7*(D25-D33-D34),D38)</f>
        <v>0</v>
      </c>
      <c r="E37" s="289">
        <f>+MIN(+$I$7*(E25-E33-E34),E38)</f>
        <v>0</v>
      </c>
      <c r="F37" s="289">
        <f>+MIN(+$I$7*(F25-F33-F34),F38)</f>
        <v>0</v>
      </c>
      <c r="G37" s="290"/>
      <c r="K37" s="219"/>
    </row>
    <row r="38" spans="1:11" s="216" customFormat="1">
      <c r="A38" s="215"/>
      <c r="B38" s="291" t="s">
        <v>182</v>
      </c>
      <c r="C38" s="292" t="s">
        <v>171</v>
      </c>
      <c r="D38" s="289">
        <f>-C26*(1+$M$7)-D22-D24-D33</f>
        <v>107442592.19073467</v>
      </c>
      <c r="E38" s="289">
        <f>(D38-D39)*(1+$K$7)-E22-E24-E33</f>
        <v>212874231.73047987</v>
      </c>
      <c r="F38" s="289">
        <f>(E38-E39)*(1+$K$7)-F22-F24-F33</f>
        <v>424646246.804887</v>
      </c>
      <c r="G38" s="290"/>
      <c r="K38" s="219"/>
    </row>
    <row r="39" spans="1:11" s="216" customFormat="1">
      <c r="A39" s="215"/>
      <c r="B39" s="248" t="s">
        <v>41</v>
      </c>
      <c r="C39" s="214">
        <f>I7</f>
        <v>0.5</v>
      </c>
      <c r="D39" s="293">
        <f>MIN((D25-D33-D34)*$C$39,D38)</f>
        <v>0</v>
      </c>
      <c r="E39" s="293">
        <f>MIN((E25-E33-E34)*$C$39,E38)</f>
        <v>0</v>
      </c>
      <c r="F39" s="293">
        <f>MIN((F25-F33-F34)*$C$39,F38)</f>
        <v>0</v>
      </c>
      <c r="G39" s="294"/>
      <c r="K39" s="219"/>
    </row>
    <row r="40" spans="1:11" s="216" customFormat="1">
      <c r="A40" s="215"/>
      <c r="B40" s="248" t="s">
        <v>150</v>
      </c>
      <c r="C40" s="214">
        <f>100%-C39</f>
        <v>0.5</v>
      </c>
      <c r="D40" s="293">
        <f>ROUND(((D39/$C$39)*$C$40),0)</f>
        <v>0</v>
      </c>
      <c r="E40" s="293">
        <f>ROUND(((E39/$C$39)*$C$40),0)</f>
        <v>0</v>
      </c>
      <c r="F40" s="293">
        <f>ROUND(((F39/$C$39)*$C$40),0)</f>
        <v>0</v>
      </c>
      <c r="G40" s="294"/>
      <c r="K40" s="219"/>
    </row>
    <row r="41" spans="1:11" s="216" customFormat="1">
      <c r="A41" s="215"/>
      <c r="B41" s="226"/>
      <c r="C41" s="224"/>
      <c r="D41" s="224"/>
      <c r="E41" s="224"/>
      <c r="F41" s="224"/>
      <c r="G41" s="276"/>
      <c r="K41" s="219"/>
    </row>
    <row r="42" spans="1:11" s="216" customFormat="1">
      <c r="A42" s="215"/>
      <c r="B42" s="437">
        <f>H8</f>
        <v>0.65</v>
      </c>
      <c r="C42" s="438" t="s">
        <v>171</v>
      </c>
      <c r="D42" s="439"/>
      <c r="E42" s="439"/>
      <c r="F42" s="440">
        <f>F25-F33-F34-F39-F40</f>
        <v>0</v>
      </c>
      <c r="G42" s="350"/>
      <c r="K42" s="219"/>
    </row>
    <row r="43" spans="1:11" s="216" customFormat="1">
      <c r="A43" s="215"/>
      <c r="B43" s="248" t="s">
        <v>41</v>
      </c>
      <c r="C43" s="214">
        <f>I8</f>
        <v>0.5</v>
      </c>
      <c r="D43" s="289"/>
      <c r="E43" s="293"/>
      <c r="F43" s="293">
        <f>$F$42*C43</f>
        <v>0</v>
      </c>
      <c r="G43" s="294"/>
      <c r="K43" s="219"/>
    </row>
    <row r="44" spans="1:11" s="216" customFormat="1" ht="15.75" thickBot="1">
      <c r="A44" s="215"/>
      <c r="B44" s="464" t="s">
        <v>150</v>
      </c>
      <c r="C44" s="465">
        <f>100%-C43</f>
        <v>0.5</v>
      </c>
      <c r="D44" s="408"/>
      <c r="E44" s="408"/>
      <c r="F44" s="408">
        <f>$F$42*C44</f>
        <v>0</v>
      </c>
      <c r="G44" s="294"/>
      <c r="K44" s="219"/>
    </row>
    <row r="45" spans="1:11" s="216" customFormat="1">
      <c r="A45" s="215"/>
      <c r="B45" s="301"/>
      <c r="C45" s="277"/>
      <c r="D45" s="277"/>
      <c r="E45" s="277"/>
      <c r="F45" s="331"/>
      <c r="G45" s="224"/>
      <c r="K45" s="219"/>
    </row>
    <row r="46" spans="1:11" s="216" customFormat="1">
      <c r="A46" s="215"/>
      <c r="B46" s="441" t="s">
        <v>183</v>
      </c>
      <c r="C46" s="442"/>
      <c r="D46" s="443"/>
      <c r="E46" s="443"/>
      <c r="F46" s="444"/>
      <c r="G46" s="280"/>
      <c r="K46" s="219"/>
    </row>
    <row r="47" spans="1:11" s="216" customFormat="1">
      <c r="A47" s="215"/>
      <c r="B47" s="380" t="s">
        <v>375</v>
      </c>
      <c r="C47" s="340"/>
      <c r="D47" s="340">
        <f>((D22+D24)*$C$17)+(D33*$C$17)+(D39*$C$17)+(D43*$C$17)</f>
        <v>396246.42398489895</v>
      </c>
      <c r="E47" s="340">
        <f>((E22+E24)*$C$17)+(E33*$C$17)+(E39*$C$17)+(E43*$C$17)</f>
        <v>1709309.7533410469</v>
      </c>
      <c r="F47" s="448">
        <f>((F22+F24)*$C$17)+(F33*$C$17)+(F39*$C$17)+(F43*$C$17)</f>
        <v>936884.15766183939</v>
      </c>
      <c r="G47" s="340"/>
      <c r="K47" s="219"/>
    </row>
    <row r="48" spans="1:11" s="216" customFormat="1">
      <c r="A48" s="215"/>
      <c r="B48" s="380" t="s">
        <v>184</v>
      </c>
      <c r="C48" s="340"/>
      <c r="D48" s="340">
        <f>((D22+D24)*$C$18)+(D33*$C$18)+D34+(D39*$C$18)+D40+(D43*$C$18)+D44</f>
        <v>69925.839526746888</v>
      </c>
      <c r="E48" s="340">
        <f>((E22+E24)*$C$18)+(E33*$C$18)+E34+(E39*$C$18)+E40+(E43*$C$18)+E44</f>
        <v>301642.89764842013</v>
      </c>
      <c r="F48" s="448">
        <f>((F22+F24)*$C$18)+(F33*$C$18)+F34+(F39*$C$18)+F40+(F43*$C$18)+F44</f>
        <v>165332.49841091287</v>
      </c>
      <c r="G48" s="478"/>
      <c r="H48" s="479" t="s">
        <v>91</v>
      </c>
      <c r="I48" s="479" t="s">
        <v>185</v>
      </c>
      <c r="K48" s="219"/>
    </row>
    <row r="49" spans="1:11" s="216" customFormat="1" ht="15.75" thickBot="1">
      <c r="A49" s="215"/>
      <c r="B49" s="445" t="s">
        <v>167</v>
      </c>
      <c r="C49" s="446">
        <f>C11</f>
        <v>-24033944.982098967</v>
      </c>
      <c r="D49" s="446">
        <f>SUM(D47:D48)</f>
        <v>466172.26351164584</v>
      </c>
      <c r="E49" s="446">
        <f>SUM(E47:E48)</f>
        <v>2010952.650989467</v>
      </c>
      <c r="F49" s="447">
        <f>SUM(F47:F48)</f>
        <v>1102216.6560727523</v>
      </c>
      <c r="G49" s="412"/>
      <c r="H49" s="413">
        <f>XIRR(C49:F49,C6:F6)</f>
        <v>-0.42408317644149057</v>
      </c>
      <c r="I49" s="414">
        <f>SUM(D49:F49)/-C49</f>
        <v>0.14892859134194744</v>
      </c>
      <c r="K49" s="219"/>
    </row>
    <row r="50" spans="1:11" s="216" customFormat="1" ht="15.75" thickTop="1">
      <c r="A50" s="215"/>
      <c r="B50" s="305"/>
      <c r="C50" s="306"/>
      <c r="D50" s="341"/>
      <c r="E50" s="341"/>
      <c r="F50" s="307"/>
      <c r="H50" s="390"/>
      <c r="I50" s="390"/>
      <c r="K50" s="219"/>
    </row>
    <row r="51" spans="1:11" s="216" customFormat="1">
      <c r="A51" s="215"/>
      <c r="B51" s="305" t="s">
        <v>376</v>
      </c>
      <c r="C51" s="306"/>
      <c r="D51" s="341"/>
      <c r="E51" s="341"/>
      <c r="F51" s="307"/>
      <c r="G51" s="480"/>
      <c r="H51" s="481" t="s">
        <v>91</v>
      </c>
      <c r="I51" s="481" t="s">
        <v>185</v>
      </c>
      <c r="K51" s="219"/>
    </row>
    <row r="52" spans="1:11" s="216" customFormat="1">
      <c r="A52" s="228"/>
      <c r="B52" s="901">
        <f>C17</f>
        <v>0.85</v>
      </c>
      <c r="C52" s="473">
        <f>-F17</f>
        <v>-20428853.234784123</v>
      </c>
      <c r="D52" s="473">
        <f>D47</f>
        <v>396246.42398489895</v>
      </c>
      <c r="E52" s="473">
        <f>E47</f>
        <v>1709309.7533410469</v>
      </c>
      <c r="F52" s="474">
        <f>F47</f>
        <v>936884.15766183939</v>
      </c>
      <c r="G52" s="389"/>
      <c r="H52" s="391">
        <f>XIRR(C52:F52,C6:F6)</f>
        <v>-0.42408317644149057</v>
      </c>
      <c r="I52" s="392">
        <f>SUM(D52:F52)/-C52</f>
        <v>0.14892859134194741</v>
      </c>
      <c r="K52" s="219"/>
    </row>
    <row r="53" spans="1:11">
      <c r="A53" s="229"/>
      <c r="B53" s="308"/>
      <c r="C53" s="309"/>
      <c r="D53" s="309"/>
      <c r="E53" s="309"/>
      <c r="F53" s="310"/>
      <c r="G53" s="222"/>
      <c r="H53" s="393"/>
      <c r="I53" s="394"/>
    </row>
    <row r="54" spans="1:11">
      <c r="A54" s="229"/>
      <c r="B54" s="305" t="s">
        <v>186</v>
      </c>
      <c r="C54" s="309"/>
      <c r="D54" s="309"/>
      <c r="E54" s="309"/>
      <c r="F54" s="310"/>
      <c r="G54" s="482"/>
      <c r="H54" s="483" t="s">
        <v>91</v>
      </c>
      <c r="I54" s="483" t="s">
        <v>185</v>
      </c>
    </row>
    <row r="55" spans="1:11">
      <c r="A55" s="229"/>
      <c r="B55" s="475">
        <v>0.1</v>
      </c>
      <c r="C55" s="476">
        <f>-F18</f>
        <v>-3605091.7473148457</v>
      </c>
      <c r="D55" s="476">
        <f>D48</f>
        <v>69925.839526746888</v>
      </c>
      <c r="E55" s="476">
        <f>E48</f>
        <v>301642.89764842013</v>
      </c>
      <c r="F55" s="477">
        <f>F48</f>
        <v>165332.49841091287</v>
      </c>
      <c r="G55" s="423"/>
      <c r="H55" s="424">
        <f>XIRR(C55:F55,C6:F6)</f>
        <v>-0.42408317644149057</v>
      </c>
      <c r="I55" s="425">
        <f>SUM(D55:F55)/-C55</f>
        <v>0.14892859134194744</v>
      </c>
    </row>
    <row r="56" spans="1:11" s="216" customFormat="1">
      <c r="A56" s="228"/>
      <c r="B56" s="305"/>
      <c r="C56" s="311"/>
      <c r="D56" s="342"/>
      <c r="E56" s="342"/>
      <c r="F56" s="312"/>
      <c r="G56" s="313"/>
      <c r="K56" s="219"/>
    </row>
    <row r="57" spans="1:11" s="216" customFormat="1" ht="15.75" thickBot="1">
      <c r="A57" s="215"/>
      <c r="B57" s="454" t="s">
        <v>187</v>
      </c>
      <c r="C57" s="455"/>
      <c r="D57" s="455"/>
      <c r="E57" s="455"/>
      <c r="F57" s="456">
        <f>SUM(D47:F47)+SUM(D48:F48)</f>
        <v>3579341.570573865</v>
      </c>
      <c r="K57" s="219"/>
    </row>
    <row r="58" spans="1:11" s="216" customFormat="1">
      <c r="A58" s="215"/>
      <c r="B58" s="230"/>
      <c r="C58" s="235"/>
      <c r="D58" s="236"/>
      <c r="E58" s="236"/>
      <c r="F58" s="236"/>
      <c r="G58" s="236"/>
      <c r="K58" s="219"/>
    </row>
    <row r="59" spans="1:11" s="216" customFormat="1">
      <c r="A59" s="215"/>
      <c r="B59" s="230"/>
      <c r="C59" s="235"/>
      <c r="D59" s="235"/>
      <c r="E59" s="235"/>
      <c r="F59" s="235"/>
      <c r="G59" s="237"/>
      <c r="K59" s="219"/>
    </row>
    <row r="60" spans="1:11" s="216" customFormat="1">
      <c r="A60" s="215"/>
      <c r="B60" s="238"/>
      <c r="C60" s="218"/>
      <c r="D60" s="218"/>
      <c r="E60" s="218"/>
      <c r="F60" s="218"/>
      <c r="G60" s="227"/>
      <c r="K60" s="219"/>
    </row>
    <row r="61" spans="1:11" s="216" customFormat="1">
      <c r="A61" s="215"/>
      <c r="E61" s="218"/>
      <c r="F61" s="218"/>
      <c r="G61" s="218"/>
      <c r="K61" s="219"/>
    </row>
    <row r="62" spans="1:11" s="216" customFormat="1">
      <c r="A62" s="215"/>
      <c r="E62" s="218"/>
      <c r="F62" s="218"/>
      <c r="G62" s="218"/>
      <c r="K62" s="219"/>
    </row>
    <row r="63" spans="1:11" s="216" customFormat="1">
      <c r="A63" s="215"/>
      <c r="E63" s="218"/>
      <c r="F63" s="218"/>
      <c r="G63" s="218"/>
      <c r="K63" s="219"/>
    </row>
    <row r="64" spans="1:11" s="216" customFormat="1">
      <c r="A64" s="215"/>
      <c r="E64" s="218"/>
      <c r="F64" s="218"/>
      <c r="G64" s="218"/>
      <c r="K64" s="219"/>
    </row>
    <row r="65" spans="1:11" s="216" customFormat="1">
      <c r="A65" s="215"/>
      <c r="E65" s="218"/>
      <c r="F65" s="218"/>
      <c r="G65" s="218"/>
      <c r="K65" s="219"/>
    </row>
    <row r="66" spans="1:11" s="216" customFormat="1">
      <c r="A66" s="215"/>
      <c r="E66" s="218"/>
      <c r="F66" s="218"/>
      <c r="G66" s="218"/>
      <c r="K66" s="219"/>
    </row>
    <row r="67" spans="1:11" s="216" customFormat="1">
      <c r="A67" s="215"/>
      <c r="E67" s="218"/>
      <c r="F67" s="218"/>
      <c r="G67" s="218"/>
      <c r="K67" s="219"/>
    </row>
    <row r="68" spans="1:11" s="216" customFormat="1">
      <c r="A68" s="215"/>
      <c r="E68" s="218"/>
      <c r="F68" s="218"/>
      <c r="G68" s="218"/>
      <c r="K68" s="219"/>
    </row>
    <row r="69" spans="1:11" s="216" customFormat="1">
      <c r="A69" s="215"/>
      <c r="E69" s="218"/>
      <c r="F69" s="218"/>
      <c r="G69" s="218"/>
      <c r="K69" s="219"/>
    </row>
    <row r="70" spans="1:11" s="216" customFormat="1">
      <c r="A70" s="215"/>
      <c r="E70" s="218"/>
      <c r="F70" s="218"/>
      <c r="G70" s="218"/>
      <c r="K70" s="219"/>
    </row>
    <row r="71" spans="1:11" s="216" customFormat="1">
      <c r="A71" s="215"/>
      <c r="E71" s="218"/>
      <c r="F71" s="218"/>
      <c r="G71" s="218"/>
      <c r="K71" s="219"/>
    </row>
    <row r="72" spans="1:11" s="216" customFormat="1">
      <c r="A72" s="215"/>
      <c r="E72" s="218"/>
      <c r="F72" s="218"/>
      <c r="G72" s="218"/>
      <c r="K72" s="219"/>
    </row>
    <row r="73" spans="1:11" s="216" customFormat="1">
      <c r="A73" s="215"/>
      <c r="E73" s="218"/>
      <c r="F73" s="218"/>
      <c r="G73" s="218"/>
      <c r="K73" s="219"/>
    </row>
    <row r="74" spans="1:11" s="216" customFormat="1">
      <c r="A74" s="215"/>
      <c r="B74" s="238"/>
      <c r="C74" s="218"/>
      <c r="D74" s="218"/>
      <c r="E74" s="218"/>
      <c r="F74" s="218"/>
      <c r="G74" s="218"/>
      <c r="K74" s="219"/>
    </row>
    <row r="75" spans="1:11">
      <c r="C75" s="239"/>
      <c r="G75" s="240"/>
    </row>
    <row r="76" spans="1:11">
      <c r="B76" s="238"/>
    </row>
  </sheetData>
  <mergeCells count="2">
    <mergeCell ref="E3:F3"/>
    <mergeCell ref="E4:F4"/>
  </mergeCells>
  <conditionalFormatting sqref="C7:F10">
    <cfRule type="cellIs" dxfId="185" priority="1" operator="equal">
      <formula>0</formula>
    </cfRule>
  </conditionalFormatting>
  <pageMargins left="0.7" right="0.7" top="0.75" bottom="0.75" header="0.3" footer="0.3"/>
  <pageSetup scale="41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0070C0"/>
  </sheetPr>
  <dimension ref="A1:P76"/>
  <sheetViews>
    <sheetView showGridLines="0" zoomScale="85" zoomScaleNormal="85" workbookViewId="0">
      <selection activeCell="N3" sqref="N3:N8"/>
    </sheetView>
  </sheetViews>
  <sheetFormatPr defaultColWidth="9.140625" defaultRowHeight="15"/>
  <cols>
    <col min="1" max="1" width="6.28515625" style="210" customWidth="1"/>
    <col min="2" max="2" width="56" style="211" customWidth="1"/>
    <col min="3" max="7" width="12.7109375" style="211" customWidth="1"/>
    <col min="8" max="8" width="3.85546875" style="211" customWidth="1"/>
    <col min="9" max="9" width="30.140625" style="212" customWidth="1"/>
    <col min="10" max="10" width="14.5703125" style="212" customWidth="1"/>
    <col min="11" max="11" width="13.85546875" style="212" customWidth="1"/>
    <col min="12" max="12" width="15.42578125" style="213" customWidth="1"/>
    <col min="13" max="13" width="12.28515625" style="212" bestFit="1" customWidth="1"/>
    <col min="14" max="14" width="13.5703125" style="212" customWidth="1"/>
    <col min="15" max="15" width="12.28515625" style="212" bestFit="1" customWidth="1"/>
    <col min="16" max="16384" width="9.140625" style="212"/>
  </cols>
  <sheetData>
    <row r="1" spans="1:14" ht="15.75" thickBot="1"/>
    <row r="2" spans="1:14" ht="15.75" thickBot="1">
      <c r="B2" s="315" t="s">
        <v>188</v>
      </c>
      <c r="C2" s="314"/>
      <c r="D2" s="314"/>
      <c r="E2" s="314"/>
      <c r="F2" s="314"/>
      <c r="G2" s="314"/>
      <c r="H2" s="242"/>
      <c r="I2" s="359" t="str">
        <f>'Waterfall II Annual'!G2</f>
        <v>JV RETURN STRUCTURE</v>
      </c>
      <c r="J2" s="360"/>
      <c r="K2" s="360"/>
      <c r="L2" s="361"/>
    </row>
    <row r="3" spans="1:14">
      <c r="B3" s="226" t="s">
        <v>89</v>
      </c>
      <c r="C3" s="241"/>
      <c r="D3" s="241"/>
      <c r="E3" s="241"/>
      <c r="F3" s="1113">
        <f>Dashboard!B66</f>
        <v>47515</v>
      </c>
      <c r="G3" s="1114"/>
      <c r="H3" s="242"/>
      <c r="I3" s="362"/>
      <c r="J3" s="356" t="str">
        <f>'Waterfall II Annual'!H3</f>
        <v>Equity CF (%)</v>
      </c>
      <c r="K3" s="356" t="str">
        <f>'Waterfall II Annual'!I3</f>
        <v>Promote (%)</v>
      </c>
      <c r="L3" s="363" t="str">
        <f>'Waterfall II Annual'!J3</f>
        <v>IRR Threshold</v>
      </c>
      <c r="N3" s="911" t="s">
        <v>192</v>
      </c>
    </row>
    <row r="4" spans="1:14">
      <c r="B4" s="316" t="s">
        <v>81</v>
      </c>
      <c r="C4" s="243"/>
      <c r="D4" s="244"/>
      <c r="E4" s="244"/>
      <c r="F4" s="1109">
        <f>Dashboard!C66</f>
        <v>5.083333333333333</v>
      </c>
      <c r="G4" s="1110"/>
      <c r="H4" s="248"/>
      <c r="I4" s="251">
        <f>'Waterfall II Annual'!G4</f>
        <v>1</v>
      </c>
      <c r="J4" s="357">
        <f>'Waterfall II Annual'!H4</f>
        <v>1</v>
      </c>
      <c r="K4" s="357">
        <f>1-J4</f>
        <v>0</v>
      </c>
      <c r="L4" s="398">
        <f>'Waterfall II Annual'!J4</f>
        <v>0.1</v>
      </c>
      <c r="N4" s="909">
        <f>(((1+L4)^(YEARFRAC($C$6,$D$6)))-1)</f>
        <v>0.22937436000579892</v>
      </c>
    </row>
    <row r="5" spans="1:14">
      <c r="B5" s="466" t="s">
        <v>41</v>
      </c>
      <c r="C5" s="467"/>
      <c r="D5" s="468"/>
      <c r="E5" s="468"/>
      <c r="F5" s="468"/>
      <c r="G5" s="469">
        <f>SUM(Dashboard!$F$9:$F$10)</f>
        <v>24033944.982098967</v>
      </c>
      <c r="H5" s="248"/>
      <c r="I5" s="364" t="str">
        <f>'Waterfall II Annual'!G5</f>
        <v>2nd Priority - Return of Capital</v>
      </c>
      <c r="J5" s="368"/>
      <c r="K5" s="368"/>
      <c r="L5" s="365"/>
      <c r="N5" s="910"/>
    </row>
    <row r="6" spans="1:14">
      <c r="B6" s="245" t="s">
        <v>158</v>
      </c>
      <c r="C6" s="246">
        <f>'Property Level Return Calcs'!D52</f>
        <v>45658</v>
      </c>
      <c r="D6" s="246">
        <f>Dashboard!I52</f>
        <v>46447</v>
      </c>
      <c r="E6" s="246">
        <f>Dashboard!K52</f>
        <v>46813</v>
      </c>
      <c r="F6" s="246">
        <f>Dashboard!M52</f>
        <v>47178</v>
      </c>
      <c r="G6" s="246">
        <f>Dashboard!O52</f>
        <v>47515</v>
      </c>
      <c r="H6" s="345"/>
      <c r="I6" s="251">
        <f>'Waterfall II Annual'!G6</f>
        <v>0.85</v>
      </c>
      <c r="J6" s="357">
        <f>'Waterfall II Annual'!H6</f>
        <v>0.6</v>
      </c>
      <c r="K6" s="357">
        <f>1-J6</f>
        <v>0.4</v>
      </c>
      <c r="L6" s="398">
        <f>'Waterfall II Annual'!J6</f>
        <v>0.18</v>
      </c>
      <c r="M6" s="214"/>
      <c r="N6" s="909">
        <f>(((1+L6)^(YEARFRAC($C$6,$D$6)))-1)</f>
        <v>0.43134507877823047</v>
      </c>
    </row>
    <row r="7" spans="1:14">
      <c r="B7" s="248" t="str">
        <f>'Waterfall II Annual'!B7</f>
        <v>Initial Equity</v>
      </c>
      <c r="C7" s="249">
        <f>-G5</f>
        <v>-24033944.982098967</v>
      </c>
      <c r="D7" s="249"/>
      <c r="E7" s="249"/>
      <c r="F7" s="249"/>
      <c r="G7" s="249"/>
      <c r="H7" s="346"/>
      <c r="I7" s="251">
        <f>'Waterfall II Annual'!G7</f>
        <v>0.75</v>
      </c>
      <c r="J7" s="357">
        <f>'Waterfall II Annual'!H7</f>
        <v>0.5</v>
      </c>
      <c r="K7" s="357">
        <f t="shared" ref="K7:K8" si="0">1-J7</f>
        <v>0.5</v>
      </c>
      <c r="L7" s="398">
        <f>'Waterfall II Annual'!J7</f>
        <v>1</v>
      </c>
      <c r="N7" s="909">
        <f>(((1+L7)^(YEARFRAC($C$6,$D$6)))-1)</f>
        <v>3.4898481932374912</v>
      </c>
    </row>
    <row r="8" spans="1:14" ht="15.75" thickBot="1">
      <c r="B8" s="248" t="str">
        <f>'Waterfall II Annual'!B8</f>
        <v>Net Cash Flows</v>
      </c>
      <c r="C8" s="249"/>
      <c r="D8" s="253">
        <f>SUMIFS('Property Level Return Calcs'!$E57:$AZ57,'Property Level Return Calcs'!$E$52:$AZ$52,"&gt;"&amp;C$6,'Property Level Return Calcs'!$E$52:$AZ$52,"&lt;="&amp;D$6)</f>
        <v>1847195.6224231154</v>
      </c>
      <c r="E8" s="253">
        <f>SUMIFS('Property Level Return Calcs'!$E57:$AZ57,'Property Level Return Calcs'!$E$52:$AZ$52,"&gt;"&amp;D$6,'Property Level Return Calcs'!$E$52:$AZ$52,"&lt;="&amp;E$6)</f>
        <v>2010952.650989467</v>
      </c>
      <c r="F8" s="253">
        <f>SUMIFS('Property Level Return Calcs'!$E57:$AZ57,'Property Level Return Calcs'!$E$52:$AZ$52,"&gt;"&amp;E$6,'Property Level Return Calcs'!$E$52:$AZ$52,"&lt;="&amp;F$6)</f>
        <v>1102216.6560727523</v>
      </c>
      <c r="G8" s="253">
        <f>SUMIFS('Property Level Return Calcs'!$E57:$AZ57,'Property Level Return Calcs'!$E$52:$AZ$52,"&gt;"&amp;F$6,'Property Level Return Calcs'!$E$52:$AZ$52,"&lt;="&amp;G$6)</f>
        <v>0</v>
      </c>
      <c r="H8" s="322"/>
      <c r="I8" s="317">
        <f>'Waterfall II Annual'!G8</f>
        <v>0.65</v>
      </c>
      <c r="J8" s="366">
        <f>'Waterfall II Annual'!H8</f>
        <v>0.5</v>
      </c>
      <c r="K8" s="366">
        <f t="shared" si="0"/>
        <v>0.5</v>
      </c>
      <c r="L8" s="399">
        <f>'Waterfall II Annual'!J8</f>
        <v>1</v>
      </c>
      <c r="N8" s="909">
        <f>(((1+L8)^(YEARFRAC($C$6,$D$6)))-1)</f>
        <v>3.4898481932374912</v>
      </c>
    </row>
    <row r="9" spans="1:14">
      <c r="B9" s="248" t="str">
        <f>'Waterfall II Annual'!B9</f>
        <v>Net Refi Proceeds</v>
      </c>
      <c r="C9" s="213"/>
      <c r="D9" s="253">
        <f>SUMIFS('Property Level Return Calcs'!$E58:$AZ58,'Property Level Return Calcs'!$E$52:$AZ$52,"&gt;"&amp;C$6,'Property Level Return Calcs'!$E$52:$AZ$52,"&lt;="&amp;EOMONTH('Waterfall IV Annual'!D$6,0))</f>
        <v>-1381023.3589114696</v>
      </c>
      <c r="E9" s="253">
        <f>SUMIFS('Property Level Return Calcs'!$E58:$AZ58,'Property Level Return Calcs'!$E$52:$AZ$52,"&gt;"&amp;EDATE(D$6,1),'Property Level Return Calcs'!$E$52:$AZ$52,"&lt;="&amp;EOMONTH('Waterfall IV Annual'!E$6,0))</f>
        <v>0</v>
      </c>
      <c r="F9" s="253">
        <f>SUMIFS('Property Level Return Calcs'!$E58:$AZ58,'Property Level Return Calcs'!$E$52:$AZ$52,"&gt;"&amp;EDATE(E$6,1),'Property Level Return Calcs'!$E$52:$AZ$52,"&lt;="&amp;EOMONTH('Waterfall IV Annual'!F$6,0))</f>
        <v>0</v>
      </c>
      <c r="G9" s="253">
        <f>SUMIFS('Property Level Return Calcs'!$E58:$AZ58,'Property Level Return Calcs'!$E$52:$AZ$52,"&gt;"&amp;EDATE(F$6,1),'Property Level Return Calcs'!$E$52:$AZ$52,"&lt;="&amp;EOMONTH('Waterfall IV Annual'!G$6,0))</f>
        <v>0</v>
      </c>
      <c r="H9" s="347"/>
    </row>
    <row r="10" spans="1:14" s="216" customFormat="1">
      <c r="A10" s="215"/>
      <c r="B10" s="255" t="str">
        <f>'Waterfall II Annual'!B10</f>
        <v>Sale Proceeds</v>
      </c>
      <c r="C10" s="249"/>
      <c r="D10" s="253">
        <f>SUMIFS('Property Level Return Calcs'!$E59:$AZ59,'Property Level Return Calcs'!$E$52:$AZ$52,"&gt;"&amp;C$6,'Property Level Return Calcs'!$E$52:$AZ$52,"&lt;="&amp;D$6)</f>
        <v>0</v>
      </c>
      <c r="E10" s="253">
        <f>SUMIFS('Property Level Return Calcs'!$E59:$AZ59,'Property Level Return Calcs'!$E$52:$AZ$52,"&gt;"&amp;D$6,'Property Level Return Calcs'!$E$52:$AZ$52,"&lt;="&amp;E$6)</f>
        <v>0</v>
      </c>
      <c r="F10" s="253">
        <f>SUMIFS('Property Level Return Calcs'!$E59:$AZ59,'Property Level Return Calcs'!$E$52:$AZ$52,"&gt;"&amp;E$6,'Property Level Return Calcs'!$E$52:$AZ$52,"&lt;="&amp;F$6)</f>
        <v>0</v>
      </c>
      <c r="G10" s="253">
        <f>SUMIFS('Property Level Return Calcs'!$E59:$AZ59,'Property Level Return Calcs'!$E$52:$AZ$52,"&gt;"&amp;F$6,'Property Level Return Calcs'!$E$52:$AZ$52,"&lt;="&amp;G$6)</f>
        <v>0</v>
      </c>
      <c r="H10" s="348"/>
    </row>
    <row r="11" spans="1:14" s="216" customFormat="1">
      <c r="A11" s="215"/>
      <c r="B11" s="226" t="s">
        <v>167</v>
      </c>
      <c r="C11" s="256">
        <f>SUM(C7:C10)</f>
        <v>-24033944.982098967</v>
      </c>
      <c r="D11" s="256">
        <f>SUM(D7:D10)</f>
        <v>466172.26351164584</v>
      </c>
      <c r="E11" s="256">
        <f t="shared" ref="E11:G11" si="1">SUM(E7:E10)</f>
        <v>2010952.650989467</v>
      </c>
      <c r="F11" s="256">
        <f t="shared" si="1"/>
        <v>1102216.6560727523</v>
      </c>
      <c r="G11" s="256">
        <f t="shared" si="1"/>
        <v>0</v>
      </c>
      <c r="H11" s="349"/>
    </row>
    <row r="12" spans="1:14">
      <c r="B12" s="248"/>
      <c r="C12" s="213"/>
      <c r="D12" s="324"/>
      <c r="E12" s="324"/>
      <c r="F12" s="324"/>
      <c r="G12" s="324"/>
      <c r="H12" s="248"/>
    </row>
    <row r="13" spans="1:14" s="216" customFormat="1">
      <c r="A13" s="215"/>
      <c r="B13" s="226" t="s">
        <v>91</v>
      </c>
      <c r="C13" s="213"/>
      <c r="D13" s="326"/>
      <c r="E13" s="326"/>
      <c r="F13" s="326"/>
      <c r="G13" s="327">
        <f>XIRR(C11:G11,C6:G6)</f>
        <v>-0.42408317644149057</v>
      </c>
      <c r="H13" s="226"/>
    </row>
    <row r="14" spans="1:14">
      <c r="B14" s="226" t="s">
        <v>168</v>
      </c>
      <c r="C14" s="224"/>
      <c r="D14" s="224"/>
      <c r="E14" s="224"/>
      <c r="F14" s="224"/>
      <c r="G14" s="329">
        <f>SUM(D11:G11)/-C11</f>
        <v>0.14892859134194744</v>
      </c>
      <c r="H14" s="276"/>
    </row>
    <row r="15" spans="1:14" ht="15.75" thickBot="1">
      <c r="B15" s="470" t="s">
        <v>169</v>
      </c>
      <c r="C15" s="471"/>
      <c r="D15" s="471"/>
      <c r="E15" s="471"/>
      <c r="F15" s="471"/>
      <c r="G15" s="472">
        <f>SUM(D11:G11)</f>
        <v>3579341.5705738654</v>
      </c>
      <c r="H15" s="248"/>
      <c r="I15" s="266"/>
      <c r="J15" s="254"/>
      <c r="K15" s="461"/>
    </row>
    <row r="16" spans="1:14" ht="15.75" thickTop="1">
      <c r="B16" s="242" t="s">
        <v>170</v>
      </c>
      <c r="C16" s="292" t="s">
        <v>171</v>
      </c>
      <c r="D16" s="293"/>
      <c r="E16" s="293"/>
      <c r="F16" s="293"/>
      <c r="G16" s="406">
        <f>G5</f>
        <v>24033944.982098967</v>
      </c>
      <c r="H16" s="248"/>
      <c r="I16" s="266"/>
      <c r="K16" s="461"/>
      <c r="L16" s="220"/>
    </row>
    <row r="17" spans="1:16">
      <c r="B17" s="248" t="s">
        <v>373</v>
      </c>
      <c r="C17" s="355">
        <f>Dashboard!E9</f>
        <v>0.85</v>
      </c>
      <c r="D17" s="293"/>
      <c r="E17" s="293"/>
      <c r="F17" s="293"/>
      <c r="G17" s="336">
        <f>G16*C17</f>
        <v>20428853.234784123</v>
      </c>
      <c r="H17" s="248"/>
      <c r="I17" s="266"/>
      <c r="J17" s="254"/>
      <c r="K17" s="254"/>
    </row>
    <row r="18" spans="1:16">
      <c r="B18" s="248" t="s">
        <v>172</v>
      </c>
      <c r="C18" s="355">
        <f>Dashboard!E10</f>
        <v>0.15000000000000002</v>
      </c>
      <c r="D18" s="293"/>
      <c r="E18" s="293"/>
      <c r="F18" s="293"/>
      <c r="G18" s="336">
        <f>G16*C18</f>
        <v>3605091.7473148457</v>
      </c>
      <c r="H18" s="248"/>
      <c r="I18" s="266"/>
    </row>
    <row r="19" spans="1:16" s="216" customFormat="1" ht="15.75" thickBot="1">
      <c r="A19" s="215"/>
      <c r="B19" s="462"/>
      <c r="C19" s="407"/>
      <c r="D19" s="407"/>
      <c r="E19" s="407"/>
      <c r="F19" s="407"/>
      <c r="G19" s="463"/>
      <c r="H19" s="226"/>
      <c r="I19" s="266"/>
      <c r="L19" s="219"/>
    </row>
    <row r="20" spans="1:16" s="216" customFormat="1">
      <c r="A20" s="215"/>
      <c r="B20" s="315" t="s">
        <v>173</v>
      </c>
      <c r="C20" s="373"/>
      <c r="D20" s="373"/>
      <c r="E20" s="373"/>
      <c r="F20" s="373"/>
      <c r="G20" s="373"/>
      <c r="H20" s="276"/>
      <c r="I20" s="266"/>
      <c r="L20" s="219"/>
    </row>
    <row r="21" spans="1:16" s="216" customFormat="1">
      <c r="A21" s="215"/>
      <c r="B21" s="434" t="s">
        <v>174</v>
      </c>
      <c r="C21" s="435"/>
      <c r="D21" s="435"/>
      <c r="E21" s="435"/>
      <c r="F21" s="435"/>
      <c r="G21" s="436"/>
      <c r="H21" s="279"/>
      <c r="L21" s="219"/>
    </row>
    <row r="22" spans="1:16" s="216" customFormat="1">
      <c r="A22" s="215"/>
      <c r="B22" s="281" t="s">
        <v>175</v>
      </c>
      <c r="C22" s="282"/>
      <c r="D22" s="282">
        <f>+MIN(D11,((-C26*$N$4)))</f>
        <v>466172.26351164584</v>
      </c>
      <c r="E22" s="282">
        <f>+MIN(E11,((-D26*$L$4)))</f>
        <v>2010952.650989467</v>
      </c>
      <c r="F22" s="282">
        <f>+MIN(F11,((-E26*$L$4)))</f>
        <v>1102216.6560727523</v>
      </c>
      <c r="G22" s="282">
        <f>+MIN(G11,((-F26*$L$4)))</f>
        <v>0</v>
      </c>
      <c r="H22" s="283"/>
      <c r="L22" s="219"/>
    </row>
    <row r="23" spans="1:16" s="216" customFormat="1">
      <c r="A23" s="215"/>
      <c r="B23" s="281" t="s">
        <v>176</v>
      </c>
      <c r="C23" s="282"/>
      <c r="D23" s="282">
        <f>-((+C26*$N$4)+D22)</f>
        <v>5046598.4851718871</v>
      </c>
      <c r="E23" s="282">
        <f>-((+D26*$L$4)+E22)</f>
        <v>897101.69573761872</v>
      </c>
      <c r="F23" s="282">
        <f>-((+E26*$L$4)+F22)</f>
        <v>1895547.8602280954</v>
      </c>
      <c r="G23" s="282">
        <f>-((+F26*$L$4)+G22)</f>
        <v>3187319.3023236571</v>
      </c>
      <c r="H23" s="283"/>
      <c r="K23" s="223"/>
      <c r="L23" s="223"/>
      <c r="M23" s="223"/>
      <c r="N23" s="223"/>
      <c r="O23" s="223"/>
    </row>
    <row r="24" spans="1:16" s="216" customFormat="1">
      <c r="A24" s="215"/>
      <c r="B24" s="284" t="s">
        <v>177</v>
      </c>
      <c r="C24" s="285"/>
      <c r="D24" s="285">
        <f>IF(D11&gt;D22,+MIN(-C26,D11-D22),0)</f>
        <v>0</v>
      </c>
      <c r="E24" s="285">
        <f>IF(E11&gt;E22,+MIN(-D26,E11-E22),0)</f>
        <v>0</v>
      </c>
      <c r="F24" s="285">
        <f>IF(F11&gt;F22,+MIN(-E26,F11-F22),0)</f>
        <v>0</v>
      </c>
      <c r="G24" s="285">
        <f>IF(G11&gt;G22,+MIN(-F26,G11-G22),0)</f>
        <v>0</v>
      </c>
      <c r="H24" s="286"/>
      <c r="K24" s="223"/>
      <c r="L24" s="223"/>
      <c r="M24" s="223"/>
      <c r="N24" s="223"/>
      <c r="O24" s="223"/>
    </row>
    <row r="25" spans="1:16" s="216" customFormat="1">
      <c r="A25" s="215"/>
      <c r="B25" s="279" t="s">
        <v>178</v>
      </c>
      <c r="C25" s="223"/>
      <c r="D25" s="223">
        <f>D11-D22-D24</f>
        <v>0</v>
      </c>
      <c r="E25" s="223">
        <f>E11-E22-E24</f>
        <v>0</v>
      </c>
      <c r="F25" s="223">
        <f>F11-F22-F24</f>
        <v>0</v>
      </c>
      <c r="G25" s="223">
        <f>G11-G22-G24</f>
        <v>0</v>
      </c>
      <c r="H25" s="287"/>
      <c r="K25" s="223"/>
      <c r="L25" s="219"/>
      <c r="O25" s="224"/>
    </row>
    <row r="26" spans="1:16" s="216" customFormat="1">
      <c r="A26" s="215"/>
      <c r="B26" s="288" t="s">
        <v>179</v>
      </c>
      <c r="C26" s="289">
        <f>-G16</f>
        <v>-24033944.982098967</v>
      </c>
      <c r="D26" s="289">
        <f>C26+D24-D23</f>
        <v>-29080543.467270855</v>
      </c>
      <c r="E26" s="289">
        <f>D26+E24-E23</f>
        <v>-29977645.163008474</v>
      </c>
      <c r="F26" s="289">
        <f>E26+F24-F23</f>
        <v>-31873193.023236569</v>
      </c>
      <c r="G26" s="289">
        <f>F26+G24-G23</f>
        <v>-35060512.325560227</v>
      </c>
      <c r="H26" s="290"/>
      <c r="J26" s="223"/>
      <c r="K26" s="223"/>
      <c r="L26" s="223"/>
      <c r="M26" s="223"/>
      <c r="N26" s="223"/>
      <c r="O26" s="223"/>
      <c r="P26" s="225"/>
    </row>
    <row r="27" spans="1:16" s="216" customFormat="1">
      <c r="A27" s="215"/>
      <c r="B27" s="288"/>
      <c r="C27" s="289"/>
      <c r="D27" s="289"/>
      <c r="E27" s="289"/>
      <c r="F27" s="289"/>
      <c r="G27" s="289"/>
      <c r="H27" s="290"/>
      <c r="L27" s="219"/>
      <c r="O27" s="224"/>
    </row>
    <row r="28" spans="1:16" s="216" customFormat="1">
      <c r="A28" s="215"/>
      <c r="B28" s="279" t="s">
        <v>180</v>
      </c>
      <c r="C28" s="223"/>
      <c r="D28" s="223"/>
      <c r="E28" s="223"/>
      <c r="F28" s="223"/>
      <c r="G28" s="223"/>
      <c r="H28" s="287"/>
      <c r="L28" s="219"/>
    </row>
    <row r="29" spans="1:16" s="216" customFormat="1">
      <c r="A29" s="215"/>
      <c r="B29" s="226"/>
      <c r="C29" s="224"/>
      <c r="D29" s="224"/>
      <c r="E29" s="224"/>
      <c r="F29" s="224"/>
      <c r="G29" s="224"/>
      <c r="H29" s="276"/>
      <c r="L29" s="219"/>
    </row>
    <row r="30" spans="1:16" s="216" customFormat="1">
      <c r="A30" s="215"/>
      <c r="B30" s="434">
        <f>I6</f>
        <v>0.85</v>
      </c>
      <c r="C30" s="435"/>
      <c r="D30" s="435"/>
      <c r="E30" s="435"/>
      <c r="F30" s="435"/>
      <c r="G30" s="436"/>
      <c r="H30" s="226"/>
      <c r="L30" s="219"/>
    </row>
    <row r="31" spans="1:16" s="216" customFormat="1">
      <c r="A31" s="215"/>
      <c r="B31" s="291" t="s">
        <v>181</v>
      </c>
      <c r="D31" s="289">
        <f>+MIN(+$J$6*D25,D32)</f>
        <v>0</v>
      </c>
      <c r="E31" s="289">
        <f>+MIN(+$J$6*E25,E32)</f>
        <v>0</v>
      </c>
      <c r="F31" s="289">
        <f>+MIN(+$J$6*F25,F32)</f>
        <v>0</v>
      </c>
      <c r="G31" s="289">
        <f>+MIN(+$J$6*G25,G32)</f>
        <v>0</v>
      </c>
      <c r="H31" s="290"/>
      <c r="L31" s="219"/>
    </row>
    <row r="32" spans="1:16" s="216" customFormat="1">
      <c r="A32" s="215"/>
      <c r="B32" s="291" t="s">
        <v>182</v>
      </c>
      <c r="C32" s="292" t="s">
        <v>171</v>
      </c>
      <c r="D32" s="289">
        <f>-C26*(1+$N$6)-D22-D24</f>
        <v>33934696.610242456</v>
      </c>
      <c r="E32" s="289">
        <f>(D32-D31)*(1+$L$6)-E22-E24</f>
        <v>38031989.349096633</v>
      </c>
      <c r="F32" s="289">
        <f>(E32-E31)*(1+$L$6)-F22-F24</f>
        <v>43775530.775861278</v>
      </c>
      <c r="G32" s="289">
        <f>(F32-F31)*(1+$L$6)-G22-G24</f>
        <v>51655126.315516308</v>
      </c>
      <c r="H32" s="290"/>
      <c r="L32" s="219"/>
    </row>
    <row r="33" spans="1:12" s="216" customFormat="1">
      <c r="A33" s="215"/>
      <c r="B33" s="248" t="s">
        <v>41</v>
      </c>
      <c r="C33" s="214">
        <f>J6</f>
        <v>0.6</v>
      </c>
      <c r="D33" s="293">
        <f>D31</f>
        <v>0</v>
      </c>
      <c r="E33" s="293">
        <f t="shared" ref="E33" si="2">E31</f>
        <v>0</v>
      </c>
      <c r="F33" s="293">
        <f>F31</f>
        <v>0</v>
      </c>
      <c r="G33" s="293">
        <f>G31</f>
        <v>0</v>
      </c>
      <c r="H33" s="294"/>
      <c r="L33" s="219"/>
    </row>
    <row r="34" spans="1:12" s="216" customFormat="1">
      <c r="A34" s="215"/>
      <c r="B34" s="248" t="s">
        <v>150</v>
      </c>
      <c r="C34" s="214">
        <f>100%-C33</f>
        <v>0.4</v>
      </c>
      <c r="D34" s="293">
        <f>ROUND(((D33/$C$33)*$C$34),0)</f>
        <v>0</v>
      </c>
      <c r="E34" s="293">
        <f>ROUND(((E33/$C$33)*$C$34),0)</f>
        <v>0</v>
      </c>
      <c r="F34" s="293">
        <f>ROUND(((F33/$C$33)*$C$34),0)</f>
        <v>0</v>
      </c>
      <c r="G34" s="293">
        <f>ROUND(((G33/$C$33)*$C$34),0)</f>
        <v>0</v>
      </c>
      <c r="H34" s="294"/>
      <c r="J34" s="224"/>
      <c r="L34" s="219"/>
    </row>
    <row r="35" spans="1:12" s="216" customFormat="1">
      <c r="A35" s="215"/>
      <c r="B35" s="226"/>
      <c r="C35" s="224"/>
      <c r="D35" s="224"/>
      <c r="E35" s="224"/>
      <c r="F35" s="224"/>
      <c r="G35" s="224"/>
      <c r="H35" s="276"/>
      <c r="J35" s="224"/>
      <c r="L35" s="219"/>
    </row>
    <row r="36" spans="1:12" s="216" customFormat="1">
      <c r="A36" s="215"/>
      <c r="B36" s="434">
        <f>I7</f>
        <v>0.75</v>
      </c>
      <c r="C36" s="435"/>
      <c r="D36" s="435"/>
      <c r="E36" s="435"/>
      <c r="F36" s="435"/>
      <c r="G36" s="436"/>
      <c r="H36" s="226"/>
      <c r="J36" s="224"/>
      <c r="L36" s="219"/>
    </row>
    <row r="37" spans="1:12" s="216" customFormat="1">
      <c r="A37" s="215"/>
      <c r="B37" s="291" t="s">
        <v>181</v>
      </c>
      <c r="C37" s="292"/>
      <c r="D37" s="289">
        <f>+MIN(+$J$7*(D25-D33-D34),D38)</f>
        <v>0</v>
      </c>
      <c r="E37" s="289">
        <f>+MIN(+$J$7*(E25-E33-E34),E38)</f>
        <v>0</v>
      </c>
      <c r="F37" s="289">
        <f>+MIN(+$J$7*(F25-F33-F34),F38)</f>
        <v>0</v>
      </c>
      <c r="G37" s="289">
        <f>+MIN(+$J$7*(G25-G33-G34),G38)</f>
        <v>0</v>
      </c>
      <c r="H37" s="290"/>
      <c r="L37" s="219"/>
    </row>
    <row r="38" spans="1:12" s="216" customFormat="1">
      <c r="A38" s="215"/>
      <c r="B38" s="291" t="s">
        <v>182</v>
      </c>
      <c r="C38" s="292" t="s">
        <v>171</v>
      </c>
      <c r="D38" s="289">
        <f>-C26*(1+$N$7)-D22-D24-D33</f>
        <v>107442592.19073467</v>
      </c>
      <c r="E38" s="289">
        <f>(D38-D39)*(1+$L$7)-E22-E24-E33</f>
        <v>212874231.73047987</v>
      </c>
      <c r="F38" s="289">
        <f>(E38-E39)*(1+$L$7)-F22-F24-F33</f>
        <v>424646246.804887</v>
      </c>
      <c r="G38" s="289">
        <f>(F38-F39)*(1+$L$7)-G22-G24-G33</f>
        <v>849292493.60977399</v>
      </c>
      <c r="H38" s="290"/>
      <c r="L38" s="219"/>
    </row>
    <row r="39" spans="1:12" s="216" customFormat="1">
      <c r="A39" s="215"/>
      <c r="B39" s="248" t="s">
        <v>41</v>
      </c>
      <c r="C39" s="214">
        <f>J7</f>
        <v>0.5</v>
      </c>
      <c r="D39" s="293">
        <f>MIN((D25-D33-D34)*$C$39,D38)</f>
        <v>0</v>
      </c>
      <c r="E39" s="293">
        <f>MIN((E25-E33-E34)*$C$39,E38)</f>
        <v>0</v>
      </c>
      <c r="F39" s="293">
        <f>MIN((F25-F33-F34)*$C$39,F38)</f>
        <v>0</v>
      </c>
      <c r="G39" s="293">
        <f>MIN((G25-G33-G34)*$C$39,G38)</f>
        <v>0</v>
      </c>
      <c r="H39" s="294"/>
      <c r="L39" s="219"/>
    </row>
    <row r="40" spans="1:12" s="216" customFormat="1">
      <c r="A40" s="215"/>
      <c r="B40" s="248" t="s">
        <v>150</v>
      </c>
      <c r="C40" s="214">
        <f>100%-C39</f>
        <v>0.5</v>
      </c>
      <c r="D40" s="293">
        <f>ROUND(((D39/$C$39)*$C$40),0)</f>
        <v>0</v>
      </c>
      <c r="E40" s="293">
        <f>ROUND(((E39/$C$39)*$C$40),0)</f>
        <v>0</v>
      </c>
      <c r="F40" s="293">
        <f>ROUND(((F39/$C$39)*$C$40),0)</f>
        <v>0</v>
      </c>
      <c r="G40" s="293">
        <f>ROUND(((G39/$C$39)*$C$40),0)</f>
        <v>0</v>
      </c>
      <c r="H40" s="294"/>
      <c r="L40" s="219"/>
    </row>
    <row r="41" spans="1:12" s="216" customFormat="1">
      <c r="A41" s="215"/>
      <c r="B41" s="226"/>
      <c r="C41" s="224"/>
      <c r="D41" s="224"/>
      <c r="E41" s="224"/>
      <c r="F41" s="224"/>
      <c r="G41" s="224"/>
      <c r="H41" s="276"/>
      <c r="L41" s="219"/>
    </row>
    <row r="42" spans="1:12" s="216" customFormat="1">
      <c r="A42" s="215"/>
      <c r="B42" s="437">
        <f>I8</f>
        <v>0.65</v>
      </c>
      <c r="C42" s="438" t="s">
        <v>171</v>
      </c>
      <c r="D42" s="439"/>
      <c r="E42" s="439"/>
      <c r="F42" s="439"/>
      <c r="G42" s="440">
        <f>G25-G33-G34-G39-G40</f>
        <v>0</v>
      </c>
      <c r="H42" s="350"/>
      <c r="L42" s="219"/>
    </row>
    <row r="43" spans="1:12" s="216" customFormat="1">
      <c r="A43" s="215"/>
      <c r="B43" s="248" t="s">
        <v>41</v>
      </c>
      <c r="C43" s="214">
        <f>J8</f>
        <v>0.5</v>
      </c>
      <c r="D43" s="289"/>
      <c r="E43" s="293"/>
      <c r="F43" s="293"/>
      <c r="G43" s="293">
        <f>$G$42*C43</f>
        <v>0</v>
      </c>
      <c r="H43" s="294"/>
      <c r="L43" s="219"/>
    </row>
    <row r="44" spans="1:12" s="216" customFormat="1" ht="15.75" thickBot="1">
      <c r="A44" s="215"/>
      <c r="B44" s="464" t="s">
        <v>150</v>
      </c>
      <c r="C44" s="465">
        <f>100%-C43</f>
        <v>0.5</v>
      </c>
      <c r="D44" s="408"/>
      <c r="E44" s="408"/>
      <c r="F44" s="408"/>
      <c r="G44" s="408">
        <f>$G$42*C44</f>
        <v>0</v>
      </c>
      <c r="H44" s="294"/>
      <c r="L44" s="219"/>
    </row>
    <row r="45" spans="1:12" s="216" customFormat="1">
      <c r="A45" s="215"/>
      <c r="B45" s="301"/>
      <c r="C45" s="277"/>
      <c r="D45" s="277"/>
      <c r="E45" s="277"/>
      <c r="F45" s="277"/>
      <c r="G45" s="331"/>
      <c r="H45" s="224"/>
      <c r="L45" s="219"/>
    </row>
    <row r="46" spans="1:12" s="216" customFormat="1">
      <c r="A46" s="215"/>
      <c r="B46" s="441" t="s">
        <v>183</v>
      </c>
      <c r="C46" s="442"/>
      <c r="D46" s="443"/>
      <c r="E46" s="443"/>
      <c r="F46" s="443"/>
      <c r="G46" s="444"/>
      <c r="H46" s="280"/>
      <c r="L46" s="219"/>
    </row>
    <row r="47" spans="1:12" s="216" customFormat="1">
      <c r="A47" s="215"/>
      <c r="B47" s="380" t="s">
        <v>375</v>
      </c>
      <c r="C47" s="340"/>
      <c r="D47" s="340">
        <f>((D22+D24)*$C$17)+(D33*$C$17)+(D39*$C$17)+(D43*$C$17)</f>
        <v>396246.42398489895</v>
      </c>
      <c r="E47" s="340">
        <f>((E22+E24)*$C$17)+(E33*$C$17)+(E39*$C$17)+(E43*$C$17)</f>
        <v>1709309.7533410469</v>
      </c>
      <c r="F47" s="340">
        <f>((F22+F24)*$C$17)+(F33*$C$17)+(F39*$C$17)+(F43*$C$17)</f>
        <v>936884.15766183939</v>
      </c>
      <c r="G47" s="448">
        <f>((G22+G24)*$C$17)+(G33*$C$17)+(G39*$C$17)+(G43*$C$17)</f>
        <v>0</v>
      </c>
      <c r="H47" s="340"/>
      <c r="L47" s="219"/>
    </row>
    <row r="48" spans="1:12" s="216" customFormat="1">
      <c r="A48" s="215"/>
      <c r="B48" s="380" t="s">
        <v>184</v>
      </c>
      <c r="C48" s="340"/>
      <c r="D48" s="340">
        <f>((D22+D24)*$C$18)+(D33*$C$18)+D34+(D39*$C$18)+D40+(D43*$C$18)+D44</f>
        <v>69925.839526746888</v>
      </c>
      <c r="E48" s="340">
        <f>((E22+E24)*$C$18)+(E33*$C$18)+E34+(E39*$C$18)+E40+(E43*$C$18)+E44</f>
        <v>301642.89764842013</v>
      </c>
      <c r="F48" s="340">
        <f>((F22+F24)*$C$18)+(F33*$C$18)+F34+(F39*$C$18)+F40+(F43*$C$18)+F44</f>
        <v>165332.49841091287</v>
      </c>
      <c r="G48" s="448">
        <f>((G22+G24)*$C$18)+(G33*$C$18)+G34+(G39*$C$18)+G40+(G43*$C$18)+G44</f>
        <v>0</v>
      </c>
      <c r="H48" s="478"/>
      <c r="I48" s="479" t="s">
        <v>91</v>
      </c>
      <c r="J48" s="479" t="s">
        <v>185</v>
      </c>
      <c r="L48" s="219"/>
    </row>
    <row r="49" spans="1:12" s="216" customFormat="1" ht="15.75" thickBot="1">
      <c r="A49" s="215"/>
      <c r="B49" s="445" t="s">
        <v>167</v>
      </c>
      <c r="C49" s="446">
        <f>C11</f>
        <v>-24033944.982098967</v>
      </c>
      <c r="D49" s="446">
        <f>SUM(D47:D48)</f>
        <v>466172.26351164584</v>
      </c>
      <c r="E49" s="446">
        <f>SUM(E47:E48)</f>
        <v>2010952.650989467</v>
      </c>
      <c r="F49" s="446">
        <f>SUM(F47:F48)</f>
        <v>1102216.6560727523</v>
      </c>
      <c r="G49" s="447">
        <f>SUM(G47:G48)</f>
        <v>0</v>
      </c>
      <c r="H49" s="412"/>
      <c r="I49" s="413">
        <f>XIRR(C49:G49,C6:G6)</f>
        <v>-0.42408317644149057</v>
      </c>
      <c r="J49" s="414">
        <f>SUM(D49:G49)/-C49</f>
        <v>0.14892859134194744</v>
      </c>
      <c r="L49" s="219"/>
    </row>
    <row r="50" spans="1:12" s="216" customFormat="1" ht="15.75" thickTop="1">
      <c r="A50" s="215"/>
      <c r="B50" s="305"/>
      <c r="C50" s="306"/>
      <c r="D50" s="341"/>
      <c r="E50" s="341"/>
      <c r="F50" s="341"/>
      <c r="G50" s="307"/>
      <c r="I50" s="390"/>
      <c r="J50" s="390"/>
      <c r="L50" s="219"/>
    </row>
    <row r="51" spans="1:12" s="216" customFormat="1">
      <c r="A51" s="215"/>
      <c r="B51" s="305" t="s">
        <v>376</v>
      </c>
      <c r="C51" s="306"/>
      <c r="D51" s="341"/>
      <c r="E51" s="341"/>
      <c r="F51" s="341"/>
      <c r="G51" s="307"/>
      <c r="H51" s="480"/>
      <c r="I51" s="481" t="s">
        <v>91</v>
      </c>
      <c r="J51" s="481" t="s">
        <v>185</v>
      </c>
      <c r="L51" s="219"/>
    </row>
    <row r="52" spans="1:12" s="216" customFormat="1">
      <c r="A52" s="228"/>
      <c r="B52" s="901">
        <f>C17</f>
        <v>0.85</v>
      </c>
      <c r="C52" s="473">
        <f>-G17</f>
        <v>-20428853.234784123</v>
      </c>
      <c r="D52" s="473">
        <f>D47</f>
        <v>396246.42398489895</v>
      </c>
      <c r="E52" s="473">
        <f>E47</f>
        <v>1709309.7533410469</v>
      </c>
      <c r="F52" s="473">
        <f>F47</f>
        <v>936884.15766183939</v>
      </c>
      <c r="G52" s="474">
        <f>G47</f>
        <v>0</v>
      </c>
      <c r="H52" s="389"/>
      <c r="I52" s="391">
        <f>XIRR(C52:G52,C6:G6)</f>
        <v>-0.42408317644149057</v>
      </c>
      <c r="J52" s="392">
        <f>SUM(D52:G52)/-C52</f>
        <v>0.14892859134194741</v>
      </c>
      <c r="L52" s="219"/>
    </row>
    <row r="53" spans="1:12">
      <c r="A53" s="229"/>
      <c r="B53" s="308"/>
      <c r="C53" s="309"/>
      <c r="D53" s="309"/>
      <c r="E53" s="309"/>
      <c r="F53" s="309"/>
      <c r="G53" s="310"/>
      <c r="H53" s="222"/>
      <c r="I53" s="393"/>
      <c r="J53" s="394"/>
    </row>
    <row r="54" spans="1:12">
      <c r="A54" s="229"/>
      <c r="B54" s="305" t="s">
        <v>186</v>
      </c>
      <c r="C54" s="309"/>
      <c r="D54" s="309"/>
      <c r="E54" s="309"/>
      <c r="F54" s="309"/>
      <c r="G54" s="310"/>
      <c r="H54" s="482"/>
      <c r="I54" s="483" t="s">
        <v>91</v>
      </c>
      <c r="J54" s="483" t="s">
        <v>185</v>
      </c>
    </row>
    <row r="55" spans="1:12">
      <c r="A55" s="229"/>
      <c r="B55" s="475">
        <v>0.1</v>
      </c>
      <c r="C55" s="476">
        <f>-G18</f>
        <v>-3605091.7473148457</v>
      </c>
      <c r="D55" s="476">
        <f>D48</f>
        <v>69925.839526746888</v>
      </c>
      <c r="E55" s="476">
        <f>E48</f>
        <v>301642.89764842013</v>
      </c>
      <c r="F55" s="476">
        <f>F48</f>
        <v>165332.49841091287</v>
      </c>
      <c r="G55" s="477">
        <f>G48</f>
        <v>0</v>
      </c>
      <c r="H55" s="423"/>
      <c r="I55" s="424">
        <f>XIRR(C55:G55,C6:G6)</f>
        <v>-0.42408317644149057</v>
      </c>
      <c r="J55" s="425">
        <f>SUM(D55:G55)/-C55</f>
        <v>0.14892859134194744</v>
      </c>
    </row>
    <row r="56" spans="1:12" s="216" customFormat="1">
      <c r="A56" s="228"/>
      <c r="B56" s="305"/>
      <c r="C56" s="311"/>
      <c r="D56" s="342"/>
      <c r="E56" s="342"/>
      <c r="F56" s="342"/>
      <c r="G56" s="312"/>
      <c r="H56" s="313"/>
      <c r="L56" s="219"/>
    </row>
    <row r="57" spans="1:12" s="216" customFormat="1" ht="15.75" thickBot="1">
      <c r="A57" s="215"/>
      <c r="B57" s="454" t="s">
        <v>187</v>
      </c>
      <c r="C57" s="455"/>
      <c r="D57" s="455"/>
      <c r="E57" s="455"/>
      <c r="F57" s="455"/>
      <c r="G57" s="456">
        <f>SUM(D47:G47)+SUM(D48:G48)</f>
        <v>3579341.570573865</v>
      </c>
      <c r="L57" s="219"/>
    </row>
    <row r="58" spans="1:12" s="216" customFormat="1">
      <c r="A58" s="215"/>
      <c r="B58" s="230"/>
      <c r="C58" s="235"/>
      <c r="D58" s="236"/>
      <c r="E58" s="236"/>
      <c r="F58" s="236"/>
      <c r="G58" s="236"/>
      <c r="H58" s="236"/>
      <c r="L58" s="219"/>
    </row>
    <row r="59" spans="1:12" s="216" customFormat="1">
      <c r="A59" s="215"/>
      <c r="B59" s="230"/>
      <c r="C59" s="235"/>
      <c r="D59" s="235"/>
      <c r="E59" s="235"/>
      <c r="F59" s="235"/>
      <c r="G59" s="235"/>
      <c r="H59" s="237"/>
      <c r="L59" s="219"/>
    </row>
    <row r="60" spans="1:12" s="216" customFormat="1">
      <c r="A60" s="215"/>
      <c r="B60" s="238"/>
      <c r="C60" s="218"/>
      <c r="D60" s="218"/>
      <c r="E60" s="218"/>
      <c r="F60" s="218"/>
      <c r="G60" s="218"/>
      <c r="H60" s="227"/>
      <c r="L60" s="219"/>
    </row>
    <row r="61" spans="1:12" s="216" customFormat="1">
      <c r="A61" s="215"/>
      <c r="E61" s="218"/>
      <c r="F61" s="218"/>
      <c r="G61" s="218"/>
      <c r="H61" s="218"/>
      <c r="L61" s="219"/>
    </row>
    <row r="62" spans="1:12" s="216" customFormat="1">
      <c r="A62" s="215"/>
      <c r="E62" s="218"/>
      <c r="F62" s="218"/>
      <c r="G62" s="218"/>
      <c r="H62" s="218"/>
      <c r="L62" s="219"/>
    </row>
    <row r="63" spans="1:12" s="216" customFormat="1">
      <c r="A63" s="215"/>
      <c r="E63" s="218"/>
      <c r="F63" s="218"/>
      <c r="G63" s="218"/>
      <c r="H63" s="218"/>
      <c r="L63" s="219"/>
    </row>
    <row r="64" spans="1:12" s="216" customFormat="1">
      <c r="A64" s="215"/>
      <c r="E64" s="218"/>
      <c r="F64" s="218"/>
      <c r="G64" s="218"/>
      <c r="H64" s="218"/>
      <c r="L64" s="219"/>
    </row>
    <row r="65" spans="1:12" s="216" customFormat="1">
      <c r="A65" s="215"/>
      <c r="E65" s="218"/>
      <c r="F65" s="218"/>
      <c r="G65" s="218"/>
      <c r="H65" s="218"/>
      <c r="L65" s="219"/>
    </row>
    <row r="66" spans="1:12" s="216" customFormat="1">
      <c r="A66" s="215"/>
      <c r="E66" s="218"/>
      <c r="F66" s="218"/>
      <c r="G66" s="218"/>
      <c r="H66" s="218"/>
      <c r="L66" s="219"/>
    </row>
    <row r="67" spans="1:12" s="216" customFormat="1">
      <c r="A67" s="215"/>
      <c r="E67" s="218"/>
      <c r="F67" s="218"/>
      <c r="G67" s="218"/>
      <c r="H67" s="218"/>
      <c r="L67" s="219"/>
    </row>
    <row r="68" spans="1:12" s="216" customFormat="1">
      <c r="A68" s="215"/>
      <c r="E68" s="218"/>
      <c r="F68" s="218"/>
      <c r="G68" s="218"/>
      <c r="H68" s="218"/>
      <c r="L68" s="219"/>
    </row>
    <row r="69" spans="1:12" s="216" customFormat="1">
      <c r="A69" s="215"/>
      <c r="E69" s="218"/>
      <c r="F69" s="218"/>
      <c r="G69" s="218"/>
      <c r="H69" s="218"/>
      <c r="L69" s="219"/>
    </row>
    <row r="70" spans="1:12" s="216" customFormat="1">
      <c r="A70" s="215"/>
      <c r="E70" s="218"/>
      <c r="F70" s="218"/>
      <c r="G70" s="218"/>
      <c r="H70" s="218"/>
      <c r="L70" s="219"/>
    </row>
    <row r="71" spans="1:12" s="216" customFormat="1">
      <c r="A71" s="215"/>
      <c r="E71" s="218"/>
      <c r="F71" s="218"/>
      <c r="G71" s="218"/>
      <c r="H71" s="218"/>
      <c r="L71" s="219"/>
    </row>
    <row r="72" spans="1:12" s="216" customFormat="1">
      <c r="A72" s="215"/>
      <c r="E72" s="218"/>
      <c r="F72" s="218"/>
      <c r="G72" s="218"/>
      <c r="H72" s="218"/>
      <c r="L72" s="219"/>
    </row>
    <row r="73" spans="1:12" s="216" customFormat="1">
      <c r="A73" s="215"/>
      <c r="E73" s="218"/>
      <c r="F73" s="218"/>
      <c r="G73" s="218"/>
      <c r="H73" s="218"/>
      <c r="L73" s="219"/>
    </row>
    <row r="74" spans="1:12" s="216" customFormat="1">
      <c r="A74" s="215"/>
      <c r="B74" s="238"/>
      <c r="C74" s="218"/>
      <c r="D74" s="218"/>
      <c r="E74" s="218"/>
      <c r="F74" s="218"/>
      <c r="G74" s="218"/>
      <c r="H74" s="218"/>
      <c r="L74" s="219"/>
    </row>
    <row r="75" spans="1:12">
      <c r="C75" s="239"/>
      <c r="H75" s="240"/>
    </row>
    <row r="76" spans="1:12">
      <c r="B76" s="238"/>
    </row>
  </sheetData>
  <mergeCells count="2">
    <mergeCell ref="F3:G3"/>
    <mergeCell ref="F4:G4"/>
  </mergeCells>
  <conditionalFormatting sqref="C7:G10">
    <cfRule type="cellIs" dxfId="184" priority="1" operator="equal">
      <formula>0</formula>
    </cfRule>
  </conditionalFormatting>
  <pageMargins left="0.7" right="0.7" top="0.75" bottom="0.75" header="0.3" footer="0.3"/>
  <pageSetup scale="41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4"/>
  <dimension ref="A1"/>
  <sheetViews>
    <sheetView workbookViewId="0">
      <selection activeCell="V36" sqref="V36"/>
    </sheetView>
  </sheetViews>
  <sheetFormatPr defaultColWidth="9.140625" defaultRowHeight="1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6">
    <tabColor rgb="FF0070C0"/>
  </sheetPr>
  <dimension ref="A2:BZ79"/>
  <sheetViews>
    <sheetView zoomScale="75" zoomScaleNormal="75" workbookViewId="0">
      <pane xSplit="4" topLeftCell="E1" activePane="topRight" state="frozen"/>
      <selection pane="topRight" activeCell="C14" sqref="C14"/>
    </sheetView>
  </sheetViews>
  <sheetFormatPr defaultColWidth="9.140625" defaultRowHeight="15"/>
  <cols>
    <col min="1" max="1" width="15.85546875" customWidth="1"/>
    <col min="2" max="2" width="20.85546875" customWidth="1"/>
    <col min="3" max="3" width="21.42578125" customWidth="1"/>
    <col min="4" max="52" width="13.85546875" style="42" customWidth="1"/>
    <col min="53" max="67" width="13.85546875" customWidth="1"/>
    <col min="68" max="69" width="13.7109375" bestFit="1" customWidth="1"/>
    <col min="70" max="71" width="13.28515625" bestFit="1" customWidth="1"/>
    <col min="72" max="73" width="12.5703125" bestFit="1" customWidth="1"/>
    <col min="74" max="77" width="13.7109375" bestFit="1" customWidth="1"/>
    <col min="78" max="78" width="13.28515625" bestFit="1" customWidth="1"/>
  </cols>
  <sheetData>
    <row r="2" spans="1:67" ht="15.75">
      <c r="B2" s="845" t="s">
        <v>89</v>
      </c>
      <c r="C2" s="846">
        <f>+Dashboard!I52</f>
        <v>46447</v>
      </c>
      <c r="F2" s="200"/>
    </row>
    <row r="3" spans="1:67" ht="15.75">
      <c r="B3" s="847" t="s">
        <v>81</v>
      </c>
      <c r="C3" s="848">
        <f>+Dashboard!I53</f>
        <v>2.1666666666666665</v>
      </c>
      <c r="D3" s="849"/>
    </row>
    <row r="4" spans="1:67" ht="21" customHeight="1">
      <c r="A4">
        <v>1</v>
      </c>
      <c r="B4" s="850" t="s">
        <v>115</v>
      </c>
      <c r="C4" s="850"/>
      <c r="D4" s="851">
        <f>+Dashboard!$F$54</f>
        <v>45658</v>
      </c>
      <c r="E4" s="770">
        <f t="shared" ref="E4:G4" si="0">IF((D4+1)=$C2,$C2,EOMONTH(D4,1))</f>
        <v>45716</v>
      </c>
      <c r="F4" s="770">
        <f t="shared" si="0"/>
        <v>45747</v>
      </c>
      <c r="G4" s="770">
        <f t="shared" si="0"/>
        <v>45777</v>
      </c>
      <c r="H4" s="770">
        <f>IF((G4+1)=$C2,$C2,EOMONTH(G4,1))</f>
        <v>45808</v>
      </c>
      <c r="I4" s="770">
        <f t="shared" ref="I4:BO4" si="1">IF((H4+1)=$C2,$C2,EOMONTH(H4,1))</f>
        <v>45838</v>
      </c>
      <c r="J4" s="770">
        <f>IF((I4+1)=$C2,$C2,EOMONTH(I4,1))</f>
        <v>45869</v>
      </c>
      <c r="K4" s="770">
        <f t="shared" si="1"/>
        <v>45900</v>
      </c>
      <c r="L4" s="770">
        <f t="shared" si="1"/>
        <v>45930</v>
      </c>
      <c r="M4" s="770">
        <f t="shared" si="1"/>
        <v>45961</v>
      </c>
      <c r="N4" s="770">
        <f t="shared" si="1"/>
        <v>45991</v>
      </c>
      <c r="O4" s="770">
        <f t="shared" si="1"/>
        <v>46022</v>
      </c>
      <c r="P4" s="770">
        <f t="shared" si="1"/>
        <v>46053</v>
      </c>
      <c r="Q4" s="770">
        <f t="shared" si="1"/>
        <v>46081</v>
      </c>
      <c r="R4" s="770">
        <f t="shared" si="1"/>
        <v>46112</v>
      </c>
      <c r="S4" s="770">
        <f t="shared" si="1"/>
        <v>46142</v>
      </c>
      <c r="T4" s="770">
        <f t="shared" si="1"/>
        <v>46173</v>
      </c>
      <c r="U4" s="770">
        <f t="shared" si="1"/>
        <v>46203</v>
      </c>
      <c r="V4" s="770">
        <f t="shared" si="1"/>
        <v>46234</v>
      </c>
      <c r="W4" s="770">
        <f t="shared" si="1"/>
        <v>46265</v>
      </c>
      <c r="X4" s="770">
        <f t="shared" si="1"/>
        <v>46295</v>
      </c>
      <c r="Y4" s="770">
        <f t="shared" si="1"/>
        <v>46326</v>
      </c>
      <c r="Z4" s="770">
        <f t="shared" si="1"/>
        <v>46356</v>
      </c>
      <c r="AA4" s="770">
        <f t="shared" si="1"/>
        <v>46387</v>
      </c>
      <c r="AB4" s="770">
        <f t="shared" si="1"/>
        <v>46418</v>
      </c>
      <c r="AC4" s="770">
        <f t="shared" si="1"/>
        <v>46446</v>
      </c>
      <c r="AD4" s="770">
        <f t="shared" si="1"/>
        <v>46447</v>
      </c>
      <c r="AE4" s="770">
        <f t="shared" si="1"/>
        <v>46507</v>
      </c>
      <c r="AF4" s="770">
        <f t="shared" si="1"/>
        <v>46538</v>
      </c>
      <c r="AG4" s="770">
        <f t="shared" si="1"/>
        <v>46568</v>
      </c>
      <c r="AH4" s="770">
        <f t="shared" si="1"/>
        <v>46599</v>
      </c>
      <c r="AI4" s="770">
        <f t="shared" si="1"/>
        <v>46630</v>
      </c>
      <c r="AJ4" s="770">
        <f t="shared" si="1"/>
        <v>46660</v>
      </c>
      <c r="AK4" s="770">
        <f t="shared" si="1"/>
        <v>46691</v>
      </c>
      <c r="AL4" s="770">
        <f t="shared" si="1"/>
        <v>46721</v>
      </c>
      <c r="AM4" s="770">
        <f t="shared" si="1"/>
        <v>46752</v>
      </c>
      <c r="AN4" s="770">
        <f t="shared" si="1"/>
        <v>46783</v>
      </c>
      <c r="AO4" s="770">
        <f t="shared" si="1"/>
        <v>46812</v>
      </c>
      <c r="AP4" s="770">
        <f t="shared" si="1"/>
        <v>46843</v>
      </c>
      <c r="AQ4" s="770">
        <f t="shared" si="1"/>
        <v>46873</v>
      </c>
      <c r="AR4" s="770">
        <f t="shared" si="1"/>
        <v>46904</v>
      </c>
      <c r="AS4" s="770">
        <f t="shared" si="1"/>
        <v>46934</v>
      </c>
      <c r="AT4" s="770">
        <f t="shared" si="1"/>
        <v>46965</v>
      </c>
      <c r="AU4" s="770">
        <f t="shared" si="1"/>
        <v>46996</v>
      </c>
      <c r="AV4" s="770">
        <f t="shared" si="1"/>
        <v>47026</v>
      </c>
      <c r="AW4" s="770">
        <f t="shared" si="1"/>
        <v>47057</v>
      </c>
      <c r="AX4" s="770">
        <f t="shared" si="1"/>
        <v>47087</v>
      </c>
      <c r="AY4" s="770">
        <f t="shared" si="1"/>
        <v>47118</v>
      </c>
      <c r="AZ4" s="770">
        <f t="shared" si="1"/>
        <v>47149</v>
      </c>
      <c r="BA4" s="770">
        <f t="shared" si="1"/>
        <v>47177</v>
      </c>
      <c r="BB4" s="770">
        <f t="shared" si="1"/>
        <v>47208</v>
      </c>
      <c r="BC4" s="770">
        <f t="shared" si="1"/>
        <v>47238</v>
      </c>
      <c r="BD4" s="770">
        <f t="shared" si="1"/>
        <v>47269</v>
      </c>
      <c r="BE4" s="770">
        <f t="shared" si="1"/>
        <v>47299</v>
      </c>
      <c r="BF4" s="770">
        <f t="shared" si="1"/>
        <v>47330</v>
      </c>
      <c r="BG4" s="770">
        <f t="shared" si="1"/>
        <v>47361</v>
      </c>
      <c r="BH4" s="770">
        <f t="shared" si="1"/>
        <v>47391</v>
      </c>
      <c r="BI4" s="770">
        <f t="shared" si="1"/>
        <v>47422</v>
      </c>
      <c r="BJ4" s="770">
        <f t="shared" si="1"/>
        <v>47452</v>
      </c>
      <c r="BK4" s="770">
        <f t="shared" si="1"/>
        <v>47483</v>
      </c>
      <c r="BL4" s="770">
        <f t="shared" si="1"/>
        <v>47514</v>
      </c>
      <c r="BM4" s="770">
        <f t="shared" si="1"/>
        <v>47542</v>
      </c>
      <c r="BN4" s="770">
        <f t="shared" si="1"/>
        <v>47573</v>
      </c>
      <c r="BO4" s="770">
        <f t="shared" si="1"/>
        <v>47603</v>
      </c>
    </row>
    <row r="5" spans="1:67">
      <c r="A5">
        <v>2</v>
      </c>
      <c r="B5" s="184" t="s">
        <v>162</v>
      </c>
      <c r="C5" s="29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105"/>
      <c r="P5" s="105"/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  <c r="AC5" s="105"/>
      <c r="AD5" s="105"/>
      <c r="AE5" s="105"/>
      <c r="AF5" s="105"/>
      <c r="AG5" s="105"/>
      <c r="AH5" s="105"/>
      <c r="AI5" s="105"/>
      <c r="AJ5" s="105"/>
      <c r="AK5" s="105"/>
      <c r="AL5" s="105"/>
      <c r="AM5" s="105"/>
      <c r="AN5" s="105"/>
      <c r="AO5" s="105"/>
      <c r="AP5" s="105"/>
      <c r="AQ5" s="105"/>
      <c r="AR5" s="105"/>
      <c r="AS5" s="105"/>
      <c r="AT5" s="105"/>
      <c r="AU5" s="105"/>
      <c r="AV5" s="105"/>
      <c r="AW5" s="105"/>
      <c r="AX5" s="105"/>
      <c r="AY5" s="105"/>
      <c r="AZ5" s="105"/>
      <c r="BA5" s="541"/>
      <c r="BB5" s="541"/>
      <c r="BC5" s="541"/>
      <c r="BD5" s="541"/>
      <c r="BE5" s="541"/>
      <c r="BF5" s="541"/>
      <c r="BG5" s="541"/>
      <c r="BH5" s="541"/>
      <c r="BI5" s="541"/>
      <c r="BJ5" s="541"/>
      <c r="BK5" s="541"/>
      <c r="BL5" s="541"/>
      <c r="BM5" s="541"/>
      <c r="BN5" s="541"/>
      <c r="BO5" s="542"/>
    </row>
    <row r="6" spans="1:67">
      <c r="A6">
        <v>3</v>
      </c>
      <c r="B6" s="168" t="s">
        <v>348</v>
      </c>
      <c r="C6" s="5"/>
      <c r="D6" s="105">
        <f>+-Dashboard!$C$43+1500000</f>
        <v>-90052621.878451094</v>
      </c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  <c r="AC6" s="105"/>
      <c r="AD6" s="105"/>
      <c r="AE6" s="105"/>
      <c r="AF6" s="105"/>
      <c r="AG6" s="105"/>
      <c r="AH6" s="105"/>
      <c r="AI6" s="105"/>
      <c r="AJ6" s="105"/>
      <c r="AK6" s="105"/>
      <c r="AL6" s="105"/>
      <c r="AM6" s="105"/>
      <c r="AN6" s="105"/>
      <c r="AO6" s="105"/>
      <c r="AP6" s="105"/>
      <c r="AQ6" s="105"/>
      <c r="AR6" s="105"/>
      <c r="AS6" s="105"/>
      <c r="AT6" s="105"/>
      <c r="AU6" s="105"/>
      <c r="AV6" s="105"/>
      <c r="AW6" s="105"/>
      <c r="AX6" s="105"/>
      <c r="AY6" s="105"/>
      <c r="AZ6" s="105"/>
      <c r="BA6" s="105"/>
      <c r="BB6" s="105"/>
      <c r="BC6" s="105"/>
      <c r="BD6" s="105"/>
      <c r="BE6" s="105"/>
      <c r="BF6" s="105"/>
      <c r="BG6" s="105"/>
      <c r="BH6" s="105"/>
      <c r="BI6" s="105"/>
      <c r="BJ6" s="105"/>
      <c r="BK6" s="105"/>
      <c r="BL6" s="105"/>
      <c r="BM6" s="105"/>
      <c r="BN6" s="105"/>
      <c r="BO6" s="169"/>
    </row>
    <row r="7" spans="1:67" ht="6.75" customHeight="1">
      <c r="A7">
        <v>4</v>
      </c>
      <c r="B7" s="168"/>
      <c r="C7" s="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  <c r="AB7" s="105"/>
      <c r="AC7" s="105"/>
      <c r="AD7" s="105"/>
      <c r="AE7" s="105"/>
      <c r="AF7" s="105"/>
      <c r="AG7" s="105"/>
      <c r="AH7" s="105"/>
      <c r="AI7" s="105"/>
      <c r="AJ7" s="105"/>
      <c r="AK7" s="105"/>
      <c r="AL7" s="105"/>
      <c r="AM7" s="105"/>
      <c r="AN7" s="105"/>
      <c r="AO7" s="105"/>
      <c r="AP7" s="105"/>
      <c r="AQ7" s="105"/>
      <c r="AR7" s="105"/>
      <c r="AS7" s="105"/>
      <c r="AT7" s="105"/>
      <c r="AU7" s="105"/>
      <c r="AV7" s="105"/>
      <c r="AW7" s="105"/>
      <c r="AX7" s="105"/>
      <c r="AY7" s="105"/>
      <c r="AZ7" s="105"/>
      <c r="BA7" s="105"/>
      <c r="BB7" s="105"/>
      <c r="BC7" s="105"/>
      <c r="BD7" s="105"/>
      <c r="BE7" s="105"/>
      <c r="BF7" s="105"/>
      <c r="BG7" s="105"/>
      <c r="BH7" s="105"/>
      <c r="BI7" s="105"/>
      <c r="BJ7" s="105"/>
      <c r="BK7" s="105"/>
      <c r="BL7" s="105"/>
      <c r="BM7" s="105"/>
      <c r="BN7" s="105"/>
      <c r="BO7" s="169"/>
    </row>
    <row r="8" spans="1:67">
      <c r="A8">
        <v>5</v>
      </c>
      <c r="B8" s="185" t="s">
        <v>163</v>
      </c>
      <c r="C8" s="29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1"/>
      <c r="BA8" s="151"/>
      <c r="BB8" s="151"/>
      <c r="BC8" s="151"/>
      <c r="BD8" s="151"/>
      <c r="BE8" s="151"/>
      <c r="BF8" s="151"/>
      <c r="BG8" s="151"/>
      <c r="BH8" s="151"/>
      <c r="BI8" s="151"/>
      <c r="BJ8" s="151"/>
      <c r="BK8" s="151"/>
      <c r="BL8" s="151"/>
      <c r="BM8" s="151"/>
      <c r="BN8" s="151"/>
      <c r="BO8" s="180"/>
    </row>
    <row r="9" spans="1:67">
      <c r="A9">
        <v>6</v>
      </c>
      <c r="B9" s="168" t="s">
        <v>76</v>
      </c>
      <c r="C9" s="5"/>
      <c r="D9" s="105"/>
      <c r="E9" s="105">
        <f>IF(E4&lt;$C2,SUMIFS('Monthly CF''s'!$P$40:$BK$40,'Monthly CF''s'!$P$2:$BK$2,"="&amp;E4),0)</f>
        <v>0</v>
      </c>
      <c r="F9" s="105">
        <f>IF(F4&lt;$C2,SUMIFS('Monthly CF''s'!$P$40:$BK$40,'Monthly CF''s'!$P$2:$BK$2,"="&amp;F4),0)</f>
        <v>0</v>
      </c>
      <c r="G9" s="105">
        <f>IF(G4&lt;$C2,SUMIFS('Monthly CF''s'!$P$40:$BK$40,'Monthly CF''s'!$P$2:$BK$2,"="&amp;G4),0)</f>
        <v>0</v>
      </c>
      <c r="H9" s="105">
        <f>IF(H4&lt;$C2,SUMIFS('Monthly CF''s'!$P$40:$BK$40,'Monthly CF''s'!$P$2:$BK$2,"="&amp;H4),0)</f>
        <v>0</v>
      </c>
      <c r="I9" s="105">
        <f>IF(I4&lt;$C2,SUMIFS('Monthly CF''s'!$P$40:$BK$40,'Monthly CF''s'!$P$2:$BK$2,"="&amp;I4),0)</f>
        <v>0</v>
      </c>
      <c r="J9" s="105">
        <f>IF(J4&lt;$C2,SUMIFS('Monthly CF''s'!$P$40:$BK$40,'Monthly CF''s'!$P$2:$BK$2,"="&amp;J4),0)</f>
        <v>0</v>
      </c>
      <c r="K9" s="105">
        <f>IF(K4&lt;$C2,SUMIFS('Monthly CF''s'!$P$40:$BK$40,'Monthly CF''s'!$P$2:$BK$2,"="&amp;K4),0)</f>
        <v>0</v>
      </c>
      <c r="L9" s="105">
        <f>IF(L4&lt;$C2,SUMIFS('Monthly CF''s'!$P$40:$BK$40,'Monthly CF''s'!$P$2:$BK$2,"="&amp;L4),0)</f>
        <v>0</v>
      </c>
      <c r="M9" s="105">
        <f>IF(M4&lt;$C2,SUMIFS('Monthly CF''s'!$P$40:$BK$40,'Monthly CF''s'!$P$2:$BK$2,"="&amp;M4),0)</f>
        <v>0</v>
      </c>
      <c r="N9" s="105">
        <f>IF(N4&lt;$C2,SUMIFS('Monthly CF''s'!$P$40:$BK$40,'Monthly CF''s'!$P$2:$BK$2,"="&amp;N4),0)</f>
        <v>0</v>
      </c>
      <c r="O9" s="105">
        <f>IF(O4&lt;$C2,SUMIFS('Monthly CF''s'!$P$40:$BK$40,'Monthly CF''s'!$P$2:$BK$2,"="&amp;O4),0)</f>
        <v>0</v>
      </c>
      <c r="P9" s="105">
        <f>IF(P4&lt;$C2,SUMIFS('Monthly CF''s'!$P$40:$BK$40,'Monthly CF''s'!$P$2:$BK$2,"="&amp;P4),0)</f>
        <v>0</v>
      </c>
      <c r="Q9" s="105">
        <f>IF(Q4&lt;$C2,SUMIFS('Monthly CF''s'!$P$40:$BK$40,'Monthly CF''s'!$P$2:$BK$2,"="&amp;Q4),0)</f>
        <v>0</v>
      </c>
      <c r="R9" s="105">
        <f>IF(R4&lt;$C2,SUMIFS('Monthly CF''s'!$P$40:$BK$40,'Monthly CF''s'!$P$2:$BK$2,"="&amp;R4),0)</f>
        <v>0</v>
      </c>
      <c r="S9" s="105">
        <f>IF(S4&lt;$C2,SUMIFS('Monthly CF''s'!$P$40:$BK$40,'Monthly CF''s'!$P$2:$BK$2,"="&amp;S4),0)</f>
        <v>0</v>
      </c>
      <c r="T9" s="105">
        <f>IF(T4&lt;$C2,SUMIFS('Monthly CF''s'!$P$40:$BK$40,'Monthly CF''s'!$P$2:$BK$2,"="&amp;T4),0)</f>
        <v>0</v>
      </c>
      <c r="U9" s="105">
        <f>IF(U4&lt;$C2,SUMIFS('Monthly CF''s'!$P$40:$BK$40,'Monthly CF''s'!$P$2:$BK$2,"="&amp;U4),0)</f>
        <v>0</v>
      </c>
      <c r="V9" s="105">
        <f>IF(V4&lt;$C2,SUMIFS('Monthly CF''s'!$P$40:$BK$40,'Monthly CF''s'!$P$2:$BK$2,"="&amp;V4),0)</f>
        <v>0</v>
      </c>
      <c r="W9" s="105">
        <f>IF(W4&lt;$C2,SUMIFS('Monthly CF''s'!$P$40:$BK$40,'Monthly CF''s'!$P$2:$BK$2,"="&amp;W4),0)</f>
        <v>0</v>
      </c>
      <c r="X9" s="105">
        <f>IF(X4&lt;$C2,SUMIFS('Monthly CF''s'!$P$40:$BK$40,'Monthly CF''s'!$P$2:$BK$2,"="&amp;X4),0)</f>
        <v>388297.5575419807</v>
      </c>
      <c r="Y9" s="105">
        <f>IF(Y4&lt;$C2,SUMIFS('Monthly CF''s'!$P$40:$BK$40,'Monthly CF''s'!$P$2:$BK$2,"="&amp;Y4),0)</f>
        <v>388297.5575419807</v>
      </c>
      <c r="Z9" s="105">
        <f>IF(Z4&lt;$C2,SUMIFS('Monthly CF''s'!$P$40:$BK$40,'Monthly CF''s'!$P$2:$BK$2,"="&amp;Z4),0)</f>
        <v>388297.5575419807</v>
      </c>
      <c r="AA9" s="105">
        <f>IF(AA4&lt;$C2,SUMIFS('Monthly CF''s'!$P$40:$BK$40,'Monthly CF''s'!$P$2:$BK$2,"="&amp;AA4),0)</f>
        <v>388297.5575419807</v>
      </c>
      <c r="AB9" s="105">
        <f>IF(AB4&lt;$C2,SUMIFS('Monthly CF''s'!$P$40:$BK$40,'Monthly CF''s'!$P$2:$BK$2,"="&amp;AB4),0)</f>
        <v>388297.5575419807</v>
      </c>
      <c r="AC9" s="105">
        <f>IF(AC4&lt;$C2,SUMIFS('Monthly CF''s'!$P$40:$BK$40,'Monthly CF''s'!$P$2:$BK$2,"="&amp;AC4),0)</f>
        <v>388297.5575419807</v>
      </c>
      <c r="AD9" s="105">
        <f>IF(AD4&lt;$C2,SUMIFS('Monthly CF''s'!$P$38:$BK$38,'Monthly CF''s'!$P$2:$BK$2,"="&amp;AD4),0)</f>
        <v>0</v>
      </c>
      <c r="AE9" s="105">
        <f>IF(AE4&lt;$C2,SUMIFS('Monthly CF''s'!$P$38:$BK$38,'Monthly CF''s'!$P$2:$BK$2,"="&amp;AE4),0)</f>
        <v>0</v>
      </c>
      <c r="AF9" s="105">
        <f>IF(AF4&lt;$C2,SUMIFS('Monthly CF''s'!$P$38:$BK$38,'Monthly CF''s'!$P$2:$BK$2,"="&amp;AF4),0)</f>
        <v>0</v>
      </c>
      <c r="AG9" s="105">
        <f>IF(AG4&lt;$C2,SUMIFS('Monthly CF''s'!$P$38:$BK$38,'Monthly CF''s'!$P$2:$BK$2,"="&amp;AG4),0)</f>
        <v>0</v>
      </c>
      <c r="AH9" s="105">
        <f>IF(AH4&lt;$C2,SUMIFS('Monthly CF''s'!$P$38:$BK$38,'Monthly CF''s'!$P$2:$BK$2,"="&amp;AH4),0)</f>
        <v>0</v>
      </c>
      <c r="AI9" s="105">
        <f>IF(AI4&lt;$C2,SUMIFS('Monthly CF''s'!$P$40:$BK$40,'Monthly CF''s'!$P$2:$BK$2,"="&amp;AI4),0)</f>
        <v>0</v>
      </c>
      <c r="AJ9" s="105">
        <f>IF(AJ4&lt;$C2,SUMIFS('Monthly CF''s'!$P$40:$BK$40,'Monthly CF''s'!$P$2:$BK$2,"="&amp;AJ4),0)</f>
        <v>0</v>
      </c>
      <c r="AK9" s="105">
        <f>IF(AK4&lt;$C2,SUMIFS('Monthly CF''s'!$P$40:$BK$40,'Monthly CF''s'!$P$2:$BK$2,"="&amp;AK4),0)</f>
        <v>0</v>
      </c>
      <c r="AL9" s="105">
        <f>IF(AL4&lt;$C2,SUMIFS('Monthly CF''s'!$P$40:$BK$40,'Monthly CF''s'!$P$2:$BK$2,"="&amp;AL4),0)</f>
        <v>0</v>
      </c>
      <c r="AM9" s="105">
        <f>IF(AM4&lt;$C2,SUMIFS('Monthly CF''s'!$P$40:$BK$40,'Monthly CF''s'!$P$2:$BK$2,"="&amp;AM4),0)</f>
        <v>0</v>
      </c>
      <c r="AN9" s="105">
        <f>IF(AN4&lt;$C2,SUMIFS('Monthly CF''s'!$P$40:$BK$40,'Monthly CF''s'!$P$2:$BK$2,"="&amp;AN4),0)</f>
        <v>0</v>
      </c>
      <c r="AO9" s="105">
        <f>IF(AO4&lt;$C2,SUMIFS('Monthly CF''s'!$P$40:$BK$40,'Monthly CF''s'!$P$2:$BK$2,"="&amp;AO4),0)</f>
        <v>0</v>
      </c>
      <c r="AP9" s="105">
        <f>IF(AP4&lt;$C2,SUMIFS('Monthly CF''s'!$P$40:$BK$40,'Monthly CF''s'!$P$2:$BK$2,"="&amp;AP4),0)</f>
        <v>0</v>
      </c>
      <c r="AQ9" s="105">
        <f>IF(AQ4&lt;$C2,SUMIFS('Monthly CF''s'!$P$40:$BK$40,'Monthly CF''s'!$P$2:$BK$2,"="&amp;AQ4),0)</f>
        <v>0</v>
      </c>
      <c r="AR9" s="105">
        <f>IF(AR4&lt;$C2,SUMIFS('Monthly CF''s'!$P$40:$BK$40,'Monthly CF''s'!$P$2:$BK$2,"="&amp;AR4),0)</f>
        <v>0</v>
      </c>
      <c r="AS9" s="105">
        <f>IF(AS4&lt;$C2,SUMIFS('Monthly CF''s'!$P$40:$BK$40,'Monthly CF''s'!$P$2:$BK$2,"="&amp;AS4),0)</f>
        <v>0</v>
      </c>
      <c r="AT9" s="105">
        <f>IF(AT4&lt;$C2,SUMIFS('Monthly CF''s'!$P$40:$BK$40,'Monthly CF''s'!$P$2:$BK$2,"="&amp;AT4),0)</f>
        <v>0</v>
      </c>
      <c r="AU9" s="105">
        <f>IF(AU4&lt;$C2,SUMIFS('Monthly CF''s'!$P$40:$BK$40,'Monthly CF''s'!$P$2:$BK$2,"="&amp;AU4),0)</f>
        <v>0</v>
      </c>
      <c r="AV9" s="105">
        <f>IF(AV4&lt;$C2,SUMIFS('Monthly CF''s'!$P$40:$BK$40,'Monthly CF''s'!$P$2:$BK$2,"="&amp;AV4),0)</f>
        <v>0</v>
      </c>
      <c r="AW9" s="105">
        <f>IF(AW4&lt;$C2,SUMIFS('Monthly CF''s'!$P$40:$BK$40,'Monthly CF''s'!$P$2:$BK$2,"="&amp;AW4),0)</f>
        <v>0</v>
      </c>
      <c r="AX9" s="105">
        <f>IF(AX4&lt;$C2,SUMIFS('Monthly CF''s'!$P$40:$BK$40,'Monthly CF''s'!$P$2:$BK$2,"="&amp;AX4),0)</f>
        <v>0</v>
      </c>
      <c r="AY9" s="105">
        <f>IF(AY4&lt;$C2,SUMIFS('Monthly CF''s'!$P$40:$BK$40,'Monthly CF''s'!$P$2:$BK$2,"="&amp;AY4),0)</f>
        <v>0</v>
      </c>
      <c r="AZ9" s="105">
        <f>IF(AZ4&lt;$C2,SUMIFS('Monthly CF''s'!$P$40:$BK$40,'Monthly CF''s'!$P$2:$BK$2,"="&amp;AZ4),0)</f>
        <v>0</v>
      </c>
      <c r="BA9" s="105">
        <f>IF(BA4&lt;$C2,SUMIFS('Monthly CF''s'!$P$40:$BK$40,'Monthly CF''s'!$P$2:$BK$2,"="&amp;BA4),0)</f>
        <v>0</v>
      </c>
      <c r="BB9" s="105">
        <f>IF(BB4&lt;$C2,SUMIFS('Monthly CF''s'!$P$40:$BK$40,'Monthly CF''s'!$P$2:$BK$2,"="&amp;BB4),0)</f>
        <v>0</v>
      </c>
      <c r="BC9" s="105">
        <f>IF(BC4&lt;$C2,SUMIFS('Monthly CF''s'!$P$40:$BK$40,'Monthly CF''s'!$P$2:$BK$2,"="&amp;BC4),0)</f>
        <v>0</v>
      </c>
      <c r="BD9" s="105">
        <f>IF(BD4&lt;$C2,SUMIFS('Monthly CF''s'!$P$40:$BK$40,'Monthly CF''s'!$P$2:$BK$2,"="&amp;BD4),0)</f>
        <v>0</v>
      </c>
      <c r="BE9" s="105">
        <f>IF(BE4&lt;$C2,SUMIFS('Monthly CF''s'!$P$40:$BK$40,'Monthly CF''s'!$P$2:$BK$2,"="&amp;BE4),0)</f>
        <v>0</v>
      </c>
      <c r="BF9" s="105">
        <f>IF(BF4&lt;$C2,SUMIFS('Monthly CF''s'!$P$40:$BK$40,'Monthly CF''s'!$P$2:$BK$2,"="&amp;BF4),0)</f>
        <v>0</v>
      </c>
      <c r="BG9" s="105">
        <f>IF(BG4&lt;$C2,SUMIFS('Monthly CF''s'!$P$40:$BK$40,'Monthly CF''s'!$P$2:$BK$2,"="&amp;BG4),0)</f>
        <v>0</v>
      </c>
      <c r="BH9" s="105">
        <f>IF(BH4&lt;$C2,SUMIFS('Monthly CF''s'!$P$40:$BK$40,'Monthly CF''s'!$P$2:$BK$2,"="&amp;BH4),0)</f>
        <v>0</v>
      </c>
      <c r="BI9" s="105">
        <f>IF(BI4&lt;$C2,SUMIFS('Monthly CF''s'!$P$40:$BK$40,'Monthly CF''s'!$P$2:$BK$2,"="&amp;BI4),0)</f>
        <v>0</v>
      </c>
      <c r="BJ9" s="105">
        <f>IF(BJ4&lt;$C2,SUMIFS('Monthly CF''s'!$P$40:$BK$40,'Monthly CF''s'!$P$2:$BK$2,"="&amp;BJ4),0)</f>
        <v>0</v>
      </c>
      <c r="BK9" s="105">
        <f>IF(BK4&lt;$C2,SUMIFS('Monthly CF''s'!$P$40:$BK$40,'Monthly CF''s'!$P$2:$BK$2,"="&amp;BK4),0)</f>
        <v>0</v>
      </c>
      <c r="BL9" s="105">
        <f>IF(BL4&lt;$C2,SUMIFS('Monthly CF''s'!$P$40:$BK$40,'Monthly CF''s'!$P$2:$BK$2,"="&amp;BL4),0)</f>
        <v>0</v>
      </c>
      <c r="BM9" s="105">
        <f>IF(BM4&lt;$C2,SUMIFS('Monthly CF''s'!$P$40:$BK$40,'Monthly CF''s'!$P$2:$BK$2,"="&amp;BM4),0)</f>
        <v>0</v>
      </c>
      <c r="BN9" s="105">
        <f>IF(BN4&lt;$C2,SUMIFS('Monthly CF''s'!$P$40:$BK$40,'Monthly CF''s'!$P$2:$BK$2,"="&amp;BN4),0)</f>
        <v>0</v>
      </c>
      <c r="BO9" s="169">
        <f>IF(BO4&lt;$C2,SUMIFS('Monthly CF''s'!$P$40:$BK$40,'Monthly CF''s'!$P$2:$BK$2,"="&amp;BO4),0)</f>
        <v>0</v>
      </c>
    </row>
    <row r="10" spans="1:67">
      <c r="A10">
        <v>7</v>
      </c>
      <c r="B10" s="168"/>
      <c r="C10" s="5"/>
      <c r="D10" s="105"/>
      <c r="E10" s="105"/>
      <c r="F10" s="105"/>
      <c r="G10" s="105"/>
      <c r="H10" s="105"/>
      <c r="I10" s="105"/>
      <c r="J10" s="105"/>
      <c r="K10" s="105"/>
      <c r="L10" s="105"/>
      <c r="M10" s="105"/>
      <c r="N10" s="105"/>
      <c r="O10" s="105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5"/>
      <c r="BC10" s="105"/>
      <c r="BD10" s="105"/>
      <c r="BE10" s="105"/>
      <c r="BF10" s="105"/>
      <c r="BG10" s="105"/>
      <c r="BH10" s="105"/>
      <c r="BI10" s="105"/>
      <c r="BJ10" s="105"/>
      <c r="BK10" s="105"/>
      <c r="BL10" s="105"/>
      <c r="BM10" s="105"/>
      <c r="BN10" s="105"/>
      <c r="BO10" s="169"/>
    </row>
    <row r="11" spans="1:67">
      <c r="A11">
        <v>8</v>
      </c>
      <c r="B11" s="168" t="s">
        <v>166</v>
      </c>
      <c r="C11" s="5"/>
      <c r="D11" s="105"/>
      <c r="E11" s="105">
        <f>IF(E4=$C2,Dashboard!$I$55+Dashboard!$I$57,0)</f>
        <v>0</v>
      </c>
      <c r="F11" s="105">
        <f>IF(F4=$C2,Dashboard!$I$55+Dashboard!$I$57,0)</f>
        <v>0</v>
      </c>
      <c r="G11" s="105">
        <f>IF(G4=$C2,Dashboard!$I$55+Dashboard!$I$57,0)</f>
        <v>0</v>
      </c>
      <c r="H11" s="105">
        <f>IF(H4=$C2,Dashboard!$I$55+Dashboard!$I$57,0)</f>
        <v>0</v>
      </c>
      <c r="I11" s="105">
        <f>IF(I4=$C2,Dashboard!$I$55+Dashboard!$I$57,0)</f>
        <v>0</v>
      </c>
      <c r="J11" s="105">
        <f>IF(J4=$C2,Dashboard!$I$55+Dashboard!$I$57,0)</f>
        <v>0</v>
      </c>
      <c r="K11" s="105">
        <f>IF(K4=$C2,Dashboard!$I$55+Dashboard!$I$57,0)</f>
        <v>0</v>
      </c>
      <c r="L11" s="105">
        <f>IF(L4=$C2,Dashboard!$I$55+Dashboard!$I$57,0)</f>
        <v>0</v>
      </c>
      <c r="M11" s="105">
        <f>IF(M4=$C2,Dashboard!$I$55+Dashboard!$I$57,0)</f>
        <v>0</v>
      </c>
      <c r="N11" s="105">
        <f>IF(N4=$C2,Dashboard!$I$55+Dashboard!$I$57,0)</f>
        <v>0</v>
      </c>
      <c r="O11" s="105">
        <f>IF(O4=$C2,Dashboard!$I$55+Dashboard!$I$57,0)</f>
        <v>0</v>
      </c>
      <c r="P11" s="105">
        <f>IF(P4=$C2,Dashboard!$I$55+Dashboard!$I$57,0)</f>
        <v>0</v>
      </c>
      <c r="Q11" s="105">
        <f>IF(Q4=$C2,Dashboard!$I$55+Dashboard!$I$57,0)</f>
        <v>0</v>
      </c>
      <c r="R11" s="105">
        <f>IF(R4=$C2,Dashboard!$I$55+Dashboard!$I$57,0)</f>
        <v>0</v>
      </c>
      <c r="S11" s="105">
        <f>IF(S4=$C2,Dashboard!$I$55+Dashboard!$I$57,0)</f>
        <v>0</v>
      </c>
      <c r="T11" s="105">
        <f>IF(T4=$C2,Dashboard!$I$55+Dashboard!$I$57,0)</f>
        <v>0</v>
      </c>
      <c r="U11" s="105">
        <f>IF(U4=$C2,Dashboard!$I$55+Dashboard!$I$57,0)</f>
        <v>0</v>
      </c>
      <c r="V11" s="105">
        <f>IF(V4=$C2,Dashboard!$I$55+Dashboard!$I$57,0)</f>
        <v>0</v>
      </c>
      <c r="W11" s="105">
        <f>IF(W4=$C2,Dashboard!$I$55+Dashboard!$I$57,0)</f>
        <v>0</v>
      </c>
      <c r="X11" s="105">
        <f>IF(X4=$C2,Dashboard!$I$55+Dashboard!$I$57,0)</f>
        <v>0</v>
      </c>
      <c r="Y11" s="105">
        <f>IF(Y4=$C2,Dashboard!$I$55+Dashboard!$I$57,0)</f>
        <v>0</v>
      </c>
      <c r="Z11" s="105">
        <f>IF(Z4=$C2,Dashboard!$I$55+Dashboard!$I$57,0)</f>
        <v>0</v>
      </c>
      <c r="AA11" s="105">
        <f>IF(AA4=$C2,Dashboard!$I$55+Dashboard!$I$57,0)</f>
        <v>0</v>
      </c>
      <c r="AB11" s="105">
        <f>IF(AB4=$C2,Dashboard!$I$55+Dashboard!$I$57,0)</f>
        <v>0</v>
      </c>
      <c r="AC11" s="105">
        <f>IF(AC4=$C2,Dashboard!$I$55+Dashboard!$I$57,0)</f>
        <v>0</v>
      </c>
      <c r="AD11" s="105">
        <f>IF(AD4=$C2,Dashboard!$I$55+Dashboard!$I$57,0)</f>
        <v>102582464.06436822</v>
      </c>
      <c r="AE11" s="105">
        <f>IF(AE4=$C2,Dashboard!$I$55+Dashboard!$I$57,0)</f>
        <v>0</v>
      </c>
      <c r="AF11" s="105">
        <f>IF(AF4=$C2,Dashboard!$I$55+Dashboard!$I$57,0)</f>
        <v>0</v>
      </c>
      <c r="AG11" s="105">
        <f>IF(AG4=$C2,Dashboard!$I$55+Dashboard!$I$57,0)</f>
        <v>0</v>
      </c>
      <c r="AH11" s="105">
        <f>IF(AH4=$C2,Dashboard!$I$55+Dashboard!$I$57,0)</f>
        <v>0</v>
      </c>
      <c r="AI11" s="105">
        <f>IF(AI4=$C2,Dashboard!$I$55+Dashboard!$I$57,0)</f>
        <v>0</v>
      </c>
      <c r="AJ11" s="105">
        <f>IF(AJ4=$C2,Dashboard!$I$55+Dashboard!$I$57,0)</f>
        <v>0</v>
      </c>
      <c r="AK11" s="105">
        <f>IF(AK4=$C2,Dashboard!$I$55+Dashboard!$I$57,0)</f>
        <v>0</v>
      </c>
      <c r="AL11" s="105">
        <f>IF(AL4=$C2,Dashboard!$I$55+Dashboard!$I$57,0)</f>
        <v>0</v>
      </c>
      <c r="AM11" s="105">
        <f>IF(AM4=$C2,Dashboard!$I$55+Dashboard!$I$57,0)</f>
        <v>0</v>
      </c>
      <c r="AN11" s="105">
        <f>IF(AN4=$C2,Dashboard!$I$55+Dashboard!$I$57,0)</f>
        <v>0</v>
      </c>
      <c r="AO11" s="105">
        <f>IF(AO4=$C2,Dashboard!$I$55+Dashboard!$I$57,0)</f>
        <v>0</v>
      </c>
      <c r="AP11" s="105">
        <f>IF(AP4=$C2,Dashboard!$I$55+Dashboard!$I$57,0)</f>
        <v>0</v>
      </c>
      <c r="AQ11" s="105">
        <f>IF(AQ4=$C2,Dashboard!$I$55+Dashboard!$I$57,0)</f>
        <v>0</v>
      </c>
      <c r="AR11" s="105">
        <f>IF(AR4=$C2,Dashboard!$I$55+Dashboard!$I$57,0)</f>
        <v>0</v>
      </c>
      <c r="AS11" s="105">
        <f>IF(AS4=$C2,Dashboard!$I$55+Dashboard!$I$57,0)</f>
        <v>0</v>
      </c>
      <c r="AT11" s="105">
        <f>IF(AT4=$C2,Dashboard!$I$55+Dashboard!$I$57,0)</f>
        <v>0</v>
      </c>
      <c r="AU11" s="105">
        <f>IF(AU4=$C2,Dashboard!$I$55+Dashboard!$I$57,0)</f>
        <v>0</v>
      </c>
      <c r="AV11" s="105">
        <f>IF(AV4=$C2,Dashboard!$I$55+Dashboard!$I$57,0)</f>
        <v>0</v>
      </c>
      <c r="AW11" s="105">
        <f>IF(AW4=$C2,Dashboard!$I$55+Dashboard!$I$57,0)</f>
        <v>0</v>
      </c>
      <c r="AX11" s="105">
        <f>IF(AX4=$C2,Dashboard!$I$55+Dashboard!$I$57,0)</f>
        <v>0</v>
      </c>
      <c r="AY11" s="105">
        <f>IF(AY4=$C2,Dashboard!$I$55+Dashboard!$I$57,0)</f>
        <v>0</v>
      </c>
      <c r="AZ11" s="105">
        <f>IF(AZ4=$C2,Dashboard!$I$55+Dashboard!$I$57,0)</f>
        <v>0</v>
      </c>
      <c r="BA11" s="105">
        <f>IF(BA4=$C2,Dashboard!$I$55+Dashboard!$I$57,0)</f>
        <v>0</v>
      </c>
      <c r="BB11" s="105">
        <f>IF(BB4=$C2,Dashboard!$I$55+Dashboard!$I$57,0)</f>
        <v>0</v>
      </c>
      <c r="BC11" s="105">
        <f>IF(BC4=$C2,Dashboard!$I$55+Dashboard!$I$57,0)</f>
        <v>0</v>
      </c>
      <c r="BD11" s="105">
        <f>IF(BD4=$C2,Dashboard!$I$55+Dashboard!$I$57,0)</f>
        <v>0</v>
      </c>
      <c r="BE11" s="105">
        <f>IF(BE4=$C2,Dashboard!$I$55+Dashboard!$I$57,0)</f>
        <v>0</v>
      </c>
      <c r="BF11" s="105">
        <f>IF(BF4=$C2,Dashboard!$I$55+Dashboard!$I$57,0)</f>
        <v>0</v>
      </c>
      <c r="BG11" s="105">
        <f>IF(BG4=$C2,Dashboard!$I$55+Dashboard!$I$57,0)</f>
        <v>0</v>
      </c>
      <c r="BH11" s="105">
        <f>IF(BH4=$C2,Dashboard!$I$55+Dashboard!$I$57,0)</f>
        <v>0</v>
      </c>
      <c r="BI11" s="105">
        <f>IF(BI4=$C2,Dashboard!$I$55+Dashboard!$I$57,0)</f>
        <v>0</v>
      </c>
      <c r="BJ11" s="105">
        <f>IF(BJ4=$C2,Dashboard!$I$55+Dashboard!$I$57,0)</f>
        <v>0</v>
      </c>
      <c r="BK11" s="105">
        <f>IF(BK4=$C2,Dashboard!$I$55+Dashboard!$I$57,0)</f>
        <v>0</v>
      </c>
      <c r="BL11" s="105">
        <f>IF(BL4=$C2,Dashboard!$I$55+Dashboard!$I$57,0)</f>
        <v>0</v>
      </c>
      <c r="BM11" s="105">
        <f>IF(BM4=$C2,Dashboard!$I$55+Dashboard!$I$57,0)</f>
        <v>0</v>
      </c>
      <c r="BN11" s="105">
        <f>IF(BN4=$C2,Dashboard!$I$55+Dashboard!$I$57,0)</f>
        <v>0</v>
      </c>
      <c r="BO11" s="169">
        <f>IF(BO4=$C2,Dashboard!$I$55+Dashboard!$I$57,0)</f>
        <v>0</v>
      </c>
    </row>
    <row r="12" spans="1:67" ht="6.75" customHeight="1">
      <c r="B12" s="168"/>
      <c r="C12" s="5"/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  <c r="AH12" s="105"/>
      <c r="AI12" s="105"/>
      <c r="AJ12" s="105"/>
      <c r="AK12" s="105"/>
      <c r="AL12" s="105"/>
      <c r="AM12" s="105"/>
      <c r="AN12" s="105"/>
      <c r="AO12" s="105"/>
      <c r="AP12" s="105"/>
      <c r="AQ12" s="105"/>
      <c r="AR12" s="105"/>
      <c r="AS12" s="105"/>
      <c r="AT12" s="105"/>
      <c r="AU12" s="105"/>
      <c r="AV12" s="105"/>
      <c r="AW12" s="105"/>
      <c r="AX12" s="105"/>
      <c r="AY12" s="105"/>
      <c r="AZ12" s="105"/>
      <c r="BA12" s="543"/>
      <c r="BB12" s="543"/>
      <c r="BC12" s="543"/>
      <c r="BD12" s="543"/>
      <c r="BE12" s="543"/>
      <c r="BF12" s="543"/>
      <c r="BG12" s="543"/>
      <c r="BH12" s="543"/>
      <c r="BI12" s="543"/>
      <c r="BJ12" s="543"/>
      <c r="BK12" s="543"/>
      <c r="BL12" s="543"/>
      <c r="BM12" s="543"/>
      <c r="BN12" s="543"/>
      <c r="BO12" s="544"/>
    </row>
    <row r="13" spans="1:67">
      <c r="B13" s="492" t="s">
        <v>157</v>
      </c>
      <c r="C13" s="539"/>
      <c r="D13" s="493">
        <f t="shared" ref="D13:AI13" si="2">SUM(D9:D11)+D6</f>
        <v>-90052621.878451094</v>
      </c>
      <c r="E13" s="493">
        <f t="shared" si="2"/>
        <v>0</v>
      </c>
      <c r="F13" s="493">
        <f t="shared" si="2"/>
        <v>0</v>
      </c>
      <c r="G13" s="493">
        <f t="shared" si="2"/>
        <v>0</v>
      </c>
      <c r="H13" s="493">
        <f t="shared" si="2"/>
        <v>0</v>
      </c>
      <c r="I13" s="493">
        <f t="shared" si="2"/>
        <v>0</v>
      </c>
      <c r="J13" s="493">
        <f t="shared" si="2"/>
        <v>0</v>
      </c>
      <c r="K13" s="493">
        <f t="shared" si="2"/>
        <v>0</v>
      </c>
      <c r="L13" s="493">
        <f t="shared" si="2"/>
        <v>0</v>
      </c>
      <c r="M13" s="493">
        <f t="shared" si="2"/>
        <v>0</v>
      </c>
      <c r="N13" s="493">
        <f t="shared" si="2"/>
        <v>0</v>
      </c>
      <c r="O13" s="493">
        <f t="shared" si="2"/>
        <v>0</v>
      </c>
      <c r="P13" s="493">
        <f t="shared" si="2"/>
        <v>0</v>
      </c>
      <c r="Q13" s="493">
        <f t="shared" si="2"/>
        <v>0</v>
      </c>
      <c r="R13" s="493">
        <f t="shared" si="2"/>
        <v>0</v>
      </c>
      <c r="S13" s="493">
        <f t="shared" si="2"/>
        <v>0</v>
      </c>
      <c r="T13" s="493">
        <f t="shared" si="2"/>
        <v>0</v>
      </c>
      <c r="U13" s="493">
        <f t="shared" si="2"/>
        <v>0</v>
      </c>
      <c r="V13" s="493">
        <f t="shared" si="2"/>
        <v>0</v>
      </c>
      <c r="W13" s="493">
        <f t="shared" si="2"/>
        <v>0</v>
      </c>
      <c r="X13" s="493">
        <f t="shared" si="2"/>
        <v>388297.5575419807</v>
      </c>
      <c r="Y13" s="493">
        <f t="shared" si="2"/>
        <v>388297.5575419807</v>
      </c>
      <c r="Z13" s="493">
        <f t="shared" si="2"/>
        <v>388297.5575419807</v>
      </c>
      <c r="AA13" s="493">
        <f t="shared" si="2"/>
        <v>388297.5575419807</v>
      </c>
      <c r="AB13" s="493">
        <f t="shared" si="2"/>
        <v>388297.5575419807</v>
      </c>
      <c r="AC13" s="493">
        <f t="shared" si="2"/>
        <v>388297.5575419807</v>
      </c>
      <c r="AD13" s="493">
        <f t="shared" si="2"/>
        <v>102582464.06436822</v>
      </c>
      <c r="AE13" s="493">
        <f t="shared" si="2"/>
        <v>0</v>
      </c>
      <c r="AF13" s="493">
        <f t="shared" si="2"/>
        <v>0</v>
      </c>
      <c r="AG13" s="493">
        <f t="shared" si="2"/>
        <v>0</v>
      </c>
      <c r="AH13" s="493">
        <f t="shared" si="2"/>
        <v>0</v>
      </c>
      <c r="AI13" s="493">
        <f t="shared" si="2"/>
        <v>0</v>
      </c>
      <c r="AJ13" s="493">
        <f t="shared" ref="AJ13:AZ13" si="3">SUM(AJ9:AJ11)+AJ6</f>
        <v>0</v>
      </c>
      <c r="AK13" s="493">
        <f t="shared" si="3"/>
        <v>0</v>
      </c>
      <c r="AL13" s="493">
        <f t="shared" si="3"/>
        <v>0</v>
      </c>
      <c r="AM13" s="493">
        <f t="shared" si="3"/>
        <v>0</v>
      </c>
      <c r="AN13" s="493">
        <f t="shared" si="3"/>
        <v>0</v>
      </c>
      <c r="AO13" s="493">
        <f t="shared" si="3"/>
        <v>0</v>
      </c>
      <c r="AP13" s="493">
        <f t="shared" si="3"/>
        <v>0</v>
      </c>
      <c r="AQ13" s="493">
        <f t="shared" si="3"/>
        <v>0</v>
      </c>
      <c r="AR13" s="493">
        <f t="shared" si="3"/>
        <v>0</v>
      </c>
      <c r="AS13" s="493">
        <f t="shared" si="3"/>
        <v>0</v>
      </c>
      <c r="AT13" s="493">
        <f t="shared" si="3"/>
        <v>0</v>
      </c>
      <c r="AU13" s="493">
        <f t="shared" si="3"/>
        <v>0</v>
      </c>
      <c r="AV13" s="493">
        <f t="shared" si="3"/>
        <v>0</v>
      </c>
      <c r="AW13" s="493">
        <f t="shared" si="3"/>
        <v>0</v>
      </c>
      <c r="AX13" s="493">
        <f t="shared" si="3"/>
        <v>0</v>
      </c>
      <c r="AY13" s="493">
        <f t="shared" si="3"/>
        <v>0</v>
      </c>
      <c r="AZ13" s="493">
        <f t="shared" si="3"/>
        <v>0</v>
      </c>
      <c r="BA13" s="493">
        <f t="shared" ref="BA13:BO13" si="4">SUM(BA9:BA11)+BA6</f>
        <v>0</v>
      </c>
      <c r="BB13" s="493">
        <f t="shared" si="4"/>
        <v>0</v>
      </c>
      <c r="BC13" s="493">
        <f t="shared" si="4"/>
        <v>0</v>
      </c>
      <c r="BD13" s="493">
        <f t="shared" si="4"/>
        <v>0</v>
      </c>
      <c r="BE13" s="493">
        <f t="shared" si="4"/>
        <v>0</v>
      </c>
      <c r="BF13" s="493">
        <f t="shared" si="4"/>
        <v>0</v>
      </c>
      <c r="BG13" s="493">
        <f t="shared" si="4"/>
        <v>0</v>
      </c>
      <c r="BH13" s="493">
        <f t="shared" si="4"/>
        <v>0</v>
      </c>
      <c r="BI13" s="493">
        <f t="shared" si="4"/>
        <v>0</v>
      </c>
      <c r="BJ13" s="493">
        <f t="shared" si="4"/>
        <v>0</v>
      </c>
      <c r="BK13" s="493">
        <f t="shared" si="4"/>
        <v>0</v>
      </c>
      <c r="BL13" s="493">
        <f t="shared" si="4"/>
        <v>0</v>
      </c>
      <c r="BM13" s="493">
        <f t="shared" si="4"/>
        <v>0</v>
      </c>
      <c r="BN13" s="493">
        <f t="shared" si="4"/>
        <v>0</v>
      </c>
      <c r="BO13" s="494">
        <f t="shared" si="4"/>
        <v>0</v>
      </c>
    </row>
    <row r="14" spans="1:67">
      <c r="B14" s="206" t="s">
        <v>91</v>
      </c>
      <c r="C14" s="208">
        <f>XIRR(D13:AZ13,D4:AZ4)</f>
        <v>7.3374065756797807E-2</v>
      </c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1"/>
      <c r="AA14" s="151"/>
      <c r="AB14" s="151"/>
      <c r="AC14" s="151"/>
      <c r="AD14" s="151"/>
      <c r="AE14" s="151"/>
      <c r="AF14" s="151"/>
      <c r="AG14" s="151"/>
      <c r="AH14" s="151"/>
      <c r="AI14" s="151"/>
      <c r="AJ14" s="151"/>
      <c r="AK14" s="151"/>
      <c r="AL14" s="151"/>
      <c r="AM14" s="151"/>
      <c r="AN14" s="151"/>
      <c r="AO14" s="151"/>
      <c r="AP14" s="151"/>
      <c r="AQ14" s="151"/>
      <c r="AR14" s="151"/>
      <c r="AS14" s="151"/>
      <c r="AT14" s="151"/>
      <c r="AU14" s="151"/>
      <c r="AV14" s="151"/>
      <c r="AW14" s="151"/>
      <c r="AX14" s="151"/>
      <c r="AY14" s="151"/>
      <c r="AZ14" s="151"/>
      <c r="BA14" s="151"/>
      <c r="BB14" s="151"/>
      <c r="BC14" s="151"/>
      <c r="BD14" s="151"/>
      <c r="BE14" s="151"/>
      <c r="BF14" s="151"/>
      <c r="BG14" s="151"/>
      <c r="BH14" s="151"/>
      <c r="BI14" s="151"/>
      <c r="BJ14" s="151"/>
      <c r="BK14" s="151"/>
      <c r="BL14" s="151"/>
      <c r="BM14" s="151"/>
      <c r="BN14" s="151"/>
      <c r="BO14" s="151"/>
    </row>
    <row r="15" spans="1:67">
      <c r="B15" s="207" t="s">
        <v>92</v>
      </c>
      <c r="C15" s="852">
        <f>SUM(E13:AZ13)/-D6</f>
        <v>1.1650104929895972</v>
      </c>
      <c r="D15" s="151"/>
      <c r="E15" s="151"/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51"/>
      <c r="S15" s="151"/>
      <c r="T15" s="151"/>
      <c r="U15" s="151"/>
      <c r="V15" s="151"/>
      <c r="W15" s="151"/>
      <c r="X15" s="151"/>
      <c r="Y15" s="151"/>
      <c r="Z15" s="151"/>
      <c r="AA15" s="151"/>
      <c r="AB15" s="151"/>
      <c r="AC15" s="151"/>
      <c r="AD15" s="151"/>
      <c r="AE15" s="151"/>
      <c r="AF15" s="151"/>
      <c r="AG15" s="151"/>
      <c r="AH15" s="151"/>
      <c r="AI15" s="151"/>
      <c r="AJ15" s="151"/>
      <c r="AK15" s="151"/>
      <c r="AL15" s="151"/>
      <c r="AM15" s="151"/>
      <c r="AN15" s="151"/>
      <c r="AO15" s="151"/>
      <c r="AP15" s="151"/>
      <c r="AQ15" s="151"/>
      <c r="AR15" s="151"/>
      <c r="AS15" s="151"/>
      <c r="AT15" s="151"/>
      <c r="AU15" s="151"/>
      <c r="AV15" s="151"/>
      <c r="AW15" s="151"/>
      <c r="AX15" s="151"/>
      <c r="AY15" s="151"/>
      <c r="AZ15" s="151"/>
      <c r="BA15" s="151"/>
      <c r="BB15" s="151"/>
      <c r="BC15" s="151"/>
      <c r="BD15" s="151"/>
      <c r="BE15" s="151"/>
      <c r="BF15" s="151"/>
      <c r="BG15" s="151"/>
      <c r="BH15" s="151"/>
      <c r="BI15" s="151"/>
      <c r="BJ15" s="151"/>
      <c r="BK15" s="151"/>
      <c r="BL15" s="151"/>
      <c r="BM15" s="151"/>
      <c r="BN15" s="151"/>
      <c r="BO15" s="151"/>
    </row>
    <row r="16" spans="1:67">
      <c r="D16" s="163"/>
      <c r="E16" s="163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</row>
    <row r="17" spans="1:67">
      <c r="D17" s="163"/>
      <c r="E17" s="163"/>
      <c r="G17" s="200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</row>
    <row r="18" spans="1:67" ht="15.75">
      <c r="B18" s="845" t="s">
        <v>89</v>
      </c>
      <c r="C18" s="846">
        <f>Dashboard!B64</f>
        <v>46813</v>
      </c>
      <c r="E18" s="163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</row>
    <row r="19" spans="1:67" ht="15.75">
      <c r="B19" s="847" t="s">
        <v>81</v>
      </c>
      <c r="C19" s="848">
        <f>Dashboard!C64</f>
        <v>3.1666666666666665</v>
      </c>
      <c r="E19" s="163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</row>
    <row r="20" spans="1:67" ht="21" customHeight="1">
      <c r="A20">
        <v>1</v>
      </c>
      <c r="B20" s="850" t="s">
        <v>115</v>
      </c>
      <c r="C20" s="850"/>
      <c r="D20" s="851">
        <f>+Dashboard!$F$54</f>
        <v>45658</v>
      </c>
      <c r="E20" s="770">
        <f>IF((D20+1)=$C18,$C18,EOMONTH(D20,1))</f>
        <v>45716</v>
      </c>
      <c r="F20" s="770">
        <f>IF((E20+1)=$C18,$C18,EOMONTH(E20,1))</f>
        <v>45747</v>
      </c>
      <c r="G20" s="770">
        <f t="shared" ref="G20:BO20" si="5">IF((F20+1)=$C18,$C18,EOMONTH(F20,1))</f>
        <v>45777</v>
      </c>
      <c r="H20" s="770">
        <f t="shared" si="5"/>
        <v>45808</v>
      </c>
      <c r="I20" s="770">
        <f t="shared" si="5"/>
        <v>45838</v>
      </c>
      <c r="J20" s="770">
        <f t="shared" si="5"/>
        <v>45869</v>
      </c>
      <c r="K20" s="770">
        <f t="shared" si="5"/>
        <v>45900</v>
      </c>
      <c r="L20" s="770">
        <f t="shared" si="5"/>
        <v>45930</v>
      </c>
      <c r="M20" s="770">
        <f t="shared" si="5"/>
        <v>45961</v>
      </c>
      <c r="N20" s="770">
        <f t="shared" si="5"/>
        <v>45991</v>
      </c>
      <c r="O20" s="770">
        <f t="shared" si="5"/>
        <v>46022</v>
      </c>
      <c r="P20" s="770">
        <f t="shared" si="5"/>
        <v>46053</v>
      </c>
      <c r="Q20" s="770">
        <f t="shared" si="5"/>
        <v>46081</v>
      </c>
      <c r="R20" s="770">
        <f t="shared" si="5"/>
        <v>46112</v>
      </c>
      <c r="S20" s="770">
        <f t="shared" si="5"/>
        <v>46142</v>
      </c>
      <c r="T20" s="770">
        <f t="shared" si="5"/>
        <v>46173</v>
      </c>
      <c r="U20" s="770">
        <f t="shared" si="5"/>
        <v>46203</v>
      </c>
      <c r="V20" s="770">
        <f t="shared" si="5"/>
        <v>46234</v>
      </c>
      <c r="W20" s="770">
        <f t="shared" si="5"/>
        <v>46265</v>
      </c>
      <c r="X20" s="770">
        <f t="shared" si="5"/>
        <v>46295</v>
      </c>
      <c r="Y20" s="770">
        <f t="shared" si="5"/>
        <v>46326</v>
      </c>
      <c r="Z20" s="770">
        <f t="shared" si="5"/>
        <v>46356</v>
      </c>
      <c r="AA20" s="770">
        <f t="shared" si="5"/>
        <v>46387</v>
      </c>
      <c r="AB20" s="770">
        <f t="shared" si="5"/>
        <v>46418</v>
      </c>
      <c r="AC20" s="770">
        <f t="shared" si="5"/>
        <v>46446</v>
      </c>
      <c r="AD20" s="770">
        <f t="shared" si="5"/>
        <v>46477</v>
      </c>
      <c r="AE20" s="770">
        <f t="shared" si="5"/>
        <v>46507</v>
      </c>
      <c r="AF20" s="770">
        <f t="shared" si="5"/>
        <v>46538</v>
      </c>
      <c r="AG20" s="770">
        <f t="shared" si="5"/>
        <v>46568</v>
      </c>
      <c r="AH20" s="770">
        <f t="shared" si="5"/>
        <v>46599</v>
      </c>
      <c r="AI20" s="770">
        <f t="shared" si="5"/>
        <v>46630</v>
      </c>
      <c r="AJ20" s="770">
        <f t="shared" si="5"/>
        <v>46660</v>
      </c>
      <c r="AK20" s="770">
        <f t="shared" si="5"/>
        <v>46691</v>
      </c>
      <c r="AL20" s="770">
        <f t="shared" si="5"/>
        <v>46721</v>
      </c>
      <c r="AM20" s="770">
        <f t="shared" si="5"/>
        <v>46752</v>
      </c>
      <c r="AN20" s="770">
        <f t="shared" si="5"/>
        <v>46783</v>
      </c>
      <c r="AO20" s="770">
        <f t="shared" si="5"/>
        <v>46812</v>
      </c>
      <c r="AP20" s="770">
        <f t="shared" si="5"/>
        <v>46813</v>
      </c>
      <c r="AQ20" s="770">
        <f t="shared" si="5"/>
        <v>46873</v>
      </c>
      <c r="AR20" s="770">
        <f t="shared" si="5"/>
        <v>46904</v>
      </c>
      <c r="AS20" s="770">
        <f t="shared" si="5"/>
        <v>46934</v>
      </c>
      <c r="AT20" s="770">
        <f t="shared" si="5"/>
        <v>46965</v>
      </c>
      <c r="AU20" s="770">
        <f t="shared" si="5"/>
        <v>46996</v>
      </c>
      <c r="AV20" s="770">
        <f t="shared" si="5"/>
        <v>47026</v>
      </c>
      <c r="AW20" s="770">
        <f t="shared" si="5"/>
        <v>47057</v>
      </c>
      <c r="AX20" s="770">
        <f t="shared" si="5"/>
        <v>47087</v>
      </c>
      <c r="AY20" s="770">
        <f t="shared" si="5"/>
        <v>47118</v>
      </c>
      <c r="AZ20" s="770">
        <f t="shared" si="5"/>
        <v>47149</v>
      </c>
      <c r="BA20" s="770">
        <f t="shared" si="5"/>
        <v>47177</v>
      </c>
      <c r="BB20" s="770">
        <f t="shared" si="5"/>
        <v>47208</v>
      </c>
      <c r="BC20" s="770">
        <f t="shared" si="5"/>
        <v>47238</v>
      </c>
      <c r="BD20" s="770">
        <f t="shared" si="5"/>
        <v>47269</v>
      </c>
      <c r="BE20" s="770">
        <f t="shared" si="5"/>
        <v>47299</v>
      </c>
      <c r="BF20" s="770">
        <f t="shared" si="5"/>
        <v>47330</v>
      </c>
      <c r="BG20" s="770">
        <f t="shared" si="5"/>
        <v>47361</v>
      </c>
      <c r="BH20" s="770">
        <f t="shared" si="5"/>
        <v>47391</v>
      </c>
      <c r="BI20" s="770">
        <f t="shared" si="5"/>
        <v>47422</v>
      </c>
      <c r="BJ20" s="770">
        <f t="shared" si="5"/>
        <v>47452</v>
      </c>
      <c r="BK20" s="770">
        <f t="shared" si="5"/>
        <v>47483</v>
      </c>
      <c r="BL20" s="770">
        <f t="shared" si="5"/>
        <v>47514</v>
      </c>
      <c r="BM20" s="770">
        <f t="shared" si="5"/>
        <v>47542</v>
      </c>
      <c r="BN20" s="770">
        <f t="shared" si="5"/>
        <v>47573</v>
      </c>
      <c r="BO20" s="770">
        <f t="shared" si="5"/>
        <v>47603</v>
      </c>
    </row>
    <row r="21" spans="1:67">
      <c r="A21">
        <v>2</v>
      </c>
      <c r="B21" s="184" t="s">
        <v>162</v>
      </c>
      <c r="C21" s="29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05"/>
      <c r="AM21" s="105"/>
      <c r="AN21" s="105"/>
      <c r="AO21" s="105"/>
      <c r="AP21" s="105"/>
      <c r="AQ21" s="105"/>
      <c r="AR21" s="105"/>
      <c r="AS21" s="105"/>
      <c r="AT21" s="105"/>
      <c r="AU21" s="105"/>
      <c r="AV21" s="105"/>
      <c r="AW21" s="105"/>
      <c r="AX21" s="105"/>
      <c r="AY21" s="105"/>
      <c r="AZ21" s="105"/>
      <c r="BA21" s="541"/>
      <c r="BB21" s="541"/>
      <c r="BC21" s="541"/>
      <c r="BD21" s="541"/>
      <c r="BE21" s="541"/>
      <c r="BF21" s="541"/>
      <c r="BG21" s="541"/>
      <c r="BH21" s="541"/>
      <c r="BI21" s="541"/>
      <c r="BJ21" s="541"/>
      <c r="BK21" s="541"/>
      <c r="BL21" s="541"/>
      <c r="BM21" s="541"/>
      <c r="BN21" s="541"/>
      <c r="BO21" s="542"/>
    </row>
    <row r="22" spans="1:67">
      <c r="A22">
        <v>3</v>
      </c>
      <c r="B22" s="168" t="s">
        <v>8</v>
      </c>
      <c r="C22" s="5"/>
      <c r="D22" s="105">
        <f>+-Dashboard!$C$43+1500000</f>
        <v>-90052621.878451094</v>
      </c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  <c r="AC22" s="105"/>
      <c r="AD22" s="105"/>
      <c r="AE22" s="105"/>
      <c r="AF22" s="105"/>
      <c r="AG22" s="105"/>
      <c r="AH22" s="105"/>
      <c r="AI22" s="105"/>
      <c r="AJ22" s="105"/>
      <c r="AK22" s="105"/>
      <c r="AL22" s="105"/>
      <c r="AM22" s="105"/>
      <c r="AN22" s="105"/>
      <c r="AO22" s="105"/>
      <c r="AP22" s="105"/>
      <c r="AQ22" s="105"/>
      <c r="AR22" s="105"/>
      <c r="AS22" s="105"/>
      <c r="AT22" s="105"/>
      <c r="AU22" s="105"/>
      <c r="AV22" s="105"/>
      <c r="AW22" s="105"/>
      <c r="AX22" s="105"/>
      <c r="AY22" s="105"/>
      <c r="AZ22" s="105"/>
      <c r="BA22" s="105"/>
      <c r="BB22" s="105"/>
      <c r="BC22" s="105"/>
      <c r="BD22" s="105"/>
      <c r="BE22" s="105"/>
      <c r="BF22" s="105"/>
      <c r="BG22" s="105"/>
      <c r="BH22" s="105"/>
      <c r="BI22" s="105"/>
      <c r="BJ22" s="105"/>
      <c r="BK22" s="105"/>
      <c r="BL22" s="105"/>
      <c r="BM22" s="105"/>
      <c r="BN22" s="105"/>
      <c r="BO22" s="169"/>
    </row>
    <row r="23" spans="1:67" ht="6.75" customHeight="1">
      <c r="A23">
        <v>4</v>
      </c>
      <c r="B23" s="168"/>
      <c r="C23" s="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  <c r="AC23" s="105"/>
      <c r="AD23" s="105"/>
      <c r="AE23" s="105"/>
      <c r="AF23" s="105"/>
      <c r="AG23" s="105"/>
      <c r="AH23" s="105"/>
      <c r="AI23" s="105"/>
      <c r="AJ23" s="105"/>
      <c r="AK23" s="105"/>
      <c r="AL23" s="105"/>
      <c r="AM23" s="105"/>
      <c r="AN23" s="105"/>
      <c r="AO23" s="105"/>
      <c r="AP23" s="105"/>
      <c r="AQ23" s="105"/>
      <c r="AR23" s="105"/>
      <c r="AS23" s="105"/>
      <c r="AT23" s="105"/>
      <c r="AU23" s="105"/>
      <c r="AV23" s="105"/>
      <c r="AW23" s="105"/>
      <c r="AX23" s="105"/>
      <c r="AY23" s="105"/>
      <c r="AZ23" s="105"/>
      <c r="BA23" s="105"/>
      <c r="BB23" s="105"/>
      <c r="BC23" s="105"/>
      <c r="BD23" s="105"/>
      <c r="BE23" s="105"/>
      <c r="BF23" s="105"/>
      <c r="BG23" s="105"/>
      <c r="BH23" s="105"/>
      <c r="BI23" s="105"/>
      <c r="BJ23" s="105"/>
      <c r="BK23" s="105"/>
      <c r="BL23" s="105"/>
      <c r="BM23" s="105"/>
      <c r="BN23" s="105"/>
      <c r="BO23" s="169"/>
    </row>
    <row r="24" spans="1:67">
      <c r="A24">
        <v>5</v>
      </c>
      <c r="B24" s="185" t="s">
        <v>163</v>
      </c>
      <c r="C24" s="29"/>
      <c r="D24" s="151"/>
      <c r="E24" s="151"/>
      <c r="F24" s="151"/>
      <c r="G24" s="151"/>
      <c r="H24" s="151"/>
      <c r="I24" s="151"/>
      <c r="J24" s="151"/>
      <c r="K24" s="151"/>
      <c r="L24" s="151"/>
      <c r="M24" s="151"/>
      <c r="N24" s="151"/>
      <c r="O24" s="151"/>
      <c r="P24" s="151"/>
      <c r="Q24" s="151"/>
      <c r="R24" s="151"/>
      <c r="S24" s="151"/>
      <c r="T24" s="151"/>
      <c r="U24" s="151"/>
      <c r="V24" s="151"/>
      <c r="W24" s="151"/>
      <c r="X24" s="151"/>
      <c r="Y24" s="151"/>
      <c r="Z24" s="151"/>
      <c r="AA24" s="151"/>
      <c r="AB24" s="151"/>
      <c r="AC24" s="151"/>
      <c r="AD24" s="151"/>
      <c r="AE24" s="151"/>
      <c r="AF24" s="151"/>
      <c r="AG24" s="151"/>
      <c r="AH24" s="151"/>
      <c r="AI24" s="151"/>
      <c r="AJ24" s="151"/>
      <c r="AK24" s="151"/>
      <c r="AL24" s="151"/>
      <c r="AM24" s="151"/>
      <c r="AN24" s="151"/>
      <c r="AO24" s="151"/>
      <c r="AP24" s="151"/>
      <c r="AQ24" s="151"/>
      <c r="AR24" s="151"/>
      <c r="AS24" s="151"/>
      <c r="AT24" s="151"/>
      <c r="AU24" s="151"/>
      <c r="AV24" s="151"/>
      <c r="AW24" s="151"/>
      <c r="AX24" s="151"/>
      <c r="AY24" s="151"/>
      <c r="AZ24" s="151"/>
      <c r="BA24" s="151"/>
      <c r="BB24" s="151"/>
      <c r="BC24" s="151"/>
      <c r="BD24" s="151"/>
      <c r="BE24" s="151"/>
      <c r="BF24" s="151"/>
      <c r="BG24" s="151"/>
      <c r="BH24" s="151"/>
      <c r="BI24" s="151"/>
      <c r="BJ24" s="151"/>
      <c r="BK24" s="151"/>
      <c r="BL24" s="151"/>
      <c r="BM24" s="151"/>
      <c r="BN24" s="151"/>
      <c r="BO24" s="180"/>
    </row>
    <row r="25" spans="1:67">
      <c r="A25">
        <v>6</v>
      </c>
      <c r="B25" s="168" t="s">
        <v>76</v>
      </c>
      <c r="C25" s="5"/>
      <c r="D25" s="105"/>
      <c r="E25" s="105">
        <f>IF(E20&lt;$C18,SUMIFS('Monthly CF''s'!$P$40:$BK$40,'Monthly CF''s'!$P$2:$BK$2,"="&amp;E20),0)</f>
        <v>0</v>
      </c>
      <c r="F25" s="105">
        <f>IF(F20&lt;$C18,SUMIFS('Monthly CF''s'!$P$40:$BK$40,'Monthly CF''s'!$P$2:$BK$2,"="&amp;F20),0)</f>
        <v>0</v>
      </c>
      <c r="G25" s="105">
        <f>IF(G20&lt;$C18,SUMIFS('Monthly CF''s'!$P$40:$BK$40,'Monthly CF''s'!$P$2:$BK$2,"="&amp;G20),0)</f>
        <v>0</v>
      </c>
      <c r="H25" s="105">
        <f>IF(H20&lt;$C18,SUMIFS('Monthly CF''s'!$P$40:$BK$40,'Monthly CF''s'!$P$2:$BK$2,"="&amp;H20),0)</f>
        <v>0</v>
      </c>
      <c r="I25" s="105">
        <f>IF(I20&lt;$C18,SUMIFS('Monthly CF''s'!$P$40:$BK$40,'Monthly CF''s'!$P$2:$BK$2,"="&amp;I20),0)</f>
        <v>0</v>
      </c>
      <c r="J25" s="105">
        <f>IF(J20&lt;$C18,SUMIFS('Monthly CF''s'!$P$40:$BK$40,'Monthly CF''s'!$P$2:$BK$2,"="&amp;J20),0)</f>
        <v>0</v>
      </c>
      <c r="K25" s="105">
        <f>IF(K20&lt;$C18,SUMIFS('Monthly CF''s'!$P$40:$BK$40,'Monthly CF''s'!$P$2:$BK$2,"="&amp;K20),0)</f>
        <v>0</v>
      </c>
      <c r="L25" s="105">
        <f>IF(L20&lt;$C18,SUMIFS('Monthly CF''s'!$P$40:$BK$40,'Monthly CF''s'!$P$2:$BK$2,"="&amp;L20),0)</f>
        <v>0</v>
      </c>
      <c r="M25" s="105">
        <f>IF(M20&lt;$C18,SUMIFS('Monthly CF''s'!$P$40:$BK$40,'Monthly CF''s'!$P$2:$BK$2,"="&amp;M20),0)</f>
        <v>0</v>
      </c>
      <c r="N25" s="105">
        <f>IF(N20&lt;$C18,SUMIFS('Monthly CF''s'!$P$40:$BK$40,'Monthly CF''s'!$P$2:$BK$2,"="&amp;N20),0)</f>
        <v>0</v>
      </c>
      <c r="O25" s="105">
        <f>IF(O20&lt;$C18,SUMIFS('Monthly CF''s'!$P$40:$BK$40,'Monthly CF''s'!$P$2:$BK$2,"="&amp;O20),0)</f>
        <v>0</v>
      </c>
      <c r="P25" s="105">
        <f>IF(P20&lt;$C18,SUMIFS('Monthly CF''s'!$P$40:$BK$40,'Monthly CF''s'!$P$2:$BK$2,"="&amp;P20),0)</f>
        <v>0</v>
      </c>
      <c r="Q25" s="105">
        <f>IF(Q20&lt;$C18,SUMIFS('Monthly CF''s'!$P$40:$BK$40,'Monthly CF''s'!$P$2:$BK$2,"="&amp;Q20),0)</f>
        <v>0</v>
      </c>
      <c r="R25" s="105">
        <f>IF(R20&lt;$C18,SUMIFS('Monthly CF''s'!$P$40:$BK$40,'Monthly CF''s'!$P$2:$BK$2,"="&amp;R20),0)</f>
        <v>0</v>
      </c>
      <c r="S25" s="105">
        <f>IF(S20&lt;$C18,SUMIFS('Monthly CF''s'!$P$40:$BK$40,'Monthly CF''s'!$P$2:$BK$2,"="&amp;S20),0)</f>
        <v>0</v>
      </c>
      <c r="T25" s="105">
        <f>IF(T20&lt;$C18,SUMIFS('Monthly CF''s'!$P$40:$BK$40,'Monthly CF''s'!$P$2:$BK$2,"="&amp;T20),0)</f>
        <v>0</v>
      </c>
      <c r="U25" s="105">
        <f>IF(U20&lt;$C18,SUMIFS('Monthly CF''s'!$P$40:$BK$40,'Monthly CF''s'!$P$2:$BK$2,"="&amp;U20),0)</f>
        <v>0</v>
      </c>
      <c r="V25" s="105">
        <f>IF(V20&lt;$C18,SUMIFS('Monthly CF''s'!$P$40:$BK$40,'Monthly CF''s'!$P$2:$BK$2,"="&amp;V20),0)</f>
        <v>0</v>
      </c>
      <c r="W25" s="105">
        <f>IF(W20&lt;$C18,SUMIFS('Monthly CF''s'!$P$40:$BK$40,'Monthly CF''s'!$P$2:$BK$2,"="&amp;W20),0)</f>
        <v>0</v>
      </c>
      <c r="X25" s="105">
        <f>IF(X20&lt;$C18,SUMIFS('Monthly CF''s'!$P$40:$BK$40,'Monthly CF''s'!$P$2:$BK$2,"="&amp;X20),0)</f>
        <v>388297.5575419807</v>
      </c>
      <c r="Y25" s="105">
        <f>IF(Y20&lt;$C18,SUMIFS('Monthly CF''s'!$P$40:$BK$40,'Monthly CF''s'!$P$2:$BK$2,"="&amp;Y20),0)</f>
        <v>388297.5575419807</v>
      </c>
      <c r="Z25" s="105">
        <f>IF(Z20&lt;$C18,SUMIFS('Monthly CF''s'!$P$40:$BK$40,'Monthly CF''s'!$P$2:$BK$2,"="&amp;Z20),0)</f>
        <v>388297.5575419807</v>
      </c>
      <c r="AA25" s="105">
        <f>IF(AA20&lt;$C18,SUMIFS('Monthly CF''s'!$P$40:$BK$40,'Monthly CF''s'!$P$2:$BK$2,"="&amp;AA20),0)</f>
        <v>388297.5575419807</v>
      </c>
      <c r="AB25" s="105">
        <f>IF(AB20&lt;$C18,SUMIFS('Monthly CF''s'!$P$40:$BK$40,'Monthly CF''s'!$P$2:$BK$2,"="&amp;AB20),0)</f>
        <v>388297.5575419807</v>
      </c>
      <c r="AC25" s="105">
        <f>IF(AC20&lt;$C18,SUMIFS('Monthly CF''s'!$P$40:$BK$40,'Monthly CF''s'!$P$2:$BK$2,"="&amp;AC20),0)</f>
        <v>388297.5575419807</v>
      </c>
      <c r="AD25" s="105">
        <f>IF(AD20&lt;$C18,SUMIFS('Monthly CF''s'!$P$38:$BK$38,'Monthly CF''s'!$P$2:$BK$2,"="&amp;AD20),0)</f>
        <v>444163.49461249996</v>
      </c>
      <c r="AE25" s="105">
        <f>IF(AE20&lt;$C18,SUMIFS('Monthly CF''s'!$P$38:$BK$38,'Monthly CF''s'!$P$2:$BK$2,"="&amp;AE20),0)</f>
        <v>444163.49461249996</v>
      </c>
      <c r="AF25" s="105">
        <f>IF(AF20&lt;$C18,SUMIFS('Monthly CF''s'!$P$38:$BK$38,'Monthly CF''s'!$P$2:$BK$2,"="&amp;AF20),0)</f>
        <v>444163.49461249996</v>
      </c>
      <c r="AG25" s="105">
        <f>IF(AG20&lt;$C18,SUMIFS('Monthly CF''s'!$P$38:$BK$38,'Monthly CF''s'!$P$2:$BK$2,"="&amp;AG20),0)</f>
        <v>444163.49461249996</v>
      </c>
      <c r="AH25" s="105">
        <f>IF(AH20&lt;$C18,SUMIFS('Monthly CF''s'!$P$38:$BK$38,'Monthly CF''s'!$P$2:$BK$2,"="&amp;AH20),0)</f>
        <v>444163.49461249996</v>
      </c>
      <c r="AI25" s="105">
        <f>IF(AI20&lt;$C18,SUMIFS('Monthly CF''s'!$P$38:$BK$38,'Monthly CF''s'!$P$2:$BK$2,"="&amp;AI20),0)</f>
        <v>444163.49461249996</v>
      </c>
      <c r="AJ25" s="105">
        <f>IF(AJ20&lt;$C18,SUMIFS('Monthly CF''s'!$P$38:$BK$38,'Monthly CF''s'!$P$2:$BK$2,"="&amp;AJ20),0)</f>
        <v>458517.39336441673</v>
      </c>
      <c r="AK25" s="105">
        <f>IF(AK20&lt;$C18,SUMIFS('Monthly CF''s'!$P$38:$BK$38,'Monthly CF''s'!$P$2:$BK$2,"="&amp;AK20),0)</f>
        <v>458517.39336441673</v>
      </c>
      <c r="AL25" s="105">
        <f>IF(AL20&lt;$C18,SUMIFS('Monthly CF''s'!$P$38:$BK$38,'Monthly CF''s'!$P$2:$BK$2,"="&amp;AL20),0)</f>
        <v>458517.39336441673</v>
      </c>
      <c r="AM25" s="105">
        <f>IF(AM20&lt;$C18,SUMIFS('Monthly CF''s'!$P$38:$BK$38,'Monthly CF''s'!$P$2:$BK$2,"="&amp;AM20),0)</f>
        <v>458517.39336441673</v>
      </c>
      <c r="AN25" s="105">
        <f>IF(AN20&lt;$C18,SUMIFS('Monthly CF''s'!$P$38:$BK$38,'Monthly CF''s'!$P$2:$BK$2,"="&amp;AN20),0)</f>
        <v>458517.39336441673</v>
      </c>
      <c r="AO25" s="105">
        <f>IF(AO20&lt;$C18,SUMIFS('Monthly CF''s'!$P$38:$BK$38,'Monthly CF''s'!$P$2:$BK$2,"="&amp;AO20),0)</f>
        <v>458517.39336441673</v>
      </c>
      <c r="AP25" s="105">
        <f>IF(AP20&lt;$C18,SUMIFS('Monthly CF''s'!$P$38:$BK$38,'Monthly CF''s'!$P$2:$BK$2,"="&amp;AP20),0)</f>
        <v>0</v>
      </c>
      <c r="AQ25" s="105">
        <f>IF(AQ20&lt;$C18,SUMIFS('Monthly CF''s'!$P$38:$BK$38,'Monthly CF''s'!$P$2:$BK$2,"="&amp;AQ20),0)</f>
        <v>0</v>
      </c>
      <c r="AR25" s="105">
        <f>IF(AR20&lt;$C18,SUMIFS('Monthly CF''s'!$P$38:$BK$38,'Monthly CF''s'!$P$2:$BK$2,"="&amp;AR20),0)</f>
        <v>0</v>
      </c>
      <c r="AS25" s="105">
        <f>IF(AS20&lt;$C18,SUMIFS('Monthly CF''s'!$P$38:$BK$38,'Monthly CF''s'!$P$2:$BK$2,"="&amp;AS20),0)</f>
        <v>0</v>
      </c>
      <c r="AT25" s="105">
        <f>IF(AT20&lt;$C18,SUMIFS('Monthly CF''s'!$P$38:$BK$38,'Monthly CF''s'!$P$2:$BK$2,"="&amp;AT20),0)</f>
        <v>0</v>
      </c>
      <c r="AU25" s="105">
        <f>IF(AU20&lt;$C18,SUMIFS('Monthly CF''s'!$P$40:$BK$40,'Monthly CF''s'!$P$2:$BK$2,"="&amp;AU20),0)</f>
        <v>0</v>
      </c>
      <c r="AV25" s="105">
        <f>IF(AV20&lt;$C18,SUMIFS('Monthly CF''s'!$P$40:$BK$40,'Monthly CF''s'!$P$2:$BK$2,"="&amp;AV20),0)</f>
        <v>0</v>
      </c>
      <c r="AW25" s="105">
        <f>IF(AW20&lt;$C18,SUMIFS('Monthly CF''s'!$P$40:$BK$40,'Monthly CF''s'!$P$2:$BK$2,"="&amp;AW20),0)</f>
        <v>0</v>
      </c>
      <c r="AX25" s="105">
        <f>IF(AX20&lt;$C18,SUMIFS('Monthly CF''s'!$P$40:$BK$40,'Monthly CF''s'!$P$2:$BK$2,"="&amp;AX20),0)</f>
        <v>0</v>
      </c>
      <c r="AY25" s="105">
        <f>IF(AY20&lt;$C18,SUMIFS('Monthly CF''s'!$P$40:$BK$40,'Monthly CF''s'!$P$2:$BK$2,"="&amp;AY20),0)</f>
        <v>0</v>
      </c>
      <c r="AZ25" s="105">
        <f>IF(AZ20&lt;$C18,SUMIFS('Monthly CF''s'!$P$40:$BK$40,'Monthly CF''s'!$P$2:$BK$2,"="&amp;AZ20),0)</f>
        <v>0</v>
      </c>
      <c r="BA25" s="105">
        <f>IF(BA20&lt;$C18,SUMIFS('Monthly CF''s'!$P$40:$BK$40,'Monthly CF''s'!$P$2:$BK$2,"="&amp;BA20),0)</f>
        <v>0</v>
      </c>
      <c r="BB25" s="105">
        <f>IF(BB20&lt;$C18,SUMIFS('Monthly CF''s'!$P$40:$BK$40,'Monthly CF''s'!$P$2:$BK$2,"="&amp;BB20),0)</f>
        <v>0</v>
      </c>
      <c r="BC25" s="105">
        <f>IF(BC20&lt;$C18,SUMIFS('Monthly CF''s'!$P$40:$BK$40,'Monthly CF''s'!$P$2:$BK$2,"="&amp;BC20),0)</f>
        <v>0</v>
      </c>
      <c r="BD25" s="105">
        <f>IF(BD20&lt;$C18,SUMIFS('Monthly CF''s'!$P$40:$BK$40,'Monthly CF''s'!$P$2:$BK$2,"="&amp;BD20),0)</f>
        <v>0</v>
      </c>
      <c r="BE25" s="105">
        <f>IF(BE20&lt;$C18,SUMIFS('Monthly CF''s'!$P$40:$BK$40,'Monthly CF''s'!$P$2:$BK$2,"="&amp;BE20),0)</f>
        <v>0</v>
      </c>
      <c r="BF25" s="105">
        <f>IF(BF20&lt;$C18,SUMIFS('Monthly CF''s'!$P$40:$BK$40,'Monthly CF''s'!$P$2:$BK$2,"="&amp;BF20),0)</f>
        <v>0</v>
      </c>
      <c r="BG25" s="105">
        <f>IF(BG20&lt;$C18,SUMIFS('Monthly CF''s'!$P$40:$BK$40,'Monthly CF''s'!$P$2:$BK$2,"="&amp;BG20),0)</f>
        <v>0</v>
      </c>
      <c r="BH25" s="105">
        <f>IF(BH20&lt;$C18,SUMIFS('Monthly CF''s'!$P$40:$BK$40,'Monthly CF''s'!$P$2:$BK$2,"="&amp;BH20),0)</f>
        <v>0</v>
      </c>
      <c r="BI25" s="105">
        <f>IF(BI20&lt;$C18,SUMIFS('Monthly CF''s'!$P$40:$BK$40,'Monthly CF''s'!$P$2:$BK$2,"="&amp;BI20),0)</f>
        <v>0</v>
      </c>
      <c r="BJ25" s="105">
        <f>IF(BJ20&lt;$C18,SUMIFS('Monthly CF''s'!$P$40:$BK$40,'Monthly CF''s'!$P$2:$BK$2,"="&amp;BJ20),0)</f>
        <v>0</v>
      </c>
      <c r="BK25" s="105">
        <f>IF(BK20&lt;$C18,SUMIFS('Monthly CF''s'!$P$40:$BK$40,'Monthly CF''s'!$P$2:$BK$2,"="&amp;BK20),0)</f>
        <v>0</v>
      </c>
      <c r="BL25" s="105">
        <f>IF(BL20&lt;$C18,SUMIFS('Monthly CF''s'!$P$40:$BK$40,'Monthly CF''s'!$P$2:$BK$2,"="&amp;BL20),0)</f>
        <v>0</v>
      </c>
      <c r="BM25" s="105">
        <f>IF(BM20&lt;$C18,SUMIFS('Monthly CF''s'!$P$40:$BK$40,'Monthly CF''s'!$P$2:$BK$2,"="&amp;BM20),0)</f>
        <v>0</v>
      </c>
      <c r="BN25" s="105">
        <f>IF(BN20&lt;$C18,SUMIFS('Monthly CF''s'!$P$40:$BK$40,'Monthly CF''s'!$P$2:$BK$2,"="&amp;BN20),0)</f>
        <v>0</v>
      </c>
      <c r="BO25" s="169">
        <f>IF(BO20&lt;$C18,SUMIFS('Monthly CF''s'!$P$40:$BK$40,'Monthly CF''s'!$P$2:$BK$2,"="&amp;BO20),0)</f>
        <v>0</v>
      </c>
    </row>
    <row r="26" spans="1:67">
      <c r="A26">
        <v>7</v>
      </c>
      <c r="B26" s="168"/>
      <c r="C26" s="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05"/>
      <c r="BB26" s="105"/>
      <c r="BC26" s="105"/>
      <c r="BD26" s="105"/>
      <c r="BE26" s="105"/>
      <c r="BF26" s="105"/>
      <c r="BG26" s="105"/>
      <c r="BH26" s="105"/>
      <c r="BI26" s="105"/>
      <c r="BJ26" s="105"/>
      <c r="BK26" s="105"/>
      <c r="BL26" s="105"/>
      <c r="BM26" s="105"/>
      <c r="BN26" s="105"/>
      <c r="BO26" s="169"/>
    </row>
    <row r="27" spans="1:67">
      <c r="A27">
        <v>8</v>
      </c>
      <c r="B27" s="168" t="s">
        <v>166</v>
      </c>
      <c r="C27" s="5"/>
      <c r="D27" s="105"/>
      <c r="E27" s="105">
        <f>IF(E20=$C18,Dashboard!$I$55+Dashboard!$I$57,0)</f>
        <v>0</v>
      </c>
      <c r="F27" s="105">
        <f>IF(F20=$C18,Dashboard!$I$55+Dashboard!$I$57,0)</f>
        <v>0</v>
      </c>
      <c r="G27" s="105">
        <f>IF(G20=$C18,Dashboard!$I$55+Dashboard!$I$57,0)</f>
        <v>0</v>
      </c>
      <c r="H27" s="105">
        <f>IF(H20=$C18,Dashboard!$I$55+Dashboard!$I$57,0)</f>
        <v>0</v>
      </c>
      <c r="I27" s="105">
        <f>IF(I20=$C18,Dashboard!$I$55+Dashboard!$I$57,0)</f>
        <v>0</v>
      </c>
      <c r="J27" s="105">
        <f>IF(J20=$C18,Dashboard!$I$55+Dashboard!$I$57,0)</f>
        <v>0</v>
      </c>
      <c r="K27" s="105">
        <f>IF(K20=$C18,Dashboard!$I$55+Dashboard!$I$57,0)</f>
        <v>0</v>
      </c>
      <c r="L27" s="105">
        <f>IF(L20=$C18,Dashboard!$I$55+Dashboard!$I$57,0)</f>
        <v>0</v>
      </c>
      <c r="M27" s="105">
        <f>IF(M20=$C18,Dashboard!$I$55+Dashboard!$I$57,0)</f>
        <v>0</v>
      </c>
      <c r="N27" s="105">
        <f>IF(N20=$C18,Dashboard!$I$55+Dashboard!$I$57,0)</f>
        <v>0</v>
      </c>
      <c r="O27" s="105">
        <f>IF(O20=$C18,Dashboard!$I$55+Dashboard!$I$57,0)</f>
        <v>0</v>
      </c>
      <c r="P27" s="105">
        <f>IF(P20=$C18,Dashboard!$I$55+Dashboard!$I$57,0)</f>
        <v>0</v>
      </c>
      <c r="Q27" s="105">
        <f>IF(Q20=$C18,Dashboard!$I$55+Dashboard!$I$57,0)</f>
        <v>0</v>
      </c>
      <c r="R27" s="105">
        <f>IF(R20=$C18,Dashboard!$I$55+Dashboard!$I$57,0)</f>
        <v>0</v>
      </c>
      <c r="S27" s="105">
        <f>IF(S20=$C18,Dashboard!$I$55+Dashboard!$I$57,0)</f>
        <v>0</v>
      </c>
      <c r="T27" s="105">
        <f>IF(T20=$C18,Dashboard!$I$55+Dashboard!$I$57,0)</f>
        <v>0</v>
      </c>
      <c r="U27" s="105">
        <f>IF(U20=$C18,Dashboard!$I$55+Dashboard!$I$57,0)</f>
        <v>0</v>
      </c>
      <c r="V27" s="105">
        <f>IF(V20=$C18,Dashboard!$I$55+Dashboard!$I$57,0)</f>
        <v>0</v>
      </c>
      <c r="W27" s="105">
        <f>IF(W20=$C18,Dashboard!$I$55+Dashboard!$I$57,0)</f>
        <v>0</v>
      </c>
      <c r="X27" s="105">
        <f>IF(X20=$C18,Dashboard!$I$55+Dashboard!$I$57,0)</f>
        <v>0</v>
      </c>
      <c r="Y27" s="105">
        <f>IF(Y20=$C18,Dashboard!$I$55+Dashboard!$I$57,0)</f>
        <v>0</v>
      </c>
      <c r="Z27" s="105">
        <f>IF(Z20=$C18,Dashboard!$I$55+Dashboard!$I$57,0)</f>
        <v>0</v>
      </c>
      <c r="AA27" s="105">
        <f>IF(AA20=$C18,Dashboard!$I$55+Dashboard!$I$57,0)</f>
        <v>0</v>
      </c>
      <c r="AB27" s="105">
        <f>IF(AB20=$C18,Dashboard!$I$55+Dashboard!$I$57,0)</f>
        <v>0</v>
      </c>
      <c r="AC27" s="105">
        <f>IF(AC20=$C18,Dashboard!$I$55+Dashboard!$I$57,0)</f>
        <v>0</v>
      </c>
      <c r="AD27" s="105">
        <f>IF(AD20=$C18,Dashboard!$I$55+Dashboard!$I$57,0)</f>
        <v>0</v>
      </c>
      <c r="AE27" s="105">
        <f>IF(AE20=$C18,Dashboard!$I$55+Dashboard!$I$57,0)</f>
        <v>0</v>
      </c>
      <c r="AF27" s="105">
        <f>IF(AF20=$C18,Dashboard!$I$55+Dashboard!$I$57,0)</f>
        <v>0</v>
      </c>
      <c r="AG27" s="105">
        <f>IF(AG20=$C18,Dashboard!$I$55+Dashboard!$I$57,0)</f>
        <v>0</v>
      </c>
      <c r="AH27" s="105">
        <f>IF(AH20=$C18,Dashboard!$I$55+Dashboard!$I$57,0)</f>
        <v>0</v>
      </c>
      <c r="AI27" s="105">
        <f>IF(AI20=$C18,Dashboard!$I$55+Dashboard!$I$57,0)</f>
        <v>0</v>
      </c>
      <c r="AJ27" s="105">
        <f>IF(AJ20=$C18,Dashboard!$I$55+Dashboard!$I$57,0)</f>
        <v>0</v>
      </c>
      <c r="AK27" s="105">
        <f>IF(AK20=$C18,Dashboard!$I$55+Dashboard!$I$57,0)</f>
        <v>0</v>
      </c>
      <c r="AL27" s="105">
        <f>IF(AL20=$C18,Dashboard!$I$55+Dashboard!$I$57,0)</f>
        <v>0</v>
      </c>
      <c r="AM27" s="105">
        <f>IF(AM20=$C18,Dashboard!$I$55+Dashboard!$I$57,0)</f>
        <v>0</v>
      </c>
      <c r="AN27" s="105">
        <f>IF(AN20=$C18,Dashboard!$I$55+Dashboard!$I$57,0)</f>
        <v>0</v>
      </c>
      <c r="AO27" s="105">
        <f>IF(AO20=$C18,Dashboard!$I$55+Dashboard!$I$57,0)</f>
        <v>0</v>
      </c>
      <c r="AP27" s="105">
        <f>IF(AP20=$C18,Dashboard!$I$55+Dashboard!$I$57,0)</f>
        <v>102582464.06436822</v>
      </c>
      <c r="AQ27" s="105">
        <f>IF(AQ20=$C18,Dashboard!$I$55+Dashboard!$I$57,0)</f>
        <v>0</v>
      </c>
      <c r="AR27" s="105">
        <f>IF(AR20=$C18,Dashboard!$I$55+Dashboard!$I$57,0)</f>
        <v>0</v>
      </c>
      <c r="AS27" s="105">
        <f>IF(AS20=$C18,Dashboard!$I$55+Dashboard!$I$57,0)</f>
        <v>0</v>
      </c>
      <c r="AT27" s="105">
        <f>IF(AT20=$C18,Dashboard!$I$55+Dashboard!$I$57,0)</f>
        <v>0</v>
      </c>
      <c r="AU27" s="105">
        <f>IF(AU20=$C18,Dashboard!$I$55+Dashboard!$I$57,0)</f>
        <v>0</v>
      </c>
      <c r="AV27" s="105">
        <f>IF(AV20=$C18,Dashboard!$I$55+Dashboard!$I$57,0)</f>
        <v>0</v>
      </c>
      <c r="AW27" s="105">
        <f>IF(AW20=$C18,Dashboard!$I$55+Dashboard!$I$57,0)</f>
        <v>0</v>
      </c>
      <c r="AX27" s="105">
        <f>IF(AX20=$C18,Dashboard!$I$55+Dashboard!$I$57,0)</f>
        <v>0</v>
      </c>
      <c r="AY27" s="105">
        <f>IF(AY20=$C18,Dashboard!$I$55+Dashboard!$I$57,0)</f>
        <v>0</v>
      </c>
      <c r="AZ27" s="105">
        <f>IF(AZ20=$C18,Dashboard!$I$55+Dashboard!$I$57,0)</f>
        <v>0</v>
      </c>
      <c r="BA27" s="105">
        <f>IF(BA20=$C18,Dashboard!$I$55+Dashboard!$I$57,0)</f>
        <v>0</v>
      </c>
      <c r="BB27" s="105">
        <f>IF(BB20=$C18,Dashboard!$I$55+Dashboard!$I$57,0)</f>
        <v>0</v>
      </c>
      <c r="BC27" s="105">
        <f>IF(BC20=$C18,Dashboard!$I$55+Dashboard!$I$57,0)</f>
        <v>0</v>
      </c>
      <c r="BD27" s="105">
        <f>IF(BD20=$C18,Dashboard!$I$55+Dashboard!$I$57,0)</f>
        <v>0</v>
      </c>
      <c r="BE27" s="105">
        <f>IF(BE20=$C18,Dashboard!$I$55+Dashboard!$I$57,0)</f>
        <v>0</v>
      </c>
      <c r="BF27" s="105">
        <f>IF(BF20=$C18,Dashboard!$I$55+Dashboard!$I$57,0)</f>
        <v>0</v>
      </c>
      <c r="BG27" s="105">
        <f>IF(BG20=$C18,Dashboard!$I$55+Dashboard!$I$57,0)</f>
        <v>0</v>
      </c>
      <c r="BH27" s="105">
        <f>IF(BH20=$C18,Dashboard!$I$55+Dashboard!$I$57,0)</f>
        <v>0</v>
      </c>
      <c r="BI27" s="105">
        <f>IF(BI20=$C18,Dashboard!$I$55+Dashboard!$I$57,0)</f>
        <v>0</v>
      </c>
      <c r="BJ27" s="105">
        <f>IF(BJ20=$C18,Dashboard!$I$55+Dashboard!$I$57,0)</f>
        <v>0</v>
      </c>
      <c r="BK27" s="105">
        <f>IF(BK20=$C18,Dashboard!$I$55+Dashboard!$I$57,0)</f>
        <v>0</v>
      </c>
      <c r="BL27" s="105">
        <f>IF(BL20=$C18,Dashboard!$I$55+Dashboard!$I$57,0)</f>
        <v>0</v>
      </c>
      <c r="BM27" s="105">
        <f>IF(BM20=$C18,Dashboard!$I$55+Dashboard!$I$57,0)</f>
        <v>0</v>
      </c>
      <c r="BN27" s="105">
        <f>IF(BN20=$C18,Dashboard!$I$55+Dashboard!$I$57,0)</f>
        <v>0</v>
      </c>
      <c r="BO27" s="169">
        <f>IF(BO20=$C18,Dashboard!$I$55+Dashboard!$I$57,0)</f>
        <v>0</v>
      </c>
    </row>
    <row r="28" spans="1:67" ht="6.75" customHeight="1">
      <c r="B28" s="168"/>
      <c r="C28" s="5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05"/>
      <c r="S28" s="105"/>
      <c r="T28" s="105"/>
      <c r="U28" s="105"/>
      <c r="V28" s="105"/>
      <c r="W28" s="105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  <c r="AH28" s="105"/>
      <c r="AI28" s="105"/>
      <c r="AJ28" s="105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05"/>
      <c r="AW28" s="105"/>
      <c r="AX28" s="105"/>
      <c r="AY28" s="105"/>
      <c r="AZ28" s="105"/>
      <c r="BA28" s="543"/>
      <c r="BB28" s="543"/>
      <c r="BC28" s="543"/>
      <c r="BD28" s="543"/>
      <c r="BE28" s="543"/>
      <c r="BF28" s="543"/>
      <c r="BG28" s="543"/>
      <c r="BH28" s="543"/>
      <c r="BI28" s="543"/>
      <c r="BJ28" s="543"/>
      <c r="BK28" s="543"/>
      <c r="BL28" s="543"/>
      <c r="BM28" s="543"/>
      <c r="BN28" s="543"/>
      <c r="BO28" s="544"/>
    </row>
    <row r="29" spans="1:67">
      <c r="B29" s="492" t="s">
        <v>157</v>
      </c>
      <c r="C29" s="539"/>
      <c r="D29" s="493">
        <f>SUM(D25:D27)+D22</f>
        <v>-90052621.878451094</v>
      </c>
      <c r="E29" s="493">
        <f>SUM(E25:E27)+E22</f>
        <v>0</v>
      </c>
      <c r="F29" s="493">
        <f t="shared" ref="F29:AZ29" si="6">SUM(F25:F27)+F22</f>
        <v>0</v>
      </c>
      <c r="G29" s="493">
        <f t="shared" si="6"/>
        <v>0</v>
      </c>
      <c r="H29" s="493">
        <f t="shared" si="6"/>
        <v>0</v>
      </c>
      <c r="I29" s="493">
        <f t="shared" si="6"/>
        <v>0</v>
      </c>
      <c r="J29" s="493">
        <f t="shared" si="6"/>
        <v>0</v>
      </c>
      <c r="K29" s="493">
        <f t="shared" si="6"/>
        <v>0</v>
      </c>
      <c r="L29" s="493">
        <f t="shared" si="6"/>
        <v>0</v>
      </c>
      <c r="M29" s="493">
        <f t="shared" si="6"/>
        <v>0</v>
      </c>
      <c r="N29" s="493">
        <f t="shared" si="6"/>
        <v>0</v>
      </c>
      <c r="O29" s="493">
        <f t="shared" si="6"/>
        <v>0</v>
      </c>
      <c r="P29" s="493">
        <f t="shared" si="6"/>
        <v>0</v>
      </c>
      <c r="Q29" s="493">
        <f t="shared" si="6"/>
        <v>0</v>
      </c>
      <c r="R29" s="493">
        <f t="shared" si="6"/>
        <v>0</v>
      </c>
      <c r="S29" s="493">
        <f t="shared" si="6"/>
        <v>0</v>
      </c>
      <c r="T29" s="493">
        <f t="shared" si="6"/>
        <v>0</v>
      </c>
      <c r="U29" s="493">
        <f t="shared" si="6"/>
        <v>0</v>
      </c>
      <c r="V29" s="493">
        <f t="shared" si="6"/>
        <v>0</v>
      </c>
      <c r="W29" s="493">
        <f t="shared" si="6"/>
        <v>0</v>
      </c>
      <c r="X29" s="493">
        <f t="shared" si="6"/>
        <v>388297.5575419807</v>
      </c>
      <c r="Y29" s="493">
        <f t="shared" si="6"/>
        <v>388297.5575419807</v>
      </c>
      <c r="Z29" s="493">
        <f t="shared" si="6"/>
        <v>388297.5575419807</v>
      </c>
      <c r="AA29" s="493">
        <f t="shared" si="6"/>
        <v>388297.5575419807</v>
      </c>
      <c r="AB29" s="493">
        <f t="shared" si="6"/>
        <v>388297.5575419807</v>
      </c>
      <c r="AC29" s="493">
        <f t="shared" si="6"/>
        <v>388297.5575419807</v>
      </c>
      <c r="AD29" s="493">
        <f t="shared" si="6"/>
        <v>444163.49461249996</v>
      </c>
      <c r="AE29" s="493">
        <f t="shared" si="6"/>
        <v>444163.49461249996</v>
      </c>
      <c r="AF29" s="493">
        <f t="shared" si="6"/>
        <v>444163.49461249996</v>
      </c>
      <c r="AG29" s="493">
        <f t="shared" si="6"/>
        <v>444163.49461249996</v>
      </c>
      <c r="AH29" s="493">
        <f t="shared" si="6"/>
        <v>444163.49461249996</v>
      </c>
      <c r="AI29" s="493">
        <f t="shared" si="6"/>
        <v>444163.49461249996</v>
      </c>
      <c r="AJ29" s="493">
        <f t="shared" si="6"/>
        <v>458517.39336441673</v>
      </c>
      <c r="AK29" s="493">
        <f t="shared" si="6"/>
        <v>458517.39336441673</v>
      </c>
      <c r="AL29" s="493">
        <f t="shared" si="6"/>
        <v>458517.39336441673</v>
      </c>
      <c r="AM29" s="493">
        <f t="shared" si="6"/>
        <v>458517.39336441673</v>
      </c>
      <c r="AN29" s="493">
        <f t="shared" si="6"/>
        <v>458517.39336441673</v>
      </c>
      <c r="AO29" s="493">
        <f t="shared" si="6"/>
        <v>458517.39336441673</v>
      </c>
      <c r="AP29" s="493">
        <f t="shared" si="6"/>
        <v>102582464.06436822</v>
      </c>
      <c r="AQ29" s="493">
        <f t="shared" si="6"/>
        <v>0</v>
      </c>
      <c r="AR29" s="493">
        <f t="shared" si="6"/>
        <v>0</v>
      </c>
      <c r="AS29" s="493">
        <f t="shared" si="6"/>
        <v>0</v>
      </c>
      <c r="AT29" s="493">
        <f t="shared" si="6"/>
        <v>0</v>
      </c>
      <c r="AU29" s="493">
        <f t="shared" si="6"/>
        <v>0</v>
      </c>
      <c r="AV29" s="493">
        <f t="shared" si="6"/>
        <v>0</v>
      </c>
      <c r="AW29" s="493">
        <f t="shared" si="6"/>
        <v>0</v>
      </c>
      <c r="AX29" s="493">
        <f t="shared" si="6"/>
        <v>0</v>
      </c>
      <c r="AY29" s="493">
        <f t="shared" si="6"/>
        <v>0</v>
      </c>
      <c r="AZ29" s="493">
        <f t="shared" si="6"/>
        <v>0</v>
      </c>
      <c r="BA29" s="493">
        <f t="shared" ref="BA29:BF29" si="7">SUM(BA25:BA27)+BA22</f>
        <v>0</v>
      </c>
      <c r="BB29" s="493">
        <f t="shared" si="7"/>
        <v>0</v>
      </c>
      <c r="BC29" s="493">
        <f t="shared" si="7"/>
        <v>0</v>
      </c>
      <c r="BD29" s="493">
        <f t="shared" si="7"/>
        <v>0</v>
      </c>
      <c r="BE29" s="493">
        <f t="shared" si="7"/>
        <v>0</v>
      </c>
      <c r="BF29" s="493">
        <f t="shared" si="7"/>
        <v>0</v>
      </c>
      <c r="BG29" s="493">
        <f t="shared" ref="BG29:BO29" si="8">SUM(BG25:BG27)+BG22</f>
        <v>0</v>
      </c>
      <c r="BH29" s="493">
        <f t="shared" si="8"/>
        <v>0</v>
      </c>
      <c r="BI29" s="493">
        <f t="shared" si="8"/>
        <v>0</v>
      </c>
      <c r="BJ29" s="493">
        <f t="shared" si="8"/>
        <v>0</v>
      </c>
      <c r="BK29" s="493">
        <f t="shared" si="8"/>
        <v>0</v>
      </c>
      <c r="BL29" s="493">
        <f t="shared" si="8"/>
        <v>0</v>
      </c>
      <c r="BM29" s="493">
        <f t="shared" si="8"/>
        <v>0</v>
      </c>
      <c r="BN29" s="493">
        <f t="shared" si="8"/>
        <v>0</v>
      </c>
      <c r="BO29" s="494">
        <f t="shared" si="8"/>
        <v>0</v>
      </c>
    </row>
    <row r="30" spans="1:67">
      <c r="B30" s="206" t="s">
        <v>91</v>
      </c>
      <c r="C30" s="208">
        <f>XIRR(D29:AZ29,D20:AZ20)</f>
        <v>6.73625022172928E-2</v>
      </c>
      <c r="D30" s="151"/>
      <c r="E30" s="151"/>
      <c r="F30" s="151"/>
      <c r="G30" s="151"/>
      <c r="H30" s="151"/>
      <c r="I30" s="151"/>
      <c r="J30" s="151"/>
      <c r="K30" s="151"/>
      <c r="L30" s="151"/>
      <c r="M30" s="151"/>
      <c r="N30" s="151"/>
      <c r="O30" s="151"/>
      <c r="P30" s="151"/>
      <c r="Q30" s="151"/>
      <c r="R30" s="151"/>
      <c r="S30" s="151"/>
      <c r="T30" s="151"/>
      <c r="U30" s="151"/>
      <c r="V30" s="151"/>
      <c r="W30" s="151"/>
      <c r="X30" s="151"/>
      <c r="Y30" s="151"/>
      <c r="Z30" s="151"/>
      <c r="AA30" s="151"/>
      <c r="AB30" s="151"/>
      <c r="AC30" s="151"/>
      <c r="AD30" s="151"/>
      <c r="AE30" s="151"/>
      <c r="AF30" s="151"/>
      <c r="AG30" s="151"/>
      <c r="AH30" s="151"/>
      <c r="AI30" s="151"/>
      <c r="AJ30" s="151"/>
      <c r="AK30" s="151"/>
      <c r="AL30" s="151"/>
      <c r="AM30" s="151"/>
      <c r="AN30" s="151"/>
      <c r="AO30" s="151"/>
      <c r="AP30" s="151"/>
      <c r="AQ30" s="151"/>
      <c r="AR30" s="151"/>
      <c r="AS30" s="151"/>
      <c r="AT30" s="151"/>
      <c r="AU30" s="151"/>
      <c r="AV30" s="151"/>
      <c r="AW30" s="151"/>
      <c r="AX30" s="151"/>
      <c r="AY30" s="151"/>
      <c r="AZ30" s="151"/>
      <c r="BA30" s="151"/>
      <c r="BB30" s="151"/>
      <c r="BC30" s="151"/>
      <c r="BD30" s="151"/>
      <c r="BE30" s="151"/>
      <c r="BF30" s="151"/>
      <c r="BG30" s="151"/>
      <c r="BH30" s="151"/>
      <c r="BI30" s="151"/>
      <c r="BJ30" s="151"/>
      <c r="BK30" s="151"/>
      <c r="BL30" s="151"/>
      <c r="BM30" s="151"/>
      <c r="BN30" s="151"/>
      <c r="BO30" s="151"/>
    </row>
    <row r="31" spans="1:67">
      <c r="B31" s="207" t="s">
        <v>92</v>
      </c>
      <c r="C31" s="852">
        <f>SUM(E29:AZ29)/-D22</f>
        <v>1.2251540536642866</v>
      </c>
      <c r="D31" s="151"/>
      <c r="E31" s="151"/>
      <c r="F31" s="151"/>
      <c r="G31" s="151"/>
      <c r="H31" s="151"/>
      <c r="I31" s="151"/>
      <c r="J31" s="151"/>
      <c r="K31" s="151"/>
      <c r="L31" s="151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1"/>
      <c r="X31" s="151"/>
      <c r="Y31" s="151"/>
      <c r="Z31" s="151"/>
      <c r="AA31" s="151"/>
      <c r="AB31" s="151"/>
      <c r="AC31" s="151"/>
      <c r="AD31" s="151"/>
      <c r="AE31" s="151"/>
      <c r="AF31" s="151"/>
      <c r="AG31" s="151"/>
      <c r="AH31" s="151"/>
      <c r="AI31" s="151"/>
      <c r="AJ31" s="151"/>
      <c r="AK31" s="151"/>
      <c r="AL31" s="151"/>
      <c r="AM31" s="151"/>
      <c r="AN31" s="151"/>
      <c r="AO31" s="151"/>
      <c r="AP31" s="151"/>
      <c r="AQ31" s="151"/>
      <c r="AR31" s="151"/>
      <c r="AS31" s="151"/>
      <c r="AT31" s="151"/>
      <c r="AU31" s="151"/>
      <c r="AV31" s="151"/>
      <c r="AW31" s="151"/>
      <c r="AX31" s="151"/>
      <c r="AY31" s="151"/>
      <c r="AZ31" s="151"/>
      <c r="BA31" s="151"/>
      <c r="BB31" s="151"/>
      <c r="BC31" s="151"/>
      <c r="BD31" s="151"/>
      <c r="BE31" s="151"/>
      <c r="BF31" s="151"/>
      <c r="BG31" s="151"/>
      <c r="BH31" s="151"/>
      <c r="BI31" s="151"/>
      <c r="BJ31" s="151"/>
      <c r="BK31" s="151"/>
      <c r="BL31" s="151"/>
      <c r="BM31" s="151"/>
      <c r="BN31" s="151"/>
      <c r="BO31" s="151"/>
    </row>
    <row r="32" spans="1:67">
      <c r="BA32" s="42"/>
      <c r="BB32" s="42"/>
      <c r="BC32" s="42"/>
      <c r="BD32" s="42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</row>
    <row r="33" spans="1:67">
      <c r="BA33" s="42"/>
      <c r="BB33" s="42"/>
      <c r="BC33" s="42"/>
      <c r="BD33" s="42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</row>
    <row r="34" spans="1:67" ht="15.75">
      <c r="B34" s="845" t="s">
        <v>89</v>
      </c>
      <c r="C34" s="846">
        <f>Dashboard!B65</f>
        <v>47178</v>
      </c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</row>
    <row r="35" spans="1:67" ht="15.75">
      <c r="B35" s="847" t="s">
        <v>81</v>
      </c>
      <c r="C35" s="848">
        <f>Dashboard!C65</f>
        <v>4.166666666666667</v>
      </c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</row>
    <row r="36" spans="1:67" ht="21" customHeight="1">
      <c r="A36">
        <v>1</v>
      </c>
      <c r="B36" s="850" t="s">
        <v>115</v>
      </c>
      <c r="C36" s="850"/>
      <c r="D36" s="851">
        <f>+Dashboard!$F$54</f>
        <v>45658</v>
      </c>
      <c r="E36" s="770">
        <f>IF((D36+1)=$C34,$C34,EOMONTH(D36,1))</f>
        <v>45716</v>
      </c>
      <c r="F36" s="770">
        <f>IF((E36+1)=$C34,$C34,EOMONTH(E36,1))</f>
        <v>45747</v>
      </c>
      <c r="G36" s="770">
        <f t="shared" ref="G36:BO36" si="9">IF((F36+1)=$C34,$C34,EOMONTH(F36,1))</f>
        <v>45777</v>
      </c>
      <c r="H36" s="770">
        <f t="shared" si="9"/>
        <v>45808</v>
      </c>
      <c r="I36" s="770">
        <f t="shared" si="9"/>
        <v>45838</v>
      </c>
      <c r="J36" s="770">
        <f t="shared" si="9"/>
        <v>45869</v>
      </c>
      <c r="K36" s="770">
        <f t="shared" si="9"/>
        <v>45900</v>
      </c>
      <c r="L36" s="770">
        <f t="shared" si="9"/>
        <v>45930</v>
      </c>
      <c r="M36" s="770">
        <f t="shared" si="9"/>
        <v>45961</v>
      </c>
      <c r="N36" s="770">
        <f t="shared" si="9"/>
        <v>45991</v>
      </c>
      <c r="O36" s="770">
        <f t="shared" si="9"/>
        <v>46022</v>
      </c>
      <c r="P36" s="770">
        <f t="shared" si="9"/>
        <v>46053</v>
      </c>
      <c r="Q36" s="770">
        <f t="shared" si="9"/>
        <v>46081</v>
      </c>
      <c r="R36" s="770">
        <f t="shared" si="9"/>
        <v>46112</v>
      </c>
      <c r="S36" s="770">
        <f t="shared" si="9"/>
        <v>46142</v>
      </c>
      <c r="T36" s="770">
        <f t="shared" si="9"/>
        <v>46173</v>
      </c>
      <c r="U36" s="770">
        <f t="shared" si="9"/>
        <v>46203</v>
      </c>
      <c r="V36" s="770">
        <f t="shared" si="9"/>
        <v>46234</v>
      </c>
      <c r="W36" s="770">
        <f t="shared" si="9"/>
        <v>46265</v>
      </c>
      <c r="X36" s="770">
        <f t="shared" si="9"/>
        <v>46295</v>
      </c>
      <c r="Y36" s="770">
        <f t="shared" si="9"/>
        <v>46326</v>
      </c>
      <c r="Z36" s="770">
        <f t="shared" si="9"/>
        <v>46356</v>
      </c>
      <c r="AA36" s="770">
        <f t="shared" si="9"/>
        <v>46387</v>
      </c>
      <c r="AB36" s="770">
        <f t="shared" si="9"/>
        <v>46418</v>
      </c>
      <c r="AC36" s="770">
        <f t="shared" si="9"/>
        <v>46446</v>
      </c>
      <c r="AD36" s="770">
        <f t="shared" si="9"/>
        <v>46477</v>
      </c>
      <c r="AE36" s="770">
        <f t="shared" si="9"/>
        <v>46507</v>
      </c>
      <c r="AF36" s="770">
        <f t="shared" si="9"/>
        <v>46538</v>
      </c>
      <c r="AG36" s="770">
        <f t="shared" si="9"/>
        <v>46568</v>
      </c>
      <c r="AH36" s="770">
        <f t="shared" si="9"/>
        <v>46599</v>
      </c>
      <c r="AI36" s="770">
        <f t="shared" si="9"/>
        <v>46630</v>
      </c>
      <c r="AJ36" s="770">
        <f t="shared" si="9"/>
        <v>46660</v>
      </c>
      <c r="AK36" s="770">
        <f t="shared" si="9"/>
        <v>46691</v>
      </c>
      <c r="AL36" s="770">
        <f t="shared" si="9"/>
        <v>46721</v>
      </c>
      <c r="AM36" s="770">
        <f t="shared" si="9"/>
        <v>46752</v>
      </c>
      <c r="AN36" s="770">
        <f t="shared" si="9"/>
        <v>46783</v>
      </c>
      <c r="AO36" s="770">
        <f t="shared" si="9"/>
        <v>46812</v>
      </c>
      <c r="AP36" s="770">
        <f t="shared" si="9"/>
        <v>46843</v>
      </c>
      <c r="AQ36" s="770">
        <f t="shared" si="9"/>
        <v>46873</v>
      </c>
      <c r="AR36" s="770">
        <f t="shared" si="9"/>
        <v>46904</v>
      </c>
      <c r="AS36" s="770">
        <f t="shared" si="9"/>
        <v>46934</v>
      </c>
      <c r="AT36" s="770">
        <f t="shared" si="9"/>
        <v>46965</v>
      </c>
      <c r="AU36" s="770">
        <f t="shared" si="9"/>
        <v>46996</v>
      </c>
      <c r="AV36" s="770">
        <f t="shared" si="9"/>
        <v>47026</v>
      </c>
      <c r="AW36" s="770">
        <f t="shared" si="9"/>
        <v>47057</v>
      </c>
      <c r="AX36" s="770">
        <f t="shared" si="9"/>
        <v>47087</v>
      </c>
      <c r="AY36" s="770">
        <f t="shared" si="9"/>
        <v>47118</v>
      </c>
      <c r="AZ36" s="770">
        <f t="shared" si="9"/>
        <v>47149</v>
      </c>
      <c r="BA36" s="770">
        <f t="shared" si="9"/>
        <v>47177</v>
      </c>
      <c r="BB36" s="770">
        <f t="shared" si="9"/>
        <v>47178</v>
      </c>
      <c r="BC36" s="770">
        <f t="shared" si="9"/>
        <v>47238</v>
      </c>
      <c r="BD36" s="770">
        <f t="shared" si="9"/>
        <v>47269</v>
      </c>
      <c r="BE36" s="770">
        <f t="shared" si="9"/>
        <v>47299</v>
      </c>
      <c r="BF36" s="770">
        <f t="shared" si="9"/>
        <v>47330</v>
      </c>
      <c r="BG36" s="770">
        <f t="shared" si="9"/>
        <v>47361</v>
      </c>
      <c r="BH36" s="770">
        <f t="shared" si="9"/>
        <v>47391</v>
      </c>
      <c r="BI36" s="770">
        <f t="shared" si="9"/>
        <v>47422</v>
      </c>
      <c r="BJ36" s="770">
        <f t="shared" si="9"/>
        <v>47452</v>
      </c>
      <c r="BK36" s="770">
        <f t="shared" si="9"/>
        <v>47483</v>
      </c>
      <c r="BL36" s="770">
        <f t="shared" si="9"/>
        <v>47514</v>
      </c>
      <c r="BM36" s="770">
        <f t="shared" si="9"/>
        <v>47542</v>
      </c>
      <c r="BN36" s="770">
        <f t="shared" si="9"/>
        <v>47573</v>
      </c>
      <c r="BO36" s="770">
        <f t="shared" si="9"/>
        <v>47603</v>
      </c>
    </row>
    <row r="37" spans="1:67">
      <c r="A37">
        <v>2</v>
      </c>
      <c r="B37" s="184" t="s">
        <v>162</v>
      </c>
      <c r="C37" s="29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  <c r="AL37" s="105"/>
      <c r="AM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  <c r="AZ37" s="105"/>
      <c r="BA37" s="541"/>
      <c r="BB37" s="541"/>
      <c r="BC37" s="541"/>
      <c r="BD37" s="541"/>
      <c r="BE37" s="541"/>
      <c r="BF37" s="541"/>
      <c r="BG37" s="541"/>
      <c r="BH37" s="541"/>
      <c r="BI37" s="541"/>
      <c r="BJ37" s="541"/>
      <c r="BK37" s="541"/>
      <c r="BL37" s="541"/>
      <c r="BM37" s="541"/>
      <c r="BN37" s="541"/>
      <c r="BO37" s="542"/>
    </row>
    <row r="38" spans="1:67">
      <c r="A38">
        <v>3</v>
      </c>
      <c r="B38" s="168" t="s">
        <v>8</v>
      </c>
      <c r="C38" s="5"/>
      <c r="D38" s="105">
        <f>+-Dashboard!$C$43+1500000</f>
        <v>-90052621.878451094</v>
      </c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  <c r="AZ38" s="105"/>
      <c r="BA38" s="105"/>
      <c r="BB38" s="105"/>
      <c r="BC38" s="105"/>
      <c r="BD38" s="105"/>
      <c r="BE38" s="105"/>
      <c r="BF38" s="105"/>
      <c r="BG38" s="105"/>
      <c r="BH38" s="105"/>
      <c r="BI38" s="105"/>
      <c r="BJ38" s="105"/>
      <c r="BK38" s="105"/>
      <c r="BL38" s="105"/>
      <c r="BM38" s="105"/>
      <c r="BN38" s="105"/>
      <c r="BO38" s="169"/>
    </row>
    <row r="39" spans="1:67" ht="6.75" customHeight="1">
      <c r="A39">
        <v>4</v>
      </c>
      <c r="B39" s="168"/>
      <c r="C39" s="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V39" s="105"/>
      <c r="W39" s="105"/>
      <c r="X39" s="105"/>
      <c r="Y39" s="105"/>
      <c r="Z39" s="105"/>
      <c r="AA39" s="105"/>
      <c r="AB39" s="105"/>
      <c r="AC39" s="105"/>
      <c r="AD39" s="105"/>
      <c r="AE39" s="105"/>
      <c r="AF39" s="105"/>
      <c r="AG39" s="105"/>
      <c r="AH39" s="105"/>
      <c r="AI39" s="105"/>
      <c r="AJ39" s="105"/>
      <c r="AK39" s="105"/>
      <c r="AL39" s="105"/>
      <c r="AM39" s="105"/>
      <c r="AN39" s="105"/>
      <c r="AO39" s="105"/>
      <c r="AP39" s="105"/>
      <c r="AQ39" s="105"/>
      <c r="AR39" s="105"/>
      <c r="AS39" s="105"/>
      <c r="AT39" s="105"/>
      <c r="AU39" s="105"/>
      <c r="AV39" s="105"/>
      <c r="AW39" s="105"/>
      <c r="AX39" s="105"/>
      <c r="AY39" s="105"/>
      <c r="AZ39" s="105"/>
      <c r="BA39" s="105"/>
      <c r="BB39" s="105"/>
      <c r="BC39" s="105"/>
      <c r="BD39" s="105"/>
      <c r="BE39" s="105"/>
      <c r="BF39" s="105"/>
      <c r="BG39" s="105"/>
      <c r="BH39" s="105"/>
      <c r="BI39" s="105"/>
      <c r="BJ39" s="105"/>
      <c r="BK39" s="105"/>
      <c r="BL39" s="105"/>
      <c r="BM39" s="105"/>
      <c r="BN39" s="105"/>
      <c r="BO39" s="169"/>
    </row>
    <row r="40" spans="1:67">
      <c r="A40">
        <v>5</v>
      </c>
      <c r="B40" s="185" t="s">
        <v>163</v>
      </c>
      <c r="C40" s="29"/>
      <c r="D40" s="151"/>
      <c r="E40" s="151"/>
      <c r="F40" s="151"/>
      <c r="G40" s="151"/>
      <c r="H40" s="151"/>
      <c r="I40" s="151"/>
      <c r="J40" s="151"/>
      <c r="K40" s="151"/>
      <c r="L40" s="151"/>
      <c r="M40" s="151"/>
      <c r="N40" s="151"/>
      <c r="O40" s="151"/>
      <c r="P40" s="151"/>
      <c r="Q40" s="151"/>
      <c r="R40" s="151"/>
      <c r="S40" s="151"/>
      <c r="T40" s="151"/>
      <c r="U40" s="151"/>
      <c r="V40" s="151"/>
      <c r="W40" s="151"/>
      <c r="X40" s="151"/>
      <c r="Y40" s="151"/>
      <c r="Z40" s="151"/>
      <c r="AA40" s="151"/>
      <c r="AB40" s="151"/>
      <c r="AC40" s="151"/>
      <c r="AD40" s="151"/>
      <c r="AE40" s="151"/>
      <c r="AF40" s="151"/>
      <c r="AG40" s="151"/>
      <c r="AH40" s="151"/>
      <c r="AI40" s="151"/>
      <c r="AJ40" s="151"/>
      <c r="AK40" s="151"/>
      <c r="AL40" s="151"/>
      <c r="AM40" s="151"/>
      <c r="AN40" s="151"/>
      <c r="AO40" s="151"/>
      <c r="AP40" s="151"/>
      <c r="AQ40" s="151"/>
      <c r="AR40" s="151"/>
      <c r="AS40" s="151"/>
      <c r="AT40" s="151"/>
      <c r="AU40" s="151"/>
      <c r="AV40" s="151"/>
      <c r="AW40" s="151"/>
      <c r="AX40" s="151"/>
      <c r="AY40" s="151"/>
      <c r="AZ40" s="151"/>
      <c r="BA40" s="151"/>
      <c r="BB40" s="151"/>
      <c r="BC40" s="151"/>
      <c r="BD40" s="151"/>
      <c r="BE40" s="151"/>
      <c r="BF40" s="151"/>
      <c r="BG40" s="151"/>
      <c r="BH40" s="151"/>
      <c r="BI40" s="151"/>
      <c r="BJ40" s="151"/>
      <c r="BK40" s="151"/>
      <c r="BL40" s="151"/>
      <c r="BM40" s="151"/>
      <c r="BN40" s="151"/>
      <c r="BO40" s="180"/>
    </row>
    <row r="41" spans="1:67">
      <c r="A41">
        <v>6</v>
      </c>
      <c r="B41" s="168" t="s">
        <v>76</v>
      </c>
      <c r="C41" s="5"/>
      <c r="D41" s="105"/>
      <c r="E41" s="105">
        <f>IF(E36&lt;$C34,SUMIFS('Monthly CF''s'!$P$40:$BK$40,'Monthly CF''s'!$P$2:$BK$2,"="&amp;E36),0)</f>
        <v>0</v>
      </c>
      <c r="F41" s="105">
        <f>IF(F36&lt;$C34,SUMIFS('Monthly CF''s'!$P$40:$BK$40,'Monthly CF''s'!$P$2:$BK$2,"="&amp;F36),0)</f>
        <v>0</v>
      </c>
      <c r="G41" s="105">
        <f>IF(G36&lt;$C34,SUMIFS('Monthly CF''s'!$P$40:$BK$40,'Monthly CF''s'!$P$2:$BK$2,"="&amp;G36),0)</f>
        <v>0</v>
      </c>
      <c r="H41" s="105">
        <f>IF(H36&lt;$C34,SUMIFS('Monthly CF''s'!$P$40:$BK$40,'Monthly CF''s'!$P$2:$BK$2,"="&amp;H36),0)</f>
        <v>0</v>
      </c>
      <c r="I41" s="105">
        <f>IF(I36&lt;$C34,SUMIFS('Monthly CF''s'!$P$40:$BK$40,'Monthly CF''s'!$P$2:$BK$2,"="&amp;I36),0)</f>
        <v>0</v>
      </c>
      <c r="J41" s="105">
        <f>IF(J36&lt;$C34,SUMIFS('Monthly CF''s'!$P$40:$BK$40,'Monthly CF''s'!$P$2:$BK$2,"="&amp;J36),0)</f>
        <v>0</v>
      </c>
      <c r="K41" s="105">
        <f>IF(K36&lt;$C34,SUMIFS('Monthly CF''s'!$P$40:$BK$40,'Monthly CF''s'!$P$2:$BK$2,"="&amp;K36),0)</f>
        <v>0</v>
      </c>
      <c r="L41" s="105">
        <f>IF(L36&lt;$C34,SUMIFS('Monthly CF''s'!$P$40:$BK$40,'Monthly CF''s'!$P$2:$BK$2,"="&amp;L36),0)</f>
        <v>0</v>
      </c>
      <c r="M41" s="105">
        <f>IF(M36&lt;$C34,SUMIFS('Monthly CF''s'!$P$40:$BK$40,'Monthly CF''s'!$P$2:$BK$2,"="&amp;M36),0)</f>
        <v>0</v>
      </c>
      <c r="N41" s="105">
        <f>IF(N36&lt;$C34,SUMIFS('Monthly CF''s'!$P$40:$BK$40,'Monthly CF''s'!$P$2:$BK$2,"="&amp;N36),0)</f>
        <v>0</v>
      </c>
      <c r="O41" s="105">
        <f>IF(O36&lt;$C34,SUMIFS('Monthly CF''s'!$P$40:$BK$40,'Monthly CF''s'!$P$2:$BK$2,"="&amp;O36),0)</f>
        <v>0</v>
      </c>
      <c r="P41" s="105">
        <f>IF(P36&lt;$C34,SUMIFS('Monthly CF''s'!$P$40:$BK$40,'Monthly CF''s'!$P$2:$BK$2,"="&amp;P36),0)</f>
        <v>0</v>
      </c>
      <c r="Q41" s="105">
        <f>IF(Q36&lt;$C34,SUMIFS('Monthly CF''s'!$P$40:$BK$40,'Monthly CF''s'!$P$2:$BK$2,"="&amp;Q36),0)</f>
        <v>0</v>
      </c>
      <c r="R41" s="105">
        <f>IF(R36&lt;$C34,SUMIFS('Monthly CF''s'!$P$40:$BK$40,'Monthly CF''s'!$P$2:$BK$2,"="&amp;R36),0)</f>
        <v>0</v>
      </c>
      <c r="S41" s="105">
        <f>IF(S36&lt;$C34,SUMIFS('Monthly CF''s'!$P$40:$BK$40,'Monthly CF''s'!$P$2:$BK$2,"="&amp;S36),0)</f>
        <v>0</v>
      </c>
      <c r="T41" s="105">
        <f>IF(T36&lt;$C34,SUMIFS('Monthly CF''s'!$P$40:$BK$40,'Monthly CF''s'!$P$2:$BK$2,"="&amp;T36),0)</f>
        <v>0</v>
      </c>
      <c r="U41" s="105">
        <f>IF(U36&lt;$C34,SUMIFS('Monthly CF''s'!$P$40:$BK$40,'Monthly CF''s'!$P$2:$BK$2,"="&amp;U36),0)</f>
        <v>0</v>
      </c>
      <c r="V41" s="105">
        <f>IF(V36&lt;$C34,SUMIFS('Monthly CF''s'!$P$40:$BK$40,'Monthly CF''s'!$P$2:$BK$2,"="&amp;V36),0)</f>
        <v>0</v>
      </c>
      <c r="W41" s="105">
        <f>IF(W36&lt;$C34,SUMIFS('Monthly CF''s'!$P$40:$BK$40,'Monthly CF''s'!$P$2:$BK$2,"="&amp;W36),0)</f>
        <v>0</v>
      </c>
      <c r="X41" s="105">
        <f>IF(X36&lt;$C34,SUMIFS('Monthly CF''s'!$P$40:$BK$40,'Monthly CF''s'!$P$2:$BK$2,"="&amp;X36),0)</f>
        <v>388297.5575419807</v>
      </c>
      <c r="Y41" s="105">
        <f>IF(Y36&lt;$C34,SUMIFS('Monthly CF''s'!$P$40:$BK$40,'Monthly CF''s'!$P$2:$BK$2,"="&amp;Y36),0)</f>
        <v>388297.5575419807</v>
      </c>
      <c r="Z41" s="105">
        <f>IF(Z36&lt;$C34,SUMIFS('Monthly CF''s'!$P$40:$BK$40,'Monthly CF''s'!$P$2:$BK$2,"="&amp;Z36),0)</f>
        <v>388297.5575419807</v>
      </c>
      <c r="AA41" s="105">
        <f>IF(AA36&lt;$C34,SUMIFS('Monthly CF''s'!$P$40:$BK$40,'Monthly CF''s'!$P$2:$BK$2,"="&amp;AA36),0)</f>
        <v>388297.5575419807</v>
      </c>
      <c r="AB41" s="105">
        <f>IF(AB36&lt;$C34,SUMIFS('Monthly CF''s'!$P$40:$BK$40,'Monthly CF''s'!$P$2:$BK$2,"="&amp;AB36),0)</f>
        <v>388297.5575419807</v>
      </c>
      <c r="AC41" s="105">
        <f>IF(AC36&lt;$C34,SUMIFS('Monthly CF''s'!$P$40:$BK$40,'Monthly CF''s'!$P$2:$BK$2,"="&amp;AC36),0)</f>
        <v>388297.5575419807</v>
      </c>
      <c r="AD41" s="105">
        <f>IF(AD36&lt;$C34,SUMIFS('Monthly CF''s'!$P$38:$BK$38,'Monthly CF''s'!$P$2:$BK$2,"="&amp;AD36),0)</f>
        <v>444163.49461249996</v>
      </c>
      <c r="AE41" s="105">
        <f>IF(AE36&lt;$C34,SUMIFS('Monthly CF''s'!$P$38:$BK$38,'Monthly CF''s'!$P$2:$BK$2,"="&amp;AE36),0)</f>
        <v>444163.49461249996</v>
      </c>
      <c r="AF41" s="105">
        <f>IF(AF36&lt;$C34,SUMIFS('Monthly CF''s'!$P$38:$BK$38,'Monthly CF''s'!$P$2:$BK$2,"="&amp;AF36),0)</f>
        <v>444163.49461249996</v>
      </c>
      <c r="AG41" s="105">
        <f>IF(AG36&lt;$C34,SUMIFS('Monthly CF''s'!$P$38:$BK$38,'Monthly CF''s'!$P$2:$BK$2,"="&amp;AG36),0)</f>
        <v>444163.49461249996</v>
      </c>
      <c r="AH41" s="105">
        <f>IF(AH36&lt;$C34,SUMIFS('Monthly CF''s'!$P$38:$BK$38,'Monthly CF''s'!$P$2:$BK$2,"="&amp;AH36),0)</f>
        <v>444163.49461249996</v>
      </c>
      <c r="AI41" s="105">
        <f>IF(AI36&lt;$C34,SUMIFS('Monthly CF''s'!$P$38:$BK$38,'Monthly CF''s'!$P$2:$BK$2,"="&amp;AI36),0)</f>
        <v>444163.49461249996</v>
      </c>
      <c r="AJ41" s="105">
        <f>IF(AJ36&lt;$C34,SUMIFS('Monthly CF''s'!$P$38:$BK$38,'Monthly CF''s'!$P$2:$BK$2,"="&amp;AJ36),0)</f>
        <v>458517.39336441673</v>
      </c>
      <c r="AK41" s="105">
        <f>IF(AK36&lt;$C34,SUMIFS('Monthly CF''s'!$P$38:$BK$38,'Monthly CF''s'!$P$2:$BK$2,"="&amp;AK36),0)</f>
        <v>458517.39336441673</v>
      </c>
      <c r="AL41" s="105">
        <f>IF(AL36&lt;$C34,SUMIFS('Monthly CF''s'!$P$38:$BK$38,'Monthly CF''s'!$P$2:$BK$2,"="&amp;AL36),0)</f>
        <v>458517.39336441673</v>
      </c>
      <c r="AM41" s="105">
        <f>IF(AM36&lt;$C34,SUMIFS('Monthly CF''s'!$P$38:$BK$38,'Monthly CF''s'!$P$2:$BK$2,"="&amp;AM36),0)</f>
        <v>458517.39336441673</v>
      </c>
      <c r="AN41" s="105">
        <f>IF(AN36&lt;$C34,SUMIFS('Monthly CF''s'!$P$38:$BK$38,'Monthly CF''s'!$P$2:$BK$2,"="&amp;AN36),0)</f>
        <v>458517.39336441673</v>
      </c>
      <c r="AO41" s="105">
        <f>IF(AO36&lt;$C34,SUMIFS('Monthly CF''s'!$P$38:$BK$38,'Monthly CF''s'!$P$2:$BK$2,"="&amp;AO36),0)</f>
        <v>458517.39336441673</v>
      </c>
      <c r="AP41" s="105">
        <f>IF(AP36&lt;$C34,SUMIFS('Monthly CF''s'!$P$38:$BK$38,'Monthly CF''s'!$P$2:$BK$2,"="&amp;AP36),0)</f>
        <v>458517.39336441673</v>
      </c>
      <c r="AQ41" s="105">
        <f>IF(AQ36&lt;$C34,SUMIFS('Monthly CF''s'!$P$38:$BK$38,'Monthly CF''s'!$P$2:$BK$2,"="&amp;AQ36),0)</f>
        <v>458517.39336441673</v>
      </c>
      <c r="AR41" s="105">
        <f>IF(AR36&lt;$C34,SUMIFS('Monthly CF''s'!$P$38:$BK$38,'Monthly CF''s'!$P$2:$BK$2,"="&amp;AR36),0)</f>
        <v>458517.39336441673</v>
      </c>
      <c r="AS41" s="105">
        <f>IF(AS36&lt;$C34,SUMIFS('Monthly CF''s'!$P$38:$BK$38,'Monthly CF''s'!$P$2:$BK$2,"="&amp;AS36),0)</f>
        <v>458517.39336441673</v>
      </c>
      <c r="AT41" s="105">
        <f>IF(AT36&lt;$C34,SUMIFS('Monthly CF''s'!$P$38:$BK$38,'Monthly CF''s'!$P$2:$BK$2,"="&amp;AT36),0)</f>
        <v>458517.39336441673</v>
      </c>
      <c r="AU41" s="105">
        <f>IF(AU36&lt;$C34,SUMIFS('Monthly CF''s'!$P$38:$BK$38,'Monthly CF''s'!$P$2:$BK$2,"="&amp;AU36),0)</f>
        <v>458517.39336441673</v>
      </c>
      <c r="AV41" s="105">
        <f>IF(AV36&lt;$C34,SUMIFS('Monthly CF''s'!$P$38:$BK$38,'Monthly CF''s'!$P$2:$BK$2,"="&amp;AV36),0)</f>
        <v>473322.48895716178</v>
      </c>
      <c r="AW41" s="105">
        <f>IF(AW36&lt;$C34,SUMIFS('Monthly CF''s'!$P$38:$BK$38,'Monthly CF''s'!$P$2:$BK$2,"="&amp;AW36),0)</f>
        <v>473322.48895716178</v>
      </c>
      <c r="AX41" s="105">
        <f>IF(AX36&lt;$C34,SUMIFS('Monthly CF''s'!$P$38:$BK$38,'Monthly CF''s'!$P$2:$BK$2,"="&amp;AX36),0)</f>
        <v>473322.48895716178</v>
      </c>
      <c r="AY41" s="105">
        <f>IF(AY36&lt;$C34,SUMIFS('Monthly CF''s'!$P$38:$BK$38,'Monthly CF''s'!$P$2:$BK$2,"="&amp;AY36),0)</f>
        <v>473322.48895716178</v>
      </c>
      <c r="AZ41" s="105">
        <f>IF(AZ36&lt;$C34,SUMIFS('Monthly CF''s'!$P$38:$BK$38,'Monthly CF''s'!$P$2:$BK$2,"="&amp;AZ36),0)</f>
        <v>473322.48895716178</v>
      </c>
      <c r="BA41" s="105">
        <f>IF(BA36&lt;$C34,SUMIFS('Monthly CF''s'!$P$38:$BK$38,'Monthly CF''s'!$P$2:$BK$2,"="&amp;BA36),0)</f>
        <v>473322.48895716178</v>
      </c>
      <c r="BB41" s="105">
        <f>IF(BB36&lt;$C34,SUMIFS('Monthly CF''s'!$P$38:$BK$38,'Monthly CF''s'!$P$2:$BK$2,"="&amp;BB36),0)</f>
        <v>0</v>
      </c>
      <c r="BC41" s="105">
        <f>IF(BC36&lt;$C34,SUMIFS('Monthly CF''s'!$P$38:$BK$38,'Monthly CF''s'!$P$2:$BK$2,"="&amp;BC36),0)</f>
        <v>0</v>
      </c>
      <c r="BD41" s="105">
        <f>IF(BD36&lt;$C34,SUMIFS('Monthly CF''s'!$P$38:$BK$38,'Monthly CF''s'!$P$2:$BK$2,"="&amp;BD36),0)</f>
        <v>0</v>
      </c>
      <c r="BE41" s="105">
        <f>IF(BE36&lt;$C34,SUMIFS('Monthly CF''s'!$P$38:$BK$38,'Monthly CF''s'!$P$2:$BK$2,"="&amp;BE36),0)</f>
        <v>0</v>
      </c>
      <c r="BF41" s="105">
        <f>IF(BF36&lt;$C34,SUMIFS('Monthly CF''s'!$P$38:$BK$38,'Monthly CF''s'!$P$2:$BK$2,"="&amp;BF36),0)</f>
        <v>0</v>
      </c>
      <c r="BG41" s="105">
        <f>IF(BG36&lt;$C34,SUMIFS('Monthly CF''s'!$P$40:$BK$40,'Monthly CF''s'!$P$2:$BK$2,"="&amp;BG36),0)</f>
        <v>0</v>
      </c>
      <c r="BH41" s="105">
        <f>IF(BH36&lt;$C34,SUMIFS('Monthly CF''s'!$P$40:$BK$40,'Monthly CF''s'!$P$2:$BK$2,"="&amp;BH36),0)</f>
        <v>0</v>
      </c>
      <c r="BI41" s="105">
        <f>IF(BI36&lt;$C34,SUMIFS('Monthly CF''s'!$P$40:$BK$40,'Monthly CF''s'!$P$2:$BK$2,"="&amp;BI36),0)</f>
        <v>0</v>
      </c>
      <c r="BJ41" s="105">
        <f>IF(BJ36&lt;$C34,SUMIFS('Monthly CF''s'!$P$40:$BK$40,'Monthly CF''s'!$P$2:$BK$2,"="&amp;BJ36),0)</f>
        <v>0</v>
      </c>
      <c r="BK41" s="105">
        <f>IF(BK36&lt;$C34,SUMIFS('Monthly CF''s'!$P$40:$BK$40,'Monthly CF''s'!$P$2:$BK$2,"="&amp;BK36),0)</f>
        <v>0</v>
      </c>
      <c r="BL41" s="105">
        <f>IF(BL36&lt;$C34,SUMIFS('Monthly CF''s'!$P$40:$BK$40,'Monthly CF''s'!$P$2:$BK$2,"="&amp;BL36),0)</f>
        <v>0</v>
      </c>
      <c r="BM41" s="105">
        <f>IF(BM36&lt;$C34,SUMIFS('Monthly CF''s'!$P$40:$BK$40,'Monthly CF''s'!$P$2:$BK$2,"="&amp;BM36),0)</f>
        <v>0</v>
      </c>
      <c r="BN41" s="105">
        <f>IF(BN36&lt;$C34,SUMIFS('Monthly CF''s'!$P$40:$BK$40,'Monthly CF''s'!$P$2:$BK$2,"="&amp;BN36),0)</f>
        <v>0</v>
      </c>
      <c r="BO41" s="169">
        <f>IF(BO36&lt;$C34,SUMIFS('Monthly CF''s'!$P$40:$BK$40,'Monthly CF''s'!$P$2:$BK$2,"="&amp;BO36),0)</f>
        <v>0</v>
      </c>
    </row>
    <row r="42" spans="1:67">
      <c r="A42">
        <v>7</v>
      </c>
      <c r="B42" s="168"/>
      <c r="C42" s="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  <c r="S42" s="105"/>
      <c r="T42" s="105"/>
      <c r="U42" s="105"/>
      <c r="V42" s="105"/>
      <c r="W42" s="105"/>
      <c r="X42" s="105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05"/>
      <c r="AM42" s="105"/>
      <c r="AN42" s="105"/>
      <c r="AO42" s="105"/>
      <c r="AP42" s="105"/>
      <c r="AQ42" s="105"/>
      <c r="AR42" s="105"/>
      <c r="AS42" s="105"/>
      <c r="AT42" s="105"/>
      <c r="AU42" s="105"/>
      <c r="AV42" s="105"/>
      <c r="AW42" s="105"/>
      <c r="AX42" s="105"/>
      <c r="AY42" s="105"/>
      <c r="AZ42" s="105"/>
      <c r="BA42" s="105"/>
      <c r="BB42" s="105"/>
      <c r="BC42" s="105"/>
      <c r="BD42" s="105"/>
      <c r="BE42" s="105"/>
      <c r="BF42" s="105"/>
      <c r="BG42" s="105"/>
      <c r="BH42" s="105"/>
      <c r="BI42" s="105"/>
      <c r="BJ42" s="105"/>
      <c r="BK42" s="105"/>
      <c r="BL42" s="105"/>
      <c r="BM42" s="105"/>
      <c r="BN42" s="105"/>
      <c r="BO42" s="169"/>
    </row>
    <row r="43" spans="1:67">
      <c r="A43">
        <v>8</v>
      </c>
      <c r="B43" s="168" t="s">
        <v>166</v>
      </c>
      <c r="C43" s="5"/>
      <c r="D43" s="105"/>
      <c r="E43" s="105">
        <f>IF(E36=$C34,Dashboard!$I$55+Dashboard!$I$57,0)</f>
        <v>0</v>
      </c>
      <c r="F43" s="105">
        <f>IF(F36=$C34,Dashboard!$I$55+Dashboard!$I$57,0)</f>
        <v>0</v>
      </c>
      <c r="G43" s="105">
        <f>IF(G36=$C34,Dashboard!$I$55+Dashboard!$I$57,0)</f>
        <v>0</v>
      </c>
      <c r="H43" s="105">
        <f>IF(H36=$C34,Dashboard!$I$55+Dashboard!$I$57,0)</f>
        <v>0</v>
      </c>
      <c r="I43" s="105">
        <f>IF(I36=$C34,Dashboard!$I$55+Dashboard!$I$57,0)</f>
        <v>0</v>
      </c>
      <c r="J43" s="105">
        <f>IF(J36=$C34,Dashboard!$I$55+Dashboard!$I$57,0)</f>
        <v>0</v>
      </c>
      <c r="K43" s="105">
        <f>IF(K36=$C34,Dashboard!$I$55+Dashboard!$I$57,0)</f>
        <v>0</v>
      </c>
      <c r="L43" s="105">
        <f>IF(L36=$C34,Dashboard!$I$55+Dashboard!$I$57,0)</f>
        <v>0</v>
      </c>
      <c r="M43" s="105">
        <f>IF(M36=$C34,Dashboard!$I$55+Dashboard!$I$57,0)</f>
        <v>0</v>
      </c>
      <c r="N43" s="105">
        <f>IF(N36=$C34,Dashboard!$I$55+Dashboard!$I$57,0)</f>
        <v>0</v>
      </c>
      <c r="O43" s="105">
        <f>IF(O36=$C34,Dashboard!$I$55+Dashboard!$I$57,0)</f>
        <v>0</v>
      </c>
      <c r="P43" s="105">
        <f>IF(P36=$C34,Dashboard!$I$55+Dashboard!$I$57,0)</f>
        <v>0</v>
      </c>
      <c r="Q43" s="105">
        <f>IF(Q36=$C34,Dashboard!$I$55+Dashboard!$I$57,0)</f>
        <v>0</v>
      </c>
      <c r="R43" s="105">
        <f>IF(R36=$C34,Dashboard!$I$55+Dashboard!$I$57,0)</f>
        <v>0</v>
      </c>
      <c r="S43" s="105">
        <f>IF(S36=$C34,Dashboard!$I$55+Dashboard!$I$57,0)</f>
        <v>0</v>
      </c>
      <c r="T43" s="105">
        <f>IF(T36=$C34,Dashboard!$I$55+Dashboard!$I$57,0)</f>
        <v>0</v>
      </c>
      <c r="U43" s="105">
        <f>IF(U36=$C34,Dashboard!$I$55+Dashboard!$I$57,0)</f>
        <v>0</v>
      </c>
      <c r="V43" s="105">
        <f>IF(V36=$C34,Dashboard!$I$55+Dashboard!$I$57,0)</f>
        <v>0</v>
      </c>
      <c r="W43" s="105">
        <f>IF(W36=$C34,Dashboard!$I$55+Dashboard!$I$57,0)</f>
        <v>0</v>
      </c>
      <c r="X43" s="105">
        <f>IF(X36=$C34,Dashboard!$I$55+Dashboard!$I$57,0)</f>
        <v>0</v>
      </c>
      <c r="Y43" s="105">
        <f>IF(Y36=$C34,Dashboard!$I$55+Dashboard!$I$57,0)</f>
        <v>0</v>
      </c>
      <c r="Z43" s="105">
        <f>IF(Z36=$C34,Dashboard!$I$55+Dashboard!$I$57,0)</f>
        <v>0</v>
      </c>
      <c r="AA43" s="105">
        <f>IF(AA36=$C34,Dashboard!$I$55+Dashboard!$I$57,0)</f>
        <v>0</v>
      </c>
      <c r="AB43" s="105">
        <f>IF(AB36=$C34,Dashboard!$I$55+Dashboard!$I$57,0)</f>
        <v>0</v>
      </c>
      <c r="AC43" s="105">
        <f>IF(AC36=$C34,Dashboard!$I$55+Dashboard!$I$57,0)</f>
        <v>0</v>
      </c>
      <c r="AD43" s="105">
        <f>IF(AD36=$C34,Dashboard!$I$55+Dashboard!$I$57,0)</f>
        <v>0</v>
      </c>
      <c r="AE43" s="105">
        <f>IF(AE36=$C34,Dashboard!$I$55+Dashboard!$I$57,0)</f>
        <v>0</v>
      </c>
      <c r="AF43" s="105">
        <f>IF(AF36=$C34,Dashboard!$I$55+Dashboard!$I$57,0)</f>
        <v>0</v>
      </c>
      <c r="AG43" s="105">
        <f>IF(AG36=$C34,Dashboard!$I$55+Dashboard!$I$57,0)</f>
        <v>0</v>
      </c>
      <c r="AH43" s="105">
        <f>IF(AH36=$C34,Dashboard!$I$55+Dashboard!$I$57,0)</f>
        <v>0</v>
      </c>
      <c r="AI43" s="105">
        <f>IF(AI36=$C34,Dashboard!$I$55+Dashboard!$I$57,0)</f>
        <v>0</v>
      </c>
      <c r="AJ43" s="105">
        <f>IF(AJ36=$C34,Dashboard!$I$55+Dashboard!$I$57,0)</f>
        <v>0</v>
      </c>
      <c r="AK43" s="105">
        <f>IF(AK36=$C34,Dashboard!$I$55+Dashboard!$I$57,0)</f>
        <v>0</v>
      </c>
      <c r="AL43" s="105">
        <f>IF(AL36=$C34,Dashboard!$I$55+Dashboard!$I$57,0)</f>
        <v>0</v>
      </c>
      <c r="AM43" s="105">
        <f>IF(AM36=$C34,Dashboard!$I$55+Dashboard!$I$57,0)</f>
        <v>0</v>
      </c>
      <c r="AN43" s="105">
        <f>IF(AN36=$C34,Dashboard!$I$55+Dashboard!$I$57,0)</f>
        <v>0</v>
      </c>
      <c r="AO43" s="105">
        <f>IF(AO36=$C34,Dashboard!$I$55+Dashboard!$I$57,0)</f>
        <v>0</v>
      </c>
      <c r="AP43" s="105">
        <f>IF(AP36=$C34,Dashboard!$I$55+Dashboard!$I$57,0)</f>
        <v>0</v>
      </c>
      <c r="AQ43" s="105">
        <f>IF(AQ36=$C34,Dashboard!$I$55+Dashboard!$I$57,0)</f>
        <v>0</v>
      </c>
      <c r="AR43" s="105">
        <f>IF(AR36=$C34,Dashboard!$I$55+Dashboard!$I$57,0)</f>
        <v>0</v>
      </c>
      <c r="AS43" s="105">
        <f>IF(AS36=$C34,Dashboard!$I$55+Dashboard!$I$57,0)</f>
        <v>0</v>
      </c>
      <c r="AT43" s="105">
        <f>IF(AT36=$C34,Dashboard!$I$55+Dashboard!$I$57,0)</f>
        <v>0</v>
      </c>
      <c r="AU43" s="105">
        <f>IF(AU36=$C34,Dashboard!$I$55+Dashboard!$I$57,0)</f>
        <v>0</v>
      </c>
      <c r="AV43" s="105">
        <f>IF(AV36=$C34,Dashboard!$I$55+Dashboard!$I$57,0)</f>
        <v>0</v>
      </c>
      <c r="AW43" s="105">
        <f>IF(AW36=$C34,Dashboard!$I$55+Dashboard!$I$57,0)</f>
        <v>0</v>
      </c>
      <c r="AX43" s="105">
        <f>IF(AX36=$C34,Dashboard!$I$55+Dashboard!$I$57,0)</f>
        <v>0</v>
      </c>
      <c r="AY43" s="105">
        <f>IF(AY36=$C34,Dashboard!$I$55+Dashboard!$I$57,0)</f>
        <v>0</v>
      </c>
      <c r="AZ43" s="105">
        <f>IF(AZ36=$C34,Dashboard!$I$55+Dashboard!$I$57,0)</f>
        <v>0</v>
      </c>
      <c r="BA43" s="105">
        <f>IF(BA36=$C34,Dashboard!$I$55+Dashboard!$I$57,0)</f>
        <v>0</v>
      </c>
      <c r="BB43" s="105">
        <f>IF(BB36=$C34,Dashboard!$I$55+Dashboard!$I$57,0)</f>
        <v>102582464.06436822</v>
      </c>
      <c r="BC43" s="105">
        <f>IF(BC36=$C34,Dashboard!$I$55+Dashboard!$I$57,0)</f>
        <v>0</v>
      </c>
      <c r="BD43" s="105">
        <f>IF(BD36=$C34,Dashboard!$I$55+Dashboard!$I$57,0)</f>
        <v>0</v>
      </c>
      <c r="BE43" s="105">
        <f>IF(BE36=$C34,Dashboard!$I$55+Dashboard!$I$57,0)</f>
        <v>0</v>
      </c>
      <c r="BF43" s="105">
        <f>IF(BF36=$C34,Dashboard!$I$55+Dashboard!$I$57,0)</f>
        <v>0</v>
      </c>
      <c r="BG43" s="105">
        <f>IF(BG36=$C34,Dashboard!$I$55+Dashboard!$I$57,0)</f>
        <v>0</v>
      </c>
      <c r="BH43" s="105">
        <f>IF(BH36=$C34,Dashboard!$I$55+Dashboard!$I$57,0)</f>
        <v>0</v>
      </c>
      <c r="BI43" s="105">
        <f>IF(BI36=$C34,Dashboard!$I$55+Dashboard!$I$57,0)</f>
        <v>0</v>
      </c>
      <c r="BJ43" s="105">
        <f>IF(BJ36=$C34,Dashboard!$I$55+Dashboard!$I$57,0)</f>
        <v>0</v>
      </c>
      <c r="BK43" s="105">
        <f>IF(BK36=$C34,Dashboard!$I$55+Dashboard!$I$57,0)</f>
        <v>0</v>
      </c>
      <c r="BL43" s="105">
        <f>IF(BL36=$C34,Dashboard!$I$55+Dashboard!$I$57,0)</f>
        <v>0</v>
      </c>
      <c r="BM43" s="105">
        <f>IF(BM36=$C34,Dashboard!$I$55+Dashboard!$I$57,0)</f>
        <v>0</v>
      </c>
      <c r="BN43" s="105">
        <f>IF(BN36=$C34,Dashboard!$I$55+Dashboard!$I$57,0)</f>
        <v>0</v>
      </c>
      <c r="BO43" s="169">
        <f>IF(BO36=$C34,Dashboard!$I$55+Dashboard!$I$57,0)</f>
        <v>0</v>
      </c>
    </row>
    <row r="44" spans="1:67" ht="6.75" customHeight="1">
      <c r="B44" s="168"/>
      <c r="C44" s="5"/>
      <c r="D44" s="105"/>
      <c r="E44" s="105"/>
      <c r="F44" s="105"/>
      <c r="G44" s="105"/>
      <c r="H44" s="105"/>
      <c r="I44" s="105"/>
      <c r="J44" s="105"/>
      <c r="K44" s="105"/>
      <c r="L44" s="105"/>
      <c r="M44" s="105"/>
      <c r="N44" s="105"/>
      <c r="O44" s="105"/>
      <c r="P44" s="105"/>
      <c r="Q44" s="105"/>
      <c r="R44" s="105"/>
      <c r="S44" s="105"/>
      <c r="T44" s="105"/>
      <c r="U44" s="105"/>
      <c r="V44" s="105"/>
      <c r="W44" s="105"/>
      <c r="X44" s="105"/>
      <c r="Y44" s="105"/>
      <c r="Z44" s="105"/>
      <c r="AA44" s="105"/>
      <c r="AB44" s="105"/>
      <c r="AC44" s="105"/>
      <c r="AD44" s="105"/>
      <c r="AE44" s="105"/>
      <c r="AF44" s="105"/>
      <c r="AG44" s="105"/>
      <c r="AH44" s="105"/>
      <c r="AI44" s="105"/>
      <c r="AJ44" s="105"/>
      <c r="AK44" s="105"/>
      <c r="AL44" s="105"/>
      <c r="AM44" s="105"/>
      <c r="AN44" s="105"/>
      <c r="AO44" s="105"/>
      <c r="AP44" s="105"/>
      <c r="AQ44" s="105"/>
      <c r="AR44" s="105"/>
      <c r="AS44" s="105"/>
      <c r="AT44" s="105"/>
      <c r="AU44" s="105"/>
      <c r="AV44" s="105"/>
      <c r="AW44" s="105"/>
      <c r="AX44" s="105"/>
      <c r="AY44" s="105"/>
      <c r="AZ44" s="105"/>
      <c r="BA44" s="543"/>
      <c r="BB44" s="543"/>
      <c r="BC44" s="543"/>
      <c r="BD44" s="543"/>
      <c r="BE44" s="543"/>
      <c r="BF44" s="543"/>
      <c r="BG44" s="543"/>
      <c r="BH44" s="543"/>
      <c r="BI44" s="543"/>
      <c r="BJ44" s="543"/>
      <c r="BK44" s="543"/>
      <c r="BL44" s="543"/>
      <c r="BM44" s="543"/>
      <c r="BN44" s="543"/>
      <c r="BO44" s="544"/>
    </row>
    <row r="45" spans="1:67">
      <c r="B45" s="492" t="s">
        <v>157</v>
      </c>
      <c r="C45" s="539"/>
      <c r="D45" s="493">
        <f>SUM(D41:D43)+D38</f>
        <v>-90052621.878451094</v>
      </c>
      <c r="E45" s="493">
        <f>SUM(E41:E43)+E38</f>
        <v>0</v>
      </c>
      <c r="F45" s="493">
        <f t="shared" ref="F45:AZ45" si="10">SUM(F41:F43)+F38</f>
        <v>0</v>
      </c>
      <c r="G45" s="493">
        <f t="shared" si="10"/>
        <v>0</v>
      </c>
      <c r="H45" s="493">
        <f t="shared" si="10"/>
        <v>0</v>
      </c>
      <c r="I45" s="493">
        <f t="shared" si="10"/>
        <v>0</v>
      </c>
      <c r="J45" s="493">
        <f t="shared" si="10"/>
        <v>0</v>
      </c>
      <c r="K45" s="493">
        <f t="shared" si="10"/>
        <v>0</v>
      </c>
      <c r="L45" s="493">
        <f t="shared" si="10"/>
        <v>0</v>
      </c>
      <c r="M45" s="493">
        <f t="shared" si="10"/>
        <v>0</v>
      </c>
      <c r="N45" s="493">
        <f t="shared" si="10"/>
        <v>0</v>
      </c>
      <c r="O45" s="493">
        <f t="shared" si="10"/>
        <v>0</v>
      </c>
      <c r="P45" s="493">
        <f t="shared" si="10"/>
        <v>0</v>
      </c>
      <c r="Q45" s="493">
        <f t="shared" si="10"/>
        <v>0</v>
      </c>
      <c r="R45" s="493">
        <f t="shared" si="10"/>
        <v>0</v>
      </c>
      <c r="S45" s="493">
        <f t="shared" si="10"/>
        <v>0</v>
      </c>
      <c r="T45" s="493">
        <f t="shared" si="10"/>
        <v>0</v>
      </c>
      <c r="U45" s="493">
        <f t="shared" si="10"/>
        <v>0</v>
      </c>
      <c r="V45" s="493">
        <f t="shared" si="10"/>
        <v>0</v>
      </c>
      <c r="W45" s="493">
        <f t="shared" si="10"/>
        <v>0</v>
      </c>
      <c r="X45" s="493">
        <f t="shared" si="10"/>
        <v>388297.5575419807</v>
      </c>
      <c r="Y45" s="493">
        <f t="shared" si="10"/>
        <v>388297.5575419807</v>
      </c>
      <c r="Z45" s="493">
        <f t="shared" si="10"/>
        <v>388297.5575419807</v>
      </c>
      <c r="AA45" s="493">
        <f t="shared" si="10"/>
        <v>388297.5575419807</v>
      </c>
      <c r="AB45" s="493">
        <f t="shared" si="10"/>
        <v>388297.5575419807</v>
      </c>
      <c r="AC45" s="493">
        <f t="shared" si="10"/>
        <v>388297.5575419807</v>
      </c>
      <c r="AD45" s="493">
        <f t="shared" si="10"/>
        <v>444163.49461249996</v>
      </c>
      <c r="AE45" s="493">
        <f t="shared" si="10"/>
        <v>444163.49461249996</v>
      </c>
      <c r="AF45" s="493">
        <f t="shared" si="10"/>
        <v>444163.49461249996</v>
      </c>
      <c r="AG45" s="493">
        <f t="shared" si="10"/>
        <v>444163.49461249996</v>
      </c>
      <c r="AH45" s="493">
        <f t="shared" si="10"/>
        <v>444163.49461249996</v>
      </c>
      <c r="AI45" s="493">
        <f t="shared" si="10"/>
        <v>444163.49461249996</v>
      </c>
      <c r="AJ45" s="493">
        <f t="shared" si="10"/>
        <v>458517.39336441673</v>
      </c>
      <c r="AK45" s="493">
        <f t="shared" si="10"/>
        <v>458517.39336441673</v>
      </c>
      <c r="AL45" s="493">
        <f t="shared" si="10"/>
        <v>458517.39336441673</v>
      </c>
      <c r="AM45" s="493">
        <f t="shared" si="10"/>
        <v>458517.39336441673</v>
      </c>
      <c r="AN45" s="493">
        <f t="shared" si="10"/>
        <v>458517.39336441673</v>
      </c>
      <c r="AO45" s="493">
        <f t="shared" si="10"/>
        <v>458517.39336441673</v>
      </c>
      <c r="AP45" s="493">
        <f t="shared" si="10"/>
        <v>458517.39336441673</v>
      </c>
      <c r="AQ45" s="493">
        <f t="shared" si="10"/>
        <v>458517.39336441673</v>
      </c>
      <c r="AR45" s="493">
        <f t="shared" si="10"/>
        <v>458517.39336441673</v>
      </c>
      <c r="AS45" s="493">
        <f t="shared" si="10"/>
        <v>458517.39336441673</v>
      </c>
      <c r="AT45" s="493">
        <f t="shared" si="10"/>
        <v>458517.39336441673</v>
      </c>
      <c r="AU45" s="493">
        <f t="shared" si="10"/>
        <v>458517.39336441673</v>
      </c>
      <c r="AV45" s="493">
        <f t="shared" si="10"/>
        <v>473322.48895716178</v>
      </c>
      <c r="AW45" s="493">
        <f t="shared" si="10"/>
        <v>473322.48895716178</v>
      </c>
      <c r="AX45" s="493">
        <f t="shared" si="10"/>
        <v>473322.48895716178</v>
      </c>
      <c r="AY45" s="493">
        <f t="shared" si="10"/>
        <v>473322.48895716178</v>
      </c>
      <c r="AZ45" s="493">
        <f t="shared" si="10"/>
        <v>473322.48895716178</v>
      </c>
      <c r="BA45" s="493">
        <f t="shared" ref="BA45:BF45" si="11">SUM(BA41:BA43)+BA38</f>
        <v>473322.48895716178</v>
      </c>
      <c r="BB45" s="493">
        <f t="shared" si="11"/>
        <v>102582464.06436822</v>
      </c>
      <c r="BC45" s="493">
        <f t="shared" si="11"/>
        <v>0</v>
      </c>
      <c r="BD45" s="493">
        <f t="shared" si="11"/>
        <v>0</v>
      </c>
      <c r="BE45" s="493">
        <f t="shared" si="11"/>
        <v>0</v>
      </c>
      <c r="BF45" s="493">
        <f t="shared" si="11"/>
        <v>0</v>
      </c>
      <c r="BG45" s="493">
        <f t="shared" ref="BG45:BO45" si="12">SUM(BG41:BG43)+BG38</f>
        <v>0</v>
      </c>
      <c r="BH45" s="493">
        <f t="shared" si="12"/>
        <v>0</v>
      </c>
      <c r="BI45" s="493">
        <f t="shared" si="12"/>
        <v>0</v>
      </c>
      <c r="BJ45" s="493">
        <f t="shared" si="12"/>
        <v>0</v>
      </c>
      <c r="BK45" s="493">
        <f t="shared" si="12"/>
        <v>0</v>
      </c>
      <c r="BL45" s="493">
        <f t="shared" si="12"/>
        <v>0</v>
      </c>
      <c r="BM45" s="493">
        <f t="shared" si="12"/>
        <v>0</v>
      </c>
      <c r="BN45" s="493">
        <f t="shared" si="12"/>
        <v>0</v>
      </c>
      <c r="BO45" s="494">
        <f t="shared" si="12"/>
        <v>0</v>
      </c>
    </row>
    <row r="46" spans="1:67">
      <c r="B46" s="206" t="s">
        <v>91</v>
      </c>
      <c r="C46" s="208">
        <f>XIRR(D45:BO45,D36:BO36)</f>
        <v>6.476605236530307E-2</v>
      </c>
      <c r="D46" s="151"/>
      <c r="E46" s="151"/>
      <c r="F46" s="151"/>
      <c r="G46" s="151"/>
      <c r="H46" s="151"/>
      <c r="I46" s="151"/>
      <c r="J46" s="151"/>
      <c r="K46" s="151"/>
      <c r="L46" s="151"/>
      <c r="M46" s="151"/>
      <c r="N46" s="151"/>
      <c r="O46" s="151"/>
      <c r="P46" s="151"/>
      <c r="Q46" s="151"/>
      <c r="R46" s="151"/>
      <c r="S46" s="151"/>
      <c r="T46" s="151"/>
      <c r="U46" s="151"/>
      <c r="V46" s="151"/>
      <c r="W46" s="151"/>
      <c r="X46" s="151"/>
      <c r="Y46" s="151"/>
      <c r="Z46" s="151"/>
      <c r="AA46" s="151"/>
      <c r="AB46" s="151"/>
      <c r="AC46" s="151"/>
      <c r="AD46" s="151"/>
      <c r="AE46" s="151"/>
      <c r="AF46" s="151"/>
      <c r="AG46" s="151"/>
      <c r="AH46" s="151"/>
      <c r="AI46" s="151"/>
      <c r="AJ46" s="151"/>
      <c r="AK46" s="151"/>
      <c r="AL46" s="151"/>
      <c r="AM46" s="151"/>
      <c r="AN46" s="151"/>
      <c r="AO46" s="151"/>
      <c r="AP46" s="151"/>
      <c r="AQ46" s="151"/>
      <c r="AR46" s="151"/>
      <c r="AS46" s="151"/>
      <c r="AT46" s="151"/>
      <c r="AU46" s="151"/>
      <c r="AV46" s="151"/>
      <c r="AW46" s="151"/>
      <c r="AX46" s="151"/>
      <c r="AY46" s="151"/>
      <c r="AZ46" s="151"/>
      <c r="BA46" s="151"/>
      <c r="BB46" s="151"/>
      <c r="BC46" s="151"/>
      <c r="BD46" s="151"/>
      <c r="BE46" s="151"/>
      <c r="BF46" s="151"/>
      <c r="BG46" s="151"/>
      <c r="BH46" s="151"/>
      <c r="BI46" s="151"/>
      <c r="BJ46" s="151"/>
      <c r="BK46" s="151"/>
      <c r="BL46" s="151"/>
      <c r="BM46" s="151"/>
      <c r="BN46" s="151"/>
      <c r="BO46" s="151"/>
    </row>
    <row r="47" spans="1:67">
      <c r="B47" s="207" t="s">
        <v>92</v>
      </c>
      <c r="C47" s="852">
        <f>SUM(E45:BO45)/-D38</f>
        <v>1.2872404113660758</v>
      </c>
      <c r="D47" s="151"/>
      <c r="E47" s="151"/>
      <c r="F47" s="151"/>
      <c r="G47" s="151"/>
      <c r="H47" s="151"/>
      <c r="I47" s="151"/>
      <c r="J47" s="151"/>
      <c r="K47" s="151"/>
      <c r="L47" s="151"/>
      <c r="M47" s="151"/>
      <c r="N47" s="151"/>
      <c r="O47" s="151"/>
      <c r="P47" s="151"/>
      <c r="Q47" s="151"/>
      <c r="R47" s="151"/>
      <c r="S47" s="151"/>
      <c r="T47" s="151"/>
      <c r="U47" s="151"/>
      <c r="V47" s="151"/>
      <c r="W47" s="151"/>
      <c r="X47" s="151"/>
      <c r="Y47" s="151"/>
      <c r="Z47" s="151"/>
      <c r="AA47" s="151"/>
      <c r="AB47" s="151"/>
      <c r="AC47" s="151"/>
      <c r="AD47" s="151"/>
      <c r="AE47" s="151"/>
      <c r="AF47" s="151"/>
      <c r="AG47" s="151"/>
      <c r="AH47" s="151"/>
      <c r="AI47" s="151"/>
      <c r="AJ47" s="151"/>
      <c r="AK47" s="151"/>
      <c r="AL47" s="151"/>
      <c r="AM47" s="151"/>
      <c r="AN47" s="151"/>
      <c r="AO47" s="151"/>
      <c r="AP47" s="151"/>
      <c r="AQ47" s="151"/>
      <c r="AR47" s="151"/>
      <c r="AS47" s="151"/>
      <c r="AT47" s="151"/>
      <c r="AU47" s="151"/>
      <c r="AV47" s="151"/>
      <c r="AW47" s="151"/>
      <c r="AX47" s="151"/>
      <c r="AY47" s="151"/>
      <c r="AZ47" s="151"/>
      <c r="BA47" s="151"/>
      <c r="BB47" s="151"/>
      <c r="BC47" s="151"/>
      <c r="BD47" s="151"/>
      <c r="BE47" s="151"/>
      <c r="BF47" s="151"/>
      <c r="BG47" s="151"/>
      <c r="BH47" s="151"/>
      <c r="BI47" s="151"/>
      <c r="BJ47" s="151"/>
      <c r="BK47" s="151"/>
      <c r="BL47" s="151"/>
      <c r="BM47" s="151"/>
      <c r="BN47" s="151"/>
      <c r="BO47" s="151"/>
    </row>
    <row r="48" spans="1:67">
      <c r="BA48" s="42"/>
      <c r="BB48" s="42"/>
      <c r="BC48" s="42"/>
      <c r="BD48" s="42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</row>
    <row r="49" spans="1:77">
      <c r="BA49" s="42"/>
      <c r="BB49" s="42"/>
      <c r="BC49" s="42"/>
      <c r="BD49" s="42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</row>
    <row r="50" spans="1:77" ht="15.75">
      <c r="B50" s="845" t="s">
        <v>89</v>
      </c>
      <c r="C50" s="846">
        <f>Dashboard!B66</f>
        <v>47515</v>
      </c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</row>
    <row r="51" spans="1:77" ht="15.75">
      <c r="B51" s="847" t="s">
        <v>81</v>
      </c>
      <c r="C51" s="848">
        <f>Dashboard!C66</f>
        <v>5.083333333333333</v>
      </c>
      <c r="BA51" s="42"/>
      <c r="BB51" s="42"/>
      <c r="BC51" s="42"/>
      <c r="BD51" s="42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</row>
    <row r="52" spans="1:77" ht="21" customHeight="1">
      <c r="A52">
        <v>1</v>
      </c>
      <c r="B52" s="850" t="s">
        <v>115</v>
      </c>
      <c r="C52" s="850"/>
      <c r="D52" s="851">
        <f>+Dashboard!$F$54</f>
        <v>45658</v>
      </c>
      <c r="E52" s="770">
        <f>IF((D52+1)=$C50,$C50,EOMONTH(D52,1))</f>
        <v>45716</v>
      </c>
      <c r="F52" s="770">
        <f>IF((E52+1)=$C50,$C50,EOMONTH(E52,1))</f>
        <v>45747</v>
      </c>
      <c r="G52" s="770">
        <f t="shared" ref="G52:BO52" si="13">IF((F52+1)=$C50,$C50,EOMONTH(F52,1))</f>
        <v>45777</v>
      </c>
      <c r="H52" s="770">
        <f t="shared" si="13"/>
        <v>45808</v>
      </c>
      <c r="I52" s="770">
        <f t="shared" si="13"/>
        <v>45838</v>
      </c>
      <c r="J52" s="770">
        <f t="shared" si="13"/>
        <v>45869</v>
      </c>
      <c r="K52" s="770">
        <f t="shared" si="13"/>
        <v>45900</v>
      </c>
      <c r="L52" s="770">
        <f t="shared" si="13"/>
        <v>45930</v>
      </c>
      <c r="M52" s="770">
        <f t="shared" si="13"/>
        <v>45961</v>
      </c>
      <c r="N52" s="770">
        <f t="shared" si="13"/>
        <v>45991</v>
      </c>
      <c r="O52" s="770">
        <f t="shared" si="13"/>
        <v>46022</v>
      </c>
      <c r="P52" s="770">
        <f t="shared" si="13"/>
        <v>46053</v>
      </c>
      <c r="Q52" s="770">
        <f t="shared" si="13"/>
        <v>46081</v>
      </c>
      <c r="R52" s="770">
        <f t="shared" si="13"/>
        <v>46112</v>
      </c>
      <c r="S52" s="770">
        <f t="shared" si="13"/>
        <v>46142</v>
      </c>
      <c r="T52" s="770">
        <f t="shared" si="13"/>
        <v>46173</v>
      </c>
      <c r="U52" s="770">
        <f t="shared" si="13"/>
        <v>46203</v>
      </c>
      <c r="V52" s="770">
        <f t="shared" si="13"/>
        <v>46234</v>
      </c>
      <c r="W52" s="770">
        <f t="shared" si="13"/>
        <v>46265</v>
      </c>
      <c r="X52" s="770">
        <f t="shared" si="13"/>
        <v>46295</v>
      </c>
      <c r="Y52" s="770">
        <f t="shared" si="13"/>
        <v>46326</v>
      </c>
      <c r="Z52" s="770">
        <f t="shared" si="13"/>
        <v>46356</v>
      </c>
      <c r="AA52" s="770">
        <f t="shared" si="13"/>
        <v>46387</v>
      </c>
      <c r="AB52" s="770">
        <f t="shared" si="13"/>
        <v>46418</v>
      </c>
      <c r="AC52" s="770">
        <f t="shared" si="13"/>
        <v>46446</v>
      </c>
      <c r="AD52" s="770">
        <f t="shared" si="13"/>
        <v>46477</v>
      </c>
      <c r="AE52" s="770">
        <f t="shared" si="13"/>
        <v>46507</v>
      </c>
      <c r="AF52" s="770">
        <f t="shared" si="13"/>
        <v>46538</v>
      </c>
      <c r="AG52" s="770">
        <f t="shared" si="13"/>
        <v>46568</v>
      </c>
      <c r="AH52" s="770">
        <f t="shared" si="13"/>
        <v>46599</v>
      </c>
      <c r="AI52" s="770">
        <f t="shared" si="13"/>
        <v>46630</v>
      </c>
      <c r="AJ52" s="770">
        <f t="shared" si="13"/>
        <v>46660</v>
      </c>
      <c r="AK52" s="770">
        <f t="shared" si="13"/>
        <v>46691</v>
      </c>
      <c r="AL52" s="770">
        <f t="shared" si="13"/>
        <v>46721</v>
      </c>
      <c r="AM52" s="770">
        <f t="shared" si="13"/>
        <v>46752</v>
      </c>
      <c r="AN52" s="770">
        <f t="shared" si="13"/>
        <v>46783</v>
      </c>
      <c r="AO52" s="770">
        <f t="shared" si="13"/>
        <v>46812</v>
      </c>
      <c r="AP52" s="770">
        <f t="shared" si="13"/>
        <v>46843</v>
      </c>
      <c r="AQ52" s="770">
        <f t="shared" si="13"/>
        <v>46873</v>
      </c>
      <c r="AR52" s="770">
        <f t="shared" si="13"/>
        <v>46904</v>
      </c>
      <c r="AS52" s="770">
        <f t="shared" si="13"/>
        <v>46934</v>
      </c>
      <c r="AT52" s="770">
        <f t="shared" si="13"/>
        <v>46965</v>
      </c>
      <c r="AU52" s="770">
        <f t="shared" si="13"/>
        <v>46996</v>
      </c>
      <c r="AV52" s="770">
        <f t="shared" si="13"/>
        <v>47026</v>
      </c>
      <c r="AW52" s="770">
        <f t="shared" si="13"/>
        <v>47057</v>
      </c>
      <c r="AX52" s="770">
        <f t="shared" si="13"/>
        <v>47087</v>
      </c>
      <c r="AY52" s="770">
        <f t="shared" si="13"/>
        <v>47118</v>
      </c>
      <c r="AZ52" s="770">
        <f t="shared" si="13"/>
        <v>47149</v>
      </c>
      <c r="BA52" s="770">
        <f t="shared" si="13"/>
        <v>47177</v>
      </c>
      <c r="BB52" s="770">
        <f t="shared" si="13"/>
        <v>47208</v>
      </c>
      <c r="BC52" s="770">
        <f t="shared" si="13"/>
        <v>47238</v>
      </c>
      <c r="BD52" s="770">
        <f t="shared" si="13"/>
        <v>47269</v>
      </c>
      <c r="BE52" s="770">
        <f t="shared" si="13"/>
        <v>47299</v>
      </c>
      <c r="BF52" s="770">
        <f t="shared" si="13"/>
        <v>47330</v>
      </c>
      <c r="BG52" s="770">
        <f t="shared" si="13"/>
        <v>47361</v>
      </c>
      <c r="BH52" s="770">
        <f t="shared" si="13"/>
        <v>47391</v>
      </c>
      <c r="BI52" s="770">
        <f t="shared" si="13"/>
        <v>47422</v>
      </c>
      <c r="BJ52" s="770">
        <f t="shared" si="13"/>
        <v>47452</v>
      </c>
      <c r="BK52" s="770">
        <f t="shared" si="13"/>
        <v>47483</v>
      </c>
      <c r="BL52" s="770">
        <f t="shared" si="13"/>
        <v>47514</v>
      </c>
      <c r="BM52" s="770">
        <f t="shared" si="13"/>
        <v>47515</v>
      </c>
      <c r="BN52" s="770">
        <f t="shared" si="13"/>
        <v>47573</v>
      </c>
      <c r="BO52" s="770">
        <f t="shared" si="13"/>
        <v>47603</v>
      </c>
      <c r="BP52" s="770">
        <f t="shared" ref="BP52" si="14">IF((BO52+1)=$C50,$C50,EOMONTH(BO52,1))</f>
        <v>47634</v>
      </c>
      <c r="BQ52" s="770">
        <f t="shared" ref="BQ52" si="15">IF((BP52+1)=$C50,$C50,EOMONTH(BP52,1))</f>
        <v>47664</v>
      </c>
      <c r="BR52" s="770">
        <f t="shared" ref="BR52" si="16">IF((BQ52+1)=$C50,$C50,EOMONTH(BQ52,1))</f>
        <v>47695</v>
      </c>
      <c r="BS52" s="770">
        <f t="shared" ref="BS52" si="17">IF((BR52+1)=$C50,$C50,EOMONTH(BR52,1))</f>
        <v>47726</v>
      </c>
      <c r="BT52" s="770">
        <f t="shared" ref="BT52" si="18">IF((BS52+1)=$C50,$C50,EOMONTH(BS52,1))</f>
        <v>47756</v>
      </c>
      <c r="BU52" s="770">
        <f t="shared" ref="BU52" si="19">IF((BT52+1)=$C50,$C50,EOMONTH(BT52,1))</f>
        <v>47787</v>
      </c>
      <c r="BV52" s="770">
        <f t="shared" ref="BV52" si="20">IF((BU52+1)=$C50,$C50,EOMONTH(BU52,1))</f>
        <v>47817</v>
      </c>
      <c r="BW52" s="770">
        <f t="shared" ref="BW52" si="21">IF((BV52+1)=$C50,$C50,EOMONTH(BV52,1))</f>
        <v>47848</v>
      </c>
      <c r="BX52" s="770">
        <f t="shared" ref="BX52" si="22">IF((BW52+1)=$C50,$C50,EOMONTH(BW52,1))</f>
        <v>47879</v>
      </c>
      <c r="BY52" s="770">
        <f t="shared" ref="BY52" si="23">IF((BX52+1)=$C50,$C50,EOMONTH(BX52,1))</f>
        <v>47907</v>
      </c>
    </row>
    <row r="53" spans="1:77">
      <c r="A53">
        <v>2</v>
      </c>
      <c r="B53" s="184" t="s">
        <v>162</v>
      </c>
      <c r="C53" s="29"/>
      <c r="D53" s="105"/>
      <c r="E53" s="105"/>
      <c r="F53" s="105"/>
      <c r="G53" s="105"/>
      <c r="H53" s="105"/>
      <c r="I53" s="105"/>
      <c r="J53" s="105"/>
      <c r="K53" s="105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05"/>
      <c r="W53" s="105"/>
      <c r="X53" s="105"/>
      <c r="Y53" s="105"/>
      <c r="Z53" s="105"/>
      <c r="AA53" s="105"/>
      <c r="AB53" s="105"/>
      <c r="AC53" s="105"/>
      <c r="AD53" s="105"/>
      <c r="AE53" s="105"/>
      <c r="AF53" s="105"/>
      <c r="AG53" s="105"/>
      <c r="AH53" s="105"/>
      <c r="AI53" s="105"/>
      <c r="AJ53" s="105"/>
      <c r="AK53" s="105"/>
      <c r="AL53" s="105"/>
      <c r="AM53" s="105"/>
      <c r="AN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541"/>
      <c r="BB53" s="541"/>
      <c r="BC53" s="541"/>
      <c r="BD53" s="541"/>
      <c r="BE53" s="541"/>
      <c r="BF53" s="541"/>
      <c r="BG53" s="541"/>
      <c r="BH53" s="541"/>
      <c r="BI53" s="541"/>
      <c r="BJ53" s="541"/>
      <c r="BK53" s="541"/>
      <c r="BL53" s="541"/>
      <c r="BM53" s="541"/>
      <c r="BN53" s="541"/>
      <c r="BO53" s="541"/>
      <c r="BP53" s="541"/>
      <c r="BQ53" s="541"/>
      <c r="BR53" s="541"/>
      <c r="BS53" s="541"/>
      <c r="BT53" s="541"/>
      <c r="BU53" s="541"/>
      <c r="BV53" s="541"/>
      <c r="BW53" s="541"/>
      <c r="BX53" s="541"/>
      <c r="BY53" s="541"/>
    </row>
    <row r="54" spans="1:77">
      <c r="A54">
        <v>3</v>
      </c>
      <c r="B54" s="168" t="s">
        <v>8</v>
      </c>
      <c r="C54" s="5"/>
      <c r="D54" s="105">
        <f>+-Dashboard!$C$43+1500000</f>
        <v>-90052621.878451094</v>
      </c>
      <c r="E54" s="105"/>
      <c r="F54" s="105"/>
      <c r="G54" s="105"/>
      <c r="H54" s="105"/>
      <c r="I54" s="105"/>
      <c r="J54" s="105"/>
      <c r="K54" s="105"/>
      <c r="L54" s="105"/>
      <c r="M54" s="105"/>
      <c r="N54" s="105"/>
      <c r="O54" s="105"/>
      <c r="P54" s="105"/>
      <c r="Q54" s="105"/>
      <c r="R54" s="105"/>
      <c r="S54" s="105"/>
      <c r="T54" s="105"/>
      <c r="U54" s="105"/>
      <c r="V54" s="105"/>
      <c r="W54" s="105"/>
      <c r="X54" s="105"/>
      <c r="Y54" s="105"/>
      <c r="Z54" s="105"/>
      <c r="AA54" s="105"/>
      <c r="AB54" s="105"/>
      <c r="AC54" s="105"/>
      <c r="AD54" s="105"/>
      <c r="AE54" s="105"/>
      <c r="AF54" s="105"/>
      <c r="AG54" s="105"/>
      <c r="AH54" s="105"/>
      <c r="AI54" s="105"/>
      <c r="AJ54" s="105"/>
      <c r="AK54" s="105"/>
      <c r="AL54" s="105"/>
      <c r="AM54" s="105"/>
      <c r="AN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</row>
    <row r="55" spans="1:77" ht="6.75" customHeight="1">
      <c r="A55">
        <v>4</v>
      </c>
      <c r="B55" s="168"/>
      <c r="C55" s="5"/>
      <c r="D55" s="105"/>
      <c r="E55" s="105"/>
      <c r="F55" s="105"/>
      <c r="G55" s="105"/>
      <c r="H55" s="105"/>
      <c r="I55" s="105"/>
      <c r="J55" s="105"/>
      <c r="K55" s="105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05"/>
      <c r="W55" s="105"/>
      <c r="X55" s="105"/>
      <c r="Y55" s="105"/>
      <c r="Z55" s="105"/>
      <c r="AA55" s="105"/>
      <c r="AB55" s="105"/>
      <c r="AC55" s="105"/>
      <c r="AD55" s="105"/>
      <c r="AE55" s="105"/>
      <c r="AF55" s="105"/>
      <c r="AG55" s="105"/>
      <c r="AH55" s="105"/>
      <c r="AI55" s="105"/>
      <c r="AJ55" s="105"/>
      <c r="AK55" s="105"/>
      <c r="AL55" s="105"/>
      <c r="AM55" s="105"/>
      <c r="AN55" s="105"/>
      <c r="AO55" s="105"/>
      <c r="AP55" s="105"/>
      <c r="AQ55" s="105"/>
      <c r="AR55" s="105"/>
      <c r="AS55" s="105"/>
      <c r="AT55" s="105"/>
      <c r="AU55" s="105"/>
      <c r="AV55" s="105"/>
      <c r="AW55" s="105"/>
      <c r="AX55" s="105"/>
      <c r="AY55" s="105"/>
      <c r="AZ55" s="105"/>
      <c r="BA55" s="105"/>
      <c r="BB55" s="105"/>
      <c r="BC55" s="105"/>
      <c r="BD55" s="105"/>
      <c r="BE55" s="105"/>
      <c r="BF55" s="105"/>
      <c r="BG55" s="105"/>
      <c r="BH55" s="105"/>
      <c r="BI55" s="105"/>
      <c r="BJ55" s="105"/>
      <c r="BK55" s="105"/>
      <c r="BL55" s="105"/>
      <c r="BM55" s="105"/>
      <c r="BN55" s="105"/>
      <c r="BO55" s="105"/>
      <c r="BP55" s="105"/>
      <c r="BQ55" s="105"/>
      <c r="BR55" s="105"/>
      <c r="BS55" s="105"/>
      <c r="BT55" s="105"/>
      <c r="BU55" s="105"/>
      <c r="BV55" s="105"/>
      <c r="BW55" s="105"/>
      <c r="BX55" s="105"/>
      <c r="BY55" s="105"/>
    </row>
    <row r="56" spans="1:77">
      <c r="A56">
        <v>5</v>
      </c>
      <c r="B56" s="185" t="s">
        <v>163</v>
      </c>
      <c r="C56" s="29"/>
      <c r="D56" s="151"/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  <c r="AC56" s="151"/>
      <c r="AD56" s="151"/>
      <c r="AE56" s="151"/>
      <c r="AF56" s="151"/>
      <c r="AG56" s="151"/>
      <c r="AH56" s="151"/>
      <c r="AI56" s="151"/>
      <c r="AJ56" s="151"/>
      <c r="AK56" s="151"/>
      <c r="AL56" s="151"/>
      <c r="AM56" s="151"/>
      <c r="AN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</row>
    <row r="57" spans="1:77">
      <c r="A57">
        <v>6</v>
      </c>
      <c r="B57" s="168" t="s">
        <v>76</v>
      </c>
      <c r="C57" s="5"/>
      <c r="D57" s="105"/>
      <c r="E57" s="105">
        <f>IF(E52&lt;$C50,SUMIFS('Monthly CF''s'!$P$40:$BK$40,'Monthly CF''s'!$P$2:$BK$2,"="&amp;E52),0)</f>
        <v>0</v>
      </c>
      <c r="F57" s="105">
        <f>IF(F52&lt;$C50,SUMIFS('Monthly CF''s'!$P$40:$BK$40,'Monthly CF''s'!$P$2:$BK$2,"="&amp;F52),0)</f>
        <v>0</v>
      </c>
      <c r="G57" s="105">
        <f>IF(G52&lt;$C50,SUMIFS('Monthly CF''s'!$P$40:$BK$40,'Monthly CF''s'!$P$2:$BK$2,"="&amp;G52),0)</f>
        <v>0</v>
      </c>
      <c r="H57" s="105">
        <f>IF(H52&lt;$C50,SUMIFS('Monthly CF''s'!$P$40:$BK$40,'Monthly CF''s'!$P$2:$BK$2,"="&amp;H52),0)</f>
        <v>0</v>
      </c>
      <c r="I57" s="105">
        <f>IF(I52&lt;$C50,SUMIFS('Monthly CF''s'!$P$40:$BK$40,'Monthly CF''s'!$P$2:$BK$2,"="&amp;I52),0)</f>
        <v>0</v>
      </c>
      <c r="J57" s="105">
        <f>IF(J52&lt;$C50,SUMIFS('Monthly CF''s'!$P$40:$BK$40,'Monthly CF''s'!$P$2:$BK$2,"="&amp;J52),0)</f>
        <v>0</v>
      </c>
      <c r="K57" s="105">
        <f>IF(K52&lt;$C50,SUMIFS('Monthly CF''s'!$P$40:$BK$40,'Monthly CF''s'!$P$2:$BK$2,"="&amp;K52),0)</f>
        <v>0</v>
      </c>
      <c r="L57" s="105">
        <f>IF(L52&lt;$C50,SUMIFS('Monthly CF''s'!$P$40:$BK$40,'Monthly CF''s'!$P$2:$BK$2,"="&amp;L52),0)</f>
        <v>0</v>
      </c>
      <c r="M57" s="105">
        <f>IF(M52&lt;$C50,SUMIFS('Monthly CF''s'!$P$40:$BK$40,'Monthly CF''s'!$P$2:$BK$2,"="&amp;M52),0)</f>
        <v>0</v>
      </c>
      <c r="N57" s="105">
        <f>IF(N52&lt;$C50,SUMIFS('Monthly CF''s'!$P$40:$BK$40,'Monthly CF''s'!$P$2:$BK$2,"="&amp;N52),0)</f>
        <v>0</v>
      </c>
      <c r="O57" s="105">
        <f>IF(O52&lt;$C50,SUMIFS('Monthly CF''s'!$P$40:$BK$40,'Monthly CF''s'!$P$2:$BK$2,"="&amp;O52),0)</f>
        <v>0</v>
      </c>
      <c r="P57" s="105">
        <f>IF(P52&lt;$C50,SUMIFS('Monthly CF''s'!$P$40:$BK$40,'Monthly CF''s'!$P$2:$BK$2,"="&amp;P52),0)</f>
        <v>0</v>
      </c>
      <c r="Q57" s="105">
        <f>IF(Q52&lt;$C50,SUMIFS('Monthly CF''s'!$P$40:$BK$40,'Monthly CF''s'!$P$2:$BK$2,"="&amp;Q52),0)</f>
        <v>0</v>
      </c>
      <c r="R57" s="105">
        <f>IF(R52&lt;$C50,SUMIFS('Monthly CF''s'!$P$40:$BK$40,'Monthly CF''s'!$P$2:$BK$2,"="&amp;R52),0)</f>
        <v>0</v>
      </c>
      <c r="S57" s="105">
        <f>IF(S52&lt;$C50,SUMIFS('Monthly CF''s'!$P$40:$BK$40,'Monthly CF''s'!$P$2:$BK$2,"="&amp;S52),0)</f>
        <v>0</v>
      </c>
      <c r="T57" s="105">
        <f>IF(T52&lt;$C50,SUMIFS('Monthly CF''s'!$P$40:$BK$40,'Monthly CF''s'!$P$2:$BK$2,"="&amp;T52),0)</f>
        <v>0</v>
      </c>
      <c r="U57" s="105">
        <f>IF(U52&lt;$C50,SUMIFS('Monthly CF''s'!$P$40:$BK$40,'Monthly CF''s'!$P$2:$BK$2,"="&amp;U52),0)</f>
        <v>0</v>
      </c>
      <c r="V57" s="105">
        <f>IF(V52&lt;$C50,SUMIFS('Monthly CF''s'!$P$40:$BK$40,'Monthly CF''s'!$P$2:$BK$2,"="&amp;V52),0)</f>
        <v>0</v>
      </c>
      <c r="W57" s="105">
        <f>IF(W52&lt;$C50,SUMIFS('Monthly CF''s'!$P$40:$BK$40,'Monthly CF''s'!$P$2:$BK$2,"="&amp;W52),0)</f>
        <v>0</v>
      </c>
      <c r="X57" s="105">
        <f>IF(X52&lt;$C50,SUMIFS('Monthly CF''s'!$P$40:$BK$40,'Monthly CF''s'!$P$2:$BK$2,"="&amp;X52),0)</f>
        <v>388297.5575419807</v>
      </c>
      <c r="Y57" s="105">
        <f>IF(Y52&lt;$C50,SUMIFS('Monthly CF''s'!$P$40:$BK$40,'Monthly CF''s'!$P$2:$BK$2,"="&amp;Y52),0)</f>
        <v>388297.5575419807</v>
      </c>
      <c r="Z57" s="105">
        <f>IF(Z52&lt;$C50,SUMIFS('Monthly CF''s'!$P$40:$BK$40,'Monthly CF''s'!$P$2:$BK$2,"="&amp;Z52),0)</f>
        <v>388297.5575419807</v>
      </c>
      <c r="AA57" s="105">
        <f>IF(AA52&lt;$C50,SUMIFS('Monthly CF''s'!$P$40:$BK$40,'Monthly CF''s'!$P$2:$BK$2,"="&amp;AA52),0)</f>
        <v>388297.5575419807</v>
      </c>
      <c r="AB57" s="105">
        <f>IF(AB52&lt;$C50,SUMIFS('Monthly CF''s'!$P$40:$BK$40,'Monthly CF''s'!$P$2:$BK$2,"="&amp;AB52),0)</f>
        <v>388297.5575419807</v>
      </c>
      <c r="AC57" s="105">
        <f>IF(AC52&lt;$C50,SUMIFS('Monthly CF''s'!$P$40:$BK$40,'Monthly CF''s'!$P$2:$BK$2,"="&amp;AC52),0)</f>
        <v>388297.5575419807</v>
      </c>
      <c r="AD57" s="105">
        <f>IF(AD52&lt;$C50,SUMIFS('Monthly CF''s'!$P$38:$BK$38,'Monthly CF''s'!$P$2:$BK$2,"="&amp;AD52),0)</f>
        <v>444163.49461249996</v>
      </c>
      <c r="AE57" s="105">
        <f>IF(AE52&lt;$C50,SUMIFS('Monthly CF''s'!$P$38:$BK$38,'Monthly CF''s'!$P$2:$BK$2,"="&amp;AE52),0)</f>
        <v>444163.49461249996</v>
      </c>
      <c r="AF57" s="105">
        <f>IF(AF52&lt;$C50,SUMIFS('Monthly CF''s'!$P$38:$BK$38,'Monthly CF''s'!$P$2:$BK$2,"="&amp;AF52),0)</f>
        <v>444163.49461249996</v>
      </c>
      <c r="AG57" s="105">
        <f>IF(AG52&lt;$C50,SUMIFS('Monthly CF''s'!$P$38:$BK$38,'Monthly CF''s'!$P$2:$BK$2,"="&amp;AG52),0)</f>
        <v>444163.49461249996</v>
      </c>
      <c r="AH57" s="105">
        <f>IF(AH52&lt;$C50,SUMIFS('Monthly CF''s'!$P$38:$BK$38,'Monthly CF''s'!$P$2:$BK$2,"="&amp;AH52),0)</f>
        <v>444163.49461249996</v>
      </c>
      <c r="AI57" s="105">
        <f>IF(AI52&lt;$C50,SUMIFS('Monthly CF''s'!$P$38:$BK$38,'Monthly CF''s'!$P$2:$BK$2,"="&amp;AI52),0)</f>
        <v>444163.49461249996</v>
      </c>
      <c r="AJ57" s="105">
        <f>IF(AJ52&lt;$C50,SUMIFS('Monthly CF''s'!$P$38:$BK$38,'Monthly CF''s'!$P$2:$BK$2,"="&amp;AJ52),0)</f>
        <v>458517.39336441673</v>
      </c>
      <c r="AK57" s="105">
        <f>IF(AK52&lt;$C50,SUMIFS('Monthly CF''s'!$P$38:$BK$38,'Monthly CF''s'!$P$2:$BK$2,"="&amp;AK52),0)</f>
        <v>458517.39336441673</v>
      </c>
      <c r="AL57" s="105">
        <f>IF(AL52&lt;$C50,SUMIFS('Monthly CF''s'!$P$38:$BK$38,'Monthly CF''s'!$P$2:$BK$2,"="&amp;AL52),0)</f>
        <v>458517.39336441673</v>
      </c>
      <c r="AM57" s="105">
        <f>IF(AM52&lt;$C50,SUMIFS('Monthly CF''s'!$P$38:$BK$38,'Monthly CF''s'!$P$2:$BK$2,"="&amp;AM52),0)</f>
        <v>458517.39336441673</v>
      </c>
      <c r="AN57" s="105">
        <f>IF(AN52&lt;$C50,SUMIFS('Monthly CF''s'!$P$38:$BK$38,'Monthly CF''s'!$P$2:$BK$2,"="&amp;AN52),0)</f>
        <v>458517.39336441673</v>
      </c>
      <c r="AO57" s="105">
        <f>IF(AO52&lt;$C50,SUMIFS('Monthly CF''s'!$P$38:$BK$38,'Monthly CF''s'!$P$2:$BK$2,"="&amp;AO52),0)</f>
        <v>458517.39336441673</v>
      </c>
      <c r="AP57" s="105">
        <f>IF(AP52&lt;$C50,SUMIFS('Monthly CF''s'!$P$38:$BK$38,'Monthly CF''s'!$P$2:$BK$2,"="&amp;AP52),0)</f>
        <v>458517.39336441673</v>
      </c>
      <c r="AQ57" s="105">
        <f>IF(AQ52&lt;$C50,SUMIFS('Monthly CF''s'!$P$38:$BK$38,'Monthly CF''s'!$P$2:$BK$2,"="&amp;AQ52),0)</f>
        <v>458517.39336441673</v>
      </c>
      <c r="AR57" s="105">
        <f>IF(AR52&lt;$C50,SUMIFS('Monthly CF''s'!$P$38:$BK$38,'Monthly CF''s'!$P$2:$BK$2,"="&amp;AR52),0)</f>
        <v>458517.39336441673</v>
      </c>
      <c r="AS57" s="105">
        <f>IF(AS52&lt;$C50,SUMIFS('Monthly CF''s'!$P$38:$BK$38,'Monthly CF''s'!$P$2:$BK$2,"="&amp;AS52),0)</f>
        <v>458517.39336441673</v>
      </c>
      <c r="AT57" s="105">
        <f>IF(AT52&lt;$C50,SUMIFS('Monthly CF''s'!$P$38:$BK$38,'Monthly CF''s'!$P$2:$BK$2,"="&amp;AT52),0)</f>
        <v>458517.39336441673</v>
      </c>
      <c r="AU57" s="105">
        <f>IF(AU52&lt;$C50,SUMIFS('Monthly CF''s'!$P$38:$BK$38,'Monthly CF''s'!$P$2:$BK$2,"="&amp;AU52),0)</f>
        <v>458517.39336441673</v>
      </c>
      <c r="AV57" s="105">
        <f>IF(AV52&lt;$C50,SUMIFS('Monthly CF''s'!$P$38:$BK$38,'Monthly CF''s'!$P$2:$BK$2,"="&amp;AV52),0)</f>
        <v>473322.48895716178</v>
      </c>
      <c r="AW57" s="105">
        <f>IF(AW52&lt;$C50,SUMIFS('Monthly CF''s'!$P$38:$BK$38,'Monthly CF''s'!$P$2:$BK$2,"="&amp;AW52),0)</f>
        <v>473322.48895716178</v>
      </c>
      <c r="AX57" s="105">
        <f>IF(AX52&lt;$C50,SUMIFS('Monthly CF''s'!$P$38:$BK$38,'Monthly CF''s'!$P$2:$BK$2,"="&amp;AX52),0)</f>
        <v>473322.48895716178</v>
      </c>
      <c r="AY57" s="105">
        <f>IF(AY52&lt;$C50,SUMIFS('Monthly CF''s'!$P$38:$BK$38,'Monthly CF''s'!$P$2:$BK$2,"="&amp;AY52),0)</f>
        <v>473322.48895716178</v>
      </c>
      <c r="AZ57" s="105">
        <f>IF(AZ52&lt;$C50,SUMIFS('Monthly CF''s'!$P$38:$BK$38,'Monthly CF''s'!$P$2:$BK$2,"="&amp;AZ52),0)</f>
        <v>473322.48895716178</v>
      </c>
      <c r="BA57" s="105">
        <f>IF(BA52&lt;$C50,SUMIFS('Monthly CF''s'!$P$38:$BK$38,'Monthly CF''s'!$P$2:$BK$2,"="&amp;BA52),0)</f>
        <v>473322.48895716178</v>
      </c>
      <c r="BB57" s="105">
        <f>IF(BB52&lt;$C50,SUMIFS('Monthly CF''s'!$P$38:$BK$38,'Monthly CF''s'!$P$2:$BK$2,"="&amp;BB52),0)</f>
        <v>473322.48895716178</v>
      </c>
      <c r="BC57" s="105">
        <f>IF(BC52&lt;$C50,SUMIFS('Monthly CF''s'!$P$38:$BK$38,'Monthly CF''s'!$P$2:$BK$2,"="&amp;BC52),0)</f>
        <v>473322.48895716178</v>
      </c>
      <c r="BD57" s="105">
        <f>IF(BD52&lt;$C50,SUMIFS('Monthly CF''s'!$P$38:$BK$38,'Monthly CF''s'!$P$2:$BK$2,"="&amp;BD52),0)</f>
        <v>473322.48895716178</v>
      </c>
      <c r="BE57" s="105">
        <f>IF(BE52&lt;$C50,SUMIFS('Monthly CF''s'!$P$38:$BK$38,'Monthly CF''s'!$P$2:$BK$2,"="&amp;BE52),0)</f>
        <v>473322.48895716178</v>
      </c>
      <c r="BF57" s="105">
        <f>IF(BF52&lt;$C50,SUMIFS('Monthly CF''s'!$P$38:$BK$38,'Monthly CF''s'!$P$2:$BK$2,"="&amp;BF52),0)</f>
        <v>473322.48895716178</v>
      </c>
      <c r="BG57" s="105">
        <f>IF(BG52&lt;$C50,SUMIFS('Monthly CF''s'!$P$38:$BK$38,'Monthly CF''s'!$P$2:$BK$2,"="&amp;BG52),0)</f>
        <v>473322.48895716178</v>
      </c>
      <c r="BH57" s="105">
        <f>IF(BH52&lt;$C50,SUMIFS('Monthly CF''s'!$P$38:$BK$38,'Monthly CF''s'!$P$2:$BK$2,"="&amp;BH52),0)</f>
        <v>488592.72889352532</v>
      </c>
      <c r="BI57" s="105">
        <f>IF(BI52&lt;$C50,SUMIFS('Monthly CF''s'!$P$38:$BK$38,'Monthly CF''s'!$P$2:$BK$2,"="&amp;BI52),0)</f>
        <v>488592.72889352532</v>
      </c>
      <c r="BJ57" s="105">
        <f>IF(BJ52&lt;$C50,SUMIFS('Monthly CF''s'!$P$38:$BK$38,'Monthly CF''s'!$P$2:$BK$2,"="&amp;BJ52),0)</f>
        <v>488592.72889352532</v>
      </c>
      <c r="BK57" s="105">
        <f>IF(BK52&lt;$C50,SUMIFS('Monthly CF''s'!$P$38:$BK$38,'Monthly CF''s'!$P$2:$BK$2,"="&amp;BK52),0)</f>
        <v>488592.72889352532</v>
      </c>
      <c r="BL57" s="105">
        <f>IF(BL52&lt;$C50,SUMIFS('Monthly CF''s'!$P$38:$BK$38,'Monthly CF''s'!$P$2:$BK$2,"="&amp;BL52),0)</f>
        <v>488592.72889352532</v>
      </c>
      <c r="BM57" s="105">
        <f>IF(BM52&lt;$C50,SUMIFS('Monthly CF''s'!$P$38:$BK$38,'Monthly CF''s'!$P$2:$BK$2,"="&amp;BM52),0)</f>
        <v>0</v>
      </c>
      <c r="BN57" s="105">
        <f>IF(BN52&lt;$C50,SUMIFS('Monthly CF''s'!$P$38:$BK$38,'Monthly CF''s'!$P$2:$BK$2,"="&amp;BN52),0)</f>
        <v>0</v>
      </c>
      <c r="BO57" s="105">
        <f>IF(BO52&lt;$C50,SUMIFS('Monthly CF''s'!$P$38:$BK$38,'Monthly CF''s'!$P$2:$BK$2,"="&amp;BO52),0)</f>
        <v>0</v>
      </c>
      <c r="BP57" s="105">
        <f>IF(BP52&lt;$C50,SUMIFS('Monthly CF''s'!$P$38:$BK$38,'Monthly CF''s'!$P$2:$BK$2,"="&amp;BP52),0)</f>
        <v>0</v>
      </c>
      <c r="BQ57" s="105">
        <f>IF(BQ52&lt;$C50,SUMIFS('Monthly CF''s'!$P$38:$BK$38,'Monthly CF''s'!$P$2:$BK$2,"="&amp;BQ52),0)</f>
        <v>0</v>
      </c>
      <c r="BR57" s="105">
        <f>IF(BR52&lt;$C50,SUMIFS('Monthly CF''s'!$P$38:$BK$38,'Monthly CF''s'!$P$2:$BK$2,"="&amp;BR52),0)</f>
        <v>0</v>
      </c>
      <c r="BS57" s="105">
        <f>IF(BS52&lt;$C50,SUMIFS('Monthly CF''s'!$P$40:$BK$40,'Monthly CF''s'!$P$2:$BK$2,"="&amp;BS52),0)</f>
        <v>0</v>
      </c>
      <c r="BT57" s="105">
        <f>IF(BT52&lt;$C50,SUMIFS('Monthly CF''s'!$P$40:$BK$40,'Monthly CF''s'!$P$2:$BK$2,"="&amp;BT52),0)</f>
        <v>0</v>
      </c>
      <c r="BU57" s="105">
        <f>IF(BU52&lt;$C50,SUMIFS('Monthly CF''s'!$P$40:$BK$40,'Monthly CF''s'!$P$2:$BK$2,"="&amp;BU52),0)</f>
        <v>0</v>
      </c>
      <c r="BV57" s="105">
        <f>IF(BV52&lt;$C50,SUMIFS('Monthly CF''s'!$P$40:$BK$40,'Monthly CF''s'!$P$2:$BK$2,"="&amp;BV52),0)</f>
        <v>0</v>
      </c>
      <c r="BW57" s="105">
        <f>IF(BW52&lt;$C50,SUMIFS('Monthly CF''s'!$P$40:$BK$40,'Monthly CF''s'!$P$2:$BK$2,"="&amp;BW52),0)</f>
        <v>0</v>
      </c>
      <c r="BX57" s="105">
        <f>IF(BX52&lt;$C50,SUMIFS('Monthly CF''s'!$P$40:$BK$40,'Monthly CF''s'!$P$2:$BK$2,"="&amp;BX52),0)</f>
        <v>0</v>
      </c>
      <c r="BY57" s="105">
        <f>IF(BY52&lt;$C50,SUMIFS('Monthly CF''s'!$P$40:$BK$40,'Monthly CF''s'!$P$2:$BK$2,"="&amp;BY52),0)</f>
        <v>0</v>
      </c>
    </row>
    <row r="58" spans="1:77">
      <c r="A58">
        <v>7</v>
      </c>
      <c r="B58" s="168"/>
      <c r="C58" s="5"/>
      <c r="D58" s="105"/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  <c r="AC58" s="105"/>
      <c r="AD58" s="105"/>
      <c r="AE58" s="105"/>
      <c r="AF58" s="105"/>
      <c r="AG58" s="105"/>
      <c r="AH58" s="105"/>
      <c r="AI58" s="105"/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105"/>
      <c r="BY58" s="105"/>
    </row>
    <row r="59" spans="1:77">
      <c r="A59">
        <v>8</v>
      </c>
      <c r="B59" s="168" t="s">
        <v>166</v>
      </c>
      <c r="C59" s="5"/>
      <c r="D59" s="105"/>
      <c r="E59" s="105">
        <f>IF(E52=$C50,Dashboard!$I$55+Dashboard!$I$57,0)</f>
        <v>0</v>
      </c>
      <c r="F59" s="105">
        <f>IF(F52=$C50,Dashboard!$I$55+Dashboard!$I$57,0)</f>
        <v>0</v>
      </c>
      <c r="G59" s="105">
        <f>IF(G52=$C50,Dashboard!$I$55+Dashboard!$I$57,0)</f>
        <v>0</v>
      </c>
      <c r="H59" s="105">
        <f>IF(H52=$C50,Dashboard!$I$55+Dashboard!$I$57,0)</f>
        <v>0</v>
      </c>
      <c r="I59" s="105">
        <f>IF(I52=$C50,Dashboard!$I$55+Dashboard!$I$57,0)</f>
        <v>0</v>
      </c>
      <c r="J59" s="105">
        <f>IF(J52=$C50,Dashboard!$I$55+Dashboard!$I$57,0)</f>
        <v>0</v>
      </c>
      <c r="K59" s="105">
        <f>IF(K52=$C50,Dashboard!$I$55+Dashboard!$I$57,0)</f>
        <v>0</v>
      </c>
      <c r="L59" s="105">
        <f>IF(L52=$C50,Dashboard!$I$55+Dashboard!$I$57,0)</f>
        <v>0</v>
      </c>
      <c r="M59" s="105">
        <f>IF(M52=$C50,Dashboard!$I$55+Dashboard!$I$57,0)</f>
        <v>0</v>
      </c>
      <c r="N59" s="105">
        <f>IF(N52=$C50,Dashboard!$I$55+Dashboard!$I$57,0)</f>
        <v>0</v>
      </c>
      <c r="O59" s="105">
        <f>IF(O52=$C50,Dashboard!$I$55+Dashboard!$I$57,0)</f>
        <v>0</v>
      </c>
      <c r="P59" s="105">
        <f>IF(P52=$C50,Dashboard!$I$55+Dashboard!$I$57,0)</f>
        <v>0</v>
      </c>
      <c r="Q59" s="105">
        <f>IF(Q52=$C50,Dashboard!$I$55+Dashboard!$I$57,0)</f>
        <v>0</v>
      </c>
      <c r="R59" s="105">
        <f>IF(R52=$C50,Dashboard!$I$55+Dashboard!$I$57,0)</f>
        <v>0</v>
      </c>
      <c r="S59" s="105">
        <f>IF(S52=$C50,Dashboard!$I$55+Dashboard!$I$57,0)</f>
        <v>0</v>
      </c>
      <c r="T59" s="105">
        <f>IF(T52=$C50,Dashboard!$I$55+Dashboard!$I$57,0)</f>
        <v>0</v>
      </c>
      <c r="U59" s="105">
        <f>IF(U52=$C50,Dashboard!$I$55+Dashboard!$I$57,0)</f>
        <v>0</v>
      </c>
      <c r="V59" s="105">
        <f>IF(V52=$C50,Dashboard!$I$55+Dashboard!$I$57,0)</f>
        <v>0</v>
      </c>
      <c r="W59" s="105">
        <f>IF(W52=$C50,Dashboard!$I$55+Dashboard!$I$57,0)</f>
        <v>0</v>
      </c>
      <c r="X59" s="105">
        <f>IF(X52=$C50,Dashboard!$I$55+Dashboard!$I$57,0)</f>
        <v>0</v>
      </c>
      <c r="Y59" s="105">
        <f>IF(Y52=$C50,Dashboard!$I$55+Dashboard!$I$57,0)</f>
        <v>0</v>
      </c>
      <c r="Z59" s="105">
        <f>IF(Z52=$C50,Dashboard!$I$55+Dashboard!$I$57,0)</f>
        <v>0</v>
      </c>
      <c r="AA59" s="105">
        <f>IF(AA52=$C50,Dashboard!$I$55+Dashboard!$I$57,0)</f>
        <v>0</v>
      </c>
      <c r="AB59" s="105">
        <f>IF(AB52=$C50,Dashboard!$I$55+Dashboard!$I$57,0)</f>
        <v>0</v>
      </c>
      <c r="AC59" s="105">
        <f>IF(AC52=$C50,Dashboard!$I$55+Dashboard!$I$57,0)</f>
        <v>0</v>
      </c>
      <c r="AD59" s="105">
        <f>IF(AD52=$C50,Dashboard!$I$55+Dashboard!$I$57,0)</f>
        <v>0</v>
      </c>
      <c r="AE59" s="105">
        <f>IF(AE52=$C50,Dashboard!$I$55+Dashboard!$I$57,0)</f>
        <v>0</v>
      </c>
      <c r="AF59" s="105">
        <f>IF(AF52=$C50,Dashboard!$I$55+Dashboard!$I$57,0)</f>
        <v>0</v>
      </c>
      <c r="AG59" s="105">
        <f>IF(AG52=$C50,Dashboard!$I$55+Dashboard!$I$57,0)</f>
        <v>0</v>
      </c>
      <c r="AH59" s="105">
        <f>IF(AH52=$C50,Dashboard!$I$55+Dashboard!$I$57,0)</f>
        <v>0</v>
      </c>
      <c r="AI59" s="105">
        <f>IF(AI52=$C50,Dashboard!$I$55+Dashboard!$I$57,0)</f>
        <v>0</v>
      </c>
      <c r="AJ59" s="105">
        <f>IF(AJ52=$C50,Dashboard!$I$55+Dashboard!$I$57,0)</f>
        <v>0</v>
      </c>
      <c r="AK59" s="105">
        <f>IF(AK52=$C50,Dashboard!$I$55+Dashboard!$I$57,0)</f>
        <v>0</v>
      </c>
      <c r="AL59" s="105">
        <f>IF(AL52=$C50,Dashboard!$I$55+Dashboard!$I$57,0)</f>
        <v>0</v>
      </c>
      <c r="AM59" s="105">
        <f>IF(AM52=$C50,Dashboard!$I$55+Dashboard!$I$57,0)</f>
        <v>0</v>
      </c>
      <c r="AN59" s="105">
        <f>IF(AN52=$C50,Dashboard!$I$55+Dashboard!$I$57,0)</f>
        <v>0</v>
      </c>
      <c r="AO59" s="105">
        <f>IF(AO52=$C50,Dashboard!$I$55+Dashboard!$I$57,0)</f>
        <v>0</v>
      </c>
      <c r="AP59" s="105">
        <f>IF(AP52=$C50,Dashboard!$I$55+Dashboard!$I$57,0)</f>
        <v>0</v>
      </c>
      <c r="AQ59" s="105">
        <f>IF(AQ52=$C50,Dashboard!$I$55+Dashboard!$I$57,0)</f>
        <v>0</v>
      </c>
      <c r="AR59" s="105">
        <f>IF(AR52=$C50,Dashboard!$I$55+Dashboard!$I$57,0)</f>
        <v>0</v>
      </c>
      <c r="AS59" s="105">
        <f>IF(AS52=$C50,Dashboard!$I$55+Dashboard!$I$57,0)</f>
        <v>0</v>
      </c>
      <c r="AT59" s="105">
        <f>IF(AT52=$C50,Dashboard!$I$55+Dashboard!$I$57,0)</f>
        <v>0</v>
      </c>
      <c r="AU59" s="105">
        <f>IF(AU52=$C50,Dashboard!$I$55+Dashboard!$I$57,0)</f>
        <v>0</v>
      </c>
      <c r="AV59" s="105">
        <f>IF(AV52=$C50,Dashboard!$I$55+Dashboard!$I$57,0)</f>
        <v>0</v>
      </c>
      <c r="AW59" s="105">
        <f>IF(AW52=$C50,Dashboard!$I$55+Dashboard!$I$57,0)</f>
        <v>0</v>
      </c>
      <c r="AX59" s="105">
        <f>IF(AX52=$C50,Dashboard!$I$55+Dashboard!$I$57,0)</f>
        <v>0</v>
      </c>
      <c r="AY59" s="105">
        <f>IF(AY52=$C50,Dashboard!$I$55+Dashboard!$I$57,0)</f>
        <v>0</v>
      </c>
      <c r="AZ59" s="105">
        <f>IF(AZ52=$C50,Dashboard!$I$55+Dashboard!$I$57,0)</f>
        <v>0</v>
      </c>
      <c r="BA59" s="105">
        <f>IF(BA52=$C50,Dashboard!$I$55+Dashboard!$I$57,0)</f>
        <v>0</v>
      </c>
      <c r="BB59" s="105">
        <f>IF(BB52=$C50,Dashboard!$I$55+Dashboard!$I$57,0)</f>
        <v>0</v>
      </c>
      <c r="BC59" s="105">
        <f>IF(BC52=$C50,Dashboard!$I$55+Dashboard!$I$57,0)</f>
        <v>0</v>
      </c>
      <c r="BD59" s="105">
        <f>IF(BD52=$C50,Dashboard!$I$55+Dashboard!$I$57,0)</f>
        <v>0</v>
      </c>
      <c r="BE59" s="105">
        <f>IF(BE52=$C50,Dashboard!$I$55+Dashboard!$I$57,0)</f>
        <v>0</v>
      </c>
      <c r="BF59" s="105">
        <f>IF(BF52=$C50,Dashboard!$I$55+Dashboard!$I$57,0)</f>
        <v>0</v>
      </c>
      <c r="BG59" s="105">
        <f>IF(BG52=$C50,Dashboard!$I$55+Dashboard!$I$57,0)</f>
        <v>0</v>
      </c>
      <c r="BH59" s="105">
        <f>IF(BH52=$C50,Dashboard!$I$55+Dashboard!$I$57,0)</f>
        <v>0</v>
      </c>
      <c r="BI59" s="105">
        <f>IF(BI52=$C50,Dashboard!$I$55+Dashboard!$I$57,0)</f>
        <v>0</v>
      </c>
      <c r="BJ59" s="105">
        <f>IF(BJ52=$C50,Dashboard!$I$55+Dashboard!$I$57,0)</f>
        <v>0</v>
      </c>
      <c r="BK59" s="105">
        <f>IF(BK52=$C50,Dashboard!$I$55+Dashboard!$I$57,0)</f>
        <v>0</v>
      </c>
      <c r="BL59" s="105">
        <f>IF(BL52=$C50,Dashboard!$I$55+Dashboard!$I$57,0)</f>
        <v>0</v>
      </c>
      <c r="BM59" s="105">
        <f>IF(BM52=$C50,Dashboard!$I$55+Dashboard!$I$57,0)</f>
        <v>102582464.06436822</v>
      </c>
      <c r="BN59" s="105">
        <f>IF(BN52=$C50,Dashboard!$I$55+Dashboard!$I$57,0)</f>
        <v>0</v>
      </c>
      <c r="BO59" s="105">
        <f>IF(BO52=$C50,Dashboard!$I$55+Dashboard!$I$57,0)</f>
        <v>0</v>
      </c>
      <c r="BP59" s="105">
        <f>IF(BP52=$C50,Dashboard!$I$55+Dashboard!$I$57,0)</f>
        <v>0</v>
      </c>
      <c r="BQ59" s="105">
        <f>IF(BQ52=$C50,Dashboard!$I$55+Dashboard!$I$57,0)</f>
        <v>0</v>
      </c>
      <c r="BR59" s="105">
        <f>IF(BR52=$C50,Dashboard!$I$55+Dashboard!$I$57,0)</f>
        <v>0</v>
      </c>
      <c r="BS59" s="105">
        <f>IF(BS52=$C50,Dashboard!$I$55+Dashboard!$I$57,0)</f>
        <v>0</v>
      </c>
      <c r="BT59" s="105">
        <f>IF(BT52=$C50,Dashboard!$I$55+Dashboard!$I$57,0)</f>
        <v>0</v>
      </c>
      <c r="BU59" s="105">
        <f>IF(BU52=$C50,Dashboard!$I$55+Dashboard!$I$57,0)</f>
        <v>0</v>
      </c>
      <c r="BV59" s="105">
        <f>IF(BV52=$C50,Dashboard!$I$55+Dashboard!$I$57,0)</f>
        <v>0</v>
      </c>
      <c r="BW59" s="105">
        <f>IF(BW52=$C50,Dashboard!$I$55+Dashboard!$I$57,0)</f>
        <v>0</v>
      </c>
      <c r="BX59" s="105">
        <f>IF(BX52=$C50,Dashboard!$I$55+Dashboard!$I$57,0)</f>
        <v>0</v>
      </c>
      <c r="BY59" s="105">
        <f>IF(BY52=$C50,Dashboard!$I$55+Dashboard!$I$57,0)</f>
        <v>0</v>
      </c>
    </row>
    <row r="60" spans="1:77" ht="6.75" customHeight="1">
      <c r="B60" s="168"/>
      <c r="C60" s="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05"/>
      <c r="W60" s="105"/>
      <c r="X60" s="105"/>
      <c r="Y60" s="105"/>
      <c r="Z60" s="105"/>
      <c r="AA60" s="105"/>
      <c r="AB60" s="105"/>
      <c r="AC60" s="105"/>
      <c r="AD60" s="105"/>
      <c r="AE60" s="105"/>
      <c r="AF60" s="105"/>
      <c r="AG60" s="105"/>
      <c r="AH60" s="105"/>
      <c r="AI60" s="105"/>
      <c r="AJ60" s="105"/>
      <c r="AK60" s="105"/>
      <c r="AL60" s="105"/>
      <c r="AM60" s="105"/>
      <c r="AN60" s="105"/>
      <c r="AO60" s="105"/>
      <c r="AP60" s="105"/>
      <c r="AQ60" s="105"/>
      <c r="AR60" s="105"/>
      <c r="AS60" s="105"/>
      <c r="AT60" s="105"/>
      <c r="AU60" s="105"/>
      <c r="AV60" s="105"/>
      <c r="AW60" s="105"/>
      <c r="AX60" s="105"/>
      <c r="AY60" s="105"/>
      <c r="AZ60" s="105"/>
      <c r="BA60" s="543"/>
      <c r="BB60" s="543"/>
      <c r="BC60" s="543"/>
      <c r="BD60" s="543"/>
      <c r="BE60" s="543"/>
      <c r="BF60" s="543"/>
      <c r="BG60" s="543"/>
      <c r="BH60" s="543"/>
      <c r="BI60" s="543"/>
      <c r="BJ60" s="543"/>
      <c r="BK60" s="543"/>
      <c r="BL60" s="543"/>
      <c r="BM60" s="543"/>
      <c r="BN60" s="543"/>
      <c r="BO60" s="543"/>
      <c r="BP60" s="543"/>
      <c r="BQ60" s="543"/>
      <c r="BR60" s="543"/>
      <c r="BS60" s="543"/>
      <c r="BT60" s="543"/>
      <c r="BU60" s="543"/>
      <c r="BV60" s="543"/>
      <c r="BW60" s="543"/>
      <c r="BX60" s="543"/>
      <c r="BY60" s="543"/>
    </row>
    <row r="61" spans="1:77">
      <c r="B61" s="492" t="s">
        <v>157</v>
      </c>
      <c r="C61" s="539"/>
      <c r="D61" s="493">
        <f>SUM(D57:D59)+D54</f>
        <v>-90052621.878451094</v>
      </c>
      <c r="E61" s="493">
        <f>SUM(E57:E59)+E54</f>
        <v>0</v>
      </c>
      <c r="F61" s="493">
        <f t="shared" ref="F61:AZ61" si="24">SUM(F57:F59)+F54</f>
        <v>0</v>
      </c>
      <c r="G61" s="493">
        <f t="shared" si="24"/>
        <v>0</v>
      </c>
      <c r="H61" s="493">
        <f t="shared" si="24"/>
        <v>0</v>
      </c>
      <c r="I61" s="493">
        <f t="shared" si="24"/>
        <v>0</v>
      </c>
      <c r="J61" s="493">
        <f t="shared" si="24"/>
        <v>0</v>
      </c>
      <c r="K61" s="493">
        <f t="shared" si="24"/>
        <v>0</v>
      </c>
      <c r="L61" s="493">
        <f t="shared" si="24"/>
        <v>0</v>
      </c>
      <c r="M61" s="493">
        <f t="shared" si="24"/>
        <v>0</v>
      </c>
      <c r="N61" s="493">
        <f t="shared" si="24"/>
        <v>0</v>
      </c>
      <c r="O61" s="493">
        <f t="shared" si="24"/>
        <v>0</v>
      </c>
      <c r="P61" s="493">
        <f t="shared" si="24"/>
        <v>0</v>
      </c>
      <c r="Q61" s="493">
        <f t="shared" si="24"/>
        <v>0</v>
      </c>
      <c r="R61" s="493">
        <f t="shared" si="24"/>
        <v>0</v>
      </c>
      <c r="S61" s="493">
        <f t="shared" si="24"/>
        <v>0</v>
      </c>
      <c r="T61" s="493">
        <f t="shared" si="24"/>
        <v>0</v>
      </c>
      <c r="U61" s="493">
        <f t="shared" si="24"/>
        <v>0</v>
      </c>
      <c r="V61" s="493">
        <f t="shared" si="24"/>
        <v>0</v>
      </c>
      <c r="W61" s="493">
        <f t="shared" si="24"/>
        <v>0</v>
      </c>
      <c r="X61" s="493">
        <f t="shared" si="24"/>
        <v>388297.5575419807</v>
      </c>
      <c r="Y61" s="493">
        <f t="shared" si="24"/>
        <v>388297.5575419807</v>
      </c>
      <c r="Z61" s="493">
        <f t="shared" si="24"/>
        <v>388297.5575419807</v>
      </c>
      <c r="AA61" s="493">
        <f t="shared" si="24"/>
        <v>388297.5575419807</v>
      </c>
      <c r="AB61" s="493">
        <f t="shared" si="24"/>
        <v>388297.5575419807</v>
      </c>
      <c r="AC61" s="493">
        <f t="shared" si="24"/>
        <v>388297.5575419807</v>
      </c>
      <c r="AD61" s="493">
        <f t="shared" si="24"/>
        <v>444163.49461249996</v>
      </c>
      <c r="AE61" s="493">
        <f t="shared" si="24"/>
        <v>444163.49461249996</v>
      </c>
      <c r="AF61" s="493">
        <f t="shared" si="24"/>
        <v>444163.49461249996</v>
      </c>
      <c r="AG61" s="493">
        <f t="shared" si="24"/>
        <v>444163.49461249996</v>
      </c>
      <c r="AH61" s="493">
        <f t="shared" si="24"/>
        <v>444163.49461249996</v>
      </c>
      <c r="AI61" s="493">
        <f t="shared" si="24"/>
        <v>444163.49461249996</v>
      </c>
      <c r="AJ61" s="493">
        <f t="shared" si="24"/>
        <v>458517.39336441673</v>
      </c>
      <c r="AK61" s="493">
        <f t="shared" si="24"/>
        <v>458517.39336441673</v>
      </c>
      <c r="AL61" s="493">
        <f t="shared" si="24"/>
        <v>458517.39336441673</v>
      </c>
      <c r="AM61" s="493">
        <f t="shared" si="24"/>
        <v>458517.39336441673</v>
      </c>
      <c r="AN61" s="493">
        <f t="shared" si="24"/>
        <v>458517.39336441673</v>
      </c>
      <c r="AO61" s="493">
        <f t="shared" si="24"/>
        <v>458517.39336441673</v>
      </c>
      <c r="AP61" s="493">
        <f t="shared" si="24"/>
        <v>458517.39336441673</v>
      </c>
      <c r="AQ61" s="493">
        <f t="shared" si="24"/>
        <v>458517.39336441673</v>
      </c>
      <c r="AR61" s="493">
        <f t="shared" si="24"/>
        <v>458517.39336441673</v>
      </c>
      <c r="AS61" s="493">
        <f t="shared" si="24"/>
        <v>458517.39336441673</v>
      </c>
      <c r="AT61" s="493">
        <f t="shared" si="24"/>
        <v>458517.39336441673</v>
      </c>
      <c r="AU61" s="493">
        <f t="shared" si="24"/>
        <v>458517.39336441673</v>
      </c>
      <c r="AV61" s="493">
        <f t="shared" si="24"/>
        <v>473322.48895716178</v>
      </c>
      <c r="AW61" s="493">
        <f t="shared" si="24"/>
        <v>473322.48895716178</v>
      </c>
      <c r="AX61" s="493">
        <f t="shared" si="24"/>
        <v>473322.48895716178</v>
      </c>
      <c r="AY61" s="493">
        <f t="shared" si="24"/>
        <v>473322.48895716178</v>
      </c>
      <c r="AZ61" s="493">
        <f t="shared" si="24"/>
        <v>473322.48895716178</v>
      </c>
      <c r="BA61" s="493">
        <f t="shared" ref="BA61:BF61" si="25">SUM(BA57:BA59)+BA54</f>
        <v>473322.48895716178</v>
      </c>
      <c r="BB61" s="493">
        <f t="shared" si="25"/>
        <v>473322.48895716178</v>
      </c>
      <c r="BC61" s="493">
        <f t="shared" si="25"/>
        <v>473322.48895716178</v>
      </c>
      <c r="BD61" s="493">
        <f t="shared" si="25"/>
        <v>473322.48895716178</v>
      </c>
      <c r="BE61" s="493">
        <f t="shared" si="25"/>
        <v>473322.48895716178</v>
      </c>
      <c r="BF61" s="493">
        <f t="shared" si="25"/>
        <v>473322.48895716178</v>
      </c>
      <c r="BG61" s="493">
        <f t="shared" ref="BG61:BN61" si="26">SUM(BG57:BG59)+BG54</f>
        <v>473322.48895716178</v>
      </c>
      <c r="BH61" s="493">
        <f t="shared" si="26"/>
        <v>488592.72889352532</v>
      </c>
      <c r="BI61" s="493">
        <f t="shared" si="26"/>
        <v>488592.72889352532</v>
      </c>
      <c r="BJ61" s="493">
        <f t="shared" si="26"/>
        <v>488592.72889352532</v>
      </c>
      <c r="BK61" s="493">
        <f t="shared" si="26"/>
        <v>488592.72889352532</v>
      </c>
      <c r="BL61" s="493">
        <f t="shared" si="26"/>
        <v>488592.72889352532</v>
      </c>
      <c r="BM61" s="493">
        <f t="shared" si="26"/>
        <v>102582464.06436822</v>
      </c>
      <c r="BN61" s="493">
        <f t="shared" si="26"/>
        <v>0</v>
      </c>
      <c r="BO61" s="493">
        <f t="shared" ref="BO61:BY61" si="27">SUM(BO57:BO59)+BO54</f>
        <v>0</v>
      </c>
      <c r="BP61" s="493">
        <f t="shared" si="27"/>
        <v>0</v>
      </c>
      <c r="BQ61" s="493">
        <f t="shared" si="27"/>
        <v>0</v>
      </c>
      <c r="BR61" s="493">
        <f t="shared" si="27"/>
        <v>0</v>
      </c>
      <c r="BS61" s="493">
        <f t="shared" si="27"/>
        <v>0</v>
      </c>
      <c r="BT61" s="493">
        <f t="shared" si="27"/>
        <v>0</v>
      </c>
      <c r="BU61" s="493">
        <f t="shared" si="27"/>
        <v>0</v>
      </c>
      <c r="BV61" s="493">
        <f t="shared" si="27"/>
        <v>0</v>
      </c>
      <c r="BW61" s="493">
        <f t="shared" si="27"/>
        <v>0</v>
      </c>
      <c r="BX61" s="493">
        <f t="shared" si="27"/>
        <v>0</v>
      </c>
      <c r="BY61" s="493">
        <f t="shared" si="27"/>
        <v>0</v>
      </c>
    </row>
    <row r="62" spans="1:77">
      <c r="B62" s="206" t="s">
        <v>91</v>
      </c>
      <c r="C62" s="208">
        <f>XIRR(D61:BS61,D52:BS52)</f>
        <v>6.3521406054496757E-2</v>
      </c>
      <c r="D62" s="151"/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  <c r="AC62" s="151"/>
      <c r="AD62" s="151"/>
      <c r="AE62" s="151"/>
      <c r="AF62" s="151"/>
      <c r="AG62" s="151"/>
      <c r="AH62" s="151"/>
      <c r="AI62" s="151"/>
      <c r="AJ62" s="151"/>
      <c r="AK62" s="151"/>
      <c r="AL62" s="151"/>
      <c r="AM62" s="151"/>
      <c r="AN62" s="151"/>
      <c r="AO62" s="151"/>
      <c r="AP62" s="151"/>
      <c r="AQ62" s="151"/>
      <c r="AR62" s="151"/>
      <c r="AS62" s="151"/>
      <c r="AT62" s="151"/>
      <c r="AU62" s="151"/>
      <c r="AV62" s="151"/>
      <c r="AW62" s="151"/>
      <c r="AX62" s="151"/>
      <c r="AY62" s="151"/>
      <c r="AZ62" s="151"/>
    </row>
    <row r="63" spans="1:77">
      <c r="B63" s="207" t="s">
        <v>92</v>
      </c>
      <c r="C63" s="852">
        <f>SUM(E61:BS61)/-D54</f>
        <v>1.3459049840127357</v>
      </c>
      <c r="D63" s="151"/>
      <c r="E63" s="151"/>
      <c r="F63" s="151"/>
      <c r="G63" s="151"/>
      <c r="H63" s="151"/>
      <c r="I63" s="151"/>
      <c r="J63" s="151"/>
      <c r="K63" s="151"/>
      <c r="L63" s="151"/>
      <c r="M63" s="151"/>
      <c r="N63" s="151"/>
      <c r="O63" s="151"/>
      <c r="P63" s="151"/>
      <c r="Q63" s="151"/>
      <c r="R63" s="151"/>
      <c r="S63" s="151"/>
      <c r="T63" s="151"/>
      <c r="U63" s="151"/>
      <c r="V63" s="151"/>
      <c r="W63" s="151"/>
      <c r="X63" s="151"/>
      <c r="Y63" s="151"/>
      <c r="Z63" s="151"/>
      <c r="AA63" s="151"/>
      <c r="AB63" s="151"/>
      <c r="AC63" s="151"/>
      <c r="AD63" s="151"/>
      <c r="AE63" s="151"/>
      <c r="AF63" s="151"/>
      <c r="AG63" s="151"/>
      <c r="AH63" s="151"/>
      <c r="AI63" s="151"/>
      <c r="AJ63" s="151"/>
      <c r="AK63" s="151"/>
      <c r="AL63" s="151"/>
      <c r="AM63" s="151"/>
      <c r="AN63" s="151"/>
      <c r="AO63" s="151"/>
      <c r="AP63" s="151"/>
      <c r="AQ63" s="151"/>
      <c r="AR63" s="151"/>
      <c r="AS63" s="151"/>
      <c r="AT63" s="151"/>
      <c r="AU63" s="151"/>
      <c r="AV63" s="151"/>
      <c r="AW63" s="151"/>
      <c r="AX63" s="151"/>
      <c r="AY63" s="151"/>
      <c r="AZ63" s="151"/>
    </row>
    <row r="66" spans="1:78" ht="15.75">
      <c r="B66" s="845" t="s">
        <v>89</v>
      </c>
      <c r="C66" s="846">
        <f>Dashboard!B67</f>
        <v>47880</v>
      </c>
      <c r="BA66" s="42"/>
      <c r="BB66" s="42"/>
      <c r="BC66" s="42"/>
      <c r="BD66" s="42"/>
      <c r="BE66" s="42"/>
      <c r="BF66" s="42"/>
      <c r="BG66" s="42"/>
      <c r="BH66" s="42"/>
      <c r="BI66" s="42"/>
      <c r="BJ66" s="42"/>
      <c r="BK66" s="42"/>
      <c r="BL66" s="42"/>
      <c r="BM66" s="42"/>
      <c r="BN66" s="42"/>
      <c r="BO66" s="42"/>
    </row>
    <row r="67" spans="1:78" ht="15.75">
      <c r="B67" s="847" t="s">
        <v>81</v>
      </c>
      <c r="C67" s="848">
        <f>Dashboard!C67</f>
        <v>6.083333333333333</v>
      </c>
      <c r="BA67" s="42"/>
      <c r="BB67" s="42"/>
      <c r="BC67" s="42"/>
      <c r="BD67" s="42"/>
      <c r="BE67" s="42"/>
      <c r="BF67" s="42"/>
      <c r="BG67" s="42"/>
      <c r="BH67" s="42"/>
      <c r="BI67" s="42"/>
      <c r="BJ67" s="42"/>
      <c r="BK67" s="42"/>
      <c r="BL67" s="42"/>
      <c r="BM67" s="42"/>
      <c r="BN67" s="42"/>
      <c r="BO67" s="42"/>
    </row>
    <row r="68" spans="1:78" ht="21" customHeight="1">
      <c r="A68">
        <v>1</v>
      </c>
      <c r="B68" s="850" t="s">
        <v>115</v>
      </c>
      <c r="C68" s="850"/>
      <c r="D68" s="851">
        <f>+Dashboard!$F$54</f>
        <v>45658</v>
      </c>
      <c r="E68" s="770">
        <f>IF((D68+1)=$C66,$C66,EOMONTH(D68,1))</f>
        <v>45716</v>
      </c>
      <c r="F68" s="770">
        <f>IF((E68+1)=$C66,$C66,EOMONTH(E68,1))</f>
        <v>45747</v>
      </c>
      <c r="G68" s="770">
        <f t="shared" ref="G68:BR68" si="28">IF((F68+1)=$C66,$C66,EOMONTH(F68,1))</f>
        <v>45777</v>
      </c>
      <c r="H68" s="770">
        <f t="shared" si="28"/>
        <v>45808</v>
      </c>
      <c r="I68" s="770">
        <f t="shared" si="28"/>
        <v>45838</v>
      </c>
      <c r="J68" s="770">
        <f t="shared" si="28"/>
        <v>45869</v>
      </c>
      <c r="K68" s="770">
        <f t="shared" si="28"/>
        <v>45900</v>
      </c>
      <c r="L68" s="770">
        <f t="shared" si="28"/>
        <v>45930</v>
      </c>
      <c r="M68" s="770">
        <f t="shared" si="28"/>
        <v>45961</v>
      </c>
      <c r="N68" s="770">
        <f t="shared" si="28"/>
        <v>45991</v>
      </c>
      <c r="O68" s="770">
        <f t="shared" si="28"/>
        <v>46022</v>
      </c>
      <c r="P68" s="770">
        <f t="shared" si="28"/>
        <v>46053</v>
      </c>
      <c r="Q68" s="770">
        <f t="shared" si="28"/>
        <v>46081</v>
      </c>
      <c r="R68" s="770">
        <f t="shared" si="28"/>
        <v>46112</v>
      </c>
      <c r="S68" s="770">
        <f t="shared" si="28"/>
        <v>46142</v>
      </c>
      <c r="T68" s="770">
        <f t="shared" si="28"/>
        <v>46173</v>
      </c>
      <c r="U68" s="770">
        <f t="shared" si="28"/>
        <v>46203</v>
      </c>
      <c r="V68" s="770">
        <f t="shared" si="28"/>
        <v>46234</v>
      </c>
      <c r="W68" s="770">
        <f t="shared" si="28"/>
        <v>46265</v>
      </c>
      <c r="X68" s="770">
        <f t="shared" si="28"/>
        <v>46295</v>
      </c>
      <c r="Y68" s="770">
        <f t="shared" si="28"/>
        <v>46326</v>
      </c>
      <c r="Z68" s="770">
        <f t="shared" si="28"/>
        <v>46356</v>
      </c>
      <c r="AA68" s="770">
        <f t="shared" si="28"/>
        <v>46387</v>
      </c>
      <c r="AB68" s="770">
        <f t="shared" si="28"/>
        <v>46418</v>
      </c>
      <c r="AC68" s="770">
        <f t="shared" si="28"/>
        <v>46446</v>
      </c>
      <c r="AD68" s="770">
        <f t="shared" si="28"/>
        <v>46477</v>
      </c>
      <c r="AE68" s="770">
        <f t="shared" si="28"/>
        <v>46507</v>
      </c>
      <c r="AF68" s="770">
        <f t="shared" si="28"/>
        <v>46538</v>
      </c>
      <c r="AG68" s="770">
        <f t="shared" si="28"/>
        <v>46568</v>
      </c>
      <c r="AH68" s="770">
        <f t="shared" si="28"/>
        <v>46599</v>
      </c>
      <c r="AI68" s="770">
        <f t="shared" si="28"/>
        <v>46630</v>
      </c>
      <c r="AJ68" s="770">
        <f t="shared" si="28"/>
        <v>46660</v>
      </c>
      <c r="AK68" s="770">
        <f t="shared" si="28"/>
        <v>46691</v>
      </c>
      <c r="AL68" s="770">
        <f t="shared" si="28"/>
        <v>46721</v>
      </c>
      <c r="AM68" s="770">
        <f t="shared" si="28"/>
        <v>46752</v>
      </c>
      <c r="AN68" s="770">
        <f t="shared" si="28"/>
        <v>46783</v>
      </c>
      <c r="AO68" s="770">
        <f t="shared" si="28"/>
        <v>46812</v>
      </c>
      <c r="AP68" s="770">
        <f t="shared" si="28"/>
        <v>46843</v>
      </c>
      <c r="AQ68" s="770">
        <f t="shared" si="28"/>
        <v>46873</v>
      </c>
      <c r="AR68" s="770">
        <f t="shared" si="28"/>
        <v>46904</v>
      </c>
      <c r="AS68" s="770">
        <f t="shared" si="28"/>
        <v>46934</v>
      </c>
      <c r="AT68" s="770">
        <f t="shared" si="28"/>
        <v>46965</v>
      </c>
      <c r="AU68" s="770">
        <f t="shared" si="28"/>
        <v>46996</v>
      </c>
      <c r="AV68" s="770">
        <f t="shared" si="28"/>
        <v>47026</v>
      </c>
      <c r="AW68" s="770">
        <f t="shared" si="28"/>
        <v>47057</v>
      </c>
      <c r="AX68" s="770">
        <f t="shared" si="28"/>
        <v>47087</v>
      </c>
      <c r="AY68" s="770">
        <f t="shared" si="28"/>
        <v>47118</v>
      </c>
      <c r="AZ68" s="770">
        <f t="shared" si="28"/>
        <v>47149</v>
      </c>
      <c r="BA68" s="770">
        <f t="shared" si="28"/>
        <v>47177</v>
      </c>
      <c r="BB68" s="770">
        <f t="shared" si="28"/>
        <v>47208</v>
      </c>
      <c r="BC68" s="770">
        <f t="shared" si="28"/>
        <v>47238</v>
      </c>
      <c r="BD68" s="770">
        <f t="shared" si="28"/>
        <v>47269</v>
      </c>
      <c r="BE68" s="770">
        <f t="shared" si="28"/>
        <v>47299</v>
      </c>
      <c r="BF68" s="770">
        <f t="shared" si="28"/>
        <v>47330</v>
      </c>
      <c r="BG68" s="770">
        <f t="shared" si="28"/>
        <v>47361</v>
      </c>
      <c r="BH68" s="770">
        <f t="shared" si="28"/>
        <v>47391</v>
      </c>
      <c r="BI68" s="770">
        <f t="shared" si="28"/>
        <v>47422</v>
      </c>
      <c r="BJ68" s="770">
        <f t="shared" si="28"/>
        <v>47452</v>
      </c>
      <c r="BK68" s="770">
        <f t="shared" si="28"/>
        <v>47483</v>
      </c>
      <c r="BL68" s="770">
        <f t="shared" si="28"/>
        <v>47514</v>
      </c>
      <c r="BM68" s="770">
        <f t="shared" si="28"/>
        <v>47542</v>
      </c>
      <c r="BN68" s="770">
        <f t="shared" si="28"/>
        <v>47573</v>
      </c>
      <c r="BO68" s="770">
        <f t="shared" si="28"/>
        <v>47603</v>
      </c>
      <c r="BP68" s="770">
        <f t="shared" si="28"/>
        <v>47634</v>
      </c>
      <c r="BQ68" s="770">
        <f t="shared" si="28"/>
        <v>47664</v>
      </c>
      <c r="BR68" s="770">
        <f t="shared" si="28"/>
        <v>47695</v>
      </c>
      <c r="BS68" s="770">
        <f t="shared" ref="BS68:BZ68" si="29">IF((BR68+1)=$C66,$C66,EOMONTH(BR68,1))</f>
        <v>47726</v>
      </c>
      <c r="BT68" s="770">
        <f t="shared" si="29"/>
        <v>47756</v>
      </c>
      <c r="BU68" s="770">
        <f t="shared" si="29"/>
        <v>47787</v>
      </c>
      <c r="BV68" s="770">
        <f t="shared" si="29"/>
        <v>47817</v>
      </c>
      <c r="BW68" s="770">
        <f t="shared" si="29"/>
        <v>47848</v>
      </c>
      <c r="BX68" s="770">
        <f t="shared" si="29"/>
        <v>47879</v>
      </c>
      <c r="BY68" s="770">
        <f t="shared" si="29"/>
        <v>47880</v>
      </c>
      <c r="BZ68" s="770">
        <f t="shared" si="29"/>
        <v>47938</v>
      </c>
    </row>
    <row r="69" spans="1:78">
      <c r="A69">
        <v>2</v>
      </c>
      <c r="B69" s="184" t="s">
        <v>162</v>
      </c>
      <c r="C69" s="29"/>
      <c r="D69" s="105"/>
      <c r="E69" s="105"/>
      <c r="F69" s="105"/>
      <c r="G69" s="105"/>
      <c r="H69" s="105"/>
      <c r="I69" s="105"/>
      <c r="J69" s="105"/>
      <c r="K69" s="105"/>
      <c r="L69" s="105"/>
      <c r="M69" s="105"/>
      <c r="N69" s="105"/>
      <c r="O69" s="105"/>
      <c r="P69" s="105"/>
      <c r="Q69" s="105"/>
      <c r="R69" s="105"/>
      <c r="S69" s="105"/>
      <c r="T69" s="105"/>
      <c r="U69" s="105"/>
      <c r="V69" s="105"/>
      <c r="W69" s="105"/>
      <c r="X69" s="105"/>
      <c r="Y69" s="105"/>
      <c r="Z69" s="105"/>
      <c r="AA69" s="105"/>
      <c r="AB69" s="105"/>
      <c r="AC69" s="105"/>
      <c r="AD69" s="105"/>
      <c r="AE69" s="105"/>
      <c r="AF69" s="105"/>
      <c r="AG69" s="105"/>
      <c r="AH69" s="105"/>
      <c r="AI69" s="105"/>
      <c r="AJ69" s="105"/>
      <c r="AK69" s="105"/>
      <c r="AL69" s="105"/>
      <c r="AM69" s="105"/>
      <c r="AN69" s="105"/>
      <c r="AO69" s="105"/>
      <c r="AP69" s="105"/>
      <c r="AQ69" s="105"/>
      <c r="AR69" s="105"/>
      <c r="AS69" s="105"/>
      <c r="AT69" s="105"/>
      <c r="AU69" s="105"/>
      <c r="AV69" s="105"/>
      <c r="AW69" s="105"/>
      <c r="AX69" s="105"/>
      <c r="AY69" s="105"/>
      <c r="AZ69" s="105"/>
      <c r="BA69" s="541"/>
      <c r="BB69" s="541"/>
      <c r="BC69" s="541"/>
      <c r="BD69" s="541"/>
      <c r="BE69" s="541"/>
      <c r="BF69" s="541"/>
      <c r="BG69" s="541"/>
      <c r="BH69" s="541"/>
      <c r="BI69" s="541"/>
      <c r="BJ69" s="541"/>
      <c r="BK69" s="541"/>
      <c r="BL69" s="541"/>
      <c r="BM69" s="541"/>
      <c r="BN69" s="541"/>
      <c r="BO69" s="541"/>
      <c r="BP69" s="541"/>
      <c r="BQ69" s="541"/>
      <c r="BR69" s="541"/>
      <c r="BS69" s="541"/>
      <c r="BT69" s="541"/>
      <c r="BU69" s="541"/>
      <c r="BV69" s="541"/>
      <c r="BW69" s="541"/>
      <c r="BX69" s="541"/>
      <c r="BY69" s="541"/>
      <c r="BZ69" s="541"/>
    </row>
    <row r="70" spans="1:78">
      <c r="A70">
        <v>3</v>
      </c>
      <c r="B70" s="168" t="s">
        <v>8</v>
      </c>
      <c r="C70" s="5"/>
      <c r="D70" s="105">
        <f>+-Dashboard!$C$43+1500000</f>
        <v>-90052621.878451094</v>
      </c>
      <c r="E70" s="105"/>
      <c r="F70" s="105"/>
      <c r="G70" s="105"/>
      <c r="H70" s="105"/>
      <c r="I70" s="105"/>
      <c r="J70" s="105"/>
      <c r="K70" s="105"/>
      <c r="L70" s="105"/>
      <c r="M70" s="105"/>
      <c r="N70" s="105"/>
      <c r="O70" s="105"/>
      <c r="P70" s="105"/>
      <c r="Q70" s="105"/>
      <c r="R70" s="105"/>
      <c r="S70" s="105"/>
      <c r="T70" s="105"/>
      <c r="U70" s="105"/>
      <c r="V70" s="105"/>
      <c r="W70" s="105"/>
      <c r="X70" s="105"/>
      <c r="Y70" s="105"/>
      <c r="Z70" s="105"/>
      <c r="AA70" s="105"/>
      <c r="AB70" s="105"/>
      <c r="AC70" s="105"/>
      <c r="AD70" s="105"/>
      <c r="AE70" s="105"/>
      <c r="AF70" s="105"/>
      <c r="AG70" s="105"/>
      <c r="AH70" s="105"/>
      <c r="AI70" s="105"/>
      <c r="AJ70" s="105"/>
      <c r="AK70" s="105"/>
      <c r="AL70" s="105"/>
      <c r="AM70" s="105"/>
      <c r="AN70" s="105"/>
      <c r="AO70" s="105"/>
      <c r="AP70" s="105"/>
      <c r="AQ70" s="105"/>
      <c r="AR70" s="105"/>
      <c r="AS70" s="105"/>
      <c r="AT70" s="105"/>
      <c r="AU70" s="105"/>
      <c r="AV70" s="105"/>
      <c r="AW70" s="105"/>
      <c r="AX70" s="105"/>
      <c r="AY70" s="105"/>
      <c r="AZ70" s="105"/>
      <c r="BA70" s="105"/>
      <c r="BB70" s="105"/>
      <c r="BC70" s="105"/>
      <c r="BD70" s="105"/>
      <c r="BE70" s="105"/>
      <c r="BF70" s="105"/>
      <c r="BG70" s="105"/>
      <c r="BH70" s="105"/>
      <c r="BI70" s="105"/>
      <c r="BJ70" s="105"/>
      <c r="BK70" s="105"/>
      <c r="BL70" s="105"/>
      <c r="BM70" s="105"/>
      <c r="BN70" s="105"/>
      <c r="BO70" s="105"/>
      <c r="BP70" s="105"/>
      <c r="BQ70" s="105"/>
      <c r="BR70" s="105"/>
      <c r="BS70" s="105"/>
      <c r="BT70" s="105"/>
      <c r="BU70" s="105"/>
      <c r="BV70" s="105"/>
      <c r="BW70" s="105"/>
      <c r="BX70" s="105"/>
      <c r="BY70" s="105"/>
      <c r="BZ70" s="105"/>
    </row>
    <row r="71" spans="1:78" ht="6.75" customHeight="1">
      <c r="A71">
        <v>4</v>
      </c>
      <c r="B71" s="168"/>
      <c r="C71" s="5"/>
      <c r="D71" s="105"/>
      <c r="E71" s="105"/>
      <c r="F71" s="105"/>
      <c r="G71" s="105"/>
      <c r="H71" s="105"/>
      <c r="I71" s="105"/>
      <c r="J71" s="105"/>
      <c r="K71" s="105"/>
      <c r="L71" s="105"/>
      <c r="M71" s="105"/>
      <c r="N71" s="105"/>
      <c r="O71" s="105"/>
      <c r="P71" s="105"/>
      <c r="Q71" s="105"/>
      <c r="R71" s="105"/>
      <c r="S71" s="105"/>
      <c r="T71" s="105"/>
      <c r="U71" s="105"/>
      <c r="V71" s="105"/>
      <c r="W71" s="105"/>
      <c r="X71" s="105"/>
      <c r="Y71" s="105"/>
      <c r="Z71" s="105"/>
      <c r="AA71" s="105"/>
      <c r="AB71" s="105"/>
      <c r="AC71" s="105"/>
      <c r="AD71" s="105"/>
      <c r="AE71" s="105"/>
      <c r="AF71" s="105"/>
      <c r="AG71" s="105"/>
      <c r="AH71" s="105"/>
      <c r="AI71" s="105"/>
      <c r="AJ71" s="105"/>
      <c r="AK71" s="105"/>
      <c r="AL71" s="105"/>
      <c r="AM71" s="105"/>
      <c r="AN71" s="105"/>
      <c r="AO71" s="105"/>
      <c r="AP71" s="105"/>
      <c r="AQ71" s="105"/>
      <c r="AR71" s="105"/>
      <c r="AS71" s="105"/>
      <c r="AT71" s="105"/>
      <c r="AU71" s="105"/>
      <c r="AV71" s="105"/>
      <c r="AW71" s="105"/>
      <c r="AX71" s="105"/>
      <c r="AY71" s="105"/>
      <c r="AZ71" s="105"/>
      <c r="BA71" s="105"/>
      <c r="BB71" s="105"/>
      <c r="BC71" s="105"/>
      <c r="BD71" s="105"/>
      <c r="BE71" s="105"/>
      <c r="BF71" s="105"/>
      <c r="BG71" s="105"/>
      <c r="BH71" s="105"/>
      <c r="BI71" s="105"/>
      <c r="BJ71" s="105"/>
      <c r="BK71" s="105"/>
      <c r="BL71" s="105"/>
      <c r="BM71" s="105"/>
      <c r="BN71" s="105"/>
      <c r="BO71" s="105"/>
      <c r="BP71" s="105"/>
      <c r="BQ71" s="105"/>
      <c r="BR71" s="105"/>
      <c r="BS71" s="105"/>
      <c r="BT71" s="105"/>
      <c r="BU71" s="105"/>
      <c r="BV71" s="105"/>
      <c r="BW71" s="105"/>
      <c r="BX71" s="105"/>
      <c r="BY71" s="105"/>
      <c r="BZ71" s="105"/>
    </row>
    <row r="72" spans="1:78">
      <c r="A72">
        <v>5</v>
      </c>
      <c r="B72" s="185" t="s">
        <v>163</v>
      </c>
      <c r="C72" s="29"/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  <c r="P72" s="151"/>
      <c r="Q72" s="151"/>
      <c r="R72" s="151"/>
      <c r="S72" s="151"/>
      <c r="T72" s="151"/>
      <c r="U72" s="151"/>
      <c r="V72" s="151"/>
      <c r="W72" s="151"/>
      <c r="X72" s="151"/>
      <c r="Y72" s="151"/>
      <c r="Z72" s="151"/>
      <c r="AA72" s="151"/>
      <c r="AB72" s="151"/>
      <c r="AC72" s="151"/>
      <c r="AD72" s="151"/>
      <c r="AE72" s="151"/>
      <c r="AF72" s="151"/>
      <c r="AG72" s="151"/>
      <c r="AH72" s="151"/>
      <c r="AI72" s="151"/>
      <c r="AJ72" s="151"/>
      <c r="AK72" s="151"/>
      <c r="AL72" s="151"/>
      <c r="AM72" s="151"/>
      <c r="AN72" s="151"/>
      <c r="AO72" s="151"/>
      <c r="AP72" s="151"/>
      <c r="AQ72" s="151"/>
      <c r="AR72" s="151"/>
      <c r="AS72" s="151"/>
      <c r="AT72" s="151"/>
      <c r="AU72" s="151"/>
      <c r="AV72" s="151"/>
      <c r="AW72" s="151"/>
      <c r="AX72" s="151"/>
      <c r="AY72" s="151"/>
      <c r="AZ72" s="151"/>
      <c r="BA72" s="151"/>
      <c r="BB72" s="151"/>
      <c r="BC72" s="151"/>
      <c r="BD72" s="151"/>
      <c r="BE72" s="151"/>
      <c r="BF72" s="151"/>
      <c r="BG72" s="151"/>
      <c r="BH72" s="151"/>
      <c r="BI72" s="151"/>
      <c r="BJ72" s="151"/>
      <c r="BK72" s="151"/>
      <c r="BL72" s="151"/>
      <c r="BM72" s="151"/>
      <c r="BN72" s="151"/>
      <c r="BO72" s="151"/>
      <c r="BP72" s="151"/>
      <c r="BQ72" s="151"/>
      <c r="BR72" s="151"/>
      <c r="BS72" s="151"/>
      <c r="BT72" s="151"/>
      <c r="BU72" s="151"/>
      <c r="BV72" s="151"/>
      <c r="BW72" s="151"/>
      <c r="BX72" s="151"/>
      <c r="BY72" s="151"/>
      <c r="BZ72" s="151"/>
    </row>
    <row r="73" spans="1:78">
      <c r="A73">
        <v>6</v>
      </c>
      <c r="B73" s="168" t="s">
        <v>76</v>
      </c>
      <c r="C73" s="5"/>
      <c r="D73" s="105"/>
      <c r="E73" s="105">
        <f>IF(E68&lt;$C66,SUMIFS('Monthly CF''s'!$P$40:$BK$40,'Monthly CF''s'!$P$2:$BK$2,"="&amp;E68),0)</f>
        <v>0</v>
      </c>
      <c r="F73" s="105">
        <f>IF(F68&lt;$C66,SUMIFS('Monthly CF''s'!$P$40:$BK$40,'Monthly CF''s'!$P$2:$BK$2,"="&amp;F68),0)</f>
        <v>0</v>
      </c>
      <c r="G73" s="105">
        <f>IF(G68&lt;$C66,SUMIFS('Monthly CF''s'!$P$40:$BK$40,'Monthly CF''s'!$P$2:$BK$2,"="&amp;G68),0)</f>
        <v>0</v>
      </c>
      <c r="H73" s="105">
        <f>IF(H68&lt;$C66,SUMIFS('Monthly CF''s'!$P$40:$BK$40,'Monthly CF''s'!$P$2:$BK$2,"="&amp;H68),0)</f>
        <v>0</v>
      </c>
      <c r="I73" s="105">
        <f>IF(I68&lt;$C66,SUMIFS('Monthly CF''s'!$P$40:$BK$40,'Monthly CF''s'!$P$2:$BK$2,"="&amp;I68),0)</f>
        <v>0</v>
      </c>
      <c r="J73" s="105">
        <f>IF(J68&lt;$C66,SUMIFS('Monthly CF''s'!$P$40:$BK$40,'Monthly CF''s'!$P$2:$BK$2,"="&amp;J68),0)</f>
        <v>0</v>
      </c>
      <c r="K73" s="105">
        <f>IF(K68&lt;$C66,SUMIFS('Monthly CF''s'!$P$40:$BK$40,'Monthly CF''s'!$P$2:$BK$2,"="&amp;K68),0)</f>
        <v>0</v>
      </c>
      <c r="L73" s="105">
        <f>IF(L68&lt;$C66,SUMIFS('Monthly CF''s'!$P$40:$BK$40,'Monthly CF''s'!$P$2:$BK$2,"="&amp;L68),0)</f>
        <v>0</v>
      </c>
      <c r="M73" s="105">
        <f>IF(M68&lt;$C66,SUMIFS('Monthly CF''s'!$P$40:$BK$40,'Monthly CF''s'!$P$2:$BK$2,"="&amp;M68),0)</f>
        <v>0</v>
      </c>
      <c r="N73" s="105">
        <f>IF(N68&lt;$C66,SUMIFS('Monthly CF''s'!$P$40:$BK$40,'Monthly CF''s'!$P$2:$BK$2,"="&amp;N68),0)</f>
        <v>0</v>
      </c>
      <c r="O73" s="105">
        <f>IF(O68&lt;$C66,SUMIFS('Monthly CF''s'!$P$40:$BK$40,'Monthly CF''s'!$P$2:$BK$2,"="&amp;O68),0)</f>
        <v>0</v>
      </c>
      <c r="P73" s="105">
        <f>IF(P68&lt;$C66,SUMIFS('Monthly CF''s'!$P$40:$BK$40,'Monthly CF''s'!$P$2:$BK$2,"="&amp;P68),0)</f>
        <v>0</v>
      </c>
      <c r="Q73" s="105">
        <f>IF(Q68&lt;$C66,SUMIFS('Monthly CF''s'!$P$40:$BK$40,'Monthly CF''s'!$P$2:$BK$2,"="&amp;Q68),0)</f>
        <v>0</v>
      </c>
      <c r="R73" s="105">
        <f>IF(R68&lt;$C66,SUMIFS('Monthly CF''s'!$P$40:$BK$40,'Monthly CF''s'!$P$2:$BK$2,"="&amp;R68),0)</f>
        <v>0</v>
      </c>
      <c r="S73" s="105">
        <f>IF(S68&lt;$C66,SUMIFS('Monthly CF''s'!$P$40:$BK$40,'Monthly CF''s'!$P$2:$BK$2,"="&amp;S68),0)</f>
        <v>0</v>
      </c>
      <c r="T73" s="105">
        <f>IF(T68&lt;$C66,SUMIFS('Monthly CF''s'!$P$40:$BK$40,'Monthly CF''s'!$P$2:$BK$2,"="&amp;T68),0)</f>
        <v>0</v>
      </c>
      <c r="U73" s="105">
        <f>IF(U68&lt;$C66,SUMIFS('Monthly CF''s'!$P$40:$BK$40,'Monthly CF''s'!$P$2:$BK$2,"="&amp;U68),0)</f>
        <v>0</v>
      </c>
      <c r="V73" s="105">
        <f>IF(V68&lt;$C66,SUMIFS('Monthly CF''s'!$P$40:$BK$40,'Monthly CF''s'!$P$2:$BK$2,"="&amp;V68),0)</f>
        <v>0</v>
      </c>
      <c r="W73" s="105">
        <f>IF(W68&lt;$C66,SUMIFS('Monthly CF''s'!$P$40:$BK$40,'Monthly CF''s'!$P$2:$BK$2,"="&amp;W68),0)</f>
        <v>0</v>
      </c>
      <c r="X73" s="105">
        <f>IF(X68&lt;$C66,SUMIFS('Monthly CF''s'!$P$40:$BK$40,'Monthly CF''s'!$P$2:$BK$2,"="&amp;X68),0)</f>
        <v>388297.5575419807</v>
      </c>
      <c r="Y73" s="105">
        <f>IF(Y68&lt;$C66,SUMIFS('Monthly CF''s'!$P$40:$BK$40,'Monthly CF''s'!$P$2:$BK$2,"="&amp;Y68),0)</f>
        <v>388297.5575419807</v>
      </c>
      <c r="Z73" s="105">
        <f>IF(Z68&lt;$C66,SUMIFS('Monthly CF''s'!$P$40:$BK$40,'Monthly CF''s'!$P$2:$BK$2,"="&amp;Z68),0)</f>
        <v>388297.5575419807</v>
      </c>
      <c r="AA73" s="105">
        <f>IF(AA68&lt;$C66,SUMIFS('Monthly CF''s'!$P$40:$BK$40,'Monthly CF''s'!$P$2:$BK$2,"="&amp;AA68),0)</f>
        <v>388297.5575419807</v>
      </c>
      <c r="AB73" s="105">
        <f>IF(AB68&lt;$C66,SUMIFS('Monthly CF''s'!$P$40:$BK$40,'Monthly CF''s'!$P$2:$BK$2,"="&amp;AB68),0)</f>
        <v>388297.5575419807</v>
      </c>
      <c r="AC73" s="105">
        <f>IF(AC68&lt;$C66,SUMIFS('Monthly CF''s'!$P$40:$BK$40,'Monthly CF''s'!$P$2:$BK$2,"="&amp;AC68),0)</f>
        <v>388297.5575419807</v>
      </c>
      <c r="AD73" s="105">
        <f>IF(AD68&lt;$C66,SUMIFS('Monthly CF''s'!$P$38:$BK$38,'Monthly CF''s'!$P$2:$BK$2,"="&amp;AD68),0)</f>
        <v>444163.49461249996</v>
      </c>
      <c r="AE73" s="105">
        <f>IF(AE68&lt;$C66,SUMIFS('Monthly CF''s'!$P$38:$BK$38,'Monthly CF''s'!$P$2:$BK$2,"="&amp;AE68),0)</f>
        <v>444163.49461249996</v>
      </c>
      <c r="AF73" s="105">
        <f>IF(AF68&lt;$C66,SUMIFS('Monthly CF''s'!$P$38:$BK$38,'Monthly CF''s'!$P$2:$BK$2,"="&amp;AF68),0)</f>
        <v>444163.49461249996</v>
      </c>
      <c r="AG73" s="105">
        <f>IF(AG68&lt;$C66,SUMIFS('Monthly CF''s'!$P$38:$BK$38,'Monthly CF''s'!$P$2:$BK$2,"="&amp;AG68),0)</f>
        <v>444163.49461249996</v>
      </c>
      <c r="AH73" s="105">
        <f>IF(AH68&lt;$C66,SUMIFS('Monthly CF''s'!$P$38:$BK$38,'Monthly CF''s'!$P$2:$BK$2,"="&amp;AH68),0)</f>
        <v>444163.49461249996</v>
      </c>
      <c r="AI73" s="105">
        <f>IF(AI68&lt;$C66,SUMIFS('Monthly CF''s'!$P$38:$BK$38,'Monthly CF''s'!$P$2:$BK$2,"="&amp;AI68),0)</f>
        <v>444163.49461249996</v>
      </c>
      <c r="AJ73" s="105">
        <f>IF(AJ68&lt;$C66,SUMIFS('Monthly CF''s'!$P$38:$BK$38,'Monthly CF''s'!$P$2:$BK$2,"="&amp;AJ68),0)</f>
        <v>458517.39336441673</v>
      </c>
      <c r="AK73" s="105">
        <f>IF(AK68&lt;$C66,SUMIFS('Monthly CF''s'!$P$38:$BK$38,'Monthly CF''s'!$P$2:$BK$2,"="&amp;AK68),0)</f>
        <v>458517.39336441673</v>
      </c>
      <c r="AL73" s="105">
        <f>IF(AL68&lt;$C66,SUMIFS('Monthly CF''s'!$P$38:$BK$38,'Monthly CF''s'!$P$2:$BK$2,"="&amp;AL68),0)</f>
        <v>458517.39336441673</v>
      </c>
      <c r="AM73" s="105">
        <f>IF(AM68&lt;$C66,SUMIFS('Monthly CF''s'!$P$38:$BK$38,'Monthly CF''s'!$P$2:$BK$2,"="&amp;AM68),0)</f>
        <v>458517.39336441673</v>
      </c>
      <c r="AN73" s="105">
        <f>IF(AN68&lt;$C66,SUMIFS('Monthly CF''s'!$P$38:$BK$38,'Monthly CF''s'!$P$2:$BK$2,"="&amp;AN68),0)</f>
        <v>458517.39336441673</v>
      </c>
      <c r="AO73" s="105">
        <f>IF(AO68&lt;$C66,SUMIFS('Monthly CF''s'!$P$38:$BK$38,'Monthly CF''s'!$P$2:$BK$2,"="&amp;AO68),0)</f>
        <v>458517.39336441673</v>
      </c>
      <c r="AP73" s="105">
        <f>IF(AP68&lt;$C66,SUMIFS('Monthly CF''s'!$P$38:$BK$38,'Monthly CF''s'!$P$2:$BK$2,"="&amp;AP68),0)</f>
        <v>458517.39336441673</v>
      </c>
      <c r="AQ73" s="105">
        <f>IF(AQ68&lt;$C66,SUMIFS('Monthly CF''s'!$P$38:$BK$38,'Monthly CF''s'!$P$2:$BK$2,"="&amp;AQ68),0)</f>
        <v>458517.39336441673</v>
      </c>
      <c r="AR73" s="105">
        <f>IF(AR68&lt;$C66,SUMIFS('Monthly CF''s'!$P$38:$BK$38,'Monthly CF''s'!$P$2:$BK$2,"="&amp;AR68),0)</f>
        <v>458517.39336441673</v>
      </c>
      <c r="AS73" s="105">
        <f>IF(AS68&lt;$C66,SUMIFS('Monthly CF''s'!$P$38:$BK$38,'Monthly CF''s'!$P$2:$BK$2,"="&amp;AS68),0)</f>
        <v>458517.39336441673</v>
      </c>
      <c r="AT73" s="105">
        <f>IF(AT68&lt;$C66,SUMIFS('Monthly CF''s'!$P$38:$BK$38,'Monthly CF''s'!$P$2:$BK$2,"="&amp;AT68),0)</f>
        <v>458517.39336441673</v>
      </c>
      <c r="AU73" s="105">
        <f>IF(AU68&lt;$C66,SUMIFS('Monthly CF''s'!$P$38:$BK$38,'Monthly CF''s'!$P$2:$BK$2,"="&amp;AU68),0)</f>
        <v>458517.39336441673</v>
      </c>
      <c r="AV73" s="105">
        <f>IF(AV68&lt;$C66,SUMIFS('Monthly CF''s'!$P$38:$BK$38,'Monthly CF''s'!$P$2:$BK$2,"="&amp;AV68),0)</f>
        <v>473322.48895716178</v>
      </c>
      <c r="AW73" s="105">
        <f>IF(AW68&lt;$C66,SUMIFS('Monthly CF''s'!$P$38:$BK$38,'Monthly CF''s'!$P$2:$BK$2,"="&amp;AW68),0)</f>
        <v>473322.48895716178</v>
      </c>
      <c r="AX73" s="105">
        <f>IF(AX68&lt;$C66,SUMIFS('Monthly CF''s'!$P$38:$BK$38,'Monthly CF''s'!$P$2:$BK$2,"="&amp;AX68),0)</f>
        <v>473322.48895716178</v>
      </c>
      <c r="AY73" s="105">
        <f>IF(AY68&lt;$C66,SUMIFS('Monthly CF''s'!$P$38:$BK$38,'Monthly CF''s'!$P$2:$BK$2,"="&amp;AY68),0)</f>
        <v>473322.48895716178</v>
      </c>
      <c r="AZ73" s="105">
        <f>IF(AZ68&lt;$C66,SUMIFS('Monthly CF''s'!$P$38:$BK$38,'Monthly CF''s'!$P$2:$BK$2,"="&amp;AZ68),0)</f>
        <v>473322.48895716178</v>
      </c>
      <c r="BA73" s="105">
        <f>IF(BA68&lt;$C66,SUMIFS('Monthly CF''s'!$P$38:$BK$38,'Monthly CF''s'!$P$2:$BK$2,"="&amp;BA68),0)</f>
        <v>473322.48895716178</v>
      </c>
      <c r="BB73" s="105">
        <f>IF(BB68&lt;$C66,SUMIFS('Monthly CF''s'!$P$38:$BK$38,'Monthly CF''s'!$P$2:$BK$2,"="&amp;BB68),0)</f>
        <v>473322.48895716178</v>
      </c>
      <c r="BC73" s="105">
        <f>IF(BC68&lt;$C66,SUMIFS('Monthly CF''s'!$P$38:$BK$38,'Monthly CF''s'!$P$2:$BK$2,"="&amp;BC68),0)</f>
        <v>473322.48895716178</v>
      </c>
      <c r="BD73" s="105">
        <f>IF(BD68&lt;$C66,SUMIFS('Monthly CF''s'!$P$38:$BK$38,'Monthly CF''s'!$P$2:$BK$2,"="&amp;BD68),0)</f>
        <v>473322.48895716178</v>
      </c>
      <c r="BE73" s="105">
        <f>IF(BE68&lt;$C66,SUMIFS('Monthly CF''s'!$P$38:$BK$38,'Monthly CF''s'!$P$2:$BK$2,"="&amp;BE68),0)</f>
        <v>473322.48895716178</v>
      </c>
      <c r="BF73" s="105">
        <f>IF(BF68&lt;$C66,SUMIFS('Monthly CF''s'!$P$38:$BK$38,'Monthly CF''s'!$P$2:$BK$2,"="&amp;BF68),0)</f>
        <v>473322.48895716178</v>
      </c>
      <c r="BG73" s="105">
        <f>IF(BG68&lt;$C66,SUMIFS('Monthly CF''s'!$P$38:$BK$38,'Monthly CF''s'!$P$2:$BK$2,"="&amp;BG68),0)</f>
        <v>473322.48895716178</v>
      </c>
      <c r="BH73" s="105">
        <f>IF(BH68&lt;$C66,SUMIFS('Monthly CF''s'!$P$38:$BK$38,'Monthly CF''s'!$P$2:$BK$2,"="&amp;BH68),0)</f>
        <v>488592.72889352532</v>
      </c>
      <c r="BI73" s="105">
        <f>IF(BI68&lt;$C66,SUMIFS('Monthly CF''s'!$P$38:$BK$38,'Monthly CF''s'!$P$2:$BK$2,"="&amp;BI68),0)</f>
        <v>488592.72889352532</v>
      </c>
      <c r="BJ73" s="105">
        <f>IF(BJ68&lt;$C66,SUMIFS('Monthly CF''s'!$P$38:$BK$38,'Monthly CF''s'!$P$2:$BK$2,"="&amp;BJ68),0)</f>
        <v>488592.72889352532</v>
      </c>
      <c r="BK73" s="105">
        <f>IF(BK68&lt;$C66,SUMIFS('Monthly CF''s'!$P$38:$BK$38,'Monthly CF''s'!$P$2:$BK$2,"="&amp;BK68),0)</f>
        <v>488592.72889352532</v>
      </c>
      <c r="BL73" s="105">
        <f>IF(BL68&lt;$C66,SUMIFS('Monthly CF''s'!$P$38:$BK$38,'Monthly CF''s'!$P$2:$BK$2,"="&amp;BL68),0)</f>
        <v>488592.72889352532</v>
      </c>
      <c r="BM73" s="105">
        <f>IF(BM68&lt;$C66,SUMIFS('Monthly CF''s'!$P$38:$BK$38,'Monthly CF''s'!$P$2:$BK$2,"="&amp;BM68),0)</f>
        <v>488592.72889352532</v>
      </c>
      <c r="BN73" s="105">
        <f>IF(BN68&lt;$C66,SUMIFS('Monthly CF''s'!$P$38:$BK$38,'Monthly CF''s'!$P$2:$BK$2,"="&amp;BN68),0)</f>
        <v>488592.72889352532</v>
      </c>
      <c r="BO73" s="105">
        <f>IF(BO68&lt;$C66,SUMIFS('Monthly CF''s'!$P$38:$BK$38,'Monthly CF''s'!$P$2:$BK$2,"="&amp;BO68),0)</f>
        <v>488592.72889352532</v>
      </c>
      <c r="BP73" s="105">
        <f>IF(BP68&lt;$C66,SUMIFS('Monthly CF''s'!$P$38:$BK$38,'Monthly CF''s'!$P$2:$BK$2,"="&amp;BP68),0)</f>
        <v>488592.72889352532</v>
      </c>
      <c r="BQ73" s="105">
        <f>IF(BQ68&lt;$C66,SUMIFS('Monthly CF''s'!$P$38:$BK$38,'Monthly CF''s'!$P$2:$BK$2,"="&amp;BQ68),0)</f>
        <v>488592.72889352532</v>
      </c>
      <c r="BR73" s="105">
        <f>IF(BR68&lt;$C66,SUMIFS('Monthly CF''s'!$P$38:$BK$38,'Monthly CF''s'!$P$2:$BK$2,"="&amp;BR68),0)</f>
        <v>488592.72889352532</v>
      </c>
      <c r="BS73" s="105">
        <f>IF(BS68&lt;$C66,SUMIFS('Monthly CF''s'!$P$38:$BK$38,'Monthly CF''s'!$P$2:$BK$2,"="&amp;BS68),0)</f>
        <v>488592.72889352532</v>
      </c>
      <c r="BT73" s="105">
        <f>IF(BT68&lt;$C66,SUMIFS('Monthly CF''s'!$P$38:$BK$38,'Monthly CF''s'!$P$2:$BK$2,"="&amp;BT68),0)</f>
        <v>0</v>
      </c>
      <c r="BU73" s="105">
        <f>IF(BU68&lt;$C66,SUMIFS('Monthly CF''s'!$P$38:$BK$38,'Monthly CF''s'!$P$2:$BK$2,"="&amp;BU68),0)</f>
        <v>0</v>
      </c>
      <c r="BV73" s="105">
        <f>IF(BV68&lt;$C66,SUMIFS('Monthly CF''s'!$P$38:$BK$38,'Monthly CF''s'!$P$2:$BK$2,"="&amp;BV68),0)</f>
        <v>0</v>
      </c>
      <c r="BW73" s="105">
        <f>IF(BW68&lt;$C66,SUMIFS('Monthly CF''s'!$P$40:$BK$40,'Monthly CF''s'!$P$2:$BK$2,"="&amp;BW68),0)</f>
        <v>0</v>
      </c>
      <c r="BX73" s="105">
        <f>IF(BX68&lt;$C66,SUMIFS('Monthly CF''s'!$P$40:$BK$40,'Monthly CF''s'!$P$2:$BK$2,"="&amp;BX68),0)</f>
        <v>0</v>
      </c>
      <c r="BY73" s="105">
        <f>IF(BY68&lt;$C66,SUMIFS('Monthly CF''s'!$P$40:$BK$40,'Monthly CF''s'!$P$2:$BK$2,"="&amp;BY68),0)</f>
        <v>0</v>
      </c>
      <c r="BZ73" s="105">
        <f>IF(BZ68&lt;$C66,SUMIFS('Monthly CF''s'!$P$40:$BK$40,'Monthly CF''s'!$P$2:$BK$2,"="&amp;BZ68),0)</f>
        <v>0</v>
      </c>
    </row>
    <row r="74" spans="1:78">
      <c r="A74">
        <v>7</v>
      </c>
      <c r="B74" s="168"/>
      <c r="C74" s="5"/>
      <c r="D74" s="105"/>
      <c r="E74" s="105"/>
      <c r="F74" s="105"/>
      <c r="G74" s="105"/>
      <c r="H74" s="105"/>
      <c r="I74" s="105"/>
      <c r="J74" s="105"/>
      <c r="K74" s="105"/>
      <c r="L74" s="105"/>
      <c r="M74" s="105"/>
      <c r="N74" s="105"/>
      <c r="O74" s="105"/>
      <c r="P74" s="105"/>
      <c r="Q74" s="105"/>
      <c r="R74" s="105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N74" s="105"/>
      <c r="AO74" s="105"/>
      <c r="AP74" s="105"/>
      <c r="AQ74" s="105"/>
      <c r="AR74" s="105"/>
      <c r="AS74" s="105"/>
      <c r="AT74" s="105"/>
      <c r="AU74" s="105"/>
      <c r="AV74" s="105"/>
      <c r="AW74" s="105"/>
      <c r="AX74" s="105"/>
      <c r="AY74" s="105"/>
      <c r="AZ74" s="105"/>
      <c r="BA74" s="105"/>
      <c r="BB74" s="105"/>
      <c r="BC74" s="105"/>
      <c r="BD74" s="105"/>
      <c r="BE74" s="105"/>
      <c r="BF74" s="105"/>
      <c r="BG74" s="105"/>
      <c r="BH74" s="105"/>
      <c r="BI74" s="105"/>
      <c r="BJ74" s="105"/>
      <c r="BK74" s="105"/>
      <c r="BL74" s="105"/>
      <c r="BM74" s="105"/>
      <c r="BN74" s="105"/>
      <c r="BO74" s="105"/>
      <c r="BP74" s="105"/>
      <c r="BQ74" s="105"/>
      <c r="BR74" s="105"/>
      <c r="BS74" s="105"/>
      <c r="BT74" s="105"/>
      <c r="BU74" s="105"/>
      <c r="BV74" s="105"/>
      <c r="BW74" s="105"/>
      <c r="BX74" s="105"/>
      <c r="BY74" s="105"/>
      <c r="BZ74" s="105"/>
    </row>
    <row r="75" spans="1:78">
      <c r="A75">
        <v>8</v>
      </c>
      <c r="B75" s="168" t="s">
        <v>166</v>
      </c>
      <c r="C75" s="5"/>
      <c r="D75" s="105"/>
      <c r="E75" s="105">
        <f>IF(E68=$C66,Dashboard!$I$55+Dashboard!$I$57,0)</f>
        <v>0</v>
      </c>
      <c r="F75" s="105">
        <f>IF(F68=$C66,Dashboard!$I$55+Dashboard!$I$57,0)</f>
        <v>0</v>
      </c>
      <c r="G75" s="105">
        <f>IF(G68=$C66,Dashboard!$I$55+Dashboard!$I$57,0)</f>
        <v>0</v>
      </c>
      <c r="H75" s="105">
        <f>IF(H68=$C66,Dashboard!$I$55+Dashboard!$I$57,0)</f>
        <v>0</v>
      </c>
      <c r="I75" s="105">
        <f>IF(I68=$C66,Dashboard!$I$55+Dashboard!$I$57,0)</f>
        <v>0</v>
      </c>
      <c r="J75" s="105">
        <f>IF(J68=$C66,Dashboard!$I$55+Dashboard!$I$57,0)</f>
        <v>0</v>
      </c>
      <c r="K75" s="105">
        <f>IF(K68=$C66,Dashboard!$I$55+Dashboard!$I$57,0)</f>
        <v>0</v>
      </c>
      <c r="L75" s="105">
        <f>IF(L68=$C66,Dashboard!$I$55+Dashboard!$I$57,0)</f>
        <v>0</v>
      </c>
      <c r="M75" s="105">
        <f>IF(M68=$C66,Dashboard!$I$55+Dashboard!$I$57,0)</f>
        <v>0</v>
      </c>
      <c r="N75" s="105">
        <f>IF(N68=$C66,Dashboard!$I$55+Dashboard!$I$57,0)</f>
        <v>0</v>
      </c>
      <c r="O75" s="105">
        <f>IF(O68=$C66,Dashboard!$I$55+Dashboard!$I$57,0)</f>
        <v>0</v>
      </c>
      <c r="P75" s="105">
        <f>IF(P68=$C66,Dashboard!$I$55+Dashboard!$I$57,0)</f>
        <v>0</v>
      </c>
      <c r="Q75" s="105">
        <f>IF(Q68=$C66,Dashboard!$I$55+Dashboard!$I$57,0)</f>
        <v>0</v>
      </c>
      <c r="R75" s="105">
        <f>IF(R68=$C66,Dashboard!$I$55+Dashboard!$I$57,0)</f>
        <v>0</v>
      </c>
      <c r="S75" s="105">
        <f>IF(S68=$C66,Dashboard!$I$55+Dashboard!$I$57,0)</f>
        <v>0</v>
      </c>
      <c r="T75" s="105">
        <f>IF(T68=$C66,Dashboard!$I$55+Dashboard!$I$57,0)</f>
        <v>0</v>
      </c>
      <c r="U75" s="105">
        <f>IF(U68=$C66,Dashboard!$I$55+Dashboard!$I$57,0)</f>
        <v>0</v>
      </c>
      <c r="V75" s="105">
        <f>IF(V68=$C66,Dashboard!$I$55+Dashboard!$I$57,0)</f>
        <v>0</v>
      </c>
      <c r="W75" s="105">
        <f>IF(W68=$C66,Dashboard!$I$55+Dashboard!$I$57,0)</f>
        <v>0</v>
      </c>
      <c r="X75" s="105">
        <f>IF(X68=$C66,Dashboard!$I$55+Dashboard!$I$57,0)</f>
        <v>0</v>
      </c>
      <c r="Y75" s="105">
        <f>IF(Y68=$C66,Dashboard!$I$55+Dashboard!$I$57,0)</f>
        <v>0</v>
      </c>
      <c r="Z75" s="105">
        <f>IF(Z68=$C66,Dashboard!$I$55+Dashboard!$I$57,0)</f>
        <v>0</v>
      </c>
      <c r="AA75" s="105">
        <f>IF(AA68=$C66,Dashboard!$I$55+Dashboard!$I$57,0)</f>
        <v>0</v>
      </c>
      <c r="AB75" s="105">
        <f>IF(AB68=$C66,Dashboard!$I$55+Dashboard!$I$57,0)</f>
        <v>0</v>
      </c>
      <c r="AC75" s="105">
        <f>IF(AC68=$C66,Dashboard!$I$55+Dashboard!$I$57,0)</f>
        <v>0</v>
      </c>
      <c r="AD75" s="105">
        <f>IF(AD68=$C66,Dashboard!$I$55+Dashboard!$I$57,0)</f>
        <v>0</v>
      </c>
      <c r="AE75" s="105">
        <f>IF(AE68=$C66,Dashboard!$I$55+Dashboard!$I$57,0)</f>
        <v>0</v>
      </c>
      <c r="AF75" s="105">
        <f>IF(AF68=$C66,Dashboard!$I$55+Dashboard!$I$57,0)</f>
        <v>0</v>
      </c>
      <c r="AG75" s="105">
        <f>IF(AG68=$C66,Dashboard!$I$55+Dashboard!$I$57,0)</f>
        <v>0</v>
      </c>
      <c r="AH75" s="105">
        <f>IF(AH68=$C66,Dashboard!$I$55+Dashboard!$I$57,0)</f>
        <v>0</v>
      </c>
      <c r="AI75" s="105">
        <f>IF(AI68=$C66,Dashboard!$I$55+Dashboard!$I$57,0)</f>
        <v>0</v>
      </c>
      <c r="AJ75" s="105">
        <f>IF(AJ68=$C66,Dashboard!$I$55+Dashboard!$I$57,0)</f>
        <v>0</v>
      </c>
      <c r="AK75" s="105">
        <f>IF(AK68=$C66,Dashboard!$I$55+Dashboard!$I$57,0)</f>
        <v>0</v>
      </c>
      <c r="AL75" s="105">
        <f>IF(AL68=$C66,Dashboard!$I$55+Dashboard!$I$57,0)</f>
        <v>0</v>
      </c>
      <c r="AM75" s="105">
        <f>IF(AM68=$C66,Dashboard!$I$55+Dashboard!$I$57,0)</f>
        <v>0</v>
      </c>
      <c r="AN75" s="105">
        <f>IF(AN68=$C66,Dashboard!$I$55+Dashboard!$I$57,0)</f>
        <v>0</v>
      </c>
      <c r="AO75" s="105">
        <f>IF(AO68=$C66,Dashboard!$I$55+Dashboard!$I$57,0)</f>
        <v>0</v>
      </c>
      <c r="AP75" s="105">
        <f>IF(AP68=$C66,Dashboard!$I$55+Dashboard!$I$57,0)</f>
        <v>0</v>
      </c>
      <c r="AQ75" s="105">
        <f>IF(AQ68=$C66,Dashboard!$I$55+Dashboard!$I$57,0)</f>
        <v>0</v>
      </c>
      <c r="AR75" s="105">
        <f>IF(AR68=$C66,Dashboard!$I$55+Dashboard!$I$57,0)</f>
        <v>0</v>
      </c>
      <c r="AS75" s="105">
        <f>IF(AS68=$C66,Dashboard!$I$55+Dashboard!$I$57,0)</f>
        <v>0</v>
      </c>
      <c r="AT75" s="105">
        <f>IF(AT68=$C66,Dashboard!$I$55+Dashboard!$I$57,0)</f>
        <v>0</v>
      </c>
      <c r="AU75" s="105">
        <f>IF(AU68=$C66,Dashboard!$I$55+Dashboard!$I$57,0)</f>
        <v>0</v>
      </c>
      <c r="AV75" s="105">
        <f>IF(AV68=$C66,Dashboard!$I$55+Dashboard!$I$57,0)</f>
        <v>0</v>
      </c>
      <c r="AW75" s="105">
        <f>IF(AW68=$C66,Dashboard!$I$55+Dashboard!$I$57,0)</f>
        <v>0</v>
      </c>
      <c r="AX75" s="105">
        <f>IF(AX68=$C66,Dashboard!$I$55+Dashboard!$I$57,0)</f>
        <v>0</v>
      </c>
      <c r="AY75" s="105">
        <f>IF(AY68=$C66,Dashboard!$I$55+Dashboard!$I$57,0)</f>
        <v>0</v>
      </c>
      <c r="AZ75" s="105">
        <f>IF(AZ68=$C66,Dashboard!$I$55+Dashboard!$I$57,0)</f>
        <v>0</v>
      </c>
      <c r="BA75" s="105">
        <f>IF(BA68=$C66,Dashboard!$I$55+Dashboard!$I$57,0)</f>
        <v>0</v>
      </c>
      <c r="BB75" s="105">
        <f>IF(BB68=$C66,Dashboard!$I$55+Dashboard!$I$57,0)</f>
        <v>0</v>
      </c>
      <c r="BC75" s="105">
        <f>IF(BC68=$C66,Dashboard!$I$55+Dashboard!$I$57,0)</f>
        <v>0</v>
      </c>
      <c r="BD75" s="105">
        <f>IF(BD68=$C66,Dashboard!$I$55+Dashboard!$I$57,0)</f>
        <v>0</v>
      </c>
      <c r="BE75" s="105">
        <f>IF(BE68=$C66,Dashboard!$I$55+Dashboard!$I$57,0)</f>
        <v>0</v>
      </c>
      <c r="BF75" s="105">
        <f>IF(BF68=$C66,Dashboard!$I$55+Dashboard!$I$57,0)</f>
        <v>0</v>
      </c>
      <c r="BG75" s="105">
        <f>IF(BG68=$C66,Dashboard!$I$55+Dashboard!$I$57,0)</f>
        <v>0</v>
      </c>
      <c r="BH75" s="105">
        <f>IF(BH68=$C66,Dashboard!$I$55+Dashboard!$I$57,0)</f>
        <v>0</v>
      </c>
      <c r="BI75" s="105">
        <f>IF(BI68=$C66,Dashboard!$I$55+Dashboard!$I$57,0)</f>
        <v>0</v>
      </c>
      <c r="BJ75" s="105">
        <f>IF(BJ68=$C66,Dashboard!$I$55+Dashboard!$I$57,0)</f>
        <v>0</v>
      </c>
      <c r="BK75" s="105">
        <f>IF(BK68=$C66,Dashboard!$I$55+Dashboard!$I$57,0)</f>
        <v>0</v>
      </c>
      <c r="BL75" s="105">
        <f>IF(BL68=$C66,Dashboard!$I$55+Dashboard!$I$57,0)</f>
        <v>0</v>
      </c>
      <c r="BM75" s="105">
        <f>IF(BM68=$C66,Dashboard!$I$55+Dashboard!$I$57,0)</f>
        <v>0</v>
      </c>
      <c r="BN75" s="105">
        <f>IF(BN68=$C66,Dashboard!$I$55+Dashboard!$I$57,0)</f>
        <v>0</v>
      </c>
      <c r="BO75" s="105">
        <f>IF(BO68=$C66,Dashboard!$I$55+Dashboard!$I$57,0)</f>
        <v>0</v>
      </c>
      <c r="BP75" s="105">
        <f>IF(BP68=$C66,Dashboard!$I$55+Dashboard!$I$57,0)</f>
        <v>0</v>
      </c>
      <c r="BQ75" s="105">
        <f>IF(BQ68=$C66,Dashboard!$I$55+Dashboard!$I$57,0)</f>
        <v>0</v>
      </c>
      <c r="BR75" s="105">
        <f>IF(BR68=$C66,Dashboard!$I$55+Dashboard!$I$57,0)</f>
        <v>0</v>
      </c>
      <c r="BS75" s="105">
        <f>IF(BS68=$C66,Dashboard!$I$55+Dashboard!$I$57,0)</f>
        <v>0</v>
      </c>
      <c r="BT75" s="105">
        <f>IF(BT68=$C66,Dashboard!$I$55+Dashboard!$I$57,0)</f>
        <v>0</v>
      </c>
      <c r="BU75" s="105">
        <f>IF(BU68=$C66,Dashboard!$I$55+Dashboard!$I$57,0)</f>
        <v>0</v>
      </c>
      <c r="BV75" s="105">
        <f>IF(BV68=$C66,Dashboard!$I$55+Dashboard!$I$57,0)</f>
        <v>0</v>
      </c>
      <c r="BW75" s="105">
        <f>IF(BW68=$C66,Dashboard!$I$55+Dashboard!$I$57,0)</f>
        <v>0</v>
      </c>
      <c r="BX75" s="105">
        <f>IF(BX68=$C66,Dashboard!$I$55+Dashboard!$I$57,0)</f>
        <v>0</v>
      </c>
      <c r="BY75" s="105">
        <f>IF(BY68=$C66,Dashboard!$I$55+Dashboard!$I$57,0)</f>
        <v>102582464.06436822</v>
      </c>
      <c r="BZ75" s="105">
        <f>IF(BZ68=$C66,Dashboard!$I$55+Dashboard!$I$57,0)</f>
        <v>0</v>
      </c>
    </row>
    <row r="76" spans="1:78" ht="6.75" customHeight="1">
      <c r="B76" s="168"/>
      <c r="C76" s="5"/>
      <c r="D76" s="105"/>
      <c r="E76" s="105"/>
      <c r="F76" s="105"/>
      <c r="G76" s="105"/>
      <c r="H76" s="105"/>
      <c r="I76" s="105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L76" s="105"/>
      <c r="AM76" s="105"/>
      <c r="AN76" s="105"/>
      <c r="AO76" s="105"/>
      <c r="AP76" s="105"/>
      <c r="AQ76" s="105"/>
      <c r="AR76" s="105"/>
      <c r="AS76" s="105"/>
      <c r="AT76" s="105"/>
      <c r="AU76" s="105"/>
      <c r="AV76" s="105"/>
      <c r="AW76" s="105"/>
      <c r="AX76" s="105"/>
      <c r="AY76" s="105"/>
      <c r="AZ76" s="105"/>
      <c r="BA76" s="543"/>
      <c r="BB76" s="543"/>
      <c r="BC76" s="543"/>
      <c r="BD76" s="543"/>
      <c r="BE76" s="543"/>
      <c r="BF76" s="543"/>
      <c r="BG76" s="543"/>
      <c r="BH76" s="543"/>
      <c r="BI76" s="543"/>
      <c r="BJ76" s="543"/>
      <c r="BK76" s="543"/>
      <c r="BL76" s="543"/>
      <c r="BM76" s="543"/>
      <c r="BN76" s="543"/>
      <c r="BO76" s="543"/>
      <c r="BP76" s="543"/>
      <c r="BQ76" s="543"/>
      <c r="BR76" s="543"/>
      <c r="BS76" s="543"/>
      <c r="BT76" s="543"/>
      <c r="BU76" s="543"/>
      <c r="BV76" s="543"/>
      <c r="BW76" s="543"/>
      <c r="BX76" s="543"/>
      <c r="BY76" s="543"/>
      <c r="BZ76" s="543"/>
    </row>
    <row r="77" spans="1:78">
      <c r="B77" s="492" t="s">
        <v>157</v>
      </c>
      <c r="C77" s="539"/>
      <c r="D77" s="493">
        <f>SUM(D73:D75)+D70</f>
        <v>-90052621.878451094</v>
      </c>
      <c r="E77" s="493">
        <f>SUM(E73:E75)+E70</f>
        <v>0</v>
      </c>
      <c r="F77" s="493">
        <f t="shared" ref="F77:AZ77" si="30">SUM(F73:F75)+F70</f>
        <v>0</v>
      </c>
      <c r="G77" s="493">
        <f t="shared" si="30"/>
        <v>0</v>
      </c>
      <c r="H77" s="493">
        <f t="shared" si="30"/>
        <v>0</v>
      </c>
      <c r="I77" s="493">
        <f t="shared" si="30"/>
        <v>0</v>
      </c>
      <c r="J77" s="493">
        <f t="shared" si="30"/>
        <v>0</v>
      </c>
      <c r="K77" s="493">
        <f t="shared" si="30"/>
        <v>0</v>
      </c>
      <c r="L77" s="493">
        <f t="shared" si="30"/>
        <v>0</v>
      </c>
      <c r="M77" s="493">
        <f t="shared" si="30"/>
        <v>0</v>
      </c>
      <c r="N77" s="493">
        <f t="shared" si="30"/>
        <v>0</v>
      </c>
      <c r="O77" s="493">
        <f t="shared" si="30"/>
        <v>0</v>
      </c>
      <c r="P77" s="493">
        <f t="shared" si="30"/>
        <v>0</v>
      </c>
      <c r="Q77" s="493">
        <f t="shared" si="30"/>
        <v>0</v>
      </c>
      <c r="R77" s="493">
        <f t="shared" si="30"/>
        <v>0</v>
      </c>
      <c r="S77" s="493">
        <f t="shared" si="30"/>
        <v>0</v>
      </c>
      <c r="T77" s="493">
        <f t="shared" si="30"/>
        <v>0</v>
      </c>
      <c r="U77" s="493">
        <f t="shared" si="30"/>
        <v>0</v>
      </c>
      <c r="V77" s="493">
        <f t="shared" si="30"/>
        <v>0</v>
      </c>
      <c r="W77" s="493">
        <f t="shared" si="30"/>
        <v>0</v>
      </c>
      <c r="X77" s="493">
        <f t="shared" si="30"/>
        <v>388297.5575419807</v>
      </c>
      <c r="Y77" s="493">
        <f t="shared" si="30"/>
        <v>388297.5575419807</v>
      </c>
      <c r="Z77" s="493">
        <f t="shared" si="30"/>
        <v>388297.5575419807</v>
      </c>
      <c r="AA77" s="493">
        <f t="shared" si="30"/>
        <v>388297.5575419807</v>
      </c>
      <c r="AB77" s="493">
        <f t="shared" si="30"/>
        <v>388297.5575419807</v>
      </c>
      <c r="AC77" s="493">
        <f t="shared" si="30"/>
        <v>388297.5575419807</v>
      </c>
      <c r="AD77" s="493">
        <f t="shared" si="30"/>
        <v>444163.49461249996</v>
      </c>
      <c r="AE77" s="493">
        <f t="shared" si="30"/>
        <v>444163.49461249996</v>
      </c>
      <c r="AF77" s="493">
        <f t="shared" si="30"/>
        <v>444163.49461249996</v>
      </c>
      <c r="AG77" s="493">
        <f t="shared" si="30"/>
        <v>444163.49461249996</v>
      </c>
      <c r="AH77" s="493">
        <f t="shared" si="30"/>
        <v>444163.49461249996</v>
      </c>
      <c r="AI77" s="493">
        <f t="shared" si="30"/>
        <v>444163.49461249996</v>
      </c>
      <c r="AJ77" s="493">
        <f t="shared" si="30"/>
        <v>458517.39336441673</v>
      </c>
      <c r="AK77" s="493">
        <f t="shared" si="30"/>
        <v>458517.39336441673</v>
      </c>
      <c r="AL77" s="493">
        <f t="shared" si="30"/>
        <v>458517.39336441673</v>
      </c>
      <c r="AM77" s="493">
        <f t="shared" si="30"/>
        <v>458517.39336441673</v>
      </c>
      <c r="AN77" s="493">
        <f t="shared" si="30"/>
        <v>458517.39336441673</v>
      </c>
      <c r="AO77" s="493">
        <f t="shared" si="30"/>
        <v>458517.39336441673</v>
      </c>
      <c r="AP77" s="493">
        <f t="shared" si="30"/>
        <v>458517.39336441673</v>
      </c>
      <c r="AQ77" s="493">
        <f t="shared" si="30"/>
        <v>458517.39336441673</v>
      </c>
      <c r="AR77" s="493">
        <f t="shared" si="30"/>
        <v>458517.39336441673</v>
      </c>
      <c r="AS77" s="493">
        <f t="shared" si="30"/>
        <v>458517.39336441673</v>
      </c>
      <c r="AT77" s="493">
        <f t="shared" si="30"/>
        <v>458517.39336441673</v>
      </c>
      <c r="AU77" s="493">
        <f t="shared" si="30"/>
        <v>458517.39336441673</v>
      </c>
      <c r="AV77" s="493">
        <f t="shared" si="30"/>
        <v>473322.48895716178</v>
      </c>
      <c r="AW77" s="493">
        <f t="shared" si="30"/>
        <v>473322.48895716178</v>
      </c>
      <c r="AX77" s="493">
        <f t="shared" si="30"/>
        <v>473322.48895716178</v>
      </c>
      <c r="AY77" s="493">
        <f t="shared" si="30"/>
        <v>473322.48895716178</v>
      </c>
      <c r="AZ77" s="493">
        <f t="shared" si="30"/>
        <v>473322.48895716178</v>
      </c>
      <c r="BA77" s="493">
        <f t="shared" ref="BA77:BF77" si="31">SUM(BA73:BA75)+BA70</f>
        <v>473322.48895716178</v>
      </c>
      <c r="BB77" s="493">
        <f t="shared" si="31"/>
        <v>473322.48895716178</v>
      </c>
      <c r="BC77" s="493">
        <f t="shared" si="31"/>
        <v>473322.48895716178</v>
      </c>
      <c r="BD77" s="493">
        <f t="shared" si="31"/>
        <v>473322.48895716178</v>
      </c>
      <c r="BE77" s="493">
        <f t="shared" si="31"/>
        <v>473322.48895716178</v>
      </c>
      <c r="BF77" s="493">
        <f t="shared" si="31"/>
        <v>473322.48895716178</v>
      </c>
      <c r="BG77" s="493">
        <f t="shared" ref="BG77:BZ77" si="32">SUM(BG73:BG75)+BG70</f>
        <v>473322.48895716178</v>
      </c>
      <c r="BH77" s="493">
        <f t="shared" si="32"/>
        <v>488592.72889352532</v>
      </c>
      <c r="BI77" s="493">
        <f t="shared" si="32"/>
        <v>488592.72889352532</v>
      </c>
      <c r="BJ77" s="493">
        <f t="shared" si="32"/>
        <v>488592.72889352532</v>
      </c>
      <c r="BK77" s="493">
        <f t="shared" si="32"/>
        <v>488592.72889352532</v>
      </c>
      <c r="BL77" s="493">
        <f t="shared" si="32"/>
        <v>488592.72889352532</v>
      </c>
      <c r="BM77" s="493">
        <f t="shared" si="32"/>
        <v>488592.72889352532</v>
      </c>
      <c r="BN77" s="493">
        <f t="shared" si="32"/>
        <v>488592.72889352532</v>
      </c>
      <c r="BO77" s="493">
        <f t="shared" si="32"/>
        <v>488592.72889352532</v>
      </c>
      <c r="BP77" s="493">
        <f t="shared" si="32"/>
        <v>488592.72889352532</v>
      </c>
      <c r="BQ77" s="493">
        <f t="shared" si="32"/>
        <v>488592.72889352532</v>
      </c>
      <c r="BR77" s="493">
        <f t="shared" si="32"/>
        <v>488592.72889352532</v>
      </c>
      <c r="BS77" s="493">
        <f t="shared" si="32"/>
        <v>488592.72889352532</v>
      </c>
      <c r="BT77" s="493">
        <f t="shared" si="32"/>
        <v>0</v>
      </c>
      <c r="BU77" s="493">
        <f t="shared" si="32"/>
        <v>0</v>
      </c>
      <c r="BV77" s="493">
        <f t="shared" si="32"/>
        <v>0</v>
      </c>
      <c r="BW77" s="493">
        <f t="shared" si="32"/>
        <v>0</v>
      </c>
      <c r="BX77" s="493">
        <f t="shared" si="32"/>
        <v>0</v>
      </c>
      <c r="BY77" s="493">
        <f t="shared" si="32"/>
        <v>102582464.06436822</v>
      </c>
      <c r="BZ77" s="493">
        <f t="shared" si="32"/>
        <v>0</v>
      </c>
    </row>
    <row r="78" spans="1:78">
      <c r="B78" s="206" t="s">
        <v>91</v>
      </c>
      <c r="C78" s="208">
        <f>XIRR(D77:BZ77,D68:BZ68)</f>
        <v>5.9214112162590024E-2</v>
      </c>
      <c r="D78" s="151"/>
      <c r="E78" s="151"/>
      <c r="F78" s="151"/>
      <c r="G78" s="151"/>
      <c r="H78" s="151"/>
      <c r="I78" s="151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L78" s="151"/>
      <c r="AM78" s="151"/>
      <c r="AN78" s="151"/>
      <c r="AO78" s="151"/>
      <c r="AP78" s="151"/>
      <c r="AQ78" s="151"/>
      <c r="AR78" s="151"/>
      <c r="AS78" s="151"/>
      <c r="AT78" s="151"/>
      <c r="AU78" s="151"/>
      <c r="AV78" s="151"/>
      <c r="AW78" s="151"/>
      <c r="AX78" s="151"/>
      <c r="AY78" s="151"/>
      <c r="AZ78" s="151"/>
    </row>
    <row r="79" spans="1:78">
      <c r="B79" s="207" t="s">
        <v>92</v>
      </c>
      <c r="C79" s="852">
        <f>SUM(E77:BZ77)/-D70</f>
        <v>1.383884434592987</v>
      </c>
      <c r="D79" s="151"/>
      <c r="E79" s="151"/>
      <c r="F79" s="151"/>
      <c r="G79" s="151"/>
      <c r="H79" s="151"/>
      <c r="I79" s="151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L79" s="151"/>
      <c r="AM79" s="151"/>
      <c r="AN79" s="151"/>
      <c r="AO79" s="151"/>
      <c r="AP79" s="151"/>
      <c r="AQ79" s="151"/>
      <c r="AR79" s="151"/>
      <c r="AS79" s="151"/>
      <c r="AT79" s="151"/>
      <c r="AU79" s="151"/>
      <c r="AV79" s="151"/>
      <c r="AW79" s="151"/>
      <c r="AX79" s="151"/>
      <c r="AY79" s="151"/>
      <c r="AZ79" s="151"/>
    </row>
  </sheetData>
  <conditionalFormatting sqref="E11:BO11 E10:L10 N10:BO10 E9:BO9">
    <cfRule type="cellIs" dxfId="183" priority="57" operator="equal">
      <formula>0</formula>
    </cfRule>
  </conditionalFormatting>
  <conditionalFormatting sqref="F27:BO27 E25:BO25">
    <cfRule type="cellIs" dxfId="182" priority="56" operator="equal">
      <formula>0</formula>
    </cfRule>
  </conditionalFormatting>
  <conditionalFormatting sqref="F43:BO43 E41:BO41">
    <cfRule type="cellIs" dxfId="181" priority="55" operator="equal">
      <formula>0</formula>
    </cfRule>
  </conditionalFormatting>
  <conditionalFormatting sqref="E57:AD57 F59:BN59">
    <cfRule type="cellIs" dxfId="180" priority="54" operator="equal">
      <formula>0</formula>
    </cfRule>
  </conditionalFormatting>
  <conditionalFormatting sqref="D13:BO13 D29:BO29 D45:BO45 D61:BN61">
    <cfRule type="cellIs" dxfId="179" priority="53" operator="equal">
      <formula>0</formula>
    </cfRule>
  </conditionalFormatting>
  <conditionalFormatting sqref="E43">
    <cfRule type="cellIs" dxfId="178" priority="51" operator="equal">
      <formula>0</formula>
    </cfRule>
  </conditionalFormatting>
  <conditionalFormatting sqref="E27">
    <cfRule type="cellIs" dxfId="177" priority="52" operator="equal">
      <formula>0</formula>
    </cfRule>
  </conditionalFormatting>
  <conditionalFormatting sqref="E59">
    <cfRule type="cellIs" dxfId="176" priority="50" operator="equal">
      <formula>0</formula>
    </cfRule>
  </conditionalFormatting>
  <conditionalFormatting sqref="E26 G26:BO26">
    <cfRule type="cellIs" dxfId="175" priority="49" operator="equal">
      <formula>0</formula>
    </cfRule>
  </conditionalFormatting>
  <conditionalFormatting sqref="E42:BO42">
    <cfRule type="cellIs" dxfId="174" priority="48" operator="equal">
      <formula>0</formula>
    </cfRule>
  </conditionalFormatting>
  <conditionalFormatting sqref="E58:BN58">
    <cfRule type="cellIs" dxfId="173" priority="47" operator="equal">
      <formula>0</formula>
    </cfRule>
  </conditionalFormatting>
  <conditionalFormatting sqref="F75:BO75 E73:AD73">
    <cfRule type="cellIs" dxfId="172" priority="46" operator="equal">
      <formula>0</formula>
    </cfRule>
  </conditionalFormatting>
  <conditionalFormatting sqref="D77:BO77">
    <cfRule type="cellIs" dxfId="171" priority="45" operator="equal">
      <formula>0</formula>
    </cfRule>
  </conditionalFormatting>
  <conditionalFormatting sqref="E75">
    <cfRule type="cellIs" dxfId="170" priority="44" operator="equal">
      <formula>0</formula>
    </cfRule>
  </conditionalFormatting>
  <conditionalFormatting sqref="E74:V74 Y74:BO74">
    <cfRule type="cellIs" dxfId="169" priority="43" operator="equal">
      <formula>0</formula>
    </cfRule>
  </conditionalFormatting>
  <conditionalFormatting sqref="BP75">
    <cfRule type="cellIs" dxfId="168" priority="42" operator="equal">
      <formula>0</formula>
    </cfRule>
  </conditionalFormatting>
  <conditionalFormatting sqref="BP77">
    <cfRule type="cellIs" dxfId="167" priority="41" operator="equal">
      <formula>0</formula>
    </cfRule>
  </conditionalFormatting>
  <conditionalFormatting sqref="BP74">
    <cfRule type="cellIs" dxfId="166" priority="40" operator="equal">
      <formula>0</formula>
    </cfRule>
  </conditionalFormatting>
  <conditionalFormatting sqref="BQ75">
    <cfRule type="cellIs" dxfId="165" priority="39" operator="equal">
      <formula>0</formula>
    </cfRule>
  </conditionalFormatting>
  <conditionalFormatting sqref="BQ77">
    <cfRule type="cellIs" dxfId="164" priority="38" operator="equal">
      <formula>0</formula>
    </cfRule>
  </conditionalFormatting>
  <conditionalFormatting sqref="BQ74">
    <cfRule type="cellIs" dxfId="163" priority="37" operator="equal">
      <formula>0</formula>
    </cfRule>
  </conditionalFormatting>
  <conditionalFormatting sqref="BR75">
    <cfRule type="cellIs" dxfId="162" priority="36" operator="equal">
      <formula>0</formula>
    </cfRule>
  </conditionalFormatting>
  <conditionalFormatting sqref="BR77">
    <cfRule type="cellIs" dxfId="161" priority="35" operator="equal">
      <formula>0</formula>
    </cfRule>
  </conditionalFormatting>
  <conditionalFormatting sqref="BR74">
    <cfRule type="cellIs" dxfId="160" priority="34" operator="equal">
      <formula>0</formula>
    </cfRule>
  </conditionalFormatting>
  <conditionalFormatting sqref="BS75">
    <cfRule type="cellIs" dxfId="159" priority="33" operator="equal">
      <formula>0</formula>
    </cfRule>
  </conditionalFormatting>
  <conditionalFormatting sqref="BS77">
    <cfRule type="cellIs" dxfId="158" priority="32" operator="equal">
      <formula>0</formula>
    </cfRule>
  </conditionalFormatting>
  <conditionalFormatting sqref="BS74">
    <cfRule type="cellIs" dxfId="157" priority="31" operator="equal">
      <formula>0</formula>
    </cfRule>
  </conditionalFormatting>
  <conditionalFormatting sqref="BT75">
    <cfRule type="cellIs" dxfId="156" priority="30" operator="equal">
      <formula>0</formula>
    </cfRule>
  </conditionalFormatting>
  <conditionalFormatting sqref="BT77">
    <cfRule type="cellIs" dxfId="155" priority="29" operator="equal">
      <formula>0</formula>
    </cfRule>
  </conditionalFormatting>
  <conditionalFormatting sqref="BT74">
    <cfRule type="cellIs" dxfId="154" priority="28" operator="equal">
      <formula>0</formula>
    </cfRule>
  </conditionalFormatting>
  <conditionalFormatting sqref="BU75">
    <cfRule type="cellIs" dxfId="153" priority="27" operator="equal">
      <formula>0</formula>
    </cfRule>
  </conditionalFormatting>
  <conditionalFormatting sqref="BU77">
    <cfRule type="cellIs" dxfId="152" priority="26" operator="equal">
      <formula>0</formula>
    </cfRule>
  </conditionalFormatting>
  <conditionalFormatting sqref="BU74">
    <cfRule type="cellIs" dxfId="151" priority="25" operator="equal">
      <formula>0</formula>
    </cfRule>
  </conditionalFormatting>
  <conditionalFormatting sqref="BV75">
    <cfRule type="cellIs" dxfId="150" priority="24" operator="equal">
      <formula>0</formula>
    </cfRule>
  </conditionalFormatting>
  <conditionalFormatting sqref="BV77">
    <cfRule type="cellIs" dxfId="149" priority="23" operator="equal">
      <formula>0</formula>
    </cfRule>
  </conditionalFormatting>
  <conditionalFormatting sqref="BV74">
    <cfRule type="cellIs" dxfId="148" priority="22" operator="equal">
      <formula>0</formula>
    </cfRule>
  </conditionalFormatting>
  <conditionalFormatting sqref="BW75 BW73">
    <cfRule type="cellIs" dxfId="147" priority="21" operator="equal">
      <formula>0</formula>
    </cfRule>
  </conditionalFormatting>
  <conditionalFormatting sqref="BW77">
    <cfRule type="cellIs" dxfId="146" priority="20" operator="equal">
      <formula>0</formula>
    </cfRule>
  </conditionalFormatting>
  <conditionalFormatting sqref="BW74">
    <cfRule type="cellIs" dxfId="145" priority="19" operator="equal">
      <formula>0</formula>
    </cfRule>
  </conditionalFormatting>
  <conditionalFormatting sqref="BX75 BX73">
    <cfRule type="cellIs" dxfId="144" priority="18" operator="equal">
      <formula>0</formula>
    </cfRule>
  </conditionalFormatting>
  <conditionalFormatting sqref="BX77">
    <cfRule type="cellIs" dxfId="143" priority="17" operator="equal">
      <formula>0</formula>
    </cfRule>
  </conditionalFormatting>
  <conditionalFormatting sqref="BX74">
    <cfRule type="cellIs" dxfId="142" priority="16" operator="equal">
      <formula>0</formula>
    </cfRule>
  </conditionalFormatting>
  <conditionalFormatting sqref="BY75 BY73">
    <cfRule type="cellIs" dxfId="141" priority="15" operator="equal">
      <formula>0</formula>
    </cfRule>
  </conditionalFormatting>
  <conditionalFormatting sqref="BY77">
    <cfRule type="cellIs" dxfId="140" priority="14" operator="equal">
      <formula>0</formula>
    </cfRule>
  </conditionalFormatting>
  <conditionalFormatting sqref="BY74">
    <cfRule type="cellIs" dxfId="139" priority="13" operator="equal">
      <formula>0</formula>
    </cfRule>
  </conditionalFormatting>
  <conditionalFormatting sqref="BZ75 BZ73">
    <cfRule type="cellIs" dxfId="138" priority="12" operator="equal">
      <formula>0</formula>
    </cfRule>
  </conditionalFormatting>
  <conditionalFormatting sqref="BZ77">
    <cfRule type="cellIs" dxfId="137" priority="11" operator="equal">
      <formula>0</formula>
    </cfRule>
  </conditionalFormatting>
  <conditionalFormatting sqref="BZ74">
    <cfRule type="cellIs" dxfId="136" priority="10" operator="equal">
      <formula>0</formula>
    </cfRule>
  </conditionalFormatting>
  <conditionalFormatting sqref="M10:AC10">
    <cfRule type="cellIs" dxfId="135" priority="9" operator="equal">
      <formula>0</formula>
    </cfRule>
  </conditionalFormatting>
  <conditionalFormatting sqref="F26">
    <cfRule type="cellIs" dxfId="134" priority="8" operator="equal">
      <formula>0</formula>
    </cfRule>
  </conditionalFormatting>
  <conditionalFormatting sqref="W74">
    <cfRule type="cellIs" dxfId="133" priority="7" operator="equal">
      <formula>0</formula>
    </cfRule>
  </conditionalFormatting>
  <conditionalFormatting sqref="X74">
    <cfRule type="cellIs" dxfId="132" priority="6" operator="equal">
      <formula>0</formula>
    </cfRule>
  </conditionalFormatting>
  <conditionalFormatting sqref="BS57:BY57 BO59:BY59">
    <cfRule type="cellIs" dxfId="131" priority="5" operator="equal">
      <formula>0</formula>
    </cfRule>
  </conditionalFormatting>
  <conditionalFormatting sqref="BO61:BY61">
    <cfRule type="cellIs" dxfId="130" priority="4" operator="equal">
      <formula>0</formula>
    </cfRule>
  </conditionalFormatting>
  <conditionalFormatting sqref="BO58:BY58">
    <cfRule type="cellIs" dxfId="129" priority="3" operator="equal">
      <formula>0</formula>
    </cfRule>
  </conditionalFormatting>
  <conditionalFormatting sqref="AE57:BR57">
    <cfRule type="cellIs" dxfId="128" priority="2" operator="equal">
      <formula>0</formula>
    </cfRule>
  </conditionalFormatting>
  <conditionalFormatting sqref="AE73:BV73">
    <cfRule type="cellIs" dxfId="127" priority="1" operator="equal">
      <formula>0</formula>
    </cfRule>
  </conditionalFormatting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4">
    <tabColor rgb="FF0070C0"/>
  </sheetPr>
  <dimension ref="A2:BZ79"/>
  <sheetViews>
    <sheetView topLeftCell="A19" zoomScale="75" zoomScaleNormal="75" workbookViewId="0">
      <pane xSplit="4" topLeftCell="AC1" activePane="topRight" state="frozen"/>
      <selection activeCell="E24" sqref="E24"/>
      <selection pane="topRight" activeCell="C46" sqref="C46:C47"/>
    </sheetView>
  </sheetViews>
  <sheetFormatPr defaultColWidth="9.140625" defaultRowHeight="15"/>
  <cols>
    <col min="1" max="1" width="15.85546875" customWidth="1"/>
    <col min="2" max="2" width="20.85546875" customWidth="1"/>
    <col min="3" max="3" width="21.42578125" customWidth="1"/>
    <col min="4" max="52" width="13.85546875" style="42" customWidth="1"/>
    <col min="53" max="67" width="13.85546875" customWidth="1"/>
    <col min="68" max="73" width="12.5703125" bestFit="1" customWidth="1"/>
    <col min="74" max="76" width="13.7109375" bestFit="1" customWidth="1"/>
    <col min="77" max="77" width="12.5703125" bestFit="1" customWidth="1"/>
    <col min="78" max="78" width="13.28515625" bestFit="1" customWidth="1"/>
  </cols>
  <sheetData>
    <row r="2" spans="1:67" ht="15.75">
      <c r="B2" s="202" t="s">
        <v>89</v>
      </c>
      <c r="C2" s="205">
        <f>+Dashboard!I52</f>
        <v>46447</v>
      </c>
      <c r="F2" s="200"/>
    </row>
    <row r="3" spans="1:67" ht="15.75">
      <c r="B3" s="204" t="s">
        <v>81</v>
      </c>
      <c r="C3" s="203">
        <f>+Dashboard!I53</f>
        <v>2.1666666666666665</v>
      </c>
      <c r="D3" s="201"/>
    </row>
    <row r="4" spans="1:67" ht="21" customHeight="1">
      <c r="A4">
        <v>1</v>
      </c>
      <c r="B4" s="197" t="s">
        <v>115</v>
      </c>
      <c r="C4" s="197"/>
      <c r="D4" s="405">
        <f>+Dashboard!$F$54</f>
        <v>45658</v>
      </c>
      <c r="E4" s="354">
        <f t="shared" ref="E4:G4" si="0">IF((D4+1)=$C2,$C2,EOMONTH(D4,1))</f>
        <v>45716</v>
      </c>
      <c r="F4" s="354">
        <f t="shared" si="0"/>
        <v>45747</v>
      </c>
      <c r="G4" s="354">
        <f t="shared" si="0"/>
        <v>45777</v>
      </c>
      <c r="H4" s="354">
        <f>IF((G4+1)=$C2,$C2,EOMONTH(G4,1))</f>
        <v>45808</v>
      </c>
      <c r="I4" s="354">
        <f t="shared" ref="I4:AZ4" si="1">IF((H4+1)=$C2,$C2,EOMONTH(H4,1))</f>
        <v>45838</v>
      </c>
      <c r="J4" s="354">
        <f>IF((I4+1)=$C2,$C2,EOMONTH(I4,1))</f>
        <v>45869</v>
      </c>
      <c r="K4" s="354">
        <f t="shared" si="1"/>
        <v>45900</v>
      </c>
      <c r="L4" s="354">
        <f t="shared" si="1"/>
        <v>45930</v>
      </c>
      <c r="M4" s="354">
        <f t="shared" si="1"/>
        <v>45961</v>
      </c>
      <c r="N4" s="354">
        <f t="shared" si="1"/>
        <v>45991</v>
      </c>
      <c r="O4" s="354">
        <f t="shared" si="1"/>
        <v>46022</v>
      </c>
      <c r="P4" s="354">
        <f t="shared" si="1"/>
        <v>46053</v>
      </c>
      <c r="Q4" s="354">
        <f t="shared" si="1"/>
        <v>46081</v>
      </c>
      <c r="R4" s="354">
        <f t="shared" si="1"/>
        <v>46112</v>
      </c>
      <c r="S4" s="354">
        <f t="shared" si="1"/>
        <v>46142</v>
      </c>
      <c r="T4" s="354">
        <f t="shared" si="1"/>
        <v>46173</v>
      </c>
      <c r="U4" s="354">
        <f t="shared" si="1"/>
        <v>46203</v>
      </c>
      <c r="V4" s="354">
        <f t="shared" si="1"/>
        <v>46234</v>
      </c>
      <c r="W4" s="354">
        <f t="shared" si="1"/>
        <v>46265</v>
      </c>
      <c r="X4" s="354">
        <f t="shared" si="1"/>
        <v>46295</v>
      </c>
      <c r="Y4" s="354">
        <f t="shared" si="1"/>
        <v>46326</v>
      </c>
      <c r="Z4" s="354">
        <f t="shared" si="1"/>
        <v>46356</v>
      </c>
      <c r="AA4" s="354">
        <f t="shared" si="1"/>
        <v>46387</v>
      </c>
      <c r="AB4" s="354">
        <f t="shared" si="1"/>
        <v>46418</v>
      </c>
      <c r="AC4" s="354">
        <f t="shared" si="1"/>
        <v>46446</v>
      </c>
      <c r="AD4" s="354">
        <f t="shared" si="1"/>
        <v>46447</v>
      </c>
      <c r="AE4" s="354">
        <f t="shared" si="1"/>
        <v>46507</v>
      </c>
      <c r="AF4" s="354">
        <f t="shared" si="1"/>
        <v>46538</v>
      </c>
      <c r="AG4" s="354">
        <f t="shared" si="1"/>
        <v>46568</v>
      </c>
      <c r="AH4" s="354">
        <f t="shared" si="1"/>
        <v>46599</v>
      </c>
      <c r="AI4" s="354">
        <f t="shared" si="1"/>
        <v>46630</v>
      </c>
      <c r="AJ4" s="354">
        <f t="shared" si="1"/>
        <v>46660</v>
      </c>
      <c r="AK4" s="354">
        <f t="shared" si="1"/>
        <v>46691</v>
      </c>
      <c r="AL4" s="354">
        <f t="shared" si="1"/>
        <v>46721</v>
      </c>
      <c r="AM4" s="354">
        <f t="shared" si="1"/>
        <v>46752</v>
      </c>
      <c r="AN4" s="354">
        <f t="shared" si="1"/>
        <v>46783</v>
      </c>
      <c r="AO4" s="354">
        <f t="shared" si="1"/>
        <v>46812</v>
      </c>
      <c r="AP4" s="354">
        <f t="shared" si="1"/>
        <v>46843</v>
      </c>
      <c r="AQ4" s="354">
        <f t="shared" si="1"/>
        <v>46873</v>
      </c>
      <c r="AR4" s="354">
        <f t="shared" si="1"/>
        <v>46904</v>
      </c>
      <c r="AS4" s="354">
        <f t="shared" si="1"/>
        <v>46934</v>
      </c>
      <c r="AT4" s="354">
        <f t="shared" si="1"/>
        <v>46965</v>
      </c>
      <c r="AU4" s="354">
        <f t="shared" si="1"/>
        <v>46996</v>
      </c>
      <c r="AV4" s="354">
        <f t="shared" si="1"/>
        <v>47026</v>
      </c>
      <c r="AW4" s="354">
        <f t="shared" si="1"/>
        <v>47057</v>
      </c>
      <c r="AX4" s="354">
        <f t="shared" si="1"/>
        <v>47087</v>
      </c>
      <c r="AY4" s="354">
        <f t="shared" si="1"/>
        <v>47118</v>
      </c>
      <c r="AZ4" s="354">
        <f t="shared" si="1"/>
        <v>47149</v>
      </c>
      <c r="BA4" s="354">
        <f t="shared" ref="BA4" si="2">IF((AZ4+1)=$C2,$C2,EOMONTH(AZ4,1))</f>
        <v>47177</v>
      </c>
      <c r="BB4" s="354">
        <f t="shared" ref="BB4" si="3">IF((BA4+1)=$C2,$C2,EOMONTH(BA4,1))</f>
        <v>47208</v>
      </c>
      <c r="BC4" s="354">
        <f t="shared" ref="BC4" si="4">IF((BB4+1)=$C2,$C2,EOMONTH(BB4,1))</f>
        <v>47238</v>
      </c>
      <c r="BD4" s="354">
        <f t="shared" ref="BD4" si="5">IF((BC4+1)=$C2,$C2,EOMONTH(BC4,1))</f>
        <v>47269</v>
      </c>
      <c r="BE4" s="354">
        <f t="shared" ref="BE4" si="6">IF((BD4+1)=$C2,$C2,EOMONTH(BD4,1))</f>
        <v>47299</v>
      </c>
      <c r="BF4" s="354">
        <f t="shared" ref="BF4" si="7">IF((BE4+1)=$C2,$C2,EOMONTH(BE4,1))</f>
        <v>47330</v>
      </c>
      <c r="BG4" s="354">
        <f t="shared" ref="BG4" si="8">IF((BF4+1)=$C2,$C2,EOMONTH(BF4,1))</f>
        <v>47361</v>
      </c>
      <c r="BH4" s="354">
        <f t="shared" ref="BH4" si="9">IF((BG4+1)=$C2,$C2,EOMONTH(BG4,1))</f>
        <v>47391</v>
      </c>
      <c r="BI4" s="354">
        <f t="shared" ref="BI4" si="10">IF((BH4+1)=$C2,$C2,EOMONTH(BH4,1))</f>
        <v>47422</v>
      </c>
      <c r="BJ4" s="354">
        <f t="shared" ref="BJ4" si="11">IF((BI4+1)=$C2,$C2,EOMONTH(BI4,1))</f>
        <v>47452</v>
      </c>
      <c r="BK4" s="354">
        <f t="shared" ref="BK4" si="12">IF((BJ4+1)=$C2,$C2,EOMONTH(BJ4,1))</f>
        <v>47483</v>
      </c>
      <c r="BL4" s="354">
        <f t="shared" ref="BL4" si="13">IF((BK4+1)=$C2,$C2,EOMONTH(BK4,1))</f>
        <v>47514</v>
      </c>
      <c r="BM4" s="354">
        <f t="shared" ref="BM4" si="14">IF((BL4+1)=$C2,$C2,EOMONTH(BL4,1))</f>
        <v>47542</v>
      </c>
      <c r="BN4" s="354">
        <f t="shared" ref="BN4" si="15">IF((BM4+1)=$C2,$C2,EOMONTH(BM4,1))</f>
        <v>47573</v>
      </c>
      <c r="BO4" s="354">
        <f t="shared" ref="BO4" si="16">IF((BN4+1)=$C2,$C2,EOMONTH(BN4,1))</f>
        <v>47603</v>
      </c>
    </row>
    <row r="5" spans="1:67">
      <c r="A5">
        <v>2</v>
      </c>
      <c r="B5" s="184" t="s">
        <v>162</v>
      </c>
      <c r="C5" s="29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105"/>
      <c r="P5" s="105"/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05"/>
      <c r="AB5" s="105"/>
      <c r="AC5" s="105"/>
      <c r="AD5" s="105"/>
      <c r="AE5" s="105"/>
      <c r="AF5" s="105"/>
      <c r="AG5" s="105"/>
      <c r="AH5" s="105"/>
      <c r="AI5" s="105"/>
      <c r="AJ5" s="105"/>
      <c r="AK5" s="105"/>
      <c r="AL5" s="105"/>
      <c r="AM5" s="105"/>
      <c r="AN5" s="105"/>
      <c r="AO5" s="105"/>
      <c r="AP5" s="105"/>
      <c r="AQ5" s="105"/>
      <c r="AR5" s="105"/>
      <c r="AS5" s="105"/>
      <c r="AT5" s="105"/>
      <c r="AU5" s="105"/>
      <c r="AV5" s="105"/>
      <c r="AW5" s="105"/>
      <c r="AX5" s="105"/>
      <c r="AY5" s="105"/>
      <c r="AZ5" s="105"/>
      <c r="BA5" s="541"/>
      <c r="BB5" s="541"/>
      <c r="BC5" s="541"/>
      <c r="BD5" s="541"/>
      <c r="BE5" s="541"/>
      <c r="BF5" s="541"/>
      <c r="BG5" s="541"/>
      <c r="BH5" s="541"/>
      <c r="BI5" s="541"/>
      <c r="BJ5" s="541"/>
      <c r="BK5" s="541"/>
      <c r="BL5" s="541"/>
      <c r="BM5" s="541"/>
      <c r="BN5" s="541"/>
      <c r="BO5" s="542"/>
    </row>
    <row r="6" spans="1:67">
      <c r="A6">
        <v>3</v>
      </c>
      <c r="B6" s="168" t="str">
        <f>Dashboard!$E$54</f>
        <v>Initial Equity Investment</v>
      </c>
      <c r="C6" s="5"/>
      <c r="D6" s="105">
        <f>-SUM(Dashboard!$F$9:$F$10)</f>
        <v>-24033944.982098967</v>
      </c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  <c r="AC6" s="105"/>
      <c r="AD6" s="105"/>
      <c r="AE6" s="105"/>
      <c r="AF6" s="105"/>
      <c r="AG6" s="105"/>
      <c r="AH6" s="105"/>
      <c r="AI6" s="105"/>
      <c r="AJ6" s="105"/>
      <c r="AK6" s="105"/>
      <c r="AL6" s="105"/>
      <c r="AM6" s="105"/>
      <c r="AN6" s="105"/>
      <c r="AO6" s="105"/>
      <c r="AP6" s="105"/>
      <c r="AQ6" s="105"/>
      <c r="AR6" s="105"/>
      <c r="AS6" s="105"/>
      <c r="AT6" s="105"/>
      <c r="AU6" s="105"/>
      <c r="AV6" s="105"/>
      <c r="AW6" s="105"/>
      <c r="AX6" s="105"/>
      <c r="AY6" s="105"/>
      <c r="AZ6" s="105"/>
      <c r="BA6" s="105"/>
      <c r="BB6" s="105"/>
      <c r="BC6" s="105"/>
      <c r="BD6" s="105"/>
      <c r="BE6" s="105"/>
      <c r="BF6" s="105"/>
      <c r="BG6" s="105"/>
      <c r="BH6" s="105"/>
      <c r="BI6" s="105"/>
      <c r="BJ6" s="105"/>
      <c r="BK6" s="105"/>
      <c r="BL6" s="105"/>
      <c r="BM6" s="105"/>
      <c r="BN6" s="105"/>
      <c r="BO6" s="169"/>
    </row>
    <row r="7" spans="1:67" ht="6.75" customHeight="1">
      <c r="A7">
        <v>4</v>
      </c>
      <c r="B7" s="168"/>
      <c r="C7" s="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  <c r="AB7" s="105"/>
      <c r="AC7" s="105"/>
      <c r="AD7" s="105"/>
      <c r="AE7" s="105"/>
      <c r="AF7" s="105"/>
      <c r="AG7" s="105"/>
      <c r="AH7" s="105"/>
      <c r="AI7" s="105"/>
      <c r="AJ7" s="105"/>
      <c r="AK7" s="105"/>
      <c r="AL7" s="105"/>
      <c r="AM7" s="105"/>
      <c r="AN7" s="105"/>
      <c r="AO7" s="105"/>
      <c r="AP7" s="105"/>
      <c r="AQ7" s="105"/>
      <c r="AR7" s="105"/>
      <c r="AS7" s="105"/>
      <c r="AT7" s="105"/>
      <c r="AU7" s="105"/>
      <c r="AV7" s="105"/>
      <c r="AW7" s="105"/>
      <c r="AX7" s="105"/>
      <c r="AY7" s="105"/>
      <c r="AZ7" s="105"/>
      <c r="BA7" s="105"/>
      <c r="BB7" s="105"/>
      <c r="BC7" s="105"/>
      <c r="BD7" s="105"/>
      <c r="BE7" s="105"/>
      <c r="BF7" s="105"/>
      <c r="BG7" s="105"/>
      <c r="BH7" s="105"/>
      <c r="BI7" s="105"/>
      <c r="BJ7" s="105"/>
      <c r="BK7" s="105"/>
      <c r="BL7" s="105"/>
      <c r="BM7" s="105"/>
      <c r="BN7" s="105"/>
      <c r="BO7" s="169"/>
    </row>
    <row r="8" spans="1:67">
      <c r="A8">
        <v>5</v>
      </c>
      <c r="B8" s="185" t="s">
        <v>163</v>
      </c>
      <c r="C8" s="29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1"/>
      <c r="BA8" s="151"/>
      <c r="BB8" s="151"/>
      <c r="BC8" s="151"/>
      <c r="BD8" s="151"/>
      <c r="BE8" s="151"/>
      <c r="BF8" s="151"/>
      <c r="BG8" s="151"/>
      <c r="BH8" s="151"/>
      <c r="BI8" s="151"/>
      <c r="BJ8" s="151"/>
      <c r="BK8" s="151"/>
      <c r="BL8" s="151"/>
      <c r="BM8" s="151"/>
      <c r="BN8" s="151"/>
      <c r="BO8" s="180"/>
    </row>
    <row r="9" spans="1:67">
      <c r="A9">
        <v>6</v>
      </c>
      <c r="B9" s="168" t="str">
        <f>'Monthly CF''s'!$B$58</f>
        <v>Net Property Cash Flows</v>
      </c>
      <c r="C9" s="5"/>
      <c r="D9" s="105"/>
      <c r="E9" s="105">
        <f>IF(E4&lt;$C2,SUMIFS('Monthly CF''s'!$P$58:$BK$58,'Monthly CF''s'!$P$2:$BK$2,"="&amp;E4),0)</f>
        <v>0</v>
      </c>
      <c r="F9" s="105">
        <f>IF(F4&lt;$C2,SUMIFS('Monthly CF''s'!$P$58:$BK$58,'Monthly CF''s'!$P$2:$BK$2,"="&amp;F4),0)</f>
        <v>0</v>
      </c>
      <c r="G9" s="105">
        <f>IF(G4&lt;$C2,SUMIFS('Monthly CF''s'!$P$58:$BK$58,'Monthly CF''s'!$P$2:$BK$2,"="&amp;G4),0)</f>
        <v>0</v>
      </c>
      <c r="H9" s="105">
        <f>IF(H4&lt;$C2,SUMIFS('Monthly CF''s'!$P$58:$BK$58,'Monthly CF''s'!$P$2:$BK$2,"="&amp;H4),0)</f>
        <v>0</v>
      </c>
      <c r="I9" s="105">
        <f>IF(I4&lt;$C2,SUMIFS('Monthly CF''s'!$P$58:$BK$58,'Monthly CF''s'!$P$2:$BK$2,"="&amp;I4),0)</f>
        <v>0</v>
      </c>
      <c r="J9" s="105">
        <f>IF(J4&lt;$C2,SUMIFS('Monthly CF''s'!$P$58:$BK$58,'Monthly CF''s'!$P$2:$BK$2,"="&amp;J4),0)</f>
        <v>0</v>
      </c>
      <c r="K9" s="105">
        <f>IF(K4&lt;$C2,SUMIFS('Monthly CF''s'!$P$58:$BK$58,'Monthly CF''s'!$P$2:$BK$2,"="&amp;K4),0)</f>
        <v>0</v>
      </c>
      <c r="L9" s="105">
        <f>IF(L4&lt;$C2,SUMIFS('Monthly CF''s'!$P$58:$BK$58,'Monthly CF''s'!$P$2:$BK$2,"="&amp;L4),0)</f>
        <v>0</v>
      </c>
      <c r="M9" s="105">
        <f>IF(M4&lt;$C2,SUMIFS('Monthly CF''s'!$P$58:$BK$58,'Monthly CF''s'!$P$2:$BK$2,"="&amp;M4),0)</f>
        <v>0</v>
      </c>
      <c r="N9" s="105">
        <f>IF(N4&lt;$C2,SUMIFS('Monthly CF''s'!$P$58:$BK$58,'Monthly CF''s'!$P$2:$BK$2,"="&amp;N4),0)</f>
        <v>0</v>
      </c>
      <c r="O9" s="105">
        <f>IF(O4&lt;$C2,SUMIFS('Monthly CF''s'!$P$58:$BK$58,'Monthly CF''s'!$P$2:$BK$2,"="&amp;O4),0)</f>
        <v>0</v>
      </c>
      <c r="P9" s="105">
        <f>IF(P4&lt;$C2,SUMIFS('Monthly CF''s'!$P$58:$BK$58,'Monthly CF''s'!$P$2:$BK$2,"="&amp;P4),0)</f>
        <v>0</v>
      </c>
      <c r="Q9" s="105">
        <f>IF(Q4&lt;$C2,SUMIFS('Monthly CF''s'!$P$58:$BK$58,'Monthly CF''s'!$P$2:$BK$2,"="&amp;Q4),0)</f>
        <v>0</v>
      </c>
      <c r="R9" s="105">
        <f>IF(R4&lt;$C2,SUMIFS('Monthly CF''s'!$P$58:$BK$58,'Monthly CF''s'!$P$2:$BK$2,"="&amp;R4),0)</f>
        <v>0</v>
      </c>
      <c r="S9" s="105">
        <f>IF(S4&lt;$C2,SUMIFS('Monthly CF''s'!$P$58:$BK$58,'Monthly CF''s'!$P$2:$BK$2,"="&amp;S4),0)</f>
        <v>0</v>
      </c>
      <c r="T9" s="105">
        <f>IF(T4&lt;$C2,SUMIFS('Monthly CF''s'!$P$58:$BK$58,'Monthly CF''s'!$P$2:$BK$2,"="&amp;T4),0)</f>
        <v>0</v>
      </c>
      <c r="U9" s="105">
        <f>IF(U4&lt;$C2,SUMIFS('Monthly CF''s'!$P$58:$BK$58,'Monthly CF''s'!$P$2:$BK$2,"="&amp;U4),0)</f>
        <v>0</v>
      </c>
      <c r="V9" s="105">
        <f>IF(V4&lt;$C2,SUMIFS('Monthly CF''s'!$P$58:$BK$58,'Monthly CF''s'!$P$2:$BK$2,"="&amp;V4),0)</f>
        <v>0</v>
      </c>
      <c r="W9" s="105">
        <f>IF(W4&lt;$C2,SUMIFS('Monthly CF''s'!$P$58:$BK$58,'Monthly CF''s'!$P$2:$BK$2,"="&amp;W4),0)</f>
        <v>0</v>
      </c>
      <c r="X9" s="105">
        <f>IF(X4&lt;$C2,SUMIFS('Monthly CF''s'!$P$58:$BK$58,'Monthly CF''s'!$P$2:$BK$2,"="&amp;X4),0)</f>
        <v>55865.937070519256</v>
      </c>
      <c r="Y9" s="105">
        <f>IF(Y4&lt;$C2,SUMIFS('Monthly CF''s'!$P$58:$BK$58,'Monthly CF''s'!$P$2:$BK$2,"="&amp;Y4),0)</f>
        <v>55865.937070519256</v>
      </c>
      <c r="Z9" s="105">
        <f>IF(Z4&lt;$C2,SUMIFS('Monthly CF''s'!$P$58:$BK$58,'Monthly CF''s'!$P$2:$BK$2,"="&amp;Z4),0)</f>
        <v>55865.937070519256</v>
      </c>
      <c r="AA9" s="105">
        <f>IF(AA4&lt;$C2,SUMIFS('Monthly CF''s'!$P$58:$BK$58,'Monthly CF''s'!$P$2:$BK$2,"="&amp;AA4),0)</f>
        <v>1567865.9370705192</v>
      </c>
      <c r="AB9" s="105">
        <f>IF(AB4&lt;$C2,SUMIFS('Monthly CF''s'!$P$58:$BK$58,'Monthly CF''s'!$P$2:$BK$2,"="&amp;AB4),0)</f>
        <v>55865.937070519256</v>
      </c>
      <c r="AC9" s="105">
        <f>IF(AC4&lt;$C2,SUMIFS('Monthly CF''s'!$P$58:$BK$58,'Monthly CF''s'!$P$2:$BK$2,"="&amp;AC4),0)</f>
        <v>55865.937070519256</v>
      </c>
      <c r="AD9" s="105">
        <f>IF(AD4&lt;$C2,SUMIFS('Monthly CF''s'!$P$58:$BK$58,'Monthly CF''s'!$P$2:$BK$2,"="&amp;AD4),0)</f>
        <v>0</v>
      </c>
      <c r="AE9" s="105">
        <f>IF(AE4&lt;$C2,SUMIFS('Monthly CF''s'!$P$58:$BK$58,'Monthly CF''s'!$P$2:$BK$2,"="&amp;AE4),0)</f>
        <v>0</v>
      </c>
      <c r="AF9" s="105">
        <f>IF(AF4&lt;$C2,SUMIFS('Monthly CF''s'!$P$58:$BK$58,'Monthly CF''s'!$P$2:$BK$2,"="&amp;AF4),0)</f>
        <v>0</v>
      </c>
      <c r="AG9" s="105">
        <f>IF(AG4&lt;$C2,SUMIFS('Monthly CF''s'!$P$58:$BK$58,'Monthly CF''s'!$P$2:$BK$2,"="&amp;AG4),0)</f>
        <v>0</v>
      </c>
      <c r="AH9" s="105">
        <f>IF(AH4&lt;$C2,SUMIFS('Monthly CF''s'!$P$58:$BK$58,'Monthly CF''s'!$P$2:$BK$2,"="&amp;AH4),0)</f>
        <v>0</v>
      </c>
      <c r="AI9" s="105">
        <f>IF(AI4&lt;$C2,SUMIFS('Monthly CF''s'!$P$58:$BK$58,'Monthly CF''s'!$P$2:$BK$2,"="&amp;AI4),0)</f>
        <v>0</v>
      </c>
      <c r="AJ9" s="105">
        <f>IF(AJ4&lt;$C2,SUMIFS('Monthly CF''s'!$P$58:$BK$58,'Monthly CF''s'!$P$2:$BK$2,"="&amp;AJ4),0)</f>
        <v>0</v>
      </c>
      <c r="AK9" s="105">
        <f>IF(AK4&lt;$C2,SUMIFS('Monthly CF''s'!$P$58:$BK$58,'Monthly CF''s'!$P$2:$BK$2,"="&amp;AK4),0)</f>
        <v>0</v>
      </c>
      <c r="AL9" s="105">
        <f>IF(AL4&lt;$C2,SUMIFS('Monthly CF''s'!$P$58:$BK$58,'Monthly CF''s'!$P$2:$BK$2,"="&amp;AL4),0)</f>
        <v>0</v>
      </c>
      <c r="AM9" s="105">
        <f>IF(AM4&lt;$C2,SUMIFS('Monthly CF''s'!$P$58:$BK$58,'Monthly CF''s'!$P$2:$BK$2,"="&amp;AM4),0)</f>
        <v>0</v>
      </c>
      <c r="AN9" s="105">
        <f>IF(AN4&lt;$C2,SUMIFS('Monthly CF''s'!$P$58:$BK$58,'Monthly CF''s'!$P$2:$BK$2,"="&amp;AN4),0)</f>
        <v>0</v>
      </c>
      <c r="AO9" s="105">
        <f>IF(AO4&lt;$C2,SUMIFS('Monthly CF''s'!$P$58:$BK$58,'Monthly CF''s'!$P$2:$BK$2,"="&amp;AO4),0)</f>
        <v>0</v>
      </c>
      <c r="AP9" s="105">
        <f>IF(AP4&lt;$C2,SUMIFS('Monthly CF''s'!$P$58:$BK$58,'Monthly CF''s'!$P$2:$BK$2,"="&amp;AP4),0)</f>
        <v>0</v>
      </c>
      <c r="AQ9" s="105">
        <f>IF(AQ4&lt;$C2,SUMIFS('Monthly CF''s'!$P$58:$BK$58,'Monthly CF''s'!$P$2:$BK$2,"="&amp;AQ4),0)</f>
        <v>0</v>
      </c>
      <c r="AR9" s="105">
        <f>IF(AR4&lt;$C2,SUMIFS('Monthly CF''s'!$P$58:$BK$58,'Monthly CF''s'!$P$2:$BK$2,"="&amp;AR4),0)</f>
        <v>0</v>
      </c>
      <c r="AS9" s="105">
        <f>IF(AS4&lt;$C2,SUMIFS('Monthly CF''s'!$P$58:$BK$58,'Monthly CF''s'!$P$2:$BK$2,"="&amp;AS4),0)</f>
        <v>0</v>
      </c>
      <c r="AT9" s="105">
        <f>IF(AT4&lt;$C2,SUMIFS('Monthly CF''s'!$P$58:$BK$58,'Monthly CF''s'!$P$2:$BK$2,"="&amp;AT4),0)</f>
        <v>0</v>
      </c>
      <c r="AU9" s="105">
        <f>IF(AU4&lt;$C2,SUMIFS('Monthly CF''s'!$P$58:$BK$58,'Monthly CF''s'!$P$2:$BK$2,"="&amp;AU4),0)</f>
        <v>0</v>
      </c>
      <c r="AV9" s="105">
        <f>IF(AV4&lt;$C2,SUMIFS('Monthly CF''s'!$P$58:$BK$58,'Monthly CF''s'!$P$2:$BK$2,"="&amp;AV4),0)</f>
        <v>0</v>
      </c>
      <c r="AW9" s="105">
        <f>IF(AW4&lt;$C2,SUMIFS('Monthly CF''s'!$P$58:$BK$58,'Monthly CF''s'!$P$2:$BK$2,"="&amp;AW4),0)</f>
        <v>0</v>
      </c>
      <c r="AX9" s="105">
        <f>IF(AX4&lt;$C2,SUMIFS('Monthly CF''s'!$P$58:$BK$58,'Monthly CF''s'!$P$2:$BK$2,"="&amp;AX4),0)</f>
        <v>0</v>
      </c>
      <c r="AY9" s="105">
        <f>IF(AY4&lt;$C2,SUMIFS('Monthly CF''s'!$P$58:$BK$58,'Monthly CF''s'!$P$2:$BK$2,"="&amp;AY4),0)</f>
        <v>0</v>
      </c>
      <c r="AZ9" s="105">
        <f>IF(AZ4&lt;$C2,SUMIFS('Monthly CF''s'!$P$58:$BK$58,'Monthly CF''s'!$P$2:$BK$2,"="&amp;AZ4),0)</f>
        <v>0</v>
      </c>
      <c r="BA9" s="105">
        <f>IF(BA4&lt;$C2,SUMIFS('Monthly CF''s'!$P$58:$BK$58,'Monthly CF''s'!$P$2:$BK$2,"="&amp;BA4),0)</f>
        <v>0</v>
      </c>
      <c r="BB9" s="105">
        <f>IF(BB4&lt;$C2,SUMIFS('Monthly CF''s'!$P$58:$BK$58,'Monthly CF''s'!$P$2:$BK$2,"="&amp;BB4),0)</f>
        <v>0</v>
      </c>
      <c r="BC9" s="105">
        <f>IF(BC4&lt;$C2,SUMIFS('Monthly CF''s'!$P$58:$BK$58,'Monthly CF''s'!$P$2:$BK$2,"="&amp;BC4),0)</f>
        <v>0</v>
      </c>
      <c r="BD9" s="105">
        <f>IF(BD4&lt;$C2,SUMIFS('Monthly CF''s'!$P$58:$BK$58,'Monthly CF''s'!$P$2:$BK$2,"="&amp;BD4),0)</f>
        <v>0</v>
      </c>
      <c r="BE9" s="105">
        <f>IF(BE4&lt;$C2,SUMIFS('Monthly CF''s'!$P$58:$BK$58,'Monthly CF''s'!$P$2:$BK$2,"="&amp;BE4),0)</f>
        <v>0</v>
      </c>
      <c r="BF9" s="105">
        <f>IF(BF4&lt;$C2,SUMIFS('Monthly CF''s'!$P$58:$BK$58,'Monthly CF''s'!$P$2:$BK$2,"="&amp;BF4),0)</f>
        <v>0</v>
      </c>
      <c r="BG9" s="105">
        <f>IF(BG4&lt;$C2,SUMIFS('Monthly CF''s'!$P$58:$BK$58,'Monthly CF''s'!$P$2:$BK$2,"="&amp;BG4),0)</f>
        <v>0</v>
      </c>
      <c r="BH9" s="105">
        <f>IF(BH4&lt;$C2,SUMIFS('Monthly CF''s'!$P$58:$BK$58,'Monthly CF''s'!$P$2:$BK$2,"="&amp;BH4),0)</f>
        <v>0</v>
      </c>
      <c r="BI9" s="105">
        <f>IF(BI4&lt;$C2,SUMIFS('Monthly CF''s'!$P$58:$BK$58,'Monthly CF''s'!$P$2:$BK$2,"="&amp;BI4),0)</f>
        <v>0</v>
      </c>
      <c r="BJ9" s="105">
        <f>IF(BJ4&lt;$C2,SUMIFS('Monthly CF''s'!$P$58:$BK$58,'Monthly CF''s'!$P$2:$BK$2,"="&amp;BJ4),0)</f>
        <v>0</v>
      </c>
      <c r="BK9" s="105">
        <f>IF(BK4&lt;$C2,SUMIFS('Monthly CF''s'!$P$58:$BK$58,'Monthly CF''s'!$P$2:$BK$2,"="&amp;BK4),0)</f>
        <v>0</v>
      </c>
      <c r="BL9" s="105">
        <f>IF(BL4&lt;$C2,SUMIFS('Monthly CF''s'!$P$58:$BK$58,'Monthly CF''s'!$P$2:$BK$2,"="&amp;BL4),0)</f>
        <v>0</v>
      </c>
      <c r="BM9" s="105">
        <f>IF(BM4&lt;$C2,SUMIFS('Monthly CF''s'!$P$58:$BK$58,'Monthly CF''s'!$P$2:$BK$2,"="&amp;BM4),0)</f>
        <v>0</v>
      </c>
      <c r="BN9" s="105">
        <f>IF(BN4&lt;$C2,SUMIFS('Monthly CF''s'!$P$58:$BK$58,'Monthly CF''s'!$P$2:$BK$2,"="&amp;BN4),0)</f>
        <v>0</v>
      </c>
      <c r="BO9" s="169">
        <f>IF(BO4&lt;$C2,SUMIFS('Monthly CF''s'!$P$58:$BK$58,'Monthly CF''s'!$P$2:$BK$2,"="&amp;BO4),0)</f>
        <v>0</v>
      </c>
    </row>
    <row r="10" spans="1:67">
      <c r="A10">
        <v>7</v>
      </c>
      <c r="B10" s="168" t="str">
        <f>'Monthly CF''s'!$B$59</f>
        <v>Net Refi Proceeds</v>
      </c>
      <c r="C10" s="5"/>
      <c r="D10" s="105"/>
      <c r="E10" s="105">
        <f>IF(E5&lt;$C3,SUMIFS('Monthly CF''s'!$P$59:$BK$59,'Monthly CF''s'!$P$2:$BK$2,"="&amp;E5),0)</f>
        <v>0</v>
      </c>
      <c r="F10" s="105"/>
      <c r="G10" s="105"/>
      <c r="H10" s="105"/>
      <c r="I10" s="105"/>
      <c r="J10" s="105"/>
      <c r="K10" s="105"/>
      <c r="L10" s="105"/>
      <c r="M10" s="105"/>
      <c r="N10" s="105"/>
      <c r="O10" s="105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5"/>
      <c r="BC10" s="105"/>
      <c r="BD10" s="105"/>
      <c r="BE10" s="105"/>
      <c r="BF10" s="105"/>
      <c r="BG10" s="105"/>
      <c r="BH10" s="105"/>
      <c r="BI10" s="105"/>
      <c r="BJ10" s="105"/>
      <c r="BK10" s="105"/>
      <c r="BL10" s="105"/>
      <c r="BM10" s="105"/>
      <c r="BN10" s="105"/>
      <c r="BO10" s="169"/>
    </row>
    <row r="11" spans="1:67">
      <c r="A11">
        <v>8</v>
      </c>
      <c r="B11" s="168" t="str">
        <f>Dashboard!$G$58</f>
        <v>Net Sale Proceeds</v>
      </c>
      <c r="C11" s="5"/>
      <c r="D11" s="105"/>
      <c r="E11" s="105">
        <f>IF(E4=$C2,Dashboard!$I$58,0)</f>
        <v>0</v>
      </c>
      <c r="F11" s="105">
        <f>IF(F4=$C2,Dashboard!$I$58,0)</f>
        <v>0</v>
      </c>
      <c r="G11" s="105">
        <f>IF(G4=$C2,Dashboard!$I$58,0)</f>
        <v>0</v>
      </c>
      <c r="H11" s="105">
        <f>IF(H4=$C2,Dashboard!$I$58,0)</f>
        <v>0</v>
      </c>
      <c r="I11" s="105">
        <f>IF(I4=$C2,Dashboard!$I$58,0)</f>
        <v>0</v>
      </c>
      <c r="J11" s="105">
        <f>IF(J4=$C2,Dashboard!$I$58,0)</f>
        <v>0</v>
      </c>
      <c r="K11" s="105">
        <f>IF(K4=$C2,Dashboard!$I$58,0)</f>
        <v>0</v>
      </c>
      <c r="L11" s="105">
        <f>IF(L4=$C2,Dashboard!$I$58,0)</f>
        <v>0</v>
      </c>
      <c r="M11" s="105">
        <f>IF(M4=$C2,Dashboard!$I$58,0)</f>
        <v>0</v>
      </c>
      <c r="N11" s="105">
        <f>IF(N4=$C2,Dashboard!$I$58,0)</f>
        <v>0</v>
      </c>
      <c r="O11" s="105">
        <f>IF(O4=$C2,Dashboard!$I$58,0)</f>
        <v>0</v>
      </c>
      <c r="P11" s="105">
        <f>IF(P4=$C2,Dashboard!$I$58,0)</f>
        <v>0</v>
      </c>
      <c r="Q11" s="105">
        <f>IF(Q4=$C2,Dashboard!$I$58,0)</f>
        <v>0</v>
      </c>
      <c r="R11" s="105">
        <f>IF(R4=$C2,Dashboard!$I$58,0)</f>
        <v>0</v>
      </c>
      <c r="S11" s="105">
        <f>IF(S4=$C2,Dashboard!$I$58,0)</f>
        <v>0</v>
      </c>
      <c r="T11" s="105">
        <f>IF(T4=$C2,Dashboard!$I$58,0)</f>
        <v>0</v>
      </c>
      <c r="U11" s="105">
        <f>IF(U4=$C2,Dashboard!$I$58,0)</f>
        <v>0</v>
      </c>
      <c r="V11" s="105">
        <f>IF(V4=$C2,Dashboard!$I$58,0)</f>
        <v>0</v>
      </c>
      <c r="W11" s="105">
        <f>IF(W4=$C2,Dashboard!$I$58,0)</f>
        <v>0</v>
      </c>
      <c r="X11" s="105">
        <f>IF(X4=$C2,Dashboard!$I$58,0)</f>
        <v>0</v>
      </c>
      <c r="Y11" s="105">
        <f>IF(Y4=$C2,Dashboard!$I$58,0)</f>
        <v>0</v>
      </c>
      <c r="Z11" s="105">
        <f>IF(Z4=$C2,Dashboard!$I$58,0)</f>
        <v>0</v>
      </c>
      <c r="AA11" s="105">
        <f>IF(AA4=$C2,Dashboard!$I$58,0)</f>
        <v>0</v>
      </c>
      <c r="AB11" s="105">
        <f>IF(AB4=$C2,Dashboard!$I$58,0)</f>
        <v>0</v>
      </c>
      <c r="AC11" s="105">
        <f>IF(AC4=$C2,Dashboard!$I$58,0)</f>
        <v>0</v>
      </c>
      <c r="AD11" s="105">
        <f>IF(AD4=$C2,Dashboard!$I$58,0)</f>
        <v>33551787.168016102</v>
      </c>
      <c r="AE11" s="105">
        <f>IF(AE4=$C2,Dashboard!$I$58,0)</f>
        <v>0</v>
      </c>
      <c r="AF11" s="105">
        <f>IF(AF4=$C2,Dashboard!$I$58,0)</f>
        <v>0</v>
      </c>
      <c r="AG11" s="105">
        <f>IF(AG4=$C2,Dashboard!$I$58,0)</f>
        <v>0</v>
      </c>
      <c r="AH11" s="105">
        <f>IF(AH4=$C2,Dashboard!$I$58,0)</f>
        <v>0</v>
      </c>
      <c r="AI11" s="105">
        <f>IF(AI4=$C2,Dashboard!$I$58,0)</f>
        <v>0</v>
      </c>
      <c r="AJ11" s="105">
        <f>IF(AJ4=$C2,Dashboard!$I$58,0)</f>
        <v>0</v>
      </c>
      <c r="AK11" s="105">
        <f>IF(AK4=$C2,Dashboard!$I$58,0)</f>
        <v>0</v>
      </c>
      <c r="AL11" s="105">
        <f>IF(AL4=$C2,Dashboard!$I$58,0)</f>
        <v>0</v>
      </c>
      <c r="AM11" s="105">
        <f>IF(AM4=$C2,Dashboard!$I$58,0)</f>
        <v>0</v>
      </c>
      <c r="AN11" s="105">
        <f>IF(AN4=$C2,Dashboard!$I$58,0)</f>
        <v>0</v>
      </c>
      <c r="AO11" s="105">
        <f>IF(AO4=$C2,Dashboard!$I$58,0)</f>
        <v>0</v>
      </c>
      <c r="AP11" s="105">
        <f>IF(AP4=$C2,Dashboard!$I$58,0)</f>
        <v>0</v>
      </c>
      <c r="AQ11" s="105">
        <f>IF(AQ4=$C2,Dashboard!$I$58,0)</f>
        <v>0</v>
      </c>
      <c r="AR11" s="105">
        <f>IF(AR4=$C2,Dashboard!$I$58,0)</f>
        <v>0</v>
      </c>
      <c r="AS11" s="105">
        <f>IF(AS4=$C2,Dashboard!$I$58,0)</f>
        <v>0</v>
      </c>
      <c r="AT11" s="105">
        <f>IF(AT4=$C2,Dashboard!$I$58,0)</f>
        <v>0</v>
      </c>
      <c r="AU11" s="105">
        <f>IF(AU4=$C2,Dashboard!$I$58,0)</f>
        <v>0</v>
      </c>
      <c r="AV11" s="105">
        <f>IF(AV4=$C2,Dashboard!$I$58,0)</f>
        <v>0</v>
      </c>
      <c r="AW11" s="105">
        <f>IF(AW4=$C2,Dashboard!$I$58,0)</f>
        <v>0</v>
      </c>
      <c r="AX11" s="105">
        <f>IF(AX4=$C2,Dashboard!$I$58,0)</f>
        <v>0</v>
      </c>
      <c r="AY11" s="105">
        <f>IF(AY4=$C2,Dashboard!$I$58,0)</f>
        <v>0</v>
      </c>
      <c r="AZ11" s="105">
        <f>IF(AZ4=$C2,Dashboard!$I$58,0)</f>
        <v>0</v>
      </c>
      <c r="BA11" s="105">
        <f>IF(BA4=$C2,Dashboard!$I$58,0)</f>
        <v>0</v>
      </c>
      <c r="BB11" s="105">
        <f>IF(BB4=$C2,Dashboard!$I$58,0)</f>
        <v>0</v>
      </c>
      <c r="BC11" s="105">
        <f>IF(BC4=$C2,Dashboard!$I$58,0)</f>
        <v>0</v>
      </c>
      <c r="BD11" s="105">
        <f>IF(BD4=$C2,Dashboard!$I$58,0)</f>
        <v>0</v>
      </c>
      <c r="BE11" s="105">
        <f>IF(BE4=$C2,Dashboard!$I$58,0)</f>
        <v>0</v>
      </c>
      <c r="BF11" s="105">
        <f>IF(BF4=$C2,Dashboard!$I$58,0)</f>
        <v>0</v>
      </c>
      <c r="BG11" s="105">
        <f>IF(BG4=$C2,Dashboard!$I$58,0)</f>
        <v>0</v>
      </c>
      <c r="BH11" s="105">
        <f>IF(BH4=$C2,Dashboard!$I$58,0)</f>
        <v>0</v>
      </c>
      <c r="BI11" s="105">
        <f>IF(BI4=$C2,Dashboard!$I$58,0)</f>
        <v>0</v>
      </c>
      <c r="BJ11" s="105">
        <f>IF(BJ4=$C2,Dashboard!$I$58,0)</f>
        <v>0</v>
      </c>
      <c r="BK11" s="105">
        <f>IF(BK4=$C2,Dashboard!$I$58,0)</f>
        <v>0</v>
      </c>
      <c r="BL11" s="105">
        <f>IF(BL4=$C2,Dashboard!$I$58,0)</f>
        <v>0</v>
      </c>
      <c r="BM11" s="105">
        <f>IF(BM4=$C2,Dashboard!$I$58,0)</f>
        <v>0</v>
      </c>
      <c r="BN11" s="105">
        <f>IF(BN4=$C2,Dashboard!$I$58,0)</f>
        <v>0</v>
      </c>
      <c r="BO11" s="169">
        <f>IF(BO4=$C2,Dashboard!$I$58,0)</f>
        <v>0</v>
      </c>
    </row>
    <row r="12" spans="1:67" ht="6.75" customHeight="1">
      <c r="B12" s="168"/>
      <c r="C12" s="5"/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  <c r="AH12" s="105"/>
      <c r="AI12" s="105"/>
      <c r="AJ12" s="105"/>
      <c r="AK12" s="105"/>
      <c r="AL12" s="105"/>
      <c r="AM12" s="105"/>
      <c r="AN12" s="105"/>
      <c r="AO12" s="105"/>
      <c r="AP12" s="105"/>
      <c r="AQ12" s="105"/>
      <c r="AR12" s="105"/>
      <c r="AS12" s="105"/>
      <c r="AT12" s="105"/>
      <c r="AU12" s="105"/>
      <c r="AV12" s="105"/>
      <c r="AW12" s="105"/>
      <c r="AX12" s="105"/>
      <c r="AY12" s="105"/>
      <c r="AZ12" s="105"/>
      <c r="BA12" s="543"/>
      <c r="BB12" s="543"/>
      <c r="BC12" s="543"/>
      <c r="BD12" s="543"/>
      <c r="BE12" s="543"/>
      <c r="BF12" s="543"/>
      <c r="BG12" s="543"/>
      <c r="BH12" s="543"/>
      <c r="BI12" s="543"/>
      <c r="BJ12" s="543"/>
      <c r="BK12" s="543"/>
      <c r="BL12" s="543"/>
      <c r="BM12" s="543"/>
      <c r="BN12" s="543"/>
      <c r="BO12" s="544"/>
    </row>
    <row r="13" spans="1:67">
      <c r="B13" s="186" t="s">
        <v>157</v>
      </c>
      <c r="C13" s="198"/>
      <c r="D13" s="154">
        <f t="shared" ref="D13:AI13" si="17">SUM(D9:D11)+D6</f>
        <v>-24033944.982098967</v>
      </c>
      <c r="E13" s="154">
        <f t="shared" si="17"/>
        <v>0</v>
      </c>
      <c r="F13" s="154">
        <f t="shared" si="17"/>
        <v>0</v>
      </c>
      <c r="G13" s="154">
        <f t="shared" si="17"/>
        <v>0</v>
      </c>
      <c r="H13" s="154">
        <f t="shared" si="17"/>
        <v>0</v>
      </c>
      <c r="I13" s="154">
        <f t="shared" si="17"/>
        <v>0</v>
      </c>
      <c r="J13" s="154">
        <f t="shared" si="17"/>
        <v>0</v>
      </c>
      <c r="K13" s="154">
        <f t="shared" si="17"/>
        <v>0</v>
      </c>
      <c r="L13" s="154">
        <f t="shared" si="17"/>
        <v>0</v>
      </c>
      <c r="M13" s="154">
        <f t="shared" si="17"/>
        <v>0</v>
      </c>
      <c r="N13" s="154">
        <f t="shared" si="17"/>
        <v>0</v>
      </c>
      <c r="O13" s="154">
        <f t="shared" si="17"/>
        <v>0</v>
      </c>
      <c r="P13" s="154">
        <f t="shared" si="17"/>
        <v>0</v>
      </c>
      <c r="Q13" s="154">
        <f t="shared" si="17"/>
        <v>0</v>
      </c>
      <c r="R13" s="154">
        <f t="shared" si="17"/>
        <v>0</v>
      </c>
      <c r="S13" s="154">
        <f t="shared" si="17"/>
        <v>0</v>
      </c>
      <c r="T13" s="154">
        <f t="shared" si="17"/>
        <v>0</v>
      </c>
      <c r="U13" s="154">
        <f t="shared" si="17"/>
        <v>0</v>
      </c>
      <c r="V13" s="154">
        <f t="shared" si="17"/>
        <v>0</v>
      </c>
      <c r="W13" s="154">
        <f t="shared" si="17"/>
        <v>0</v>
      </c>
      <c r="X13" s="154">
        <f t="shared" si="17"/>
        <v>55865.937070519256</v>
      </c>
      <c r="Y13" s="154">
        <f t="shared" si="17"/>
        <v>55865.937070519256</v>
      </c>
      <c r="Z13" s="154">
        <f t="shared" si="17"/>
        <v>55865.937070519256</v>
      </c>
      <c r="AA13" s="154">
        <f t="shared" si="17"/>
        <v>1567865.9370705192</v>
      </c>
      <c r="AB13" s="154">
        <f t="shared" si="17"/>
        <v>55865.937070519256</v>
      </c>
      <c r="AC13" s="154">
        <f t="shared" si="17"/>
        <v>55865.937070519256</v>
      </c>
      <c r="AD13" s="154">
        <f t="shared" si="17"/>
        <v>33551787.168016102</v>
      </c>
      <c r="AE13" s="154">
        <f t="shared" si="17"/>
        <v>0</v>
      </c>
      <c r="AF13" s="154">
        <f t="shared" si="17"/>
        <v>0</v>
      </c>
      <c r="AG13" s="154">
        <f t="shared" si="17"/>
        <v>0</v>
      </c>
      <c r="AH13" s="154">
        <f t="shared" si="17"/>
        <v>0</v>
      </c>
      <c r="AI13" s="154">
        <f t="shared" si="17"/>
        <v>0</v>
      </c>
      <c r="AJ13" s="154">
        <f t="shared" ref="AJ13:AZ13" si="18">SUM(AJ9:AJ11)+AJ6</f>
        <v>0</v>
      </c>
      <c r="AK13" s="154">
        <f t="shared" si="18"/>
        <v>0</v>
      </c>
      <c r="AL13" s="154">
        <f t="shared" si="18"/>
        <v>0</v>
      </c>
      <c r="AM13" s="154">
        <f t="shared" si="18"/>
        <v>0</v>
      </c>
      <c r="AN13" s="154">
        <f t="shared" si="18"/>
        <v>0</v>
      </c>
      <c r="AO13" s="154">
        <f t="shared" si="18"/>
        <v>0</v>
      </c>
      <c r="AP13" s="154">
        <f t="shared" si="18"/>
        <v>0</v>
      </c>
      <c r="AQ13" s="154">
        <f t="shared" si="18"/>
        <v>0</v>
      </c>
      <c r="AR13" s="154">
        <f t="shared" si="18"/>
        <v>0</v>
      </c>
      <c r="AS13" s="154">
        <f t="shared" si="18"/>
        <v>0</v>
      </c>
      <c r="AT13" s="154">
        <f t="shared" si="18"/>
        <v>0</v>
      </c>
      <c r="AU13" s="154">
        <f t="shared" si="18"/>
        <v>0</v>
      </c>
      <c r="AV13" s="154">
        <f t="shared" si="18"/>
        <v>0</v>
      </c>
      <c r="AW13" s="154">
        <f t="shared" si="18"/>
        <v>0</v>
      </c>
      <c r="AX13" s="154">
        <f t="shared" si="18"/>
        <v>0</v>
      </c>
      <c r="AY13" s="154">
        <f t="shared" si="18"/>
        <v>0</v>
      </c>
      <c r="AZ13" s="493">
        <f t="shared" si="18"/>
        <v>0</v>
      </c>
      <c r="BA13" s="493">
        <f t="shared" ref="BA13:BF13" si="19">SUM(BA9:BA11)+BA6</f>
        <v>0</v>
      </c>
      <c r="BB13" s="493">
        <f t="shared" si="19"/>
        <v>0</v>
      </c>
      <c r="BC13" s="493">
        <f t="shared" si="19"/>
        <v>0</v>
      </c>
      <c r="BD13" s="493">
        <f t="shared" si="19"/>
        <v>0</v>
      </c>
      <c r="BE13" s="493">
        <f t="shared" si="19"/>
        <v>0</v>
      </c>
      <c r="BF13" s="493">
        <f t="shared" si="19"/>
        <v>0</v>
      </c>
      <c r="BG13" s="493">
        <f t="shared" ref="BG13:BO13" si="20">SUM(BG9:BG11)+BG6</f>
        <v>0</v>
      </c>
      <c r="BH13" s="493">
        <f t="shared" si="20"/>
        <v>0</v>
      </c>
      <c r="BI13" s="493">
        <f t="shared" si="20"/>
        <v>0</v>
      </c>
      <c r="BJ13" s="493">
        <f t="shared" si="20"/>
        <v>0</v>
      </c>
      <c r="BK13" s="493">
        <f t="shared" si="20"/>
        <v>0</v>
      </c>
      <c r="BL13" s="493">
        <f t="shared" si="20"/>
        <v>0</v>
      </c>
      <c r="BM13" s="493">
        <f t="shared" si="20"/>
        <v>0</v>
      </c>
      <c r="BN13" s="493">
        <f t="shared" si="20"/>
        <v>0</v>
      </c>
      <c r="BO13" s="494">
        <f t="shared" si="20"/>
        <v>0</v>
      </c>
    </row>
    <row r="14" spans="1:67">
      <c r="B14" s="206" t="s">
        <v>91</v>
      </c>
      <c r="C14" s="208">
        <f>XIRR(D13:AZ13,D4:AZ4)</f>
        <v>0.19708642363548279</v>
      </c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1"/>
      <c r="AA14" s="151"/>
      <c r="AB14" s="151"/>
      <c r="AC14" s="151"/>
      <c r="AD14" s="151"/>
      <c r="AE14" s="151"/>
      <c r="AF14" s="151"/>
      <c r="AG14" s="151"/>
      <c r="AH14" s="151"/>
      <c r="AI14" s="151"/>
      <c r="AJ14" s="151"/>
      <c r="AK14" s="151"/>
      <c r="AL14" s="151"/>
      <c r="AM14" s="151"/>
      <c r="AN14" s="151"/>
      <c r="AO14" s="151"/>
      <c r="AP14" s="151"/>
      <c r="AQ14" s="151"/>
      <c r="AR14" s="151"/>
      <c r="AS14" s="151"/>
      <c r="AT14" s="151"/>
      <c r="AU14" s="151"/>
      <c r="AV14" s="151"/>
      <c r="AW14" s="151"/>
      <c r="AX14" s="151"/>
      <c r="AY14" s="151"/>
      <c r="AZ14" s="151"/>
      <c r="BA14" s="151"/>
      <c r="BB14" s="151"/>
      <c r="BC14" s="151"/>
      <c r="BD14" s="151"/>
      <c r="BE14" s="151"/>
      <c r="BF14" s="151"/>
      <c r="BG14" s="151"/>
      <c r="BH14" s="151"/>
      <c r="BI14" s="151"/>
      <c r="BJ14" s="151"/>
      <c r="BK14" s="151"/>
      <c r="BL14" s="151"/>
      <c r="BM14" s="151"/>
      <c r="BN14" s="151"/>
      <c r="BO14" s="151"/>
    </row>
    <row r="15" spans="1:67">
      <c r="B15" s="207" t="s">
        <v>92</v>
      </c>
      <c r="C15" s="209">
        <f>SUM(E13:AZ13)/-D6</f>
        <v>1.4728744206082351</v>
      </c>
      <c r="D15" s="151"/>
      <c r="E15" s="151"/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51"/>
      <c r="S15" s="151"/>
      <c r="T15" s="151"/>
      <c r="U15" s="151"/>
      <c r="V15" s="151"/>
      <c r="W15" s="151"/>
      <c r="X15" s="151"/>
      <c r="Y15" s="151"/>
      <c r="Z15" s="151"/>
      <c r="AA15" s="151"/>
      <c r="AB15" s="151"/>
      <c r="AC15" s="151"/>
      <c r="AD15" s="151"/>
      <c r="AE15" s="151"/>
      <c r="AF15" s="151"/>
      <c r="AG15" s="151"/>
      <c r="AH15" s="151"/>
      <c r="AI15" s="151"/>
      <c r="AJ15" s="151"/>
      <c r="AK15" s="151"/>
      <c r="AL15" s="151"/>
      <c r="AM15" s="151"/>
      <c r="AN15" s="151"/>
      <c r="AO15" s="151"/>
      <c r="AP15" s="151"/>
      <c r="AQ15" s="151"/>
      <c r="AR15" s="151"/>
      <c r="AS15" s="151"/>
      <c r="AT15" s="151"/>
      <c r="AU15" s="151"/>
      <c r="AV15" s="151"/>
      <c r="AW15" s="151"/>
      <c r="AX15" s="151"/>
      <c r="AY15" s="151"/>
      <c r="AZ15" s="151"/>
      <c r="BA15" s="151"/>
      <c r="BB15" s="151"/>
      <c r="BC15" s="151"/>
      <c r="BD15" s="151"/>
      <c r="BE15" s="151"/>
      <c r="BF15" s="151"/>
      <c r="BG15" s="151"/>
      <c r="BH15" s="151"/>
      <c r="BI15" s="151"/>
      <c r="BJ15" s="151"/>
      <c r="BK15" s="151"/>
      <c r="BL15" s="151"/>
      <c r="BM15" s="151"/>
      <c r="BN15" s="151"/>
      <c r="BO15" s="151"/>
    </row>
    <row r="16" spans="1:67">
      <c r="D16" s="163"/>
      <c r="E16" s="163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</row>
    <row r="17" spans="1:67">
      <c r="D17" s="163"/>
      <c r="E17" s="163"/>
      <c r="G17" s="200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</row>
    <row r="18" spans="1:67" ht="15.75">
      <c r="B18" s="202" t="s">
        <v>89</v>
      </c>
      <c r="C18" s="205">
        <f>Dashboard!B64</f>
        <v>46813</v>
      </c>
      <c r="E18" s="163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</row>
    <row r="19" spans="1:67" ht="15.75">
      <c r="B19" s="204" t="s">
        <v>81</v>
      </c>
      <c r="C19" s="203">
        <f>Dashboard!C64</f>
        <v>3.1666666666666665</v>
      </c>
      <c r="E19" s="163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</row>
    <row r="20" spans="1:67" ht="21" customHeight="1">
      <c r="A20">
        <v>1</v>
      </c>
      <c r="B20" s="197" t="s">
        <v>115</v>
      </c>
      <c r="C20" s="197"/>
      <c r="D20" s="405">
        <f>Dashboard!$F$54</f>
        <v>45658</v>
      </c>
      <c r="E20" s="354">
        <f>IF((D20+1)=$C18,$C18,EOMONTH(D20,1))</f>
        <v>45716</v>
      </c>
      <c r="F20" s="354">
        <f>IF((E20+1)=$C18,$C18,EOMONTH(E20,1))</f>
        <v>45747</v>
      </c>
      <c r="G20" s="354">
        <f t="shared" ref="G20:AZ20" si="21">IF((F20+1)=$C18,$C18,EOMONTH(F20,1))</f>
        <v>45777</v>
      </c>
      <c r="H20" s="354">
        <f t="shared" si="21"/>
        <v>45808</v>
      </c>
      <c r="I20" s="354">
        <f t="shared" si="21"/>
        <v>45838</v>
      </c>
      <c r="J20" s="354">
        <f t="shared" si="21"/>
        <v>45869</v>
      </c>
      <c r="K20" s="354">
        <f t="shared" si="21"/>
        <v>45900</v>
      </c>
      <c r="L20" s="354">
        <f t="shared" si="21"/>
        <v>45930</v>
      </c>
      <c r="M20" s="354">
        <f t="shared" si="21"/>
        <v>45961</v>
      </c>
      <c r="N20" s="354">
        <f t="shared" si="21"/>
        <v>45991</v>
      </c>
      <c r="O20" s="354">
        <f t="shared" si="21"/>
        <v>46022</v>
      </c>
      <c r="P20" s="354">
        <f t="shared" si="21"/>
        <v>46053</v>
      </c>
      <c r="Q20" s="354">
        <f t="shared" si="21"/>
        <v>46081</v>
      </c>
      <c r="R20" s="354">
        <f t="shared" si="21"/>
        <v>46112</v>
      </c>
      <c r="S20" s="354">
        <f t="shared" si="21"/>
        <v>46142</v>
      </c>
      <c r="T20" s="354">
        <f t="shared" si="21"/>
        <v>46173</v>
      </c>
      <c r="U20" s="354">
        <f t="shared" si="21"/>
        <v>46203</v>
      </c>
      <c r="V20" s="354">
        <f t="shared" si="21"/>
        <v>46234</v>
      </c>
      <c r="W20" s="354">
        <f t="shared" si="21"/>
        <v>46265</v>
      </c>
      <c r="X20" s="354">
        <f t="shared" si="21"/>
        <v>46295</v>
      </c>
      <c r="Y20" s="354">
        <f t="shared" si="21"/>
        <v>46326</v>
      </c>
      <c r="Z20" s="354">
        <f t="shared" si="21"/>
        <v>46356</v>
      </c>
      <c r="AA20" s="354">
        <f t="shared" si="21"/>
        <v>46387</v>
      </c>
      <c r="AB20" s="354">
        <f t="shared" si="21"/>
        <v>46418</v>
      </c>
      <c r="AC20" s="354">
        <f t="shared" si="21"/>
        <v>46446</v>
      </c>
      <c r="AD20" s="354">
        <f t="shared" si="21"/>
        <v>46477</v>
      </c>
      <c r="AE20" s="354">
        <f t="shared" si="21"/>
        <v>46507</v>
      </c>
      <c r="AF20" s="354">
        <f t="shared" si="21"/>
        <v>46538</v>
      </c>
      <c r="AG20" s="354">
        <f t="shared" si="21"/>
        <v>46568</v>
      </c>
      <c r="AH20" s="354">
        <f t="shared" si="21"/>
        <v>46599</v>
      </c>
      <c r="AI20" s="354">
        <f t="shared" si="21"/>
        <v>46630</v>
      </c>
      <c r="AJ20" s="354">
        <f t="shared" si="21"/>
        <v>46660</v>
      </c>
      <c r="AK20" s="354">
        <f t="shared" si="21"/>
        <v>46691</v>
      </c>
      <c r="AL20" s="354">
        <f t="shared" si="21"/>
        <v>46721</v>
      </c>
      <c r="AM20" s="354">
        <f t="shared" si="21"/>
        <v>46752</v>
      </c>
      <c r="AN20" s="354">
        <f t="shared" si="21"/>
        <v>46783</v>
      </c>
      <c r="AO20" s="354">
        <f t="shared" si="21"/>
        <v>46812</v>
      </c>
      <c r="AP20" s="354">
        <f t="shared" si="21"/>
        <v>46813</v>
      </c>
      <c r="AQ20" s="354">
        <f t="shared" si="21"/>
        <v>46873</v>
      </c>
      <c r="AR20" s="354">
        <f t="shared" si="21"/>
        <v>46904</v>
      </c>
      <c r="AS20" s="354">
        <f t="shared" si="21"/>
        <v>46934</v>
      </c>
      <c r="AT20" s="354">
        <f t="shared" si="21"/>
        <v>46965</v>
      </c>
      <c r="AU20" s="354">
        <f t="shared" si="21"/>
        <v>46996</v>
      </c>
      <c r="AV20" s="354">
        <f t="shared" si="21"/>
        <v>47026</v>
      </c>
      <c r="AW20" s="354">
        <f t="shared" si="21"/>
        <v>47057</v>
      </c>
      <c r="AX20" s="354">
        <f t="shared" si="21"/>
        <v>47087</v>
      </c>
      <c r="AY20" s="354">
        <f t="shared" si="21"/>
        <v>47118</v>
      </c>
      <c r="AZ20" s="354">
        <f t="shared" si="21"/>
        <v>47149</v>
      </c>
      <c r="BA20" s="354">
        <f t="shared" ref="BA20" si="22">IF((AZ20+1)=$C18,$C18,EOMONTH(AZ20,1))</f>
        <v>47177</v>
      </c>
      <c r="BB20" s="354">
        <f t="shared" ref="BB20" si="23">IF((BA20+1)=$C18,$C18,EOMONTH(BA20,1))</f>
        <v>47208</v>
      </c>
      <c r="BC20" s="354">
        <f t="shared" ref="BC20" si="24">IF((BB20+1)=$C18,$C18,EOMONTH(BB20,1))</f>
        <v>47238</v>
      </c>
      <c r="BD20" s="354">
        <f t="shared" ref="BD20" si="25">IF((BC20+1)=$C18,$C18,EOMONTH(BC20,1))</f>
        <v>47269</v>
      </c>
      <c r="BE20" s="354">
        <f t="shared" ref="BE20" si="26">IF((BD20+1)=$C18,$C18,EOMONTH(BD20,1))</f>
        <v>47299</v>
      </c>
      <c r="BF20" s="354">
        <f t="shared" ref="BF20" si="27">IF((BE20+1)=$C18,$C18,EOMONTH(BE20,1))</f>
        <v>47330</v>
      </c>
      <c r="BG20" s="354">
        <f t="shared" ref="BG20" si="28">IF((BF20+1)=$C18,$C18,EOMONTH(BF20,1))</f>
        <v>47361</v>
      </c>
      <c r="BH20" s="354">
        <f t="shared" ref="BH20" si="29">IF((BG20+1)=$C18,$C18,EOMONTH(BG20,1))</f>
        <v>47391</v>
      </c>
      <c r="BI20" s="354">
        <f t="shared" ref="BI20" si="30">IF((BH20+1)=$C18,$C18,EOMONTH(BH20,1))</f>
        <v>47422</v>
      </c>
      <c r="BJ20" s="354">
        <f t="shared" ref="BJ20" si="31">IF((BI20+1)=$C18,$C18,EOMONTH(BI20,1))</f>
        <v>47452</v>
      </c>
      <c r="BK20" s="354">
        <f t="shared" ref="BK20" si="32">IF((BJ20+1)=$C18,$C18,EOMONTH(BJ20,1))</f>
        <v>47483</v>
      </c>
      <c r="BL20" s="354">
        <f t="shared" ref="BL20" si="33">IF((BK20+1)=$C18,$C18,EOMONTH(BK20,1))</f>
        <v>47514</v>
      </c>
      <c r="BM20" s="354">
        <f t="shared" ref="BM20" si="34">IF((BL20+1)=$C18,$C18,EOMONTH(BL20,1))</f>
        <v>47542</v>
      </c>
      <c r="BN20" s="354">
        <f t="shared" ref="BN20" si="35">IF((BM20+1)=$C18,$C18,EOMONTH(BM20,1))</f>
        <v>47573</v>
      </c>
      <c r="BO20" s="354">
        <f t="shared" ref="BO20" si="36">IF((BN20+1)=$C18,$C18,EOMONTH(BN20,1))</f>
        <v>47603</v>
      </c>
    </row>
    <row r="21" spans="1:67">
      <c r="A21">
        <v>2</v>
      </c>
      <c r="B21" s="184" t="s">
        <v>162</v>
      </c>
      <c r="C21" s="29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05"/>
      <c r="AM21" s="105"/>
      <c r="AN21" s="105"/>
      <c r="AO21" s="105"/>
      <c r="AP21" s="105"/>
      <c r="AQ21" s="105"/>
      <c r="AR21" s="105"/>
      <c r="AS21" s="105"/>
      <c r="AT21" s="105"/>
      <c r="AU21" s="105"/>
      <c r="AV21" s="105"/>
      <c r="AW21" s="105"/>
      <c r="AX21" s="105"/>
      <c r="AY21" s="105"/>
      <c r="AZ21" s="105"/>
      <c r="BA21" s="541"/>
      <c r="BB21" s="541"/>
      <c r="BC21" s="541"/>
      <c r="BD21" s="541"/>
      <c r="BE21" s="541"/>
      <c r="BF21" s="541"/>
      <c r="BG21" s="541"/>
      <c r="BH21" s="541"/>
      <c r="BI21" s="541"/>
      <c r="BJ21" s="541"/>
      <c r="BK21" s="541"/>
      <c r="BL21" s="541"/>
      <c r="BM21" s="541"/>
      <c r="BN21" s="541"/>
      <c r="BO21" s="542"/>
    </row>
    <row r="22" spans="1:67">
      <c r="A22">
        <v>3</v>
      </c>
      <c r="B22" s="168" t="str">
        <f>Dashboard!$E$54</f>
        <v>Initial Equity Investment</v>
      </c>
      <c r="C22" s="5"/>
      <c r="D22" s="105">
        <f>-SUM(Dashboard!$F$9:$F$10)</f>
        <v>-24033944.982098967</v>
      </c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  <c r="AC22" s="105"/>
      <c r="AD22" s="105"/>
      <c r="AE22" s="105"/>
      <c r="AF22" s="105"/>
      <c r="AG22" s="105"/>
      <c r="AH22" s="105"/>
      <c r="AI22" s="105"/>
      <c r="AJ22" s="105"/>
      <c r="AK22" s="105"/>
      <c r="AL22" s="105"/>
      <c r="AM22" s="105"/>
      <c r="AN22" s="105"/>
      <c r="AO22" s="105"/>
      <c r="AP22" s="105"/>
      <c r="AQ22" s="105"/>
      <c r="AR22" s="105"/>
      <c r="AS22" s="105"/>
      <c r="AT22" s="105"/>
      <c r="AU22" s="105"/>
      <c r="AV22" s="105"/>
      <c r="AW22" s="105"/>
      <c r="AX22" s="105"/>
      <c r="AY22" s="105"/>
      <c r="AZ22" s="105"/>
      <c r="BA22" s="105"/>
      <c r="BB22" s="105"/>
      <c r="BC22" s="105"/>
      <c r="BD22" s="105"/>
      <c r="BE22" s="105"/>
      <c r="BF22" s="105"/>
      <c r="BG22" s="105"/>
      <c r="BH22" s="105"/>
      <c r="BI22" s="105"/>
      <c r="BJ22" s="105"/>
      <c r="BK22" s="105"/>
      <c r="BL22" s="105"/>
      <c r="BM22" s="105"/>
      <c r="BN22" s="105"/>
      <c r="BO22" s="169"/>
    </row>
    <row r="23" spans="1:67" ht="6.75" customHeight="1">
      <c r="A23">
        <v>4</v>
      </c>
      <c r="B23" s="168"/>
      <c r="C23" s="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  <c r="AC23" s="105"/>
      <c r="AD23" s="105"/>
      <c r="AE23" s="105"/>
      <c r="AF23" s="105"/>
      <c r="AG23" s="105"/>
      <c r="AH23" s="105"/>
      <c r="AI23" s="105"/>
      <c r="AJ23" s="105"/>
      <c r="AK23" s="105"/>
      <c r="AL23" s="105"/>
      <c r="AM23" s="105"/>
      <c r="AN23" s="105"/>
      <c r="AO23" s="105"/>
      <c r="AP23" s="105"/>
      <c r="AQ23" s="105"/>
      <c r="AR23" s="105"/>
      <c r="AS23" s="105"/>
      <c r="AT23" s="105"/>
      <c r="AU23" s="105"/>
      <c r="AV23" s="105"/>
      <c r="AW23" s="105"/>
      <c r="AX23" s="105"/>
      <c r="AY23" s="105"/>
      <c r="AZ23" s="105"/>
      <c r="BA23" s="105"/>
      <c r="BB23" s="105"/>
      <c r="BC23" s="105"/>
      <c r="BD23" s="105"/>
      <c r="BE23" s="105"/>
      <c r="BF23" s="105"/>
      <c r="BG23" s="105"/>
      <c r="BH23" s="105"/>
      <c r="BI23" s="105"/>
      <c r="BJ23" s="105"/>
      <c r="BK23" s="105"/>
      <c r="BL23" s="105"/>
      <c r="BM23" s="105"/>
      <c r="BN23" s="105"/>
      <c r="BO23" s="169"/>
    </row>
    <row r="24" spans="1:67">
      <c r="A24">
        <v>5</v>
      </c>
      <c r="B24" s="185" t="s">
        <v>163</v>
      </c>
      <c r="C24" s="29"/>
      <c r="D24" s="151"/>
      <c r="E24" s="151"/>
      <c r="F24" s="151"/>
      <c r="G24" s="151"/>
      <c r="H24" s="151"/>
      <c r="I24" s="151"/>
      <c r="J24" s="151"/>
      <c r="K24" s="151"/>
      <c r="L24" s="151"/>
      <c r="M24" s="151"/>
      <c r="N24" s="151"/>
      <c r="O24" s="151"/>
      <c r="P24" s="151"/>
      <c r="Q24" s="151"/>
      <c r="R24" s="151"/>
      <c r="S24" s="151"/>
      <c r="T24" s="151"/>
      <c r="U24" s="151"/>
      <c r="V24" s="151"/>
      <c r="W24" s="151"/>
      <c r="X24" s="151"/>
      <c r="Y24" s="151"/>
      <c r="Z24" s="151"/>
      <c r="AA24" s="151"/>
      <c r="AB24" s="151"/>
      <c r="AC24" s="151"/>
      <c r="AD24" s="151"/>
      <c r="AE24" s="151"/>
      <c r="AF24" s="151"/>
      <c r="AG24" s="151"/>
      <c r="AH24" s="151"/>
      <c r="AI24" s="151"/>
      <c r="AJ24" s="151"/>
      <c r="AK24" s="151"/>
      <c r="AL24" s="151"/>
      <c r="AM24" s="151"/>
      <c r="AN24" s="151"/>
      <c r="AO24" s="151"/>
      <c r="AP24" s="151"/>
      <c r="AQ24" s="151"/>
      <c r="AR24" s="151"/>
      <c r="AS24" s="151"/>
      <c r="AT24" s="151"/>
      <c r="AU24" s="151"/>
      <c r="AV24" s="151"/>
      <c r="AW24" s="151"/>
      <c r="AX24" s="151"/>
      <c r="AY24" s="151"/>
      <c r="AZ24" s="151"/>
      <c r="BA24" s="151"/>
      <c r="BB24" s="151"/>
      <c r="BC24" s="151"/>
      <c r="BD24" s="151"/>
      <c r="BE24" s="151"/>
      <c r="BF24" s="151"/>
      <c r="BG24" s="151"/>
      <c r="BH24" s="151"/>
      <c r="BI24" s="151"/>
      <c r="BJ24" s="151"/>
      <c r="BK24" s="151"/>
      <c r="BL24" s="151"/>
      <c r="BM24" s="151"/>
      <c r="BN24" s="151"/>
      <c r="BO24" s="180"/>
    </row>
    <row r="25" spans="1:67">
      <c r="A25">
        <v>6</v>
      </c>
      <c r="B25" s="168" t="str">
        <f>'Monthly CF''s'!$B$58</f>
        <v>Net Property Cash Flows</v>
      </c>
      <c r="C25" s="5"/>
      <c r="D25" s="105"/>
      <c r="E25" s="105">
        <f>IF(E20&lt;$C18,SUMIFS('Monthly CF''s'!$P$58:$BK$58,'Monthly CF''s'!$P$2:$BK$2,"="&amp;E20),0)</f>
        <v>0</v>
      </c>
      <c r="F25" s="105">
        <f>IF(F20&lt;$C18,SUMIFS('Monthly CF''s'!$P$58:$BK$58,'Monthly CF''s'!$P$2:$BK$2,"="&amp;F20),0)</f>
        <v>0</v>
      </c>
      <c r="G25" s="105">
        <f>IF(G20&lt;$C18,SUMIFS('Monthly CF''s'!$P$58:$BK$58,'Monthly CF''s'!$P$2:$BK$2,"="&amp;G20),0)</f>
        <v>0</v>
      </c>
      <c r="H25" s="105">
        <f>IF(H20&lt;$C18,SUMIFS('Monthly CF''s'!$P$58:$BK$58,'Monthly CF''s'!$P$2:$BK$2,"="&amp;H20),0)</f>
        <v>0</v>
      </c>
      <c r="I25" s="105">
        <f>IF(I20&lt;$C18,SUMIFS('Monthly CF''s'!$P$58:$BK$58,'Monthly CF''s'!$P$2:$BK$2,"="&amp;I20),0)</f>
        <v>0</v>
      </c>
      <c r="J25" s="105">
        <f>IF(J20&lt;$C18,SUMIFS('Monthly CF''s'!$P$58:$BK$58,'Monthly CF''s'!$P$2:$BK$2,"="&amp;J20),0)</f>
        <v>0</v>
      </c>
      <c r="K25" s="105">
        <f>IF(K20&lt;$C18,SUMIFS('Monthly CF''s'!$P$58:$BK$58,'Monthly CF''s'!$P$2:$BK$2,"="&amp;K20),0)</f>
        <v>0</v>
      </c>
      <c r="L25" s="105">
        <f>IF(L20&lt;$C18,SUMIFS('Monthly CF''s'!$P$58:$BK$58,'Monthly CF''s'!$P$2:$BK$2,"="&amp;L20),0)</f>
        <v>0</v>
      </c>
      <c r="M25" s="105">
        <f>IF(M20&lt;$C18,SUMIFS('Monthly CF''s'!$P$58:$BK$58,'Monthly CF''s'!$P$2:$BK$2,"="&amp;M20),0)</f>
        <v>0</v>
      </c>
      <c r="N25" s="105">
        <f>IF(N20&lt;$C18,SUMIFS('Monthly CF''s'!$P$58:$BK$58,'Monthly CF''s'!$P$2:$BK$2,"="&amp;N20),0)</f>
        <v>0</v>
      </c>
      <c r="O25" s="105">
        <f>IF(O20&lt;$C18,SUMIFS('Monthly CF''s'!$P$58:$BK$58,'Monthly CF''s'!$P$2:$BK$2,"="&amp;O20),0)</f>
        <v>0</v>
      </c>
      <c r="P25" s="105">
        <f>IF(P20&lt;$C18,SUMIFS('Monthly CF''s'!$P$58:$BK$58,'Monthly CF''s'!$P$2:$BK$2,"="&amp;P20),0)</f>
        <v>0</v>
      </c>
      <c r="Q25" s="105">
        <f>IF(Q20&lt;$C18,SUMIFS('Monthly CF''s'!$P$58:$BK$58,'Monthly CF''s'!$P$2:$BK$2,"="&amp;Q20),0)</f>
        <v>0</v>
      </c>
      <c r="R25" s="105">
        <f>IF(R20&lt;$C18,SUMIFS('Monthly CF''s'!$P$58:$BK$58,'Monthly CF''s'!$P$2:$BK$2,"="&amp;R20),0)</f>
        <v>0</v>
      </c>
      <c r="S25" s="105">
        <f>IF(S20&lt;$C18,SUMIFS('Monthly CF''s'!$P$58:$BK$58,'Monthly CF''s'!$P$2:$BK$2,"="&amp;S20),0)</f>
        <v>0</v>
      </c>
      <c r="T25" s="105">
        <f>IF(T20&lt;$C18,SUMIFS('Monthly CF''s'!$P$58:$BK$58,'Monthly CF''s'!$P$2:$BK$2,"="&amp;T20),0)</f>
        <v>0</v>
      </c>
      <c r="U25" s="105">
        <f>IF(U20&lt;$C18,SUMIFS('Monthly CF''s'!$P$58:$BK$58,'Monthly CF''s'!$P$2:$BK$2,"="&amp;U20),0)</f>
        <v>0</v>
      </c>
      <c r="V25" s="105">
        <f>IF(V20&lt;$C18,SUMIFS('Monthly CF''s'!$P$58:$BK$58,'Monthly CF''s'!$P$2:$BK$2,"="&amp;V20),0)</f>
        <v>0</v>
      </c>
      <c r="W25" s="105">
        <f>IF(W20&lt;$C18,SUMIFS('Monthly CF''s'!$P$58:$BK$58,'Monthly CF''s'!$P$2:$BK$2,"="&amp;W20),0)</f>
        <v>0</v>
      </c>
      <c r="X25" s="105">
        <f>IF(X20&lt;$C18,SUMIFS('Monthly CF''s'!$P$58:$BK$58,'Monthly CF''s'!$P$2:$BK$2,"="&amp;X20),0)</f>
        <v>55865.937070519256</v>
      </c>
      <c r="Y25" s="105">
        <f>IF(Y20&lt;$C18,SUMIFS('Monthly CF''s'!$P$58:$BK$58,'Monthly CF''s'!$P$2:$BK$2,"="&amp;Y20),0)</f>
        <v>55865.937070519256</v>
      </c>
      <c r="Z25" s="105">
        <f>IF(Z20&lt;$C18,SUMIFS('Monthly CF''s'!$P$58:$BK$58,'Monthly CF''s'!$P$2:$BK$2,"="&amp;Z20),0)</f>
        <v>55865.937070519256</v>
      </c>
      <c r="AA25" s="105">
        <f>IF(AA20&lt;$C18,SUMIFS('Monthly CF''s'!$P$58:$BK$58,'Monthly CF''s'!$P$2:$BK$2,"="&amp;AA20),0)</f>
        <v>1567865.9370705192</v>
      </c>
      <c r="AB25" s="105">
        <f>IF(AB20&lt;$C18,SUMIFS('Monthly CF''s'!$P$58:$BK$58,'Monthly CF''s'!$P$2:$BK$2,"="&amp;AB20),0)</f>
        <v>55865.937070519256</v>
      </c>
      <c r="AC25" s="105">
        <f>IF(AC20&lt;$C18,SUMIFS('Monthly CF''s'!$P$58:$BK$58,'Monthly CF''s'!$P$2:$BK$2,"="&amp;AC20),0)</f>
        <v>55865.937070519256</v>
      </c>
      <c r="AD25" s="105">
        <f>IF(AD20&lt;$C18,SUMIFS('Monthly CF''s'!$P$58:$BK$58,'Monthly CF''s'!$P$2:$BK$2,"="&amp;AD20),0)</f>
        <v>160402.43820649723</v>
      </c>
      <c r="AE25" s="105">
        <f>IF(AE20&lt;$C18,SUMIFS('Monthly CF''s'!$P$58:$BK$58,'Monthly CF''s'!$P$2:$BK$2,"="&amp;AE20),0)</f>
        <v>160402.43820649723</v>
      </c>
      <c r="AF25" s="105">
        <f>IF(AF20&lt;$C18,SUMIFS('Monthly CF''s'!$P$58:$BK$58,'Monthly CF''s'!$P$2:$BK$2,"="&amp;AF20),0)</f>
        <v>160402.43820649723</v>
      </c>
      <c r="AG25" s="105">
        <f>IF(AG20&lt;$C18,SUMIFS('Monthly CF''s'!$P$58:$BK$58,'Monthly CF''s'!$P$2:$BK$2,"="&amp;AG20),0)</f>
        <v>160402.43820649723</v>
      </c>
      <c r="AH25" s="105">
        <f>IF(AH20&lt;$C18,SUMIFS('Monthly CF''s'!$P$58:$BK$58,'Monthly CF''s'!$P$2:$BK$2,"="&amp;AH20),0)</f>
        <v>160402.43820649723</v>
      </c>
      <c r="AI25" s="105">
        <f>IF(AI20&lt;$C18,SUMIFS('Monthly CF''s'!$P$58:$BK$58,'Monthly CF''s'!$P$2:$BK$2,"="&amp;AI20),0)</f>
        <v>160402.43820649723</v>
      </c>
      <c r="AJ25" s="105">
        <f>IF(AJ20&lt;$C18,SUMIFS('Monthly CF''s'!$P$58:$BK$58,'Monthly CF''s'!$P$2:$BK$2,"="&amp;AJ20),0)</f>
        <v>174756.336958414</v>
      </c>
      <c r="AK25" s="105">
        <f>IF(AK20&lt;$C18,SUMIFS('Monthly CF''s'!$P$58:$BK$58,'Monthly CF''s'!$P$2:$BK$2,"="&amp;AK20),0)</f>
        <v>174756.336958414</v>
      </c>
      <c r="AL25" s="105">
        <f>IF(AL20&lt;$C18,SUMIFS('Monthly CF''s'!$P$58:$BK$58,'Monthly CF''s'!$P$2:$BK$2,"="&amp;AL20),0)</f>
        <v>174756.336958414</v>
      </c>
      <c r="AM25" s="105">
        <f>IF(AM20&lt;$C18,SUMIFS('Monthly CF''s'!$P$58:$BK$58,'Monthly CF''s'!$P$2:$BK$2,"="&amp;AM20),0)</f>
        <v>174756.336958414</v>
      </c>
      <c r="AN25" s="105">
        <f>IF(AN20&lt;$C18,SUMIFS('Monthly CF''s'!$P$58:$BK$58,'Monthly CF''s'!$P$2:$BK$2,"="&amp;AN20),0)</f>
        <v>174756.336958414</v>
      </c>
      <c r="AO25" s="105">
        <f>IF(AO20&lt;$C18,SUMIFS('Monthly CF''s'!$P$58:$BK$58,'Monthly CF''s'!$P$2:$BK$2,"="&amp;AO20),0)</f>
        <v>174756.336958414</v>
      </c>
      <c r="AP25" s="105">
        <f>IF(AP20&lt;$C18,SUMIFS('Monthly CF''s'!$P$58:$BK$58,'Monthly CF''s'!$P$2:$BK$2,"="&amp;AP20),0)</f>
        <v>0</v>
      </c>
      <c r="AQ25" s="105">
        <f>IF(AQ20&lt;$C18,SUMIFS('Monthly CF''s'!$P$58:$BK$58,'Monthly CF''s'!$P$2:$BK$2,"="&amp;AQ20),0)</f>
        <v>0</v>
      </c>
      <c r="AR25" s="105">
        <f>IF(AR20&lt;$C18,SUMIFS('Monthly CF''s'!$P$58:$BK$58,'Monthly CF''s'!$P$2:$BK$2,"="&amp;AR20),0)</f>
        <v>0</v>
      </c>
      <c r="AS25" s="105">
        <f>IF(AS20&lt;$C18,SUMIFS('Monthly CF''s'!$P$58:$BK$58,'Monthly CF''s'!$P$2:$BK$2,"="&amp;AS20),0)</f>
        <v>0</v>
      </c>
      <c r="AT25" s="105">
        <f>IF(AT20&lt;$C18,SUMIFS('Monthly CF''s'!$P$58:$BK$58,'Monthly CF''s'!$P$2:$BK$2,"="&amp;AT20),0)</f>
        <v>0</v>
      </c>
      <c r="AU25" s="105">
        <f>IF(AU20&lt;$C18,SUMIFS('Monthly CF''s'!$P$58:$BK$58,'Monthly CF''s'!$P$2:$BK$2,"="&amp;AU20),0)</f>
        <v>0</v>
      </c>
      <c r="AV25" s="105">
        <f>IF(AV20&lt;$C18,SUMIFS('Monthly CF''s'!$P$58:$BK$58,'Monthly CF''s'!$P$2:$BK$2,"="&amp;AV20),0)</f>
        <v>0</v>
      </c>
      <c r="AW25" s="105">
        <f>IF(AW20&lt;$C18,SUMIFS('Monthly CF''s'!$P$58:$BK$58,'Monthly CF''s'!$P$2:$BK$2,"="&amp;AW20),0)</f>
        <v>0</v>
      </c>
      <c r="AX25" s="105">
        <f>IF(AX20&lt;$C18,SUMIFS('Monthly CF''s'!$P$58:$BK$58,'Monthly CF''s'!$P$2:$BK$2,"="&amp;AX20),0)</f>
        <v>0</v>
      </c>
      <c r="AY25" s="105">
        <f>IF(AY20&lt;$C18,SUMIFS('Monthly CF''s'!$P$58:$BK$58,'Monthly CF''s'!$P$2:$BK$2,"="&amp;AY20),0)</f>
        <v>0</v>
      </c>
      <c r="AZ25" s="105">
        <f>IF(AZ20&lt;$C18,SUMIFS('Monthly CF''s'!$P$58:$BK$58,'Monthly CF''s'!$P$2:$BK$2,"="&amp;AZ20),0)</f>
        <v>0</v>
      </c>
      <c r="BA25" s="105">
        <f>IF(BA20&lt;$C18,SUMIFS('Monthly CF''s'!$P$58:$BK$58,'Monthly CF''s'!$P$2:$BK$2,"="&amp;BA20),0)</f>
        <v>0</v>
      </c>
      <c r="BB25" s="105">
        <f>IF(BB20&lt;$C18,SUMIFS('Monthly CF''s'!$P$58:$BK$58,'Monthly CF''s'!$P$2:$BK$2,"="&amp;BB20),0)</f>
        <v>0</v>
      </c>
      <c r="BC25" s="105">
        <f>IF(BC20&lt;$C18,SUMIFS('Monthly CF''s'!$P$58:$BK$58,'Monthly CF''s'!$P$2:$BK$2,"="&amp;BC20),0)</f>
        <v>0</v>
      </c>
      <c r="BD25" s="105">
        <f>IF(BD20&lt;$C18,SUMIFS('Monthly CF''s'!$P$58:$BK$58,'Monthly CF''s'!$P$2:$BK$2,"="&amp;BD20),0)</f>
        <v>0</v>
      </c>
      <c r="BE25" s="105">
        <f>IF(BE20&lt;$C18,SUMIFS('Monthly CF''s'!$P$58:$BK$58,'Monthly CF''s'!$P$2:$BK$2,"="&amp;BE20),0)</f>
        <v>0</v>
      </c>
      <c r="BF25" s="105">
        <f>IF(BF20&lt;$C18,SUMIFS('Monthly CF''s'!$P$58:$BK$58,'Monthly CF''s'!$P$2:$BK$2,"="&amp;BF20),0)</f>
        <v>0</v>
      </c>
      <c r="BG25" s="105">
        <f>IF(BG20&lt;$C18,SUMIFS('Monthly CF''s'!$P$58:$BK$58,'Monthly CF''s'!$P$2:$BK$2,"="&amp;BG20),0)</f>
        <v>0</v>
      </c>
      <c r="BH25" s="105">
        <f>IF(BH20&lt;$C18,SUMIFS('Monthly CF''s'!$P$58:$BK$58,'Monthly CF''s'!$P$2:$BK$2,"="&amp;BH20),0)</f>
        <v>0</v>
      </c>
      <c r="BI25" s="105">
        <f>IF(BI20&lt;$C18,SUMIFS('Monthly CF''s'!$P$58:$BK$58,'Monthly CF''s'!$P$2:$BK$2,"="&amp;BI20),0)</f>
        <v>0</v>
      </c>
      <c r="BJ25" s="105">
        <f>IF(BJ20&lt;$C18,SUMIFS('Monthly CF''s'!$P$58:$BK$58,'Monthly CF''s'!$P$2:$BK$2,"="&amp;BJ20),0)</f>
        <v>0</v>
      </c>
      <c r="BK25" s="105">
        <f>IF(BK20&lt;$C18,SUMIFS('Monthly CF''s'!$P$58:$BK$58,'Monthly CF''s'!$P$2:$BK$2,"="&amp;BK20),0)</f>
        <v>0</v>
      </c>
      <c r="BL25" s="105">
        <f>IF(BL20&lt;$C18,SUMIFS('Monthly CF''s'!$P$58:$BK$58,'Monthly CF''s'!$P$2:$BK$2,"="&amp;BL20),0)</f>
        <v>0</v>
      </c>
      <c r="BM25" s="105">
        <f>IF(BM20&lt;$C18,SUMIFS('Monthly CF''s'!$P$58:$BK$58,'Monthly CF''s'!$P$2:$BK$2,"="&amp;BM20),0)</f>
        <v>0</v>
      </c>
      <c r="BN25" s="105">
        <f>IF(BN20&lt;$C18,SUMIFS('Monthly CF''s'!$P$58:$BK$58,'Monthly CF''s'!$P$2:$BK$2,"="&amp;BN20),0)</f>
        <v>0</v>
      </c>
      <c r="BO25" s="169">
        <f>IF(BO20&lt;$C18,SUMIFS('Monthly CF''s'!$P$58:$BK$58,'Monthly CF''s'!$P$2:$BK$2,"="&amp;BO20),0)</f>
        <v>0</v>
      </c>
    </row>
    <row r="26" spans="1:67">
      <c r="A26">
        <v>7</v>
      </c>
      <c r="B26" s="168" t="str">
        <f>'Monthly CF''s'!$B$59</f>
        <v>Net Refi Proceeds</v>
      </c>
      <c r="C26" s="5"/>
      <c r="D26" s="105"/>
      <c r="E26" s="105">
        <f>IF(E20&lt;$C18,SUMIFS('Monthly CF''s'!$P$59:$BK$59,'Monthly CF''s'!$P$2:$BK$2,"="&amp;E20),0)</f>
        <v>0</v>
      </c>
      <c r="F26" s="105">
        <f>IF(F20&lt;$C18,SUMIFS('Monthly CF''s'!$P$59:$BK$59,'Monthly CF''s'!$P$2:$BK$2,"="&amp;F20),0)</f>
        <v>0</v>
      </c>
      <c r="G26" s="105">
        <f>IF(G20&lt;$C18,SUMIFS('Monthly CF''s'!$P$59:$BK$59,'Monthly CF''s'!$P$2:$BK$2,"="&amp;G20),0)</f>
        <v>0</v>
      </c>
      <c r="H26" s="105">
        <f>IF(H20&lt;$C18,SUMIFS('Monthly CF''s'!$P$59:$BK$59,'Monthly CF''s'!$P$2:$BK$2,"="&amp;H20),0)</f>
        <v>0</v>
      </c>
      <c r="I26" s="105">
        <f>IF(I20&lt;$C18,SUMIFS('Monthly CF''s'!$P$59:$BK$59,'Monthly CF''s'!$P$2:$BK$2,"="&amp;I20),0)</f>
        <v>0</v>
      </c>
      <c r="J26" s="105">
        <f>IF(J20&lt;$C18,SUMIFS('Monthly CF''s'!$P$59:$BK$59,'Monthly CF''s'!$P$2:$BK$2,"="&amp;J20),0)</f>
        <v>0</v>
      </c>
      <c r="K26" s="105">
        <f>IF(K20&lt;$C18,SUMIFS('Monthly CF''s'!$P$59:$BK$59,'Monthly CF''s'!$P$2:$BK$2,"="&amp;K20),0)</f>
        <v>0</v>
      </c>
      <c r="L26" s="105">
        <f>IF(L20&lt;$C18,SUMIFS('Monthly CF''s'!$P$59:$BK$59,'Monthly CF''s'!$P$2:$BK$2,"="&amp;L20),0)</f>
        <v>0</v>
      </c>
      <c r="M26" s="105">
        <f>IF(M20&lt;$C18,SUMIFS('Monthly CF''s'!$P$59:$BK$59,'Monthly CF''s'!$P$2:$BK$2,"="&amp;M20),0)</f>
        <v>0</v>
      </c>
      <c r="N26" s="105">
        <f>IF(N20&lt;$C18,SUMIFS('Monthly CF''s'!$P$59:$BK$59,'Monthly CF''s'!$P$2:$BK$2,"="&amp;N20),0)</f>
        <v>0</v>
      </c>
      <c r="O26" s="105">
        <f>IF(O20&lt;$C18,SUMIFS('Monthly CF''s'!$P$59:$BK$59,'Monthly CF''s'!$P$2:$BK$2,"="&amp;O20),0)</f>
        <v>0</v>
      </c>
      <c r="P26" s="105">
        <f>IF(P20&lt;$C18,SUMIFS('Monthly CF''s'!$P$59:$BK$59,'Monthly CF''s'!$P$2:$BK$2,"="&amp;P20),0)</f>
        <v>0</v>
      </c>
      <c r="Q26" s="105">
        <f>IF(Q20&lt;$C18,SUMIFS('Monthly CF''s'!$P$59:$BK$59,'Monthly CF''s'!$P$2:$BK$2,"="&amp;Q20),0)</f>
        <v>0</v>
      </c>
      <c r="R26" s="105">
        <f>IF(R20&lt;$C18,SUMIFS('Monthly CF''s'!$P$59:$BK$59,'Monthly CF''s'!$P$2:$BK$2,"="&amp;R20),0)</f>
        <v>0</v>
      </c>
      <c r="S26" s="105">
        <f>IF(S20&lt;$C18,SUMIFS('Monthly CF''s'!$P$59:$BK$59,'Monthly CF''s'!$P$2:$BK$2,"="&amp;S20),0)</f>
        <v>0</v>
      </c>
      <c r="T26" s="105">
        <f>IF(T20&lt;$C18,SUMIFS('Monthly CF''s'!$P$59:$BK$59,'Monthly CF''s'!$P$2:$BK$2,"="&amp;T20),0)</f>
        <v>0</v>
      </c>
      <c r="U26" s="105">
        <f>IF(U20&lt;$C18,SUMIFS('Monthly CF''s'!$P$59:$BK$59,'Monthly CF''s'!$P$2:$BK$2,"="&amp;U20),0)</f>
        <v>0</v>
      </c>
      <c r="V26" s="105">
        <f>IF(V20&lt;$C18,SUMIFS('Monthly CF''s'!$P$59:$BK$59,'Monthly CF''s'!$P$2:$BK$2,"="&amp;V20),0)</f>
        <v>0</v>
      </c>
      <c r="W26" s="105">
        <f>IF(W20&lt;$C18,SUMIFS('Monthly CF''s'!$P$59:$BK$59,'Monthly CF''s'!$P$2:$BK$2,"="&amp;W20),0)</f>
        <v>0</v>
      </c>
      <c r="X26" s="105">
        <f>IF(X20&lt;$C18,SUMIFS('Monthly CF''s'!$P$59:$BK$59,'Monthly CF''s'!$P$2:$BK$2,"="&amp;X20),0)</f>
        <v>0</v>
      </c>
      <c r="Y26" s="105">
        <f>IF(Y20&lt;$C18,SUMIFS('Monthly CF''s'!$P$59:$BK$59,'Monthly CF''s'!$P$2:$BK$2,"="&amp;Y20),0)</f>
        <v>0</v>
      </c>
      <c r="Z26" s="105">
        <f>IF(Z20&lt;$C18,SUMIFS('Monthly CF''s'!$P$59:$BK$59,'Monthly CF''s'!$P$2:$BK$2,"="&amp;Z20),0)</f>
        <v>0</v>
      </c>
      <c r="AA26" s="105">
        <f>IF(AA20&lt;$C18,SUMIFS('Monthly CF''s'!$P$59:$BK$59,'Monthly CF''s'!$P$2:$BK$2,"="&amp;AA20),0)</f>
        <v>0</v>
      </c>
      <c r="AB26" s="105">
        <f>IF(AB20&lt;$C18,SUMIFS('Monthly CF''s'!$P$59:$BK$59,'Monthly CF''s'!$P$2:$BK$2,"="&amp;AB20),0)</f>
        <v>0</v>
      </c>
      <c r="AC26" s="105">
        <f>IF(AC20&lt;$C18,SUMIFS('Monthly CF''s'!$P$59:$BK$59,'Monthly CF''s'!$P$2:$BK$2,"="&amp;AC20),0)</f>
        <v>0</v>
      </c>
      <c r="AD26" s="105">
        <f>IF(AD20&lt;$C18,SUMIFS('Monthly CF''s'!$P$59:$BK$59,'Monthly CF''s'!$P$2:$BK$2,"="&amp;AD20),0)</f>
        <v>-1381023.3589114696</v>
      </c>
      <c r="AE26" s="105">
        <f>IF(AE20&lt;$C18,SUMIFS('Monthly CF''s'!$P$59:$BK$59,'Monthly CF''s'!$P$2:$BK$2,"="&amp;AE20),0)</f>
        <v>0</v>
      </c>
      <c r="AF26" s="105">
        <f>IF(AF20&lt;$C18,SUMIFS('Monthly CF''s'!$P$59:$BK$59,'Monthly CF''s'!$P$2:$BK$2,"="&amp;AF20),0)</f>
        <v>0</v>
      </c>
      <c r="AG26" s="105">
        <f>IF(AG20&lt;$C18,SUMIFS('Monthly CF''s'!$P$59:$BK$59,'Monthly CF''s'!$P$2:$BK$2,"="&amp;AG20),0)</f>
        <v>0</v>
      </c>
      <c r="AH26" s="105">
        <f>IF(AH20&lt;$C18,SUMIFS('Monthly CF''s'!$P$59:$BK$59,'Monthly CF''s'!$P$2:$BK$2,"="&amp;AH20),0)</f>
        <v>0</v>
      </c>
      <c r="AI26" s="105">
        <f>IF(AI20&lt;$C18,SUMIFS('Monthly CF''s'!$P$59:$BK$59,'Monthly CF''s'!$P$2:$BK$2,"="&amp;AI20),0)</f>
        <v>0</v>
      </c>
      <c r="AJ26" s="105">
        <f>IF(AJ20&lt;$C18,SUMIFS('Monthly CF''s'!$P$59:$BK$59,'Monthly CF''s'!$P$2:$BK$2,"="&amp;AJ20),0)</f>
        <v>0</v>
      </c>
      <c r="AK26" s="105">
        <f>IF(AK20&lt;$C18,SUMIFS('Monthly CF''s'!$P$59:$BK$59,'Monthly CF''s'!$P$2:$BK$2,"="&amp;AK20),0)</f>
        <v>0</v>
      </c>
      <c r="AL26" s="105">
        <f>IF(AL20&lt;$C18,SUMIFS('Monthly CF''s'!$P$59:$BK$59,'Monthly CF''s'!$P$2:$BK$2,"="&amp;AL20),0)</f>
        <v>0</v>
      </c>
      <c r="AM26" s="105">
        <f>IF(AM20&lt;$C18,SUMIFS('Monthly CF''s'!$P$59:$BK$59,'Monthly CF''s'!$P$2:$BK$2,"="&amp;AM20),0)</f>
        <v>0</v>
      </c>
      <c r="AN26" s="105">
        <f>IF(AN20&lt;$C18,SUMIFS('Monthly CF''s'!$P$59:$BK$59,'Monthly CF''s'!$P$2:$BK$2,"="&amp;AN20),0)</f>
        <v>0</v>
      </c>
      <c r="AO26" s="105">
        <f>IF(AO20&lt;$C18,SUMIFS('Monthly CF''s'!$P$59:$BK$59,'Monthly CF''s'!$P$2:$BK$2,"="&amp;AO20),0)</f>
        <v>0</v>
      </c>
      <c r="AP26" s="105">
        <f>IF(AP20&lt;$C18,SUMIFS('Monthly CF''s'!$P$59:$BK$59,'Monthly CF''s'!$P$2:$BK$2,"="&amp;AP20),0)</f>
        <v>0</v>
      </c>
      <c r="AQ26" s="105">
        <f>IF(AQ20&lt;$C18,SUMIFS('Monthly CF''s'!$P$59:$BK$59,'Monthly CF''s'!$P$2:$BK$2,"="&amp;AQ20),0)</f>
        <v>0</v>
      </c>
      <c r="AR26" s="105">
        <f>IF(AR20&lt;$C18,SUMIFS('Monthly CF''s'!$P$59:$BK$59,'Monthly CF''s'!$P$2:$BK$2,"="&amp;AR20),0)</f>
        <v>0</v>
      </c>
      <c r="AS26" s="105">
        <f>IF(AS20&lt;$C18,SUMIFS('Monthly CF''s'!$P$59:$BK$59,'Monthly CF''s'!$P$2:$BK$2,"="&amp;AS20),0)</f>
        <v>0</v>
      </c>
      <c r="AT26" s="105">
        <f>IF(AT20&lt;$C18,SUMIFS('Monthly CF''s'!$P$59:$BK$59,'Monthly CF''s'!$P$2:$BK$2,"="&amp;AT20),0)</f>
        <v>0</v>
      </c>
      <c r="AU26" s="105">
        <f>IF(AU20&lt;$C18,SUMIFS('Monthly CF''s'!$P$59:$BK$59,'Monthly CF''s'!$P$2:$BK$2,"="&amp;AU20),0)</f>
        <v>0</v>
      </c>
      <c r="AV26" s="105">
        <f>IF(AV20&lt;$C18,SUMIFS('Monthly CF''s'!$P$59:$BK$59,'Monthly CF''s'!$P$2:$BK$2,"="&amp;AV20),0)</f>
        <v>0</v>
      </c>
      <c r="AW26" s="105">
        <f>IF(AW20&lt;$C18,SUMIFS('Monthly CF''s'!$P$59:$BK$59,'Monthly CF''s'!$P$2:$BK$2,"="&amp;AW20),0)</f>
        <v>0</v>
      </c>
      <c r="AX26" s="105">
        <f>IF(AX20&lt;$C18,SUMIFS('Monthly CF''s'!$P$59:$BK$59,'Monthly CF''s'!$P$2:$BK$2,"="&amp;AX20),0)</f>
        <v>0</v>
      </c>
      <c r="AY26" s="105">
        <f>IF(AY20&lt;$C18,SUMIFS('Monthly CF''s'!$P$59:$BK$59,'Monthly CF''s'!$P$2:$BK$2,"="&amp;AY20),0)</f>
        <v>0</v>
      </c>
      <c r="AZ26" s="105">
        <f>IF(AZ20&lt;$C18,SUMIFS('Monthly CF''s'!$P$59:$BK$59,'Monthly CF''s'!$P$2:$BK$2,"="&amp;AZ20),0)</f>
        <v>0</v>
      </c>
      <c r="BA26" s="105">
        <f>IF(BA20&lt;$C18,SUMIFS('Monthly CF''s'!$P$59:$BK$59,'Monthly CF''s'!$P$2:$BK$2,"="&amp;BA20),0)</f>
        <v>0</v>
      </c>
      <c r="BB26" s="105">
        <f>IF(BB20&lt;$C18,SUMIFS('Monthly CF''s'!$P$59:$BK$59,'Monthly CF''s'!$P$2:$BK$2,"="&amp;BB20),0)</f>
        <v>0</v>
      </c>
      <c r="BC26" s="105">
        <f>IF(BC20&lt;$C18,SUMIFS('Monthly CF''s'!$P$59:$BK$59,'Monthly CF''s'!$P$2:$BK$2,"="&amp;BC20),0)</f>
        <v>0</v>
      </c>
      <c r="BD26" s="105">
        <f>IF(BD20&lt;$C18,SUMIFS('Monthly CF''s'!$P$59:$BK$59,'Monthly CF''s'!$P$2:$BK$2,"="&amp;BD20),0)</f>
        <v>0</v>
      </c>
      <c r="BE26" s="105">
        <f>IF(BE20&lt;$C18,SUMIFS('Monthly CF''s'!$P$59:$BK$59,'Monthly CF''s'!$P$2:$BK$2,"="&amp;BE20),0)</f>
        <v>0</v>
      </c>
      <c r="BF26" s="105">
        <f>IF(BF20&lt;$C18,SUMIFS('Monthly CF''s'!$P$59:$BK$59,'Monthly CF''s'!$P$2:$BK$2,"="&amp;BF20),0)</f>
        <v>0</v>
      </c>
      <c r="BG26" s="105">
        <f>IF(BG20&lt;$C18,SUMIFS('Monthly CF''s'!$P$59:$BK$59,'Monthly CF''s'!$P$2:$BK$2,"="&amp;BG20),0)</f>
        <v>0</v>
      </c>
      <c r="BH26" s="105">
        <f>IF(BH20&lt;$C18,SUMIFS('Monthly CF''s'!$P$59:$BK$59,'Monthly CF''s'!$P$2:$BK$2,"="&amp;BH20),0)</f>
        <v>0</v>
      </c>
      <c r="BI26" s="105">
        <f>IF(BI20&lt;$C18,SUMIFS('Monthly CF''s'!$P$59:$BK$59,'Monthly CF''s'!$P$2:$BK$2,"="&amp;BI20),0)</f>
        <v>0</v>
      </c>
      <c r="BJ26" s="105">
        <f>IF(BJ20&lt;$C18,SUMIFS('Monthly CF''s'!$P$59:$BK$59,'Monthly CF''s'!$P$2:$BK$2,"="&amp;BJ20),0)</f>
        <v>0</v>
      </c>
      <c r="BK26" s="105">
        <f>IF(BK20&lt;$C18,SUMIFS('Monthly CF''s'!$P$59:$BK$59,'Monthly CF''s'!$P$2:$BK$2,"="&amp;BK20),0)</f>
        <v>0</v>
      </c>
      <c r="BL26" s="105">
        <f>IF(BL20&lt;$C18,SUMIFS('Monthly CF''s'!$P$59:$BK$59,'Monthly CF''s'!$P$2:$BK$2,"="&amp;BL20),0)</f>
        <v>0</v>
      </c>
      <c r="BM26" s="105">
        <f>IF(BM20&lt;$C18,SUMIFS('Monthly CF''s'!$P$59:$BK$59,'Monthly CF''s'!$P$2:$BK$2,"="&amp;BM20),0)</f>
        <v>0</v>
      </c>
      <c r="BN26" s="105">
        <f>IF(BN20&lt;$C18,SUMIFS('Monthly CF''s'!$P$59:$BK$59,'Monthly CF''s'!$P$2:$BK$2,"="&amp;BN20),0)</f>
        <v>0</v>
      </c>
      <c r="BO26" s="169">
        <f>IF(BO20&lt;$C18,SUMIFS('Monthly CF''s'!$P$59:$BK$59,'Monthly CF''s'!$P$2:$BK$2,"="&amp;BO20),0)</f>
        <v>0</v>
      </c>
    </row>
    <row r="27" spans="1:67">
      <c r="A27">
        <v>8</v>
      </c>
      <c r="B27" s="168" t="str">
        <f>Dashboard!$G$58</f>
        <v>Net Sale Proceeds</v>
      </c>
      <c r="C27" s="5"/>
      <c r="D27" s="105"/>
      <c r="E27" s="105">
        <f>IF(E20=$C18,Dashboard!$K$58,0)</f>
        <v>0</v>
      </c>
      <c r="F27" s="105">
        <f>IF(F20=$C18,Dashboard!$K$58,0)</f>
        <v>0</v>
      </c>
      <c r="G27" s="105">
        <f>IF(G20=$C18,Dashboard!$K$58,0)</f>
        <v>0</v>
      </c>
      <c r="H27" s="105">
        <f>IF(H20=$C18,Dashboard!$K$58,0)</f>
        <v>0</v>
      </c>
      <c r="I27" s="105">
        <f>IF(I20=$C18,Dashboard!$K$58,0)</f>
        <v>0</v>
      </c>
      <c r="J27" s="105">
        <f>IF(J20=$C18,Dashboard!$K$58,0)</f>
        <v>0</v>
      </c>
      <c r="K27" s="105">
        <f>IF(K20=$C18,Dashboard!$K$58,0)</f>
        <v>0</v>
      </c>
      <c r="L27" s="105">
        <f>IF(L20=$C18,Dashboard!$K$58,0)</f>
        <v>0</v>
      </c>
      <c r="M27" s="105">
        <f>IF(M20=$C18,Dashboard!$K$58,0)</f>
        <v>0</v>
      </c>
      <c r="N27" s="105">
        <f>IF(N20=$C18,Dashboard!$K$58,0)</f>
        <v>0</v>
      </c>
      <c r="O27" s="105">
        <f>IF(O20=$C18,Dashboard!$K$58,0)</f>
        <v>0</v>
      </c>
      <c r="P27" s="105">
        <f>IF(P20=$C18,Dashboard!$K$58,0)</f>
        <v>0</v>
      </c>
      <c r="Q27" s="105">
        <f>IF(Q20=$C18,Dashboard!$K$58,0)</f>
        <v>0</v>
      </c>
      <c r="R27" s="105">
        <f>IF(R20=$C18,Dashboard!$K$58,0)</f>
        <v>0</v>
      </c>
      <c r="S27" s="105">
        <f>IF(S20=$C18,Dashboard!$K$58,0)</f>
        <v>0</v>
      </c>
      <c r="T27" s="105">
        <f>IF(T20=$C18,Dashboard!$K$58,0)</f>
        <v>0</v>
      </c>
      <c r="U27" s="105">
        <f>IF(U20=$C18,Dashboard!$K$58,0)</f>
        <v>0</v>
      </c>
      <c r="V27" s="105">
        <f>IF(V20=$C18,Dashboard!$K$58,0)</f>
        <v>0</v>
      </c>
      <c r="W27" s="105">
        <f>IF(W20=$C18,Dashboard!$K$58,0)</f>
        <v>0</v>
      </c>
      <c r="X27" s="105">
        <f>IF(X20=$C18,Dashboard!$K$58,0)</f>
        <v>0</v>
      </c>
      <c r="Y27" s="105">
        <f>IF(Y20=$C18,Dashboard!$K$58,0)</f>
        <v>0</v>
      </c>
      <c r="Z27" s="105">
        <f>IF(Z20=$C18,Dashboard!$K$58,0)</f>
        <v>0</v>
      </c>
      <c r="AA27" s="105">
        <f>IF(AA20=$C18,Dashboard!$K$58,0)</f>
        <v>0</v>
      </c>
      <c r="AB27" s="105">
        <f>IF(AB20=$C18,Dashboard!$K$58,0)</f>
        <v>0</v>
      </c>
      <c r="AC27" s="105">
        <f>IF(AC20=$C18,Dashboard!$K$58,0)</f>
        <v>0</v>
      </c>
      <c r="AD27" s="105">
        <f>IF(AD20=$C18,Dashboard!$K$58,0)</f>
        <v>0</v>
      </c>
      <c r="AE27" s="105">
        <f>IF(AE20=$C18,Dashboard!$K$58,0)</f>
        <v>0</v>
      </c>
      <c r="AF27" s="105">
        <f>IF(AF20=$C18,Dashboard!$K$58,0)</f>
        <v>0</v>
      </c>
      <c r="AG27" s="105">
        <f>IF(AG20=$C18,Dashboard!$K$58,0)</f>
        <v>0</v>
      </c>
      <c r="AH27" s="105">
        <f>IF(AH20=$C18,Dashboard!$K$58,0)</f>
        <v>0</v>
      </c>
      <c r="AI27" s="105">
        <f>IF(AI20=$C18,Dashboard!$K$58,0)</f>
        <v>0</v>
      </c>
      <c r="AJ27" s="105">
        <f>IF(AJ20=$C18,Dashboard!$K$58,0)</f>
        <v>0</v>
      </c>
      <c r="AK27" s="105">
        <f>IF(AK20=$C18,Dashboard!$K$58,0)</f>
        <v>0</v>
      </c>
      <c r="AL27" s="105">
        <f>IF(AL20=$C18,Dashboard!$K$58,0)</f>
        <v>0</v>
      </c>
      <c r="AM27" s="105">
        <f>IF(AM20=$C18,Dashboard!$K$58,0)</f>
        <v>0</v>
      </c>
      <c r="AN27" s="105">
        <f>IF(AN20=$C18,Dashboard!$K$58,0)</f>
        <v>0</v>
      </c>
      <c r="AO27" s="105">
        <f>IF(AO20=$C18,Dashboard!$K$58,0)</f>
        <v>0</v>
      </c>
      <c r="AP27" s="105">
        <f>IF(AP20=$C18,Dashboard!$K$58,0)</f>
        <v>39959331.37553376</v>
      </c>
      <c r="AQ27" s="105">
        <f>IF(AQ20=$C18,Dashboard!$K$58,0)</f>
        <v>0</v>
      </c>
      <c r="AR27" s="105">
        <f>IF(AR20=$C18,Dashboard!$K$58,0)</f>
        <v>0</v>
      </c>
      <c r="AS27" s="105">
        <f>IF(AS20=$C18,Dashboard!$K$58,0)</f>
        <v>0</v>
      </c>
      <c r="AT27" s="105">
        <f>IF(AT20=$C18,Dashboard!$K$58,0)</f>
        <v>0</v>
      </c>
      <c r="AU27" s="105">
        <f>IF(AU20=$C18,Dashboard!$K$58,0)</f>
        <v>0</v>
      </c>
      <c r="AV27" s="105">
        <f>IF(AV20=$C18,Dashboard!$K$58,0)</f>
        <v>0</v>
      </c>
      <c r="AW27" s="105">
        <f>IF(AW20=$C18,Dashboard!$K$58,0)</f>
        <v>0</v>
      </c>
      <c r="AX27" s="105">
        <f>IF(AX20=$C18,Dashboard!$K$58,0)</f>
        <v>0</v>
      </c>
      <c r="AY27" s="105">
        <f>IF(AY20=$C18,Dashboard!$K$58,0)</f>
        <v>0</v>
      </c>
      <c r="AZ27" s="105">
        <f>IF(AZ20=$C18,Dashboard!$K$58,0)</f>
        <v>0</v>
      </c>
      <c r="BA27" s="105">
        <f>IF(BA20=$C18,Dashboard!$K$58,0)</f>
        <v>0</v>
      </c>
      <c r="BB27" s="105">
        <f>IF(BB20=$C18,Dashboard!$K$58,0)</f>
        <v>0</v>
      </c>
      <c r="BC27" s="105">
        <f>IF(BC20=$C18,Dashboard!$K$58,0)</f>
        <v>0</v>
      </c>
      <c r="BD27" s="105">
        <f>IF(BD20=$C18,Dashboard!$K$58,0)</f>
        <v>0</v>
      </c>
      <c r="BE27" s="105">
        <f>IF(BE20=$C18,Dashboard!$K$58,0)</f>
        <v>0</v>
      </c>
      <c r="BF27" s="105">
        <f>IF(BF20=$C18,Dashboard!$K$58,0)</f>
        <v>0</v>
      </c>
      <c r="BG27" s="105">
        <f>IF(BG20=$C18,Dashboard!$K$58,0)</f>
        <v>0</v>
      </c>
      <c r="BH27" s="105">
        <f>IF(BH20=$C18,Dashboard!$K$58,0)</f>
        <v>0</v>
      </c>
      <c r="BI27" s="105">
        <f>IF(BI20=$C18,Dashboard!$K$58,0)</f>
        <v>0</v>
      </c>
      <c r="BJ27" s="105">
        <f>IF(BJ20=$C18,Dashboard!$K$58,0)</f>
        <v>0</v>
      </c>
      <c r="BK27" s="105">
        <f>IF(BK20=$C18,Dashboard!$K$58,0)</f>
        <v>0</v>
      </c>
      <c r="BL27" s="105">
        <f>IF(BL20=$C18,Dashboard!$K$58,0)</f>
        <v>0</v>
      </c>
      <c r="BM27" s="105">
        <f>IF(BM20=$C18,Dashboard!$K$58,0)</f>
        <v>0</v>
      </c>
      <c r="BN27" s="105">
        <f>IF(BN20=$C18,Dashboard!$K$58,0)</f>
        <v>0</v>
      </c>
      <c r="BO27" s="169">
        <f>IF(BO20=$C18,Dashboard!$K$58,0)</f>
        <v>0</v>
      </c>
    </row>
    <row r="28" spans="1:67" ht="6.75" customHeight="1">
      <c r="B28" s="168"/>
      <c r="C28" s="5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05"/>
      <c r="S28" s="105"/>
      <c r="T28" s="105"/>
      <c r="U28" s="105"/>
      <c r="V28" s="105"/>
      <c r="W28" s="105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  <c r="AH28" s="105"/>
      <c r="AI28" s="105"/>
      <c r="AJ28" s="105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05"/>
      <c r="AW28" s="105"/>
      <c r="AX28" s="105"/>
      <c r="AY28" s="105"/>
      <c r="AZ28" s="105"/>
      <c r="BA28" s="543"/>
      <c r="BB28" s="543"/>
      <c r="BC28" s="543"/>
      <c r="BD28" s="543"/>
      <c r="BE28" s="543"/>
      <c r="BF28" s="543"/>
      <c r="BG28" s="543"/>
      <c r="BH28" s="543"/>
      <c r="BI28" s="543"/>
      <c r="BJ28" s="543"/>
      <c r="BK28" s="543"/>
      <c r="BL28" s="543"/>
      <c r="BM28" s="543"/>
      <c r="BN28" s="543"/>
      <c r="BO28" s="544"/>
    </row>
    <row r="29" spans="1:67">
      <c r="B29" s="186" t="s">
        <v>157</v>
      </c>
      <c r="C29" s="198"/>
      <c r="D29" s="154">
        <f>SUM(D25:D27)+D22</f>
        <v>-24033944.982098967</v>
      </c>
      <c r="E29" s="154">
        <f>SUM(E25:E27)+E22</f>
        <v>0</v>
      </c>
      <c r="F29" s="154">
        <f t="shared" ref="F29:AZ29" si="37">SUM(F25:F27)+F22</f>
        <v>0</v>
      </c>
      <c r="G29" s="154">
        <f t="shared" si="37"/>
        <v>0</v>
      </c>
      <c r="H29" s="154">
        <f t="shared" si="37"/>
        <v>0</v>
      </c>
      <c r="I29" s="154">
        <f t="shared" si="37"/>
        <v>0</v>
      </c>
      <c r="J29" s="154">
        <f t="shared" si="37"/>
        <v>0</v>
      </c>
      <c r="K29" s="154">
        <f t="shared" si="37"/>
        <v>0</v>
      </c>
      <c r="L29" s="154">
        <f t="shared" si="37"/>
        <v>0</v>
      </c>
      <c r="M29" s="154">
        <f t="shared" si="37"/>
        <v>0</v>
      </c>
      <c r="N29" s="154">
        <f t="shared" si="37"/>
        <v>0</v>
      </c>
      <c r="O29" s="154">
        <f t="shared" si="37"/>
        <v>0</v>
      </c>
      <c r="P29" s="154">
        <f t="shared" si="37"/>
        <v>0</v>
      </c>
      <c r="Q29" s="154">
        <f t="shared" si="37"/>
        <v>0</v>
      </c>
      <c r="R29" s="154">
        <f t="shared" si="37"/>
        <v>0</v>
      </c>
      <c r="S29" s="154">
        <f t="shared" si="37"/>
        <v>0</v>
      </c>
      <c r="T29" s="154">
        <f t="shared" si="37"/>
        <v>0</v>
      </c>
      <c r="U29" s="154">
        <f t="shared" si="37"/>
        <v>0</v>
      </c>
      <c r="V29" s="154">
        <f t="shared" si="37"/>
        <v>0</v>
      </c>
      <c r="W29" s="154">
        <f t="shared" si="37"/>
        <v>0</v>
      </c>
      <c r="X29" s="154">
        <f t="shared" si="37"/>
        <v>55865.937070519256</v>
      </c>
      <c r="Y29" s="154">
        <f t="shared" si="37"/>
        <v>55865.937070519256</v>
      </c>
      <c r="Z29" s="154">
        <f t="shared" si="37"/>
        <v>55865.937070519256</v>
      </c>
      <c r="AA29" s="154">
        <f t="shared" si="37"/>
        <v>1567865.9370705192</v>
      </c>
      <c r="AB29" s="154">
        <f t="shared" si="37"/>
        <v>55865.937070519256</v>
      </c>
      <c r="AC29" s="154">
        <f t="shared" si="37"/>
        <v>55865.937070519256</v>
      </c>
      <c r="AD29" s="154">
        <f t="shared" si="37"/>
        <v>-1220620.9207049725</v>
      </c>
      <c r="AE29" s="154">
        <f t="shared" si="37"/>
        <v>160402.43820649723</v>
      </c>
      <c r="AF29" s="154">
        <f t="shared" si="37"/>
        <v>160402.43820649723</v>
      </c>
      <c r="AG29" s="154">
        <f t="shared" si="37"/>
        <v>160402.43820649723</v>
      </c>
      <c r="AH29" s="154">
        <f t="shared" si="37"/>
        <v>160402.43820649723</v>
      </c>
      <c r="AI29" s="154">
        <f t="shared" si="37"/>
        <v>160402.43820649723</v>
      </c>
      <c r="AJ29" s="154">
        <f t="shared" si="37"/>
        <v>174756.336958414</v>
      </c>
      <c r="AK29" s="154">
        <f t="shared" si="37"/>
        <v>174756.336958414</v>
      </c>
      <c r="AL29" s="154">
        <f t="shared" si="37"/>
        <v>174756.336958414</v>
      </c>
      <c r="AM29" s="154">
        <f t="shared" si="37"/>
        <v>174756.336958414</v>
      </c>
      <c r="AN29" s="154">
        <f t="shared" si="37"/>
        <v>174756.336958414</v>
      </c>
      <c r="AO29" s="154">
        <f t="shared" si="37"/>
        <v>174756.336958414</v>
      </c>
      <c r="AP29" s="154">
        <f t="shared" si="37"/>
        <v>39959331.37553376</v>
      </c>
      <c r="AQ29" s="154">
        <f t="shared" si="37"/>
        <v>0</v>
      </c>
      <c r="AR29" s="154">
        <f t="shared" si="37"/>
        <v>0</v>
      </c>
      <c r="AS29" s="154">
        <f t="shared" si="37"/>
        <v>0</v>
      </c>
      <c r="AT29" s="154">
        <f t="shared" si="37"/>
        <v>0</v>
      </c>
      <c r="AU29" s="154">
        <f t="shared" si="37"/>
        <v>0</v>
      </c>
      <c r="AV29" s="154">
        <f t="shared" si="37"/>
        <v>0</v>
      </c>
      <c r="AW29" s="154">
        <f t="shared" si="37"/>
        <v>0</v>
      </c>
      <c r="AX29" s="154">
        <f t="shared" si="37"/>
        <v>0</v>
      </c>
      <c r="AY29" s="154">
        <f t="shared" si="37"/>
        <v>0</v>
      </c>
      <c r="AZ29" s="493">
        <f t="shared" si="37"/>
        <v>0</v>
      </c>
      <c r="BA29" s="493">
        <f t="shared" ref="BA29:BF29" si="38">SUM(BA25:BA27)+BA22</f>
        <v>0</v>
      </c>
      <c r="BB29" s="493">
        <f t="shared" si="38"/>
        <v>0</v>
      </c>
      <c r="BC29" s="493">
        <f t="shared" si="38"/>
        <v>0</v>
      </c>
      <c r="BD29" s="493">
        <f t="shared" si="38"/>
        <v>0</v>
      </c>
      <c r="BE29" s="493">
        <f t="shared" si="38"/>
        <v>0</v>
      </c>
      <c r="BF29" s="493">
        <f t="shared" si="38"/>
        <v>0</v>
      </c>
      <c r="BG29" s="493">
        <f t="shared" ref="BG29:BO29" si="39">SUM(BG25:BG27)+BG22</f>
        <v>0</v>
      </c>
      <c r="BH29" s="493">
        <f t="shared" si="39"/>
        <v>0</v>
      </c>
      <c r="BI29" s="493">
        <f t="shared" si="39"/>
        <v>0</v>
      </c>
      <c r="BJ29" s="493">
        <f t="shared" si="39"/>
        <v>0</v>
      </c>
      <c r="BK29" s="493">
        <f t="shared" si="39"/>
        <v>0</v>
      </c>
      <c r="BL29" s="493">
        <f t="shared" si="39"/>
        <v>0</v>
      </c>
      <c r="BM29" s="493">
        <f t="shared" si="39"/>
        <v>0</v>
      </c>
      <c r="BN29" s="493">
        <f t="shared" si="39"/>
        <v>0</v>
      </c>
      <c r="BO29" s="494">
        <f t="shared" si="39"/>
        <v>0</v>
      </c>
    </row>
    <row r="30" spans="1:67">
      <c r="B30" s="206" t="s">
        <v>91</v>
      </c>
      <c r="C30" s="208">
        <f>XIRR(D29:AZ29,D20:AZ20)</f>
        <v>0.20005646347999576</v>
      </c>
      <c r="D30" s="151"/>
      <c r="E30" s="151"/>
      <c r="F30" s="151"/>
      <c r="G30" s="151"/>
      <c r="H30" s="151"/>
      <c r="I30" s="151"/>
      <c r="J30" s="151"/>
      <c r="K30" s="151"/>
      <c r="L30" s="151"/>
      <c r="M30" s="151"/>
      <c r="N30" s="151"/>
      <c r="O30" s="151"/>
      <c r="P30" s="151"/>
      <c r="Q30" s="151"/>
      <c r="R30" s="151"/>
      <c r="S30" s="151"/>
      <c r="T30" s="151"/>
      <c r="U30" s="151"/>
      <c r="V30" s="151"/>
      <c r="W30" s="151"/>
      <c r="X30" s="151"/>
      <c r="Y30" s="151"/>
      <c r="Z30" s="151"/>
      <c r="AA30" s="151"/>
      <c r="AB30" s="151"/>
      <c r="AC30" s="151"/>
      <c r="AD30" s="151"/>
      <c r="AE30" s="151"/>
      <c r="AF30" s="151"/>
      <c r="AG30" s="151"/>
      <c r="AH30" s="151"/>
      <c r="AI30" s="151"/>
      <c r="AJ30" s="151"/>
      <c r="AK30" s="151"/>
      <c r="AL30" s="151"/>
      <c r="AM30" s="151"/>
      <c r="AN30" s="151"/>
      <c r="AO30" s="151"/>
      <c r="AP30" s="151"/>
      <c r="AQ30" s="151"/>
      <c r="AR30" s="151"/>
      <c r="AS30" s="151"/>
      <c r="AT30" s="151"/>
      <c r="AU30" s="151"/>
      <c r="AV30" s="151"/>
      <c r="AW30" s="151"/>
      <c r="AX30" s="151"/>
      <c r="AY30" s="151"/>
      <c r="AZ30" s="151"/>
      <c r="BA30" s="151"/>
      <c r="BB30" s="151"/>
      <c r="BC30" s="151"/>
      <c r="BD30" s="151"/>
      <c r="BE30" s="151"/>
      <c r="BF30" s="151"/>
      <c r="BG30" s="151"/>
      <c r="BH30" s="151"/>
      <c r="BI30" s="151"/>
      <c r="BJ30" s="151"/>
      <c r="BK30" s="151"/>
      <c r="BL30" s="151"/>
      <c r="BM30" s="151"/>
      <c r="BN30" s="151"/>
      <c r="BO30" s="151"/>
    </row>
    <row r="31" spans="1:67">
      <c r="B31" s="207" t="s">
        <v>92</v>
      </c>
      <c r="C31" s="209">
        <f>SUM(E29:AZ29)/-D22</f>
        <v>1.7656883346301457</v>
      </c>
      <c r="D31" s="151"/>
      <c r="E31" s="151"/>
      <c r="F31" s="151"/>
      <c r="G31" s="151"/>
      <c r="H31" s="151"/>
      <c r="I31" s="151"/>
      <c r="J31" s="151"/>
      <c r="K31" s="151"/>
      <c r="L31" s="151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1"/>
      <c r="X31" s="151"/>
      <c r="Y31" s="151"/>
      <c r="Z31" s="151"/>
      <c r="AA31" s="151"/>
      <c r="AB31" s="151"/>
      <c r="AC31" s="151"/>
      <c r="AD31" s="151"/>
      <c r="AE31" s="151"/>
      <c r="AF31" s="151"/>
      <c r="AG31" s="151"/>
      <c r="AH31" s="151"/>
      <c r="AI31" s="151"/>
      <c r="AJ31" s="151"/>
      <c r="AK31" s="151"/>
      <c r="AL31" s="151"/>
      <c r="AM31" s="151"/>
      <c r="AN31" s="151"/>
      <c r="AO31" s="151"/>
      <c r="AP31" s="151"/>
      <c r="AQ31" s="151"/>
      <c r="AR31" s="151"/>
      <c r="AS31" s="151"/>
      <c r="AT31" s="151"/>
      <c r="AU31" s="151"/>
      <c r="AV31" s="151"/>
      <c r="AW31" s="151"/>
      <c r="AX31" s="151"/>
      <c r="AY31" s="151"/>
      <c r="AZ31" s="151"/>
      <c r="BA31" s="151"/>
      <c r="BB31" s="151"/>
      <c r="BC31" s="151"/>
      <c r="BD31" s="151"/>
      <c r="BE31" s="151"/>
      <c r="BF31" s="151"/>
      <c r="BG31" s="151"/>
      <c r="BH31" s="151"/>
      <c r="BI31" s="151"/>
      <c r="BJ31" s="151"/>
      <c r="BK31" s="151"/>
      <c r="BL31" s="151"/>
      <c r="BM31" s="151"/>
      <c r="BN31" s="151"/>
      <c r="BO31" s="151"/>
    </row>
    <row r="32" spans="1:67">
      <c r="BA32" s="42"/>
      <c r="BB32" s="42"/>
      <c r="BC32" s="42"/>
      <c r="BD32" s="42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</row>
    <row r="33" spans="1:67">
      <c r="BA33" s="42"/>
      <c r="BB33" s="42"/>
      <c r="BC33" s="42"/>
      <c r="BD33" s="42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</row>
    <row r="34" spans="1:67" ht="15.75">
      <c r="B34" s="202" t="s">
        <v>89</v>
      </c>
      <c r="C34" s="205">
        <f>Dashboard!B65</f>
        <v>47178</v>
      </c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</row>
    <row r="35" spans="1:67" ht="15.75">
      <c r="B35" s="204" t="s">
        <v>81</v>
      </c>
      <c r="C35" s="203">
        <f>Dashboard!C65</f>
        <v>4.166666666666667</v>
      </c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</row>
    <row r="36" spans="1:67" ht="21" customHeight="1">
      <c r="A36">
        <v>1</v>
      </c>
      <c r="B36" s="197" t="s">
        <v>115</v>
      </c>
      <c r="C36" s="197"/>
      <c r="D36" s="405">
        <f>Dashboard!$F$54</f>
        <v>45658</v>
      </c>
      <c r="E36" s="354">
        <f>IF((D36+1)=$C34,$C34,EOMONTH(D36,1))</f>
        <v>45716</v>
      </c>
      <c r="F36" s="354">
        <f>IF((E36+1)=$C34,$C34,EOMONTH(E36,1))</f>
        <v>45747</v>
      </c>
      <c r="G36" s="354">
        <f t="shared" ref="G36:AZ36" si="40">IF((F36+1)=$C34,$C34,EOMONTH(F36,1))</f>
        <v>45777</v>
      </c>
      <c r="H36" s="354">
        <f t="shared" si="40"/>
        <v>45808</v>
      </c>
      <c r="I36" s="354">
        <f t="shared" si="40"/>
        <v>45838</v>
      </c>
      <c r="J36" s="354">
        <f t="shared" si="40"/>
        <v>45869</v>
      </c>
      <c r="K36" s="354">
        <f t="shared" si="40"/>
        <v>45900</v>
      </c>
      <c r="L36" s="354">
        <f t="shared" si="40"/>
        <v>45930</v>
      </c>
      <c r="M36" s="354">
        <f t="shared" si="40"/>
        <v>45961</v>
      </c>
      <c r="N36" s="354">
        <f t="shared" si="40"/>
        <v>45991</v>
      </c>
      <c r="O36" s="354">
        <f t="shared" si="40"/>
        <v>46022</v>
      </c>
      <c r="P36" s="354">
        <f t="shared" si="40"/>
        <v>46053</v>
      </c>
      <c r="Q36" s="354">
        <f t="shared" si="40"/>
        <v>46081</v>
      </c>
      <c r="R36" s="354">
        <f t="shared" si="40"/>
        <v>46112</v>
      </c>
      <c r="S36" s="354">
        <f t="shared" si="40"/>
        <v>46142</v>
      </c>
      <c r="T36" s="354">
        <f t="shared" si="40"/>
        <v>46173</v>
      </c>
      <c r="U36" s="354">
        <f t="shared" si="40"/>
        <v>46203</v>
      </c>
      <c r="V36" s="354">
        <f t="shared" si="40"/>
        <v>46234</v>
      </c>
      <c r="W36" s="354">
        <f t="shared" si="40"/>
        <v>46265</v>
      </c>
      <c r="X36" s="354">
        <f t="shared" si="40"/>
        <v>46295</v>
      </c>
      <c r="Y36" s="354">
        <f t="shared" si="40"/>
        <v>46326</v>
      </c>
      <c r="Z36" s="354">
        <f t="shared" si="40"/>
        <v>46356</v>
      </c>
      <c r="AA36" s="354">
        <f t="shared" si="40"/>
        <v>46387</v>
      </c>
      <c r="AB36" s="354">
        <f t="shared" si="40"/>
        <v>46418</v>
      </c>
      <c r="AC36" s="354">
        <f t="shared" si="40"/>
        <v>46446</v>
      </c>
      <c r="AD36" s="354">
        <f t="shared" si="40"/>
        <v>46477</v>
      </c>
      <c r="AE36" s="354">
        <f t="shared" si="40"/>
        <v>46507</v>
      </c>
      <c r="AF36" s="354">
        <f t="shared" si="40"/>
        <v>46538</v>
      </c>
      <c r="AG36" s="354">
        <f t="shared" si="40"/>
        <v>46568</v>
      </c>
      <c r="AH36" s="354">
        <f t="shared" si="40"/>
        <v>46599</v>
      </c>
      <c r="AI36" s="354">
        <f t="shared" si="40"/>
        <v>46630</v>
      </c>
      <c r="AJ36" s="354">
        <f t="shared" si="40"/>
        <v>46660</v>
      </c>
      <c r="AK36" s="354">
        <f t="shared" si="40"/>
        <v>46691</v>
      </c>
      <c r="AL36" s="354">
        <f t="shared" si="40"/>
        <v>46721</v>
      </c>
      <c r="AM36" s="354">
        <f t="shared" si="40"/>
        <v>46752</v>
      </c>
      <c r="AN36" s="354">
        <f t="shared" si="40"/>
        <v>46783</v>
      </c>
      <c r="AO36" s="354">
        <f t="shared" si="40"/>
        <v>46812</v>
      </c>
      <c r="AP36" s="354">
        <f t="shared" si="40"/>
        <v>46843</v>
      </c>
      <c r="AQ36" s="354">
        <f t="shared" si="40"/>
        <v>46873</v>
      </c>
      <c r="AR36" s="354">
        <f t="shared" si="40"/>
        <v>46904</v>
      </c>
      <c r="AS36" s="354">
        <f t="shared" si="40"/>
        <v>46934</v>
      </c>
      <c r="AT36" s="354">
        <f t="shared" si="40"/>
        <v>46965</v>
      </c>
      <c r="AU36" s="354">
        <f t="shared" si="40"/>
        <v>46996</v>
      </c>
      <c r="AV36" s="354">
        <f t="shared" si="40"/>
        <v>47026</v>
      </c>
      <c r="AW36" s="354">
        <f t="shared" si="40"/>
        <v>47057</v>
      </c>
      <c r="AX36" s="354">
        <f t="shared" si="40"/>
        <v>47087</v>
      </c>
      <c r="AY36" s="354">
        <f t="shared" si="40"/>
        <v>47118</v>
      </c>
      <c r="AZ36" s="354">
        <f t="shared" si="40"/>
        <v>47149</v>
      </c>
      <c r="BA36" s="354">
        <f t="shared" ref="BA36" si="41">IF((AZ36+1)=$C34,$C34,EOMONTH(AZ36,1))</f>
        <v>47177</v>
      </c>
      <c r="BB36" s="354">
        <f t="shared" ref="BB36" si="42">IF((BA36+1)=$C34,$C34,EOMONTH(BA36,1))</f>
        <v>47178</v>
      </c>
      <c r="BC36" s="354">
        <f t="shared" ref="BC36" si="43">IF((BB36+1)=$C34,$C34,EOMONTH(BB36,1))</f>
        <v>47238</v>
      </c>
      <c r="BD36" s="354">
        <f t="shared" ref="BD36" si="44">IF((BC36+1)=$C34,$C34,EOMONTH(BC36,1))</f>
        <v>47269</v>
      </c>
      <c r="BE36" s="354">
        <f t="shared" ref="BE36" si="45">IF((BD36+1)=$C34,$C34,EOMONTH(BD36,1))</f>
        <v>47299</v>
      </c>
      <c r="BF36" s="354">
        <f t="shared" ref="BF36" si="46">IF((BE36+1)=$C34,$C34,EOMONTH(BE36,1))</f>
        <v>47330</v>
      </c>
      <c r="BG36" s="354">
        <f t="shared" ref="BG36" si="47">IF((BF36+1)=$C34,$C34,EOMONTH(BF36,1))</f>
        <v>47361</v>
      </c>
      <c r="BH36" s="354">
        <f t="shared" ref="BH36" si="48">IF((BG36+1)=$C34,$C34,EOMONTH(BG36,1))</f>
        <v>47391</v>
      </c>
      <c r="BI36" s="354">
        <f t="shared" ref="BI36" si="49">IF((BH36+1)=$C34,$C34,EOMONTH(BH36,1))</f>
        <v>47422</v>
      </c>
      <c r="BJ36" s="354">
        <f t="shared" ref="BJ36" si="50">IF((BI36+1)=$C34,$C34,EOMONTH(BI36,1))</f>
        <v>47452</v>
      </c>
      <c r="BK36" s="354">
        <f t="shared" ref="BK36" si="51">IF((BJ36+1)=$C34,$C34,EOMONTH(BJ36,1))</f>
        <v>47483</v>
      </c>
      <c r="BL36" s="354">
        <f t="shared" ref="BL36" si="52">IF((BK36+1)=$C34,$C34,EOMONTH(BK36,1))</f>
        <v>47514</v>
      </c>
      <c r="BM36" s="354">
        <f t="shared" ref="BM36" si="53">IF((BL36+1)=$C34,$C34,EOMONTH(BL36,1))</f>
        <v>47542</v>
      </c>
      <c r="BN36" s="354">
        <f t="shared" ref="BN36" si="54">IF((BM36+1)=$C34,$C34,EOMONTH(BM36,1))</f>
        <v>47573</v>
      </c>
      <c r="BO36" s="354">
        <f t="shared" ref="BO36" si="55">IF((BN36+1)=$C34,$C34,EOMONTH(BN36,1))</f>
        <v>47603</v>
      </c>
    </row>
    <row r="37" spans="1:67">
      <c r="A37">
        <v>2</v>
      </c>
      <c r="B37" s="184" t="s">
        <v>162</v>
      </c>
      <c r="C37" s="29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  <c r="AL37" s="105"/>
      <c r="AM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  <c r="AZ37" s="105"/>
      <c r="BA37" s="541"/>
      <c r="BB37" s="541"/>
      <c r="BC37" s="541"/>
      <c r="BD37" s="541"/>
      <c r="BE37" s="541"/>
      <c r="BF37" s="541"/>
      <c r="BG37" s="541"/>
      <c r="BH37" s="541"/>
      <c r="BI37" s="541"/>
      <c r="BJ37" s="541"/>
      <c r="BK37" s="541"/>
      <c r="BL37" s="541"/>
      <c r="BM37" s="541"/>
      <c r="BN37" s="541"/>
      <c r="BO37" s="542"/>
    </row>
    <row r="38" spans="1:67">
      <c r="A38">
        <v>3</v>
      </c>
      <c r="B38" s="168" t="str">
        <f>Dashboard!$E$54</f>
        <v>Initial Equity Investment</v>
      </c>
      <c r="C38" s="5"/>
      <c r="D38" s="105">
        <f>-SUM(Dashboard!$F$9:$F$10)</f>
        <v>-24033944.982098967</v>
      </c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  <c r="AZ38" s="105"/>
      <c r="BA38" s="105"/>
      <c r="BB38" s="105"/>
      <c r="BC38" s="105"/>
      <c r="BD38" s="105"/>
      <c r="BE38" s="105"/>
      <c r="BF38" s="105"/>
      <c r="BG38" s="105"/>
      <c r="BH38" s="105"/>
      <c r="BI38" s="105"/>
      <c r="BJ38" s="105"/>
      <c r="BK38" s="105"/>
      <c r="BL38" s="105"/>
      <c r="BM38" s="105"/>
      <c r="BN38" s="105"/>
      <c r="BO38" s="169"/>
    </row>
    <row r="39" spans="1:67" ht="6.75" customHeight="1">
      <c r="A39">
        <v>4</v>
      </c>
      <c r="B39" s="168"/>
      <c r="C39" s="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V39" s="105"/>
      <c r="W39" s="105"/>
      <c r="X39" s="105"/>
      <c r="Y39" s="105"/>
      <c r="Z39" s="105"/>
      <c r="AA39" s="105"/>
      <c r="AB39" s="105"/>
      <c r="AC39" s="105"/>
      <c r="AD39" s="105"/>
      <c r="AE39" s="105"/>
      <c r="AF39" s="105"/>
      <c r="AG39" s="105"/>
      <c r="AH39" s="105"/>
      <c r="AI39" s="105"/>
      <c r="AJ39" s="105"/>
      <c r="AK39" s="105"/>
      <c r="AL39" s="105"/>
      <c r="AM39" s="105"/>
      <c r="AN39" s="105"/>
      <c r="AO39" s="105"/>
      <c r="AP39" s="105"/>
      <c r="AQ39" s="105"/>
      <c r="AR39" s="105"/>
      <c r="AS39" s="105"/>
      <c r="AT39" s="105"/>
      <c r="AU39" s="105"/>
      <c r="AV39" s="105"/>
      <c r="AW39" s="105"/>
      <c r="AX39" s="105"/>
      <c r="AY39" s="105"/>
      <c r="AZ39" s="105"/>
      <c r="BA39" s="105"/>
      <c r="BB39" s="105"/>
      <c r="BC39" s="105"/>
      <c r="BD39" s="105"/>
      <c r="BE39" s="105"/>
      <c r="BF39" s="105"/>
      <c r="BG39" s="105"/>
      <c r="BH39" s="105"/>
      <c r="BI39" s="105"/>
      <c r="BJ39" s="105"/>
      <c r="BK39" s="105"/>
      <c r="BL39" s="105"/>
      <c r="BM39" s="105"/>
      <c r="BN39" s="105"/>
      <c r="BO39" s="169"/>
    </row>
    <row r="40" spans="1:67">
      <c r="A40">
        <v>5</v>
      </c>
      <c r="B40" s="185" t="s">
        <v>163</v>
      </c>
      <c r="C40" s="29"/>
      <c r="D40" s="151"/>
      <c r="E40" s="151"/>
      <c r="F40" s="151"/>
      <c r="G40" s="151"/>
      <c r="H40" s="151"/>
      <c r="I40" s="151"/>
      <c r="J40" s="151"/>
      <c r="K40" s="151"/>
      <c r="L40" s="151"/>
      <c r="M40" s="151"/>
      <c r="N40" s="151"/>
      <c r="O40" s="151"/>
      <c r="P40" s="151"/>
      <c r="Q40" s="151"/>
      <c r="R40" s="151"/>
      <c r="S40" s="151"/>
      <c r="T40" s="151"/>
      <c r="U40" s="151"/>
      <c r="V40" s="151"/>
      <c r="W40" s="151"/>
      <c r="X40" s="151"/>
      <c r="Y40" s="151"/>
      <c r="Z40" s="151"/>
      <c r="AA40" s="151"/>
      <c r="AB40" s="151"/>
      <c r="AC40" s="151"/>
      <c r="AD40" s="151"/>
      <c r="AE40" s="151"/>
      <c r="AF40" s="151"/>
      <c r="AG40" s="151"/>
      <c r="AH40" s="151"/>
      <c r="AI40" s="151"/>
      <c r="AJ40" s="151"/>
      <c r="AK40" s="151"/>
      <c r="AL40" s="151"/>
      <c r="AM40" s="151"/>
      <c r="AN40" s="151"/>
      <c r="AO40" s="151"/>
      <c r="AP40" s="151"/>
      <c r="AQ40" s="151"/>
      <c r="AR40" s="151"/>
      <c r="AS40" s="151"/>
      <c r="AT40" s="151"/>
      <c r="AU40" s="151"/>
      <c r="AV40" s="151"/>
      <c r="AW40" s="151"/>
      <c r="AX40" s="151"/>
      <c r="AY40" s="151"/>
      <c r="AZ40" s="151"/>
      <c r="BA40" s="151"/>
      <c r="BB40" s="151"/>
      <c r="BC40" s="151"/>
      <c r="BD40" s="151"/>
      <c r="BE40" s="151"/>
      <c r="BF40" s="151"/>
      <c r="BG40" s="151"/>
      <c r="BH40" s="151"/>
      <c r="BI40" s="151"/>
      <c r="BJ40" s="151"/>
      <c r="BK40" s="151"/>
      <c r="BL40" s="151"/>
      <c r="BM40" s="151"/>
      <c r="BN40" s="151"/>
      <c r="BO40" s="180"/>
    </row>
    <row r="41" spans="1:67">
      <c r="A41">
        <v>6</v>
      </c>
      <c r="B41" s="168" t="str">
        <f>'Monthly CF''s'!$B$58</f>
        <v>Net Property Cash Flows</v>
      </c>
      <c r="C41" s="5"/>
      <c r="D41" s="105"/>
      <c r="E41" s="105">
        <f>IF(E36&lt;$C34,SUMIFS('Monthly CF''s'!$P$58:$BK$58,'Monthly CF''s'!$P$2:$BK$2,"="&amp;E36),0)</f>
        <v>0</v>
      </c>
      <c r="F41" s="105">
        <f>IF(F36&lt;$C34,SUMIFS('Monthly CF''s'!$P$58:$BK$58,'Monthly CF''s'!$P$2:$BK$2,"="&amp;F36),0)</f>
        <v>0</v>
      </c>
      <c r="G41" s="105">
        <f>IF(G36&lt;$C34,SUMIFS('Monthly CF''s'!$P$58:$BK$58,'Monthly CF''s'!$P$2:$BK$2,"="&amp;G36),0)</f>
        <v>0</v>
      </c>
      <c r="H41" s="105">
        <f>IF(H36&lt;$C34,SUMIFS('Monthly CF''s'!$P$58:$BK$58,'Monthly CF''s'!$P$2:$BK$2,"="&amp;H36),0)</f>
        <v>0</v>
      </c>
      <c r="I41" s="105">
        <f>IF(I36&lt;$C34,SUMIFS('Monthly CF''s'!$P$58:$BK$58,'Monthly CF''s'!$P$2:$BK$2,"="&amp;I36),0)</f>
        <v>0</v>
      </c>
      <c r="J41" s="105">
        <f>IF(J36&lt;$C34,SUMIFS('Monthly CF''s'!$P$58:$BK$58,'Monthly CF''s'!$P$2:$BK$2,"="&amp;J36),0)</f>
        <v>0</v>
      </c>
      <c r="K41" s="105">
        <f>IF(K36&lt;$C34,SUMIFS('Monthly CF''s'!$P$58:$BK$58,'Monthly CF''s'!$P$2:$BK$2,"="&amp;K36),0)</f>
        <v>0</v>
      </c>
      <c r="L41" s="105">
        <f>IF(L36&lt;$C34,SUMIFS('Monthly CF''s'!$P$58:$BK$58,'Monthly CF''s'!$P$2:$BK$2,"="&amp;L36),0)</f>
        <v>0</v>
      </c>
      <c r="M41" s="105">
        <f>IF(M36&lt;$C34,SUMIFS('Monthly CF''s'!$P$58:$BK$58,'Monthly CF''s'!$P$2:$BK$2,"="&amp;M36),0)</f>
        <v>0</v>
      </c>
      <c r="N41" s="105">
        <f>IF(N36&lt;$C34,SUMIFS('Monthly CF''s'!$P$58:$BK$58,'Monthly CF''s'!$P$2:$BK$2,"="&amp;N36),0)</f>
        <v>0</v>
      </c>
      <c r="O41" s="105">
        <f>IF(O36&lt;$C34,SUMIFS('Monthly CF''s'!$P$58:$BK$58,'Monthly CF''s'!$P$2:$BK$2,"="&amp;O36),0)</f>
        <v>0</v>
      </c>
      <c r="P41" s="105">
        <f>IF(P36&lt;$C34,SUMIFS('Monthly CF''s'!$P$58:$BK$58,'Monthly CF''s'!$P$2:$BK$2,"="&amp;P36),0)</f>
        <v>0</v>
      </c>
      <c r="Q41" s="105">
        <f>IF(Q36&lt;$C34,SUMIFS('Monthly CF''s'!$P$58:$BK$58,'Monthly CF''s'!$P$2:$BK$2,"="&amp;Q36),0)</f>
        <v>0</v>
      </c>
      <c r="R41" s="105">
        <f>IF(R36&lt;$C34,SUMIFS('Monthly CF''s'!$P$58:$BK$58,'Monthly CF''s'!$P$2:$BK$2,"="&amp;R36),0)</f>
        <v>0</v>
      </c>
      <c r="S41" s="105">
        <f>IF(S36&lt;$C34,SUMIFS('Monthly CF''s'!$P$58:$BK$58,'Monthly CF''s'!$P$2:$BK$2,"="&amp;S36),0)</f>
        <v>0</v>
      </c>
      <c r="T41" s="105">
        <f>IF(T36&lt;$C34,SUMIFS('Monthly CF''s'!$P$58:$BK$58,'Monthly CF''s'!$P$2:$BK$2,"="&amp;T36),0)</f>
        <v>0</v>
      </c>
      <c r="U41" s="105">
        <f>IF(U36&lt;$C34,SUMIFS('Monthly CF''s'!$P$58:$BK$58,'Monthly CF''s'!$P$2:$BK$2,"="&amp;U36),0)</f>
        <v>0</v>
      </c>
      <c r="V41" s="105">
        <f>IF(V36&lt;$C34,SUMIFS('Monthly CF''s'!$P$58:$BK$58,'Monthly CF''s'!$P$2:$BK$2,"="&amp;V36),0)</f>
        <v>0</v>
      </c>
      <c r="W41" s="105">
        <f>IF(W36&lt;$C34,SUMIFS('Monthly CF''s'!$P$58:$BK$58,'Monthly CF''s'!$P$2:$BK$2,"="&amp;W36),0)</f>
        <v>0</v>
      </c>
      <c r="X41" s="105">
        <f>IF(X36&lt;$C34,SUMIFS('Monthly CF''s'!$P$58:$BK$58,'Monthly CF''s'!$P$2:$BK$2,"="&amp;X36),0)</f>
        <v>55865.937070519256</v>
      </c>
      <c r="Y41" s="105">
        <f>IF(Y36&lt;$C34,SUMIFS('Monthly CF''s'!$P$58:$BK$58,'Monthly CF''s'!$P$2:$BK$2,"="&amp;Y36),0)</f>
        <v>55865.937070519256</v>
      </c>
      <c r="Z41" s="105">
        <f>IF(Z36&lt;$C34,SUMIFS('Monthly CF''s'!$P$58:$BK$58,'Monthly CF''s'!$P$2:$BK$2,"="&amp;Z36),0)</f>
        <v>55865.937070519256</v>
      </c>
      <c r="AA41" s="105">
        <f>IF(AA36&lt;$C34,SUMIFS('Monthly CF''s'!$P$58:$BK$58,'Monthly CF''s'!$P$2:$BK$2,"="&amp;AA36),0)</f>
        <v>1567865.9370705192</v>
      </c>
      <c r="AB41" s="105">
        <f>IF(AB36&lt;$C34,SUMIFS('Monthly CF''s'!$P$58:$BK$58,'Monthly CF''s'!$P$2:$BK$2,"="&amp;AB36),0)</f>
        <v>55865.937070519256</v>
      </c>
      <c r="AC41" s="105">
        <f>IF(AC36&lt;$C34,SUMIFS('Monthly CF''s'!$P$58:$BK$58,'Monthly CF''s'!$P$2:$BK$2,"="&amp;AC36),0)</f>
        <v>55865.937070519256</v>
      </c>
      <c r="AD41" s="105">
        <f>IF(AD36&lt;$C34,SUMIFS('Monthly CF''s'!$P$58:$BK$58,'Monthly CF''s'!$P$2:$BK$2,"="&amp;AD36),0)</f>
        <v>160402.43820649723</v>
      </c>
      <c r="AE41" s="105">
        <f>IF(AE36&lt;$C34,SUMIFS('Monthly CF''s'!$P$58:$BK$58,'Monthly CF''s'!$P$2:$BK$2,"="&amp;AE36),0)</f>
        <v>160402.43820649723</v>
      </c>
      <c r="AF41" s="105">
        <f>IF(AF36&lt;$C34,SUMIFS('Monthly CF''s'!$P$58:$BK$58,'Monthly CF''s'!$P$2:$BK$2,"="&amp;AF36),0)</f>
        <v>160402.43820649723</v>
      </c>
      <c r="AG41" s="105">
        <f>IF(AG36&lt;$C34,SUMIFS('Monthly CF''s'!$P$58:$BK$58,'Monthly CF''s'!$P$2:$BK$2,"="&amp;AG36),0)</f>
        <v>160402.43820649723</v>
      </c>
      <c r="AH41" s="105">
        <f>IF(AH36&lt;$C34,SUMIFS('Monthly CF''s'!$P$58:$BK$58,'Monthly CF''s'!$P$2:$BK$2,"="&amp;AH36),0)</f>
        <v>160402.43820649723</v>
      </c>
      <c r="AI41" s="105">
        <f>IF(AI36&lt;$C34,SUMIFS('Monthly CF''s'!$P$58:$BK$58,'Monthly CF''s'!$P$2:$BK$2,"="&amp;AI36),0)</f>
        <v>160402.43820649723</v>
      </c>
      <c r="AJ41" s="105">
        <f>IF(AJ36&lt;$C34,SUMIFS('Monthly CF''s'!$P$58:$BK$58,'Monthly CF''s'!$P$2:$BK$2,"="&amp;AJ36),0)</f>
        <v>174756.336958414</v>
      </c>
      <c r="AK41" s="105">
        <f>IF(AK36&lt;$C34,SUMIFS('Monthly CF''s'!$P$58:$BK$58,'Monthly CF''s'!$P$2:$BK$2,"="&amp;AK36),0)</f>
        <v>174756.336958414</v>
      </c>
      <c r="AL41" s="105">
        <f>IF(AL36&lt;$C34,SUMIFS('Monthly CF''s'!$P$58:$BK$58,'Monthly CF''s'!$P$2:$BK$2,"="&amp;AL36),0)</f>
        <v>174756.336958414</v>
      </c>
      <c r="AM41" s="105">
        <f>IF(AM36&lt;$C34,SUMIFS('Monthly CF''s'!$P$58:$BK$58,'Monthly CF''s'!$P$2:$BK$2,"="&amp;AM36),0)</f>
        <v>174756.336958414</v>
      </c>
      <c r="AN41" s="105">
        <f>IF(AN36&lt;$C34,SUMIFS('Monthly CF''s'!$P$58:$BK$58,'Monthly CF''s'!$P$2:$BK$2,"="&amp;AN36),0)</f>
        <v>174756.336958414</v>
      </c>
      <c r="AO41" s="105">
        <f>IF(AO36&lt;$C34,SUMIFS('Monthly CF''s'!$P$58:$BK$58,'Monthly CF''s'!$P$2:$BK$2,"="&amp;AO36),0)</f>
        <v>174756.336958414</v>
      </c>
      <c r="AP41" s="105">
        <f>IF(AP36&lt;$C34,SUMIFS('Monthly CF''s'!$P$58:$BK$58,'Monthly CF''s'!$P$2:$BK$2,"="&amp;AP36),0)</f>
        <v>93471.925282638869</v>
      </c>
      <c r="AQ41" s="105">
        <f>IF(AQ36&lt;$C34,SUMIFS('Monthly CF''s'!$P$58:$BK$58,'Monthly CF''s'!$P$2:$BK$2,"="&amp;AQ36),0)</f>
        <v>93471.925282638811</v>
      </c>
      <c r="AR41" s="105">
        <f>IF(AR36&lt;$C34,SUMIFS('Monthly CF''s'!$P$58:$BK$58,'Monthly CF''s'!$P$2:$BK$2,"="&amp;AR36),0)</f>
        <v>93471.925282638811</v>
      </c>
      <c r="AS41" s="105">
        <f>IF(AS36&lt;$C34,SUMIFS('Monthly CF''s'!$P$58:$BK$58,'Monthly CF''s'!$P$2:$BK$2,"="&amp;AS36),0)</f>
        <v>93471.925282638811</v>
      </c>
      <c r="AT41" s="105">
        <f>IF(AT36&lt;$C34,SUMIFS('Monthly CF''s'!$P$58:$BK$58,'Monthly CF''s'!$P$2:$BK$2,"="&amp;AT36),0)</f>
        <v>93471.925282638811</v>
      </c>
      <c r="AU41" s="105">
        <f>IF(AU36&lt;$C34,SUMIFS('Monthly CF''s'!$P$58:$BK$58,'Monthly CF''s'!$P$2:$BK$2,"="&amp;AU36),0)</f>
        <v>93471.925282638869</v>
      </c>
      <c r="AV41" s="105">
        <f>IF(AV36&lt;$C34,SUMIFS('Monthly CF''s'!$P$58:$BK$58,'Monthly CF''s'!$P$2:$BK$2,"="&amp;AV36),0)</f>
        <v>108277.02087538387</v>
      </c>
      <c r="AW41" s="105">
        <f>IF(AW36&lt;$C34,SUMIFS('Monthly CF''s'!$P$58:$BK$58,'Monthly CF''s'!$P$2:$BK$2,"="&amp;AW36),0)</f>
        <v>108277.02087538387</v>
      </c>
      <c r="AX41" s="105">
        <f>IF(AX36&lt;$C34,SUMIFS('Monthly CF''s'!$P$58:$BK$58,'Monthly CF''s'!$P$2:$BK$2,"="&amp;AX36),0)</f>
        <v>108277.02087538387</v>
      </c>
      <c r="AY41" s="105">
        <f>IF(AY36&lt;$C34,SUMIFS('Monthly CF''s'!$P$58:$BK$58,'Monthly CF''s'!$P$2:$BK$2,"="&amp;AY36),0)</f>
        <v>108277.02087538387</v>
      </c>
      <c r="AZ41" s="105">
        <f>IF(AZ36&lt;$C34,SUMIFS('Monthly CF''s'!$P$58:$BK$58,'Monthly CF''s'!$P$2:$BK$2,"="&amp;AZ36),0)</f>
        <v>108277.02087538387</v>
      </c>
      <c r="BA41" s="105">
        <f>IF(BA36&lt;$C34,SUMIFS('Monthly CF''s'!$P$58:$BK$58,'Monthly CF''s'!$P$2:$BK$2,"="&amp;BA36),0)</f>
        <v>108277.02087538387</v>
      </c>
      <c r="BB41" s="105">
        <f>IF(BB36&lt;$C34,SUMIFS('Monthly CF''s'!$P$58:$BK$58,'Monthly CF''s'!$P$2:$BK$2,"="&amp;BB36),0)</f>
        <v>0</v>
      </c>
      <c r="BC41" s="105">
        <f>IF(BC36&lt;$C34,SUMIFS('Monthly CF''s'!$P$58:$BK$58,'Monthly CF''s'!$P$2:$BK$2,"="&amp;BC36),0)</f>
        <v>0</v>
      </c>
      <c r="BD41" s="105">
        <f>IF(BD36&lt;$C34,SUMIFS('Monthly CF''s'!$P$58:$BK$58,'Monthly CF''s'!$P$2:$BK$2,"="&amp;BD36),0)</f>
        <v>0</v>
      </c>
      <c r="BE41" s="105">
        <f>IF(BE36&lt;$C34,SUMIFS('Monthly CF''s'!$P$58:$BK$58,'Monthly CF''s'!$P$2:$BK$2,"="&amp;BE36),0)</f>
        <v>0</v>
      </c>
      <c r="BF41" s="105">
        <f>IF(BF36&lt;$C34,SUMIFS('Monthly CF''s'!$P$58:$BK$58,'Monthly CF''s'!$P$2:$BK$2,"="&amp;BF36),0)</f>
        <v>0</v>
      </c>
      <c r="BG41" s="105">
        <f>IF(BG36&lt;$C34,SUMIFS('Monthly CF''s'!$P$58:$BK$58,'Monthly CF''s'!$P$2:$BK$2,"="&amp;BG36),0)</f>
        <v>0</v>
      </c>
      <c r="BH41" s="105">
        <f>IF(BH36&lt;$C34,SUMIFS('Monthly CF''s'!$P$58:$BK$58,'Monthly CF''s'!$P$2:$BK$2,"="&amp;BH36),0)</f>
        <v>0</v>
      </c>
      <c r="BI41" s="105">
        <f>IF(BI36&lt;$C34,SUMIFS('Monthly CF''s'!$P$58:$BK$58,'Monthly CF''s'!$P$2:$BK$2,"="&amp;BI36),0)</f>
        <v>0</v>
      </c>
      <c r="BJ41" s="105">
        <f>IF(BJ36&lt;$C34,SUMIFS('Monthly CF''s'!$P$58:$BK$58,'Monthly CF''s'!$P$2:$BK$2,"="&amp;BJ36),0)</f>
        <v>0</v>
      </c>
      <c r="BK41" s="105">
        <f>IF(BK36&lt;$C34,SUMIFS('Monthly CF''s'!$P$58:$BK$58,'Monthly CF''s'!$P$2:$BK$2,"="&amp;BK36),0)</f>
        <v>0</v>
      </c>
      <c r="BL41" s="105">
        <f>IF(BL36&lt;$C34,SUMIFS('Monthly CF''s'!$P$58:$BK$58,'Monthly CF''s'!$P$2:$BK$2,"="&amp;BL36),0)</f>
        <v>0</v>
      </c>
      <c r="BM41" s="105">
        <f>IF(BM36&lt;$C34,SUMIFS('Monthly CF''s'!$P$58:$BK$58,'Monthly CF''s'!$P$2:$BK$2,"="&amp;BM36),0)</f>
        <v>0</v>
      </c>
      <c r="BN41" s="105">
        <f>IF(BN36&lt;$C34,SUMIFS('Monthly CF''s'!$P$58:$BK$58,'Monthly CF''s'!$P$2:$BK$2,"="&amp;BN36),0)</f>
        <v>0</v>
      </c>
      <c r="BO41" s="169">
        <f>IF(BO36&lt;$C34,SUMIFS('Monthly CF''s'!$P$58:$BK$58,'Monthly CF''s'!$P$2:$BK$2,"="&amp;BO36),0)</f>
        <v>0</v>
      </c>
    </row>
    <row r="42" spans="1:67">
      <c r="A42">
        <v>7</v>
      </c>
      <c r="B42" s="168" t="str">
        <f>'Monthly CF''s'!$B$59</f>
        <v>Net Refi Proceeds</v>
      </c>
      <c r="C42" s="5"/>
      <c r="D42" s="105"/>
      <c r="E42" s="105">
        <f>IF(E36&lt;$C34,SUMIFS('Monthly CF''s'!$P$59:$BK$59,'Monthly CF''s'!$P$2:$BK$2,"="&amp;E36),0)</f>
        <v>0</v>
      </c>
      <c r="F42" s="105">
        <f>IF(F36&lt;$C34,SUMIFS('Monthly CF''s'!$P$59:$BK$59,'Monthly CF''s'!$P$2:$BK$2,"="&amp;F36),0)</f>
        <v>0</v>
      </c>
      <c r="G42" s="105">
        <f>IF(G36&lt;$C34,SUMIFS('Monthly CF''s'!$P$59:$BK$59,'Monthly CF''s'!$P$2:$BK$2,"="&amp;G36),0)</f>
        <v>0</v>
      </c>
      <c r="H42" s="105">
        <f>IF(H36&lt;$C34,SUMIFS('Monthly CF''s'!$P$59:$BK$59,'Monthly CF''s'!$P$2:$BK$2,"="&amp;H36),0)</f>
        <v>0</v>
      </c>
      <c r="I42" s="105">
        <f>IF(I36&lt;$C34,SUMIFS('Monthly CF''s'!$P$59:$BK$59,'Monthly CF''s'!$P$2:$BK$2,"="&amp;I36),0)</f>
        <v>0</v>
      </c>
      <c r="J42" s="105">
        <f>IF(J36&lt;$C34,SUMIFS('Monthly CF''s'!$P$59:$BK$59,'Monthly CF''s'!$P$2:$BK$2,"="&amp;J36),0)</f>
        <v>0</v>
      </c>
      <c r="K42" s="105">
        <f>IF(K36&lt;$C34,SUMIFS('Monthly CF''s'!$P$59:$BK$59,'Monthly CF''s'!$P$2:$BK$2,"="&amp;K36),0)</f>
        <v>0</v>
      </c>
      <c r="L42" s="105">
        <f>IF(L36&lt;$C34,SUMIFS('Monthly CF''s'!$P$59:$BK$59,'Monthly CF''s'!$P$2:$BK$2,"="&amp;L36),0)</f>
        <v>0</v>
      </c>
      <c r="M42" s="105">
        <f>IF(M36&lt;$C34,SUMIFS('Monthly CF''s'!$P$59:$BK$59,'Monthly CF''s'!$P$2:$BK$2,"="&amp;M36),0)</f>
        <v>0</v>
      </c>
      <c r="N42" s="105">
        <f>IF(N36&lt;$C34,SUMIFS('Monthly CF''s'!$P$59:$BK$59,'Monthly CF''s'!$P$2:$BK$2,"="&amp;N36),0)</f>
        <v>0</v>
      </c>
      <c r="O42" s="105">
        <f>IF(O36&lt;$C34,SUMIFS('Monthly CF''s'!$P$59:$BK$59,'Monthly CF''s'!$P$2:$BK$2,"="&amp;O36),0)</f>
        <v>0</v>
      </c>
      <c r="P42" s="105">
        <f>IF(P36&lt;$C34,SUMIFS('Monthly CF''s'!$P$59:$BK$59,'Monthly CF''s'!$P$2:$BK$2,"="&amp;P36),0)</f>
        <v>0</v>
      </c>
      <c r="Q42" s="105">
        <f>IF(Q36&lt;$C34,SUMIFS('Monthly CF''s'!$P$59:$BK$59,'Monthly CF''s'!$P$2:$BK$2,"="&amp;Q36),0)</f>
        <v>0</v>
      </c>
      <c r="R42" s="105">
        <f>IF(R36&lt;$C34,SUMIFS('Monthly CF''s'!$P$59:$BK$59,'Monthly CF''s'!$P$2:$BK$2,"="&amp;R36),0)</f>
        <v>0</v>
      </c>
      <c r="S42" s="105">
        <f>IF(S36&lt;$C34,SUMIFS('Monthly CF''s'!$P$59:$BK$59,'Monthly CF''s'!$P$2:$BK$2,"="&amp;S36),0)</f>
        <v>0</v>
      </c>
      <c r="T42" s="105">
        <f>IF(T36&lt;$C34,SUMIFS('Monthly CF''s'!$P$59:$BK$59,'Monthly CF''s'!$P$2:$BK$2,"="&amp;T36),0)</f>
        <v>0</v>
      </c>
      <c r="U42" s="105">
        <f>IF(U36&lt;$C34,SUMIFS('Monthly CF''s'!$P$59:$BK$59,'Monthly CF''s'!$P$2:$BK$2,"="&amp;U36),0)</f>
        <v>0</v>
      </c>
      <c r="V42" s="105">
        <f>IF(V36&lt;$C34,SUMIFS('Monthly CF''s'!$P$59:$BK$59,'Monthly CF''s'!$P$2:$BK$2,"="&amp;V36),0)</f>
        <v>0</v>
      </c>
      <c r="W42" s="105">
        <f>IF(W36&lt;$C34,SUMIFS('Monthly CF''s'!$P$59:$BK$59,'Monthly CF''s'!$P$2:$BK$2,"="&amp;W36),0)</f>
        <v>0</v>
      </c>
      <c r="X42" s="105">
        <f>IF(X36&lt;$C34,SUMIFS('Monthly CF''s'!$P$59:$BK$59,'Monthly CF''s'!$P$2:$BK$2,"="&amp;X36),0)</f>
        <v>0</v>
      </c>
      <c r="Y42" s="105">
        <f>IF(Y36&lt;$C34,SUMIFS('Monthly CF''s'!$P$59:$BK$59,'Monthly CF''s'!$P$2:$BK$2,"="&amp;Y36),0)</f>
        <v>0</v>
      </c>
      <c r="Z42" s="105">
        <f>IF(Z36&lt;$C34,SUMIFS('Monthly CF''s'!$P$59:$BK$59,'Monthly CF''s'!$P$2:$BK$2,"="&amp;Z36),0)</f>
        <v>0</v>
      </c>
      <c r="AA42" s="105">
        <f>IF(AA36&lt;$C34,SUMIFS('Monthly CF''s'!$P$59:$BK$59,'Monthly CF''s'!$P$2:$BK$2,"="&amp;AA36),0)</f>
        <v>0</v>
      </c>
      <c r="AB42" s="105">
        <f>IF(AB36&lt;$C34,SUMIFS('Monthly CF''s'!$P$59:$BK$59,'Monthly CF''s'!$P$2:$BK$2,"="&amp;AB36),0)</f>
        <v>0</v>
      </c>
      <c r="AC42" s="105">
        <f>IF(AC36&lt;$C34,SUMIFS('Monthly CF''s'!$P$59:$BK$59,'Monthly CF''s'!$P$2:$BK$2,"="&amp;AC36),0)</f>
        <v>0</v>
      </c>
      <c r="AD42" s="105">
        <f>IF(AD36&lt;$C34,SUMIFS('Monthly CF''s'!$P$59:$BK$59,'Monthly CF''s'!$P$2:$BK$2,"="&amp;AD36),0)</f>
        <v>-1381023.3589114696</v>
      </c>
      <c r="AE42" s="105">
        <f>IF(AE36&lt;$C34,SUMIFS('Monthly CF''s'!$P$59:$BK$59,'Monthly CF''s'!$P$2:$BK$2,"="&amp;AE36),0)</f>
        <v>0</v>
      </c>
      <c r="AF42" s="105">
        <f>IF(AF36&lt;$C34,SUMIFS('Monthly CF''s'!$P$59:$BK$59,'Monthly CF''s'!$P$2:$BK$2,"="&amp;AF36),0)</f>
        <v>0</v>
      </c>
      <c r="AG42" s="105">
        <f>IF(AG36&lt;$C34,SUMIFS('Monthly CF''s'!$P$59:$BK$59,'Monthly CF''s'!$P$2:$BK$2,"="&amp;AG36),0)</f>
        <v>0</v>
      </c>
      <c r="AH42" s="105">
        <f>IF(AH36&lt;$C34,SUMIFS('Monthly CF''s'!$P$59:$BK$59,'Monthly CF''s'!$P$2:$BK$2,"="&amp;AH36),0)</f>
        <v>0</v>
      </c>
      <c r="AI42" s="105">
        <f>IF(AI36&lt;$C34,SUMIFS('Monthly CF''s'!$P$59:$BK$59,'Monthly CF''s'!$P$2:$BK$2,"="&amp;AI36),0)</f>
        <v>0</v>
      </c>
      <c r="AJ42" s="105">
        <f>IF(AJ36&lt;$C34,SUMIFS('Monthly CF''s'!$P$59:$BK$59,'Monthly CF''s'!$P$2:$BK$2,"="&amp;AJ36),0)</f>
        <v>0</v>
      </c>
      <c r="AK42" s="105">
        <f>IF(AK36&lt;$C34,SUMIFS('Monthly CF''s'!$P$59:$BK$59,'Monthly CF''s'!$P$2:$BK$2,"="&amp;AK36),0)</f>
        <v>0</v>
      </c>
      <c r="AL42" s="105">
        <f>IF(AL36&lt;$C34,SUMIFS('Monthly CF''s'!$P$59:$BK$59,'Monthly CF''s'!$P$2:$BK$2,"="&amp;AL36),0)</f>
        <v>0</v>
      </c>
      <c r="AM42" s="105">
        <f>IF(AM36&lt;$C34,SUMIFS('Monthly CF''s'!$P$59:$BK$59,'Monthly CF''s'!$P$2:$BK$2,"="&amp;AM36),0)</f>
        <v>0</v>
      </c>
      <c r="AN42" s="105">
        <f>IF(AN36&lt;$C34,SUMIFS('Monthly CF''s'!$P$59:$BK$59,'Monthly CF''s'!$P$2:$BK$2,"="&amp;AN36),0)</f>
        <v>0</v>
      </c>
      <c r="AO42" s="105">
        <f>IF(AO36&lt;$C34,SUMIFS('Monthly CF''s'!$P$59:$BK$59,'Monthly CF''s'!$P$2:$BK$2,"="&amp;AO36),0)</f>
        <v>0</v>
      </c>
      <c r="AP42" s="105">
        <f>IF(AP36&lt;$C34,SUMIFS('Monthly CF''s'!$P$59:$BK$59,'Monthly CF''s'!$P$2:$BK$2,"="&amp;AP36),0)</f>
        <v>0</v>
      </c>
      <c r="AQ42" s="105">
        <f>IF(AQ36&lt;$C34,SUMIFS('Monthly CF''s'!$P$59:$BK$59,'Monthly CF''s'!$P$2:$BK$2,"="&amp;AQ36),0)</f>
        <v>0</v>
      </c>
      <c r="AR42" s="105">
        <f>IF(AR36&lt;$C34,SUMIFS('Monthly CF''s'!$P$59:$BK$59,'Monthly CF''s'!$P$2:$BK$2,"="&amp;AR36),0)</f>
        <v>0</v>
      </c>
      <c r="AS42" s="105">
        <f>IF(AS36&lt;$C34,SUMIFS('Monthly CF''s'!$P$59:$BK$59,'Monthly CF''s'!$P$2:$BK$2,"="&amp;AS36),0)</f>
        <v>0</v>
      </c>
      <c r="AT42" s="105">
        <f>IF(AT36&lt;$C34,SUMIFS('Monthly CF''s'!$P$59:$BK$59,'Monthly CF''s'!$P$2:$BK$2,"="&amp;AT36),0)</f>
        <v>0</v>
      </c>
      <c r="AU42" s="105">
        <f>IF(AU36&lt;$C34,SUMIFS('Monthly CF''s'!$P$59:$BK$59,'Monthly CF''s'!$P$2:$BK$2,"="&amp;AU36),0)</f>
        <v>0</v>
      </c>
      <c r="AV42" s="105">
        <f>IF(AV36&lt;$C34,SUMIFS('Monthly CF''s'!$P$59:$BK$59,'Monthly CF''s'!$P$2:$BK$2,"="&amp;AV36),0)</f>
        <v>0</v>
      </c>
      <c r="AW42" s="105">
        <f>IF(AW36&lt;$C34,SUMIFS('Monthly CF''s'!$P$59:$BK$59,'Monthly CF''s'!$P$2:$BK$2,"="&amp;AW36),0)</f>
        <v>0</v>
      </c>
      <c r="AX42" s="105">
        <f>IF(AX36&lt;$C34,SUMIFS('Monthly CF''s'!$P$59:$BK$59,'Monthly CF''s'!$P$2:$BK$2,"="&amp;AX36),0)</f>
        <v>0</v>
      </c>
      <c r="AY42" s="105">
        <f>IF(AY36&lt;$C34,SUMIFS('Monthly CF''s'!$P$59:$BK$59,'Monthly CF''s'!$P$2:$BK$2,"="&amp;AY36),0)</f>
        <v>0</v>
      </c>
      <c r="AZ42" s="105">
        <f>IF(AZ36&lt;$C34,SUMIFS('Monthly CF''s'!$P$59:$BK$59,'Monthly CF''s'!$P$2:$BK$2,"="&amp;AZ36),0)</f>
        <v>0</v>
      </c>
      <c r="BA42" s="105">
        <f>IF(BA36&lt;$C34,SUMIFS('Monthly CF''s'!$P$59:$BK$59,'Monthly CF''s'!$P$2:$BK$2,"="&amp;BA36),0)</f>
        <v>0</v>
      </c>
      <c r="BB42" s="105">
        <f>IF(BB36&lt;$C34,SUMIFS('Monthly CF''s'!$P$59:$BK$59,'Monthly CF''s'!$P$2:$BK$2,"="&amp;BB36),0)</f>
        <v>0</v>
      </c>
      <c r="BC42" s="105">
        <f>IF(BC36&lt;$C34,SUMIFS('Monthly CF''s'!$P$59:$BK$59,'Monthly CF''s'!$P$2:$BK$2,"="&amp;BC36),0)</f>
        <v>0</v>
      </c>
      <c r="BD42" s="105">
        <f>IF(BD36&lt;$C34,SUMIFS('Monthly CF''s'!$P$59:$BK$59,'Monthly CF''s'!$P$2:$BK$2,"="&amp;BD36),0)</f>
        <v>0</v>
      </c>
      <c r="BE42" s="105">
        <f>IF(BE36&lt;$C34,SUMIFS('Monthly CF''s'!$P$59:$BK$59,'Monthly CF''s'!$P$2:$BK$2,"="&amp;BE36),0)</f>
        <v>0</v>
      </c>
      <c r="BF42" s="105">
        <f>IF(BF36&lt;$C34,SUMIFS('Monthly CF''s'!$P$59:$BK$59,'Monthly CF''s'!$P$2:$BK$2,"="&amp;BF36),0)</f>
        <v>0</v>
      </c>
      <c r="BG42" s="105">
        <f>IF(BG36&lt;$C34,SUMIFS('Monthly CF''s'!$P$59:$BK$59,'Monthly CF''s'!$P$2:$BK$2,"="&amp;BG36),0)</f>
        <v>0</v>
      </c>
      <c r="BH42" s="105">
        <f>IF(BH36&lt;$C34,SUMIFS('Monthly CF''s'!$P$59:$BK$59,'Monthly CF''s'!$P$2:$BK$2,"="&amp;BH36),0)</f>
        <v>0</v>
      </c>
      <c r="BI42" s="105">
        <f>IF(BI36&lt;$C34,SUMIFS('Monthly CF''s'!$P$59:$BK$59,'Monthly CF''s'!$P$2:$BK$2,"="&amp;BI36),0)</f>
        <v>0</v>
      </c>
      <c r="BJ42" s="105">
        <f>IF(BJ36&lt;$C34,SUMIFS('Monthly CF''s'!$P$59:$BK$59,'Monthly CF''s'!$P$2:$BK$2,"="&amp;BJ36),0)</f>
        <v>0</v>
      </c>
      <c r="BK42" s="105">
        <f>IF(BK36&lt;$C34,SUMIFS('Monthly CF''s'!$P$59:$BK$59,'Monthly CF''s'!$P$2:$BK$2,"="&amp;BK36),0)</f>
        <v>0</v>
      </c>
      <c r="BL42" s="105">
        <f>IF(BL36&lt;$C34,SUMIFS('Monthly CF''s'!$P$59:$BK$59,'Monthly CF''s'!$P$2:$BK$2,"="&amp;BL36),0)</f>
        <v>0</v>
      </c>
      <c r="BM42" s="105">
        <f>IF(BM36&lt;$C34,SUMIFS('Monthly CF''s'!$P$59:$BK$59,'Monthly CF''s'!$P$2:$BK$2,"="&amp;BM36),0)</f>
        <v>0</v>
      </c>
      <c r="BN42" s="105">
        <f>IF(BN36&lt;$C34,SUMIFS('Monthly CF''s'!$P$59:$BK$59,'Monthly CF''s'!$P$2:$BK$2,"="&amp;BN36),0)</f>
        <v>0</v>
      </c>
      <c r="BO42" s="169">
        <f>IF(BO36&lt;$C34,SUMIFS('Monthly CF''s'!$P$59:$BK$59,'Monthly CF''s'!$P$2:$BK$2,"="&amp;BO36),0)</f>
        <v>0</v>
      </c>
    </row>
    <row r="43" spans="1:67">
      <c r="A43">
        <v>8</v>
      </c>
      <c r="B43" s="168" t="str">
        <f>Dashboard!$G$58</f>
        <v>Net Sale Proceeds</v>
      </c>
      <c r="C43" s="5"/>
      <c r="D43" s="105"/>
      <c r="E43" s="105">
        <f>IF(E36=$C34,Dashboard!$M$58,0)</f>
        <v>0</v>
      </c>
      <c r="F43" s="105">
        <f>IF(F36=$C34,Dashboard!$M$58,0)</f>
        <v>0</v>
      </c>
      <c r="G43" s="105">
        <f>IF(G36=$C34,Dashboard!$M$58,0)</f>
        <v>0</v>
      </c>
      <c r="H43" s="105">
        <f>IF(H36=$C34,Dashboard!$M$58,0)</f>
        <v>0</v>
      </c>
      <c r="I43" s="105">
        <f>IF(I36=$C34,Dashboard!$M$58,0)</f>
        <v>0</v>
      </c>
      <c r="J43" s="105">
        <f>IF(J36=$C34,Dashboard!$M$58,0)</f>
        <v>0</v>
      </c>
      <c r="K43" s="105">
        <f>IF(K36=$C34,Dashboard!$M$58,0)</f>
        <v>0</v>
      </c>
      <c r="L43" s="105">
        <f>IF(L36=$C34,Dashboard!$M$58,0)</f>
        <v>0</v>
      </c>
      <c r="M43" s="105">
        <f>IF(M36=$C34,Dashboard!$M$58,0)</f>
        <v>0</v>
      </c>
      <c r="N43" s="105">
        <f>IF(N36=$C34,Dashboard!$M$58,0)</f>
        <v>0</v>
      </c>
      <c r="O43" s="105">
        <f>IF(O36=$C34,Dashboard!$M$58,0)</f>
        <v>0</v>
      </c>
      <c r="P43" s="105">
        <f>IF(P36=$C34,Dashboard!$M$58,0)</f>
        <v>0</v>
      </c>
      <c r="Q43" s="105">
        <f>IF(Q36=$C34,Dashboard!$M$58,0)</f>
        <v>0</v>
      </c>
      <c r="R43" s="105">
        <f>IF(R36=$C34,Dashboard!$M$58,0)</f>
        <v>0</v>
      </c>
      <c r="S43" s="105">
        <f>IF(S36=$C34,Dashboard!$M$58,0)</f>
        <v>0</v>
      </c>
      <c r="T43" s="105">
        <f>IF(T36=$C34,Dashboard!$M$58,0)</f>
        <v>0</v>
      </c>
      <c r="U43" s="105">
        <f>IF(U36=$C34,Dashboard!$M$58,0)</f>
        <v>0</v>
      </c>
      <c r="V43" s="105">
        <f>IF(V36=$C34,Dashboard!$M$58,0)</f>
        <v>0</v>
      </c>
      <c r="W43" s="105">
        <f>IF(W36=$C34,Dashboard!$M$58,0)</f>
        <v>0</v>
      </c>
      <c r="X43" s="105">
        <f>IF(X36=$C34,Dashboard!$M$58,0)</f>
        <v>0</v>
      </c>
      <c r="Y43" s="105">
        <f>IF(Y36=$C34,Dashboard!$M$58,0)</f>
        <v>0</v>
      </c>
      <c r="Z43" s="105">
        <f>IF(Z36=$C34,Dashboard!$M$58,0)</f>
        <v>0</v>
      </c>
      <c r="AA43" s="105">
        <f>IF(AA36=$C34,Dashboard!$M$58,0)</f>
        <v>0</v>
      </c>
      <c r="AB43" s="105">
        <f>IF(AB36=$C34,Dashboard!$M$58,0)</f>
        <v>0</v>
      </c>
      <c r="AC43" s="105">
        <f>IF(AC36=$C34,Dashboard!$M$58,0)</f>
        <v>0</v>
      </c>
      <c r="AD43" s="105">
        <f>IF(AD36=$C34,Dashboard!$M$58,0)</f>
        <v>0</v>
      </c>
      <c r="AE43" s="105">
        <f>IF(AE36=$C34,Dashboard!$M$58,0)</f>
        <v>0</v>
      </c>
      <c r="AF43" s="105">
        <f>IF(AF36=$C34,Dashboard!$M$58,0)</f>
        <v>0</v>
      </c>
      <c r="AG43" s="105">
        <f>IF(AG36=$C34,Dashboard!$M$58,0)</f>
        <v>0</v>
      </c>
      <c r="AH43" s="105">
        <f>IF(AH36=$C34,Dashboard!$M$58,0)</f>
        <v>0</v>
      </c>
      <c r="AI43" s="105">
        <f>IF(AI36=$C34,Dashboard!$M$58,0)</f>
        <v>0</v>
      </c>
      <c r="AJ43" s="105">
        <f>IF(AJ36=$C34,Dashboard!$M$58,0)</f>
        <v>0</v>
      </c>
      <c r="AK43" s="105">
        <f>IF(AK36=$C34,Dashboard!$M$58,0)</f>
        <v>0</v>
      </c>
      <c r="AL43" s="105">
        <f>IF(AL36=$C34,Dashboard!$M$58,0)</f>
        <v>0</v>
      </c>
      <c r="AM43" s="105">
        <f>IF(AM36=$C34,Dashboard!$M$58,0)</f>
        <v>0</v>
      </c>
      <c r="AN43" s="105">
        <f>IF(AN36=$C34,Dashboard!$M$58,0)</f>
        <v>0</v>
      </c>
      <c r="AO43" s="105">
        <f>IF(AO36=$C34,Dashboard!$M$58,0)</f>
        <v>0</v>
      </c>
      <c r="AP43" s="105">
        <f>IF(AP36=$C34,Dashboard!$M$58,0)</f>
        <v>0</v>
      </c>
      <c r="AQ43" s="105">
        <f>IF(AQ36=$C34,Dashboard!$M$58,0)</f>
        <v>0</v>
      </c>
      <c r="AR43" s="105">
        <f>IF(AR36=$C34,Dashboard!$M$58,0)</f>
        <v>0</v>
      </c>
      <c r="AS43" s="105">
        <f>IF(AS36=$C34,Dashboard!$M$58,0)</f>
        <v>0</v>
      </c>
      <c r="AT43" s="105">
        <f>IF(AT36=$C34,Dashboard!$M$58,0)</f>
        <v>0</v>
      </c>
      <c r="AU43" s="105">
        <f>IF(AU36=$C34,Dashboard!$M$58,0)</f>
        <v>0</v>
      </c>
      <c r="AV43" s="105">
        <f>IF(AV36=$C34,Dashboard!$M$58,0)</f>
        <v>0</v>
      </c>
      <c r="AW43" s="105">
        <f>IF(AW36=$C34,Dashboard!$M$58,0)</f>
        <v>0</v>
      </c>
      <c r="AX43" s="105">
        <f>IF(AX36=$C34,Dashboard!$M$58,0)</f>
        <v>0</v>
      </c>
      <c r="AY43" s="105">
        <f>IF(AY36=$C34,Dashboard!$M$58,0)</f>
        <v>0</v>
      </c>
      <c r="AZ43" s="105">
        <f>IF(AZ36=$C34,Dashboard!$M$58,0)</f>
        <v>0</v>
      </c>
      <c r="BA43" s="105">
        <f>IF(BA36=$C34,Dashboard!$M$58,0)</f>
        <v>0</v>
      </c>
      <c r="BB43" s="105">
        <f>IF(BB36=$C34,Dashboard!$M$58,0)</f>
        <v>44729168.535951495</v>
      </c>
      <c r="BC43" s="105">
        <f>IF(BC36=$C34,Dashboard!$M$58,0)</f>
        <v>0</v>
      </c>
      <c r="BD43" s="105">
        <f>IF(BD36=$C34,Dashboard!$M$58,0)</f>
        <v>0</v>
      </c>
      <c r="BE43" s="105">
        <f>IF(BE36=$C34,Dashboard!$M$58,0)</f>
        <v>0</v>
      </c>
      <c r="BF43" s="105">
        <f>IF(BF36=$C34,Dashboard!$M$58,0)</f>
        <v>0</v>
      </c>
      <c r="BG43" s="105">
        <f>IF(BG36=$C34,Dashboard!$M$58,0)</f>
        <v>0</v>
      </c>
      <c r="BH43" s="105">
        <f>IF(BH36=$C34,Dashboard!$M$58,0)</f>
        <v>0</v>
      </c>
      <c r="BI43" s="105">
        <f>IF(BI36=$C34,Dashboard!$M$58,0)</f>
        <v>0</v>
      </c>
      <c r="BJ43" s="105">
        <f>IF(BJ36=$C34,Dashboard!$M$58,0)</f>
        <v>0</v>
      </c>
      <c r="BK43" s="105">
        <f>IF(BK36=$C34,Dashboard!$M$58,0)</f>
        <v>0</v>
      </c>
      <c r="BL43" s="105">
        <f>IF(BL36=$C34,Dashboard!$M$58,0)</f>
        <v>0</v>
      </c>
      <c r="BM43" s="105">
        <f>IF(BM36=$C34,Dashboard!$M$58,0)</f>
        <v>0</v>
      </c>
      <c r="BN43" s="105">
        <f>IF(BN36=$C34,Dashboard!$M$58,0)</f>
        <v>0</v>
      </c>
      <c r="BO43" s="169">
        <f>IF(BO36=$C34,Dashboard!$M$58,0)</f>
        <v>0</v>
      </c>
    </row>
    <row r="44" spans="1:67" ht="6.75" customHeight="1">
      <c r="B44" s="168"/>
      <c r="C44" s="5"/>
      <c r="D44" s="105"/>
      <c r="E44" s="105"/>
      <c r="F44" s="105"/>
      <c r="G44" s="105"/>
      <c r="H44" s="105"/>
      <c r="I44" s="105"/>
      <c r="J44" s="105"/>
      <c r="K44" s="105"/>
      <c r="L44" s="105"/>
      <c r="M44" s="105"/>
      <c r="N44" s="105"/>
      <c r="O44" s="105"/>
      <c r="P44" s="105"/>
      <c r="Q44" s="105"/>
      <c r="R44" s="105"/>
      <c r="S44" s="105"/>
      <c r="T44" s="105"/>
      <c r="U44" s="105"/>
      <c r="V44" s="105"/>
      <c r="W44" s="105"/>
      <c r="X44" s="105"/>
      <c r="Y44" s="105"/>
      <c r="Z44" s="105"/>
      <c r="AA44" s="105"/>
      <c r="AB44" s="105"/>
      <c r="AC44" s="105"/>
      <c r="AD44" s="105"/>
      <c r="AE44" s="105"/>
      <c r="AF44" s="105"/>
      <c r="AG44" s="105"/>
      <c r="AH44" s="105"/>
      <c r="AI44" s="105"/>
      <c r="AJ44" s="105"/>
      <c r="AK44" s="105"/>
      <c r="AL44" s="105"/>
      <c r="AM44" s="105"/>
      <c r="AN44" s="105"/>
      <c r="AO44" s="105"/>
      <c r="AP44" s="105"/>
      <c r="AQ44" s="105"/>
      <c r="AR44" s="105"/>
      <c r="AS44" s="105"/>
      <c r="AT44" s="105"/>
      <c r="AU44" s="105"/>
      <c r="AV44" s="105"/>
      <c r="AW44" s="105"/>
      <c r="AX44" s="105"/>
      <c r="AY44" s="105"/>
      <c r="AZ44" s="105"/>
      <c r="BA44" s="543"/>
      <c r="BB44" s="543"/>
      <c r="BC44" s="543"/>
      <c r="BD44" s="543"/>
      <c r="BE44" s="543"/>
      <c r="BF44" s="543"/>
      <c r="BG44" s="543"/>
      <c r="BH44" s="543"/>
      <c r="BI44" s="543"/>
      <c r="BJ44" s="543"/>
      <c r="BK44" s="543"/>
      <c r="BL44" s="543"/>
      <c r="BM44" s="543"/>
      <c r="BN44" s="543"/>
      <c r="BO44" s="544"/>
    </row>
    <row r="45" spans="1:67">
      <c r="B45" s="186" t="s">
        <v>157</v>
      </c>
      <c r="C45" s="198"/>
      <c r="D45" s="154">
        <f>SUM(D41:D43)+D38</f>
        <v>-24033944.982098967</v>
      </c>
      <c r="E45" s="154">
        <f>SUM(E41:E43)+E38</f>
        <v>0</v>
      </c>
      <c r="F45" s="154">
        <f t="shared" ref="F45:AZ45" si="56">SUM(F41:F43)+F38</f>
        <v>0</v>
      </c>
      <c r="G45" s="154">
        <f t="shared" si="56"/>
        <v>0</v>
      </c>
      <c r="H45" s="154">
        <f t="shared" si="56"/>
        <v>0</v>
      </c>
      <c r="I45" s="154">
        <f t="shared" si="56"/>
        <v>0</v>
      </c>
      <c r="J45" s="154">
        <f t="shared" si="56"/>
        <v>0</v>
      </c>
      <c r="K45" s="154">
        <f t="shared" si="56"/>
        <v>0</v>
      </c>
      <c r="L45" s="154">
        <f t="shared" si="56"/>
        <v>0</v>
      </c>
      <c r="M45" s="154">
        <f t="shared" si="56"/>
        <v>0</v>
      </c>
      <c r="N45" s="154">
        <f t="shared" si="56"/>
        <v>0</v>
      </c>
      <c r="O45" s="154">
        <f t="shared" si="56"/>
        <v>0</v>
      </c>
      <c r="P45" s="154">
        <f t="shared" si="56"/>
        <v>0</v>
      </c>
      <c r="Q45" s="154">
        <f t="shared" si="56"/>
        <v>0</v>
      </c>
      <c r="R45" s="154">
        <f t="shared" si="56"/>
        <v>0</v>
      </c>
      <c r="S45" s="154">
        <f t="shared" si="56"/>
        <v>0</v>
      </c>
      <c r="T45" s="154">
        <f t="shared" si="56"/>
        <v>0</v>
      </c>
      <c r="U45" s="154">
        <f t="shared" si="56"/>
        <v>0</v>
      </c>
      <c r="V45" s="154">
        <f t="shared" si="56"/>
        <v>0</v>
      </c>
      <c r="W45" s="154">
        <f t="shared" si="56"/>
        <v>0</v>
      </c>
      <c r="X45" s="154">
        <f t="shared" si="56"/>
        <v>55865.937070519256</v>
      </c>
      <c r="Y45" s="154">
        <f t="shared" si="56"/>
        <v>55865.937070519256</v>
      </c>
      <c r="Z45" s="154">
        <f t="shared" si="56"/>
        <v>55865.937070519256</v>
      </c>
      <c r="AA45" s="154">
        <f t="shared" si="56"/>
        <v>1567865.9370705192</v>
      </c>
      <c r="AB45" s="154">
        <f t="shared" si="56"/>
        <v>55865.937070519256</v>
      </c>
      <c r="AC45" s="154">
        <f t="shared" si="56"/>
        <v>55865.937070519256</v>
      </c>
      <c r="AD45" s="154">
        <f t="shared" si="56"/>
        <v>-1220620.9207049725</v>
      </c>
      <c r="AE45" s="154">
        <f t="shared" si="56"/>
        <v>160402.43820649723</v>
      </c>
      <c r="AF45" s="154">
        <f t="shared" si="56"/>
        <v>160402.43820649723</v>
      </c>
      <c r="AG45" s="154">
        <f t="shared" si="56"/>
        <v>160402.43820649723</v>
      </c>
      <c r="AH45" s="154">
        <f t="shared" si="56"/>
        <v>160402.43820649723</v>
      </c>
      <c r="AI45" s="154">
        <f t="shared" si="56"/>
        <v>160402.43820649723</v>
      </c>
      <c r="AJ45" s="154">
        <f t="shared" si="56"/>
        <v>174756.336958414</v>
      </c>
      <c r="AK45" s="154">
        <f t="shared" si="56"/>
        <v>174756.336958414</v>
      </c>
      <c r="AL45" s="154">
        <f t="shared" si="56"/>
        <v>174756.336958414</v>
      </c>
      <c r="AM45" s="154">
        <f t="shared" si="56"/>
        <v>174756.336958414</v>
      </c>
      <c r="AN45" s="154">
        <f t="shared" si="56"/>
        <v>174756.336958414</v>
      </c>
      <c r="AO45" s="154">
        <f t="shared" si="56"/>
        <v>174756.336958414</v>
      </c>
      <c r="AP45" s="154">
        <f t="shared" si="56"/>
        <v>93471.925282638869</v>
      </c>
      <c r="AQ45" s="154">
        <f t="shared" si="56"/>
        <v>93471.925282638811</v>
      </c>
      <c r="AR45" s="154">
        <f t="shared" si="56"/>
        <v>93471.925282638811</v>
      </c>
      <c r="AS45" s="154">
        <f t="shared" si="56"/>
        <v>93471.925282638811</v>
      </c>
      <c r="AT45" s="154">
        <f t="shared" si="56"/>
        <v>93471.925282638811</v>
      </c>
      <c r="AU45" s="154">
        <f t="shared" si="56"/>
        <v>93471.925282638869</v>
      </c>
      <c r="AV45" s="154">
        <f t="shared" si="56"/>
        <v>108277.02087538387</v>
      </c>
      <c r="AW45" s="154">
        <f t="shared" si="56"/>
        <v>108277.02087538387</v>
      </c>
      <c r="AX45" s="154">
        <f t="shared" si="56"/>
        <v>108277.02087538387</v>
      </c>
      <c r="AY45" s="154">
        <f t="shared" si="56"/>
        <v>108277.02087538387</v>
      </c>
      <c r="AZ45" s="493">
        <f t="shared" si="56"/>
        <v>108277.02087538387</v>
      </c>
      <c r="BA45" s="493">
        <f t="shared" ref="BA45:BF45" si="57">SUM(BA41:BA43)+BA38</f>
        <v>108277.02087538387</v>
      </c>
      <c r="BB45" s="493">
        <f t="shared" si="57"/>
        <v>44729168.535951495</v>
      </c>
      <c r="BC45" s="493">
        <f t="shared" si="57"/>
        <v>0</v>
      </c>
      <c r="BD45" s="493">
        <f t="shared" si="57"/>
        <v>0</v>
      </c>
      <c r="BE45" s="493">
        <f t="shared" si="57"/>
        <v>0</v>
      </c>
      <c r="BF45" s="493">
        <f t="shared" si="57"/>
        <v>0</v>
      </c>
      <c r="BG45" s="493">
        <f t="shared" ref="BG45:BO45" si="58">SUM(BG41:BG43)+BG38</f>
        <v>0</v>
      </c>
      <c r="BH45" s="493">
        <f t="shared" si="58"/>
        <v>0</v>
      </c>
      <c r="BI45" s="493">
        <f t="shared" si="58"/>
        <v>0</v>
      </c>
      <c r="BJ45" s="493">
        <f t="shared" si="58"/>
        <v>0</v>
      </c>
      <c r="BK45" s="493">
        <f t="shared" si="58"/>
        <v>0</v>
      </c>
      <c r="BL45" s="493">
        <f t="shared" si="58"/>
        <v>0</v>
      </c>
      <c r="BM45" s="493">
        <f t="shared" si="58"/>
        <v>0</v>
      </c>
      <c r="BN45" s="493">
        <f t="shared" si="58"/>
        <v>0</v>
      </c>
      <c r="BO45" s="494">
        <f t="shared" si="58"/>
        <v>0</v>
      </c>
    </row>
    <row r="46" spans="1:67">
      <c r="B46" s="206" t="s">
        <v>91</v>
      </c>
      <c r="C46" s="208">
        <f>XIRR(D45:BO45,D36:BO36)</f>
        <v>0.1888221204280853</v>
      </c>
      <c r="D46" s="151"/>
      <c r="E46" s="151"/>
      <c r="F46" s="151"/>
      <c r="G46" s="151"/>
      <c r="H46" s="151"/>
      <c r="I46" s="151"/>
      <c r="J46" s="151"/>
      <c r="K46" s="151"/>
      <c r="L46" s="151"/>
      <c r="M46" s="151"/>
      <c r="N46" s="151"/>
      <c r="O46" s="151"/>
      <c r="P46" s="151"/>
      <c r="Q46" s="151"/>
      <c r="R46" s="151"/>
      <c r="S46" s="151"/>
      <c r="T46" s="151"/>
      <c r="U46" s="151"/>
      <c r="V46" s="151"/>
      <c r="W46" s="151"/>
      <c r="X46" s="151"/>
      <c r="Y46" s="151"/>
      <c r="Z46" s="151"/>
      <c r="AA46" s="151"/>
      <c r="AB46" s="151"/>
      <c r="AC46" s="151"/>
      <c r="AD46" s="151"/>
      <c r="AE46" s="151"/>
      <c r="AF46" s="151"/>
      <c r="AG46" s="151"/>
      <c r="AH46" s="151"/>
      <c r="AI46" s="151"/>
      <c r="AJ46" s="151"/>
      <c r="AK46" s="151"/>
      <c r="AL46" s="151"/>
      <c r="AM46" s="151"/>
      <c r="AN46" s="151"/>
      <c r="AO46" s="151"/>
      <c r="AP46" s="151"/>
      <c r="AQ46" s="151"/>
      <c r="AR46" s="151"/>
      <c r="AS46" s="151"/>
      <c r="AT46" s="151"/>
      <c r="AU46" s="151"/>
      <c r="AV46" s="151"/>
      <c r="AW46" s="151"/>
      <c r="AX46" s="151"/>
      <c r="AY46" s="151"/>
      <c r="AZ46" s="151"/>
      <c r="BA46" s="151"/>
      <c r="BB46" s="151"/>
      <c r="BC46" s="151"/>
      <c r="BD46" s="151"/>
      <c r="BE46" s="151"/>
      <c r="BF46" s="151"/>
      <c r="BG46" s="151"/>
      <c r="BH46" s="151"/>
      <c r="BI46" s="151"/>
      <c r="BJ46" s="151"/>
      <c r="BK46" s="151"/>
      <c r="BL46" s="151"/>
      <c r="BM46" s="151"/>
      <c r="BN46" s="151"/>
      <c r="BO46" s="151"/>
    </row>
    <row r="47" spans="1:67">
      <c r="B47" s="207" t="s">
        <v>92</v>
      </c>
      <c r="C47" s="209">
        <f>SUM(E45:BO45)/-D38</f>
        <v>2.0145168495418742</v>
      </c>
      <c r="D47" s="151"/>
      <c r="E47" s="151"/>
      <c r="F47" s="151"/>
      <c r="G47" s="151"/>
      <c r="H47" s="151"/>
      <c r="I47" s="151"/>
      <c r="J47" s="151"/>
      <c r="K47" s="151"/>
      <c r="L47" s="151"/>
      <c r="M47" s="151"/>
      <c r="N47" s="151"/>
      <c r="O47" s="151"/>
      <c r="P47" s="151"/>
      <c r="Q47" s="151"/>
      <c r="R47" s="151"/>
      <c r="S47" s="151"/>
      <c r="T47" s="151"/>
      <c r="U47" s="151"/>
      <c r="V47" s="151"/>
      <c r="W47" s="151"/>
      <c r="X47" s="151"/>
      <c r="Y47" s="151"/>
      <c r="Z47" s="151"/>
      <c r="AA47" s="151"/>
      <c r="AB47" s="151"/>
      <c r="AC47" s="151"/>
      <c r="AD47" s="151"/>
      <c r="AE47" s="151"/>
      <c r="AF47" s="151"/>
      <c r="AG47" s="151"/>
      <c r="AH47" s="151"/>
      <c r="AI47" s="151"/>
      <c r="AJ47" s="151"/>
      <c r="AK47" s="151"/>
      <c r="AL47" s="151"/>
      <c r="AM47" s="151"/>
      <c r="AN47" s="151"/>
      <c r="AO47" s="151"/>
      <c r="AP47" s="151"/>
      <c r="AQ47" s="151"/>
      <c r="AR47" s="151"/>
      <c r="AS47" s="151"/>
      <c r="AT47" s="151"/>
      <c r="AU47" s="151"/>
      <c r="AV47" s="151"/>
      <c r="AW47" s="151"/>
      <c r="AX47" s="151"/>
      <c r="AY47" s="151"/>
      <c r="AZ47" s="151"/>
      <c r="BA47" s="151"/>
      <c r="BB47" s="151"/>
      <c r="BC47" s="151"/>
      <c r="BD47" s="151"/>
      <c r="BE47" s="151"/>
      <c r="BF47" s="151"/>
      <c r="BG47" s="151"/>
      <c r="BH47" s="151"/>
      <c r="BI47" s="151"/>
      <c r="BJ47" s="151"/>
      <c r="BK47" s="151"/>
      <c r="BL47" s="151"/>
      <c r="BM47" s="151"/>
      <c r="BN47" s="151"/>
      <c r="BO47" s="151"/>
    </row>
    <row r="48" spans="1:67">
      <c r="BA48" s="42"/>
      <c r="BB48" s="42"/>
      <c r="BC48" s="42"/>
      <c r="BD48" s="42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</row>
    <row r="49" spans="1:67">
      <c r="BA49" s="42"/>
      <c r="BB49" s="42"/>
      <c r="BC49" s="42"/>
      <c r="BD49" s="42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</row>
    <row r="50" spans="1:67" ht="15.75">
      <c r="B50" s="202" t="s">
        <v>89</v>
      </c>
      <c r="C50" s="205">
        <f>Dashboard!B66</f>
        <v>47515</v>
      </c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</row>
    <row r="51" spans="1:67" ht="15.75">
      <c r="B51" s="204" t="s">
        <v>81</v>
      </c>
      <c r="C51" s="203">
        <f>Dashboard!C66</f>
        <v>5.083333333333333</v>
      </c>
      <c r="BA51" s="42"/>
      <c r="BB51" s="42"/>
      <c r="BC51" s="42"/>
      <c r="BD51" s="42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</row>
    <row r="52" spans="1:67" ht="21" customHeight="1">
      <c r="A52">
        <v>1</v>
      </c>
      <c r="B52" s="197" t="s">
        <v>115</v>
      </c>
      <c r="C52" s="197"/>
      <c r="D52" s="405">
        <f>Dashboard!$F$54</f>
        <v>45658</v>
      </c>
      <c r="E52" s="354">
        <f>IF((D52+1)=$C50,$C50,EOMONTH(D52,1))</f>
        <v>45716</v>
      </c>
      <c r="F52" s="354">
        <f>IF((E52+1)=$C50,$C50,EOMONTH(E52,1))</f>
        <v>45747</v>
      </c>
      <c r="G52" s="354">
        <f t="shared" ref="G52:AZ52" si="59">IF((F52+1)=$C50,$C50,EOMONTH(F52,1))</f>
        <v>45777</v>
      </c>
      <c r="H52" s="354">
        <f t="shared" si="59"/>
        <v>45808</v>
      </c>
      <c r="I52" s="354">
        <f t="shared" si="59"/>
        <v>45838</v>
      </c>
      <c r="J52" s="354">
        <f t="shared" si="59"/>
        <v>45869</v>
      </c>
      <c r="K52" s="354">
        <f t="shared" si="59"/>
        <v>45900</v>
      </c>
      <c r="L52" s="354">
        <f t="shared" si="59"/>
        <v>45930</v>
      </c>
      <c r="M52" s="354">
        <f t="shared" si="59"/>
        <v>45961</v>
      </c>
      <c r="N52" s="354">
        <f t="shared" si="59"/>
        <v>45991</v>
      </c>
      <c r="O52" s="354">
        <f t="shared" si="59"/>
        <v>46022</v>
      </c>
      <c r="P52" s="354">
        <f t="shared" si="59"/>
        <v>46053</v>
      </c>
      <c r="Q52" s="354">
        <f t="shared" si="59"/>
        <v>46081</v>
      </c>
      <c r="R52" s="354">
        <f t="shared" si="59"/>
        <v>46112</v>
      </c>
      <c r="S52" s="354">
        <f t="shared" si="59"/>
        <v>46142</v>
      </c>
      <c r="T52" s="354">
        <f t="shared" si="59"/>
        <v>46173</v>
      </c>
      <c r="U52" s="354">
        <f t="shared" si="59"/>
        <v>46203</v>
      </c>
      <c r="V52" s="354">
        <f t="shared" si="59"/>
        <v>46234</v>
      </c>
      <c r="W52" s="354">
        <f t="shared" si="59"/>
        <v>46265</v>
      </c>
      <c r="X52" s="354">
        <f t="shared" si="59"/>
        <v>46295</v>
      </c>
      <c r="Y52" s="354">
        <f t="shared" si="59"/>
        <v>46326</v>
      </c>
      <c r="Z52" s="354">
        <f t="shared" si="59"/>
        <v>46356</v>
      </c>
      <c r="AA52" s="354">
        <f t="shared" si="59"/>
        <v>46387</v>
      </c>
      <c r="AB52" s="354">
        <f t="shared" si="59"/>
        <v>46418</v>
      </c>
      <c r="AC52" s="354">
        <f t="shared" si="59"/>
        <v>46446</v>
      </c>
      <c r="AD52" s="354">
        <f t="shared" si="59"/>
        <v>46477</v>
      </c>
      <c r="AE52" s="354">
        <f t="shared" si="59"/>
        <v>46507</v>
      </c>
      <c r="AF52" s="354">
        <f t="shared" si="59"/>
        <v>46538</v>
      </c>
      <c r="AG52" s="354">
        <f t="shared" si="59"/>
        <v>46568</v>
      </c>
      <c r="AH52" s="354">
        <f t="shared" si="59"/>
        <v>46599</v>
      </c>
      <c r="AI52" s="354">
        <f t="shared" si="59"/>
        <v>46630</v>
      </c>
      <c r="AJ52" s="354">
        <f t="shared" si="59"/>
        <v>46660</v>
      </c>
      <c r="AK52" s="354">
        <f t="shared" si="59"/>
        <v>46691</v>
      </c>
      <c r="AL52" s="354">
        <f t="shared" si="59"/>
        <v>46721</v>
      </c>
      <c r="AM52" s="354">
        <f t="shared" si="59"/>
        <v>46752</v>
      </c>
      <c r="AN52" s="354">
        <f t="shared" si="59"/>
        <v>46783</v>
      </c>
      <c r="AO52" s="354">
        <f t="shared" si="59"/>
        <v>46812</v>
      </c>
      <c r="AP52" s="354">
        <f t="shared" si="59"/>
        <v>46843</v>
      </c>
      <c r="AQ52" s="354">
        <f t="shared" si="59"/>
        <v>46873</v>
      </c>
      <c r="AR52" s="354">
        <f t="shared" si="59"/>
        <v>46904</v>
      </c>
      <c r="AS52" s="354">
        <f t="shared" si="59"/>
        <v>46934</v>
      </c>
      <c r="AT52" s="354">
        <f t="shared" si="59"/>
        <v>46965</v>
      </c>
      <c r="AU52" s="354">
        <f t="shared" si="59"/>
        <v>46996</v>
      </c>
      <c r="AV52" s="354">
        <f t="shared" si="59"/>
        <v>47026</v>
      </c>
      <c r="AW52" s="354">
        <f t="shared" si="59"/>
        <v>47057</v>
      </c>
      <c r="AX52" s="354">
        <f t="shared" si="59"/>
        <v>47087</v>
      </c>
      <c r="AY52" s="354">
        <f t="shared" si="59"/>
        <v>47118</v>
      </c>
      <c r="AZ52" s="354">
        <f t="shared" si="59"/>
        <v>47149</v>
      </c>
      <c r="BA52" s="354">
        <f t="shared" ref="BA52" si="60">IF((AZ52+1)=$C50,$C50,EOMONTH(AZ52,1))</f>
        <v>47177</v>
      </c>
      <c r="BB52" s="354">
        <f t="shared" ref="BB52" si="61">IF((BA52+1)=$C50,$C50,EOMONTH(BA52,1))</f>
        <v>47208</v>
      </c>
      <c r="BC52" s="354">
        <f t="shared" ref="BC52" si="62">IF((BB52+1)=$C50,$C50,EOMONTH(BB52,1))</f>
        <v>47238</v>
      </c>
      <c r="BD52" s="354">
        <f t="shared" ref="BD52" si="63">IF((BC52+1)=$C50,$C50,EOMONTH(BC52,1))</f>
        <v>47269</v>
      </c>
      <c r="BE52" s="354">
        <f t="shared" ref="BE52" si="64">IF((BD52+1)=$C50,$C50,EOMONTH(BD52,1))</f>
        <v>47299</v>
      </c>
      <c r="BF52" s="354">
        <f t="shared" ref="BF52" si="65">IF((BE52+1)=$C50,$C50,EOMONTH(BE52,1))</f>
        <v>47330</v>
      </c>
      <c r="BG52" s="354">
        <f t="shared" ref="BG52" si="66">IF((BF52+1)=$C50,$C50,EOMONTH(BF52,1))</f>
        <v>47361</v>
      </c>
      <c r="BH52" s="354">
        <f t="shared" ref="BH52" si="67">IF((BG52+1)=$C50,$C50,EOMONTH(BG52,1))</f>
        <v>47391</v>
      </c>
      <c r="BI52" s="354">
        <f t="shared" ref="BI52" si="68">IF((BH52+1)=$C50,$C50,EOMONTH(BH52,1))</f>
        <v>47422</v>
      </c>
      <c r="BJ52" s="354">
        <f t="shared" ref="BJ52" si="69">IF((BI52+1)=$C50,$C50,EOMONTH(BI52,1))</f>
        <v>47452</v>
      </c>
      <c r="BK52" s="354">
        <f t="shared" ref="BK52" si="70">IF((BJ52+1)=$C50,$C50,EOMONTH(BJ52,1))</f>
        <v>47483</v>
      </c>
      <c r="BL52" s="354">
        <f t="shared" ref="BL52" si="71">IF((BK52+1)=$C50,$C50,EOMONTH(BK52,1))</f>
        <v>47514</v>
      </c>
      <c r="BM52" s="354">
        <f t="shared" ref="BM52" si="72">IF((BL52+1)=$C50,$C50,EOMONTH(BL52,1))</f>
        <v>47515</v>
      </c>
      <c r="BN52" s="354">
        <f t="shared" ref="BN52" si="73">IF((BM52+1)=$C50,$C50,EOMONTH(BM52,1))</f>
        <v>47573</v>
      </c>
      <c r="BO52" s="354">
        <f t="shared" ref="BO52" si="74">IF((BN52+1)=$C50,$C50,EOMONTH(BN52,1))</f>
        <v>47603</v>
      </c>
    </row>
    <row r="53" spans="1:67">
      <c r="A53">
        <v>2</v>
      </c>
      <c r="B53" s="184" t="s">
        <v>162</v>
      </c>
      <c r="C53" s="29"/>
      <c r="D53" s="105"/>
      <c r="E53" s="105"/>
      <c r="F53" s="105"/>
      <c r="G53" s="105"/>
      <c r="H53" s="105"/>
      <c r="I53" s="105"/>
      <c r="J53" s="105"/>
      <c r="K53" s="105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05"/>
      <c r="W53" s="105"/>
      <c r="X53" s="105"/>
      <c r="Y53" s="105"/>
      <c r="Z53" s="105"/>
      <c r="AA53" s="105"/>
      <c r="AB53" s="105"/>
      <c r="AC53" s="105"/>
      <c r="AD53" s="105"/>
      <c r="AE53" s="105"/>
      <c r="AF53" s="105"/>
      <c r="AG53" s="105"/>
      <c r="AH53" s="105"/>
      <c r="AI53" s="105"/>
      <c r="AJ53" s="105"/>
      <c r="AK53" s="105"/>
      <c r="AL53" s="105"/>
      <c r="AM53" s="105"/>
      <c r="AN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541"/>
      <c r="BB53" s="541"/>
      <c r="BC53" s="541"/>
      <c r="BD53" s="541"/>
      <c r="BE53" s="541"/>
      <c r="BF53" s="541"/>
      <c r="BG53" s="541"/>
      <c r="BH53" s="541"/>
      <c r="BI53" s="541"/>
      <c r="BJ53" s="541"/>
      <c r="BK53" s="541"/>
      <c r="BL53" s="541"/>
      <c r="BM53" s="541"/>
      <c r="BN53" s="541"/>
      <c r="BO53" s="542"/>
    </row>
    <row r="54" spans="1:67">
      <c r="A54">
        <v>3</v>
      </c>
      <c r="B54" s="168" t="str">
        <f>Dashboard!$E$54</f>
        <v>Initial Equity Investment</v>
      </c>
      <c r="C54" s="5"/>
      <c r="D54" s="105">
        <f>-SUM(Dashboard!$F$9:$F$10)</f>
        <v>-24033944.982098967</v>
      </c>
      <c r="E54" s="105"/>
      <c r="F54" s="105"/>
      <c r="G54" s="105"/>
      <c r="H54" s="105"/>
      <c r="I54" s="105"/>
      <c r="J54" s="105"/>
      <c r="K54" s="105"/>
      <c r="L54" s="105"/>
      <c r="M54" s="105"/>
      <c r="N54" s="105"/>
      <c r="O54" s="105"/>
      <c r="P54" s="105"/>
      <c r="Q54" s="105"/>
      <c r="R54" s="105"/>
      <c r="S54" s="105"/>
      <c r="T54" s="105"/>
      <c r="U54" s="105"/>
      <c r="V54" s="105"/>
      <c r="W54" s="105"/>
      <c r="X54" s="105"/>
      <c r="Y54" s="105"/>
      <c r="Z54" s="105"/>
      <c r="AA54" s="105"/>
      <c r="AB54" s="105"/>
      <c r="AC54" s="105"/>
      <c r="AD54" s="105"/>
      <c r="AE54" s="105"/>
      <c r="AF54" s="105"/>
      <c r="AG54" s="105"/>
      <c r="AH54" s="105"/>
      <c r="AI54" s="105"/>
      <c r="AJ54" s="105"/>
      <c r="AK54" s="105"/>
      <c r="AL54" s="105"/>
      <c r="AM54" s="105"/>
      <c r="AN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69"/>
    </row>
    <row r="55" spans="1:67" ht="6.75" customHeight="1">
      <c r="A55">
        <v>4</v>
      </c>
      <c r="B55" s="168"/>
      <c r="C55" s="5"/>
      <c r="D55" s="105"/>
      <c r="E55" s="105"/>
      <c r="F55" s="105"/>
      <c r="G55" s="105"/>
      <c r="H55" s="105"/>
      <c r="I55" s="105"/>
      <c r="J55" s="105"/>
      <c r="K55" s="105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05"/>
      <c r="W55" s="105"/>
      <c r="X55" s="105"/>
      <c r="Y55" s="105"/>
      <c r="Z55" s="105"/>
      <c r="AA55" s="105"/>
      <c r="AB55" s="105"/>
      <c r="AC55" s="105"/>
      <c r="AD55" s="105"/>
      <c r="AE55" s="105"/>
      <c r="AF55" s="105"/>
      <c r="AG55" s="105"/>
      <c r="AH55" s="105"/>
      <c r="AI55" s="105"/>
      <c r="AJ55" s="105"/>
      <c r="AK55" s="105"/>
      <c r="AL55" s="105"/>
      <c r="AM55" s="105"/>
      <c r="AN55" s="105"/>
      <c r="AO55" s="105"/>
      <c r="AP55" s="105"/>
      <c r="AQ55" s="105"/>
      <c r="AR55" s="105"/>
      <c r="AS55" s="105"/>
      <c r="AT55" s="105"/>
      <c r="AU55" s="105"/>
      <c r="AV55" s="105"/>
      <c r="AW55" s="105"/>
      <c r="AX55" s="105"/>
      <c r="AY55" s="105"/>
      <c r="AZ55" s="105"/>
      <c r="BA55" s="105"/>
      <c r="BB55" s="105"/>
      <c r="BC55" s="105"/>
      <c r="BD55" s="105"/>
      <c r="BE55" s="105"/>
      <c r="BF55" s="105"/>
      <c r="BG55" s="105"/>
      <c r="BH55" s="105"/>
      <c r="BI55" s="105"/>
      <c r="BJ55" s="105"/>
      <c r="BK55" s="105"/>
      <c r="BL55" s="105"/>
      <c r="BM55" s="105"/>
      <c r="BN55" s="105"/>
      <c r="BO55" s="169"/>
    </row>
    <row r="56" spans="1:67">
      <c r="A56">
        <v>5</v>
      </c>
      <c r="B56" s="185" t="s">
        <v>163</v>
      </c>
      <c r="C56" s="29"/>
      <c r="D56" s="151"/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  <c r="AC56" s="151"/>
      <c r="AD56" s="151"/>
      <c r="AE56" s="151"/>
      <c r="AF56" s="151"/>
      <c r="AG56" s="151"/>
      <c r="AH56" s="151"/>
      <c r="AI56" s="151"/>
      <c r="AJ56" s="151"/>
      <c r="AK56" s="151"/>
      <c r="AL56" s="151"/>
      <c r="AM56" s="151"/>
      <c r="AN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80"/>
    </row>
    <row r="57" spans="1:67">
      <c r="A57">
        <v>6</v>
      </c>
      <c r="B57" s="168" t="str">
        <f>'Monthly CF''s'!$B$58</f>
        <v>Net Property Cash Flows</v>
      </c>
      <c r="C57" s="5"/>
      <c r="D57" s="105"/>
      <c r="E57" s="105">
        <f>IF(E52&lt;$C50,SUMIFS('Monthly CF''s'!$P$58:$BK$58,'Monthly CF''s'!$P$2:$BK$2,"="&amp;E52),0)</f>
        <v>0</v>
      </c>
      <c r="F57" s="105">
        <f>IF(F52&lt;$C50,SUMIFS('Monthly CF''s'!$P$58:$BK$58,'Monthly CF''s'!$P$2:$BK$2,"="&amp;F52),0)</f>
        <v>0</v>
      </c>
      <c r="G57" s="105">
        <f>IF(G52&lt;$C50,SUMIFS('Monthly CF''s'!$P$58:$BK$58,'Monthly CF''s'!$P$2:$BK$2,"="&amp;G52),0)</f>
        <v>0</v>
      </c>
      <c r="H57" s="105">
        <f>IF(H52&lt;$C50,SUMIFS('Monthly CF''s'!$P$58:$BK$58,'Monthly CF''s'!$P$2:$BK$2,"="&amp;H52),0)</f>
        <v>0</v>
      </c>
      <c r="I57" s="105">
        <f>IF(I52&lt;$C50,SUMIFS('Monthly CF''s'!$P$58:$BK$58,'Monthly CF''s'!$P$2:$BK$2,"="&amp;I52),0)</f>
        <v>0</v>
      </c>
      <c r="J57" s="105">
        <f>IF(J52&lt;$C50,SUMIFS('Monthly CF''s'!$P$58:$BK$58,'Monthly CF''s'!$P$2:$BK$2,"="&amp;J52),0)</f>
        <v>0</v>
      </c>
      <c r="K57" s="105">
        <f>IF(K52&lt;$C50,SUMIFS('Monthly CF''s'!$P$58:$BK$58,'Monthly CF''s'!$P$2:$BK$2,"="&amp;K52),0)</f>
        <v>0</v>
      </c>
      <c r="L57" s="105">
        <f>IF(L52&lt;$C50,SUMIFS('Monthly CF''s'!$P$58:$BK$58,'Monthly CF''s'!$P$2:$BK$2,"="&amp;L52),0)</f>
        <v>0</v>
      </c>
      <c r="M57" s="105">
        <f>IF(M52&lt;$C50,SUMIFS('Monthly CF''s'!$P$58:$BK$58,'Monthly CF''s'!$P$2:$BK$2,"="&amp;M52),0)</f>
        <v>0</v>
      </c>
      <c r="N57" s="105">
        <f>IF(N52&lt;$C50,SUMIFS('Monthly CF''s'!$P$58:$BK$58,'Monthly CF''s'!$P$2:$BK$2,"="&amp;N52),0)</f>
        <v>0</v>
      </c>
      <c r="O57" s="105">
        <f>IF(O52&lt;$C50,SUMIFS('Monthly CF''s'!$P$58:$BK$58,'Monthly CF''s'!$P$2:$BK$2,"="&amp;O52),0)</f>
        <v>0</v>
      </c>
      <c r="P57" s="105">
        <f>IF(P52&lt;$C50,SUMIFS('Monthly CF''s'!$P$58:$BK$58,'Monthly CF''s'!$P$2:$BK$2,"="&amp;P52),0)</f>
        <v>0</v>
      </c>
      <c r="Q57" s="105">
        <f>IF(Q52&lt;$C50,SUMIFS('Monthly CF''s'!$P$58:$BK$58,'Monthly CF''s'!$P$2:$BK$2,"="&amp;Q52),0)</f>
        <v>0</v>
      </c>
      <c r="R57" s="105">
        <f>IF(R52&lt;$C50,SUMIFS('Monthly CF''s'!$P$58:$BK$58,'Monthly CF''s'!$P$2:$BK$2,"="&amp;R52),0)</f>
        <v>0</v>
      </c>
      <c r="S57" s="105">
        <f>IF(S52&lt;$C50,SUMIFS('Monthly CF''s'!$P$58:$BK$58,'Monthly CF''s'!$P$2:$BK$2,"="&amp;S52),0)</f>
        <v>0</v>
      </c>
      <c r="T57" s="105">
        <f>IF(T52&lt;$C50,SUMIFS('Monthly CF''s'!$P$58:$BK$58,'Monthly CF''s'!$P$2:$BK$2,"="&amp;T52),0)</f>
        <v>0</v>
      </c>
      <c r="U57" s="105">
        <f>IF(U52&lt;$C50,SUMIFS('Monthly CF''s'!$P$58:$BK$58,'Monthly CF''s'!$P$2:$BK$2,"="&amp;U52),0)</f>
        <v>0</v>
      </c>
      <c r="V57" s="105">
        <f>IF(V52&lt;$C50,SUMIFS('Monthly CF''s'!$P$58:$BK$58,'Monthly CF''s'!$P$2:$BK$2,"="&amp;V52),0)</f>
        <v>0</v>
      </c>
      <c r="W57" s="105">
        <f>IF(W52&lt;$C50,SUMIFS('Monthly CF''s'!$P$58:$BK$58,'Monthly CF''s'!$P$2:$BK$2,"="&amp;W52),0)</f>
        <v>0</v>
      </c>
      <c r="X57" s="105">
        <f>IF(X52&lt;$C50,SUMIFS('Monthly CF''s'!$P$58:$BK$58,'Monthly CF''s'!$P$2:$BK$2,"="&amp;X52),0)</f>
        <v>55865.937070519256</v>
      </c>
      <c r="Y57" s="105">
        <f>IF(Y52&lt;$C50,SUMIFS('Monthly CF''s'!$P$58:$BK$58,'Monthly CF''s'!$P$2:$BK$2,"="&amp;Y52),0)</f>
        <v>55865.937070519256</v>
      </c>
      <c r="Z57" s="105">
        <f>IF(Z52&lt;$C50,SUMIFS('Monthly CF''s'!$P$58:$BK$58,'Monthly CF''s'!$P$2:$BK$2,"="&amp;Z52),0)</f>
        <v>55865.937070519256</v>
      </c>
      <c r="AA57" s="105">
        <f>IF(AA52&lt;$C50,SUMIFS('Monthly CF''s'!$P$58:$BK$58,'Monthly CF''s'!$P$2:$BK$2,"="&amp;AA52),0)</f>
        <v>1567865.9370705192</v>
      </c>
      <c r="AB57" s="105">
        <f>IF(AB52&lt;$C50,SUMIFS('Monthly CF''s'!$P$58:$BK$58,'Monthly CF''s'!$P$2:$BK$2,"="&amp;AB52),0)</f>
        <v>55865.937070519256</v>
      </c>
      <c r="AC57" s="105">
        <f>IF(AC52&lt;$C50,SUMIFS('Monthly CF''s'!$P$58:$BK$58,'Monthly CF''s'!$P$2:$BK$2,"="&amp;AC52),0)</f>
        <v>55865.937070519256</v>
      </c>
      <c r="AD57" s="105">
        <f>IF(AD52&lt;$C50,SUMIFS('Monthly CF''s'!$P$58:$BK$58,'Monthly CF''s'!$P$2:$BK$2,"="&amp;AD52),0)</f>
        <v>160402.43820649723</v>
      </c>
      <c r="AE57" s="105">
        <f>IF(AE52&lt;$C50,SUMIFS('Monthly CF''s'!$P$58:$BK$58,'Monthly CF''s'!$P$2:$BK$2,"="&amp;AE52),0)</f>
        <v>160402.43820649723</v>
      </c>
      <c r="AF57" s="105">
        <f>IF(AF52&lt;$C50,SUMIFS('Monthly CF''s'!$P$58:$BK$58,'Monthly CF''s'!$P$2:$BK$2,"="&amp;AF52),0)</f>
        <v>160402.43820649723</v>
      </c>
      <c r="AG57" s="105">
        <f>IF(AG52&lt;$C50,SUMIFS('Monthly CF''s'!$P$58:$BK$58,'Monthly CF''s'!$P$2:$BK$2,"="&amp;AG52),0)</f>
        <v>160402.43820649723</v>
      </c>
      <c r="AH57" s="105">
        <f>IF(AH52&lt;$C50,SUMIFS('Monthly CF''s'!$P$58:$BK$58,'Monthly CF''s'!$P$2:$BK$2,"="&amp;AH52),0)</f>
        <v>160402.43820649723</v>
      </c>
      <c r="AI57" s="105">
        <f>IF(AI52&lt;$C50,SUMIFS('Monthly CF''s'!$P$58:$BK$58,'Monthly CF''s'!$P$2:$BK$2,"="&amp;AI52),0)</f>
        <v>160402.43820649723</v>
      </c>
      <c r="AJ57" s="105">
        <f>IF(AJ52&lt;$C50,SUMIFS('Monthly CF''s'!$P$58:$BK$58,'Monthly CF''s'!$P$2:$BK$2,"="&amp;AJ52),0)</f>
        <v>174756.336958414</v>
      </c>
      <c r="AK57" s="105">
        <f>IF(AK52&lt;$C50,SUMIFS('Monthly CF''s'!$P$58:$BK$58,'Monthly CF''s'!$P$2:$BK$2,"="&amp;AK52),0)</f>
        <v>174756.336958414</v>
      </c>
      <c r="AL57" s="105">
        <f>IF(AL52&lt;$C50,SUMIFS('Monthly CF''s'!$P$58:$BK$58,'Monthly CF''s'!$P$2:$BK$2,"="&amp;AL52),0)</f>
        <v>174756.336958414</v>
      </c>
      <c r="AM57" s="105">
        <f>IF(AM52&lt;$C50,SUMIFS('Monthly CF''s'!$P$58:$BK$58,'Monthly CF''s'!$P$2:$BK$2,"="&amp;AM52),0)</f>
        <v>174756.336958414</v>
      </c>
      <c r="AN57" s="105">
        <f>IF(AN52&lt;$C50,SUMIFS('Monthly CF''s'!$P$58:$BK$58,'Monthly CF''s'!$P$2:$BK$2,"="&amp;AN52),0)</f>
        <v>174756.336958414</v>
      </c>
      <c r="AO57" s="105">
        <f>IF(AO52&lt;$C50,SUMIFS('Monthly CF''s'!$P$58:$BK$58,'Monthly CF''s'!$P$2:$BK$2,"="&amp;AO52),0)</f>
        <v>174756.336958414</v>
      </c>
      <c r="AP57" s="105">
        <f>IF(AP52&lt;$C50,SUMIFS('Monthly CF''s'!$P$58:$BK$58,'Monthly CF''s'!$P$2:$BK$2,"="&amp;AP52),0)</f>
        <v>93471.925282638869</v>
      </c>
      <c r="AQ57" s="105">
        <f>IF(AQ52&lt;$C50,SUMIFS('Monthly CF''s'!$P$58:$BK$58,'Monthly CF''s'!$P$2:$BK$2,"="&amp;AQ52),0)</f>
        <v>93471.925282638811</v>
      </c>
      <c r="AR57" s="105">
        <f>IF(AR52&lt;$C50,SUMIFS('Monthly CF''s'!$P$58:$BK$58,'Monthly CF''s'!$P$2:$BK$2,"="&amp;AR52),0)</f>
        <v>93471.925282638811</v>
      </c>
      <c r="AS57" s="105">
        <f>IF(AS52&lt;$C50,SUMIFS('Monthly CF''s'!$P$58:$BK$58,'Monthly CF''s'!$P$2:$BK$2,"="&amp;AS52),0)</f>
        <v>93471.925282638811</v>
      </c>
      <c r="AT57" s="105">
        <f>IF(AT52&lt;$C50,SUMIFS('Monthly CF''s'!$P$58:$BK$58,'Monthly CF''s'!$P$2:$BK$2,"="&amp;AT52),0)</f>
        <v>93471.925282638811</v>
      </c>
      <c r="AU57" s="105">
        <f>IF(AU52&lt;$C50,SUMIFS('Monthly CF''s'!$P$58:$BK$58,'Monthly CF''s'!$P$2:$BK$2,"="&amp;AU52),0)</f>
        <v>93471.925282638869</v>
      </c>
      <c r="AV57" s="105">
        <f>IF(AV52&lt;$C50,SUMIFS('Monthly CF''s'!$P$58:$BK$58,'Monthly CF''s'!$P$2:$BK$2,"="&amp;AV52),0)</f>
        <v>108277.02087538387</v>
      </c>
      <c r="AW57" s="105">
        <f>IF(AW52&lt;$C50,SUMIFS('Monthly CF''s'!$P$58:$BK$58,'Monthly CF''s'!$P$2:$BK$2,"="&amp;AW52),0)</f>
        <v>108277.02087538387</v>
      </c>
      <c r="AX57" s="105">
        <f>IF(AX52&lt;$C50,SUMIFS('Monthly CF''s'!$P$58:$BK$58,'Monthly CF''s'!$P$2:$BK$2,"="&amp;AX52),0)</f>
        <v>108277.02087538387</v>
      </c>
      <c r="AY57" s="105">
        <f>IF(AY52&lt;$C50,SUMIFS('Monthly CF''s'!$P$58:$BK$58,'Monthly CF''s'!$P$2:$BK$2,"="&amp;AY52),0)</f>
        <v>108277.02087538387</v>
      </c>
      <c r="AZ57" s="105">
        <f>IF(AZ52&lt;$C50,SUMIFS('Monthly CF''s'!$P$58:$BK$58,'Monthly CF''s'!$P$2:$BK$2,"="&amp;AZ52),0)</f>
        <v>108277.02087538387</v>
      </c>
      <c r="BA57" s="105">
        <f>IF(BA52&lt;$C50,SUMIFS('Monthly CF''s'!$P$58:$BK$58,'Monthly CF''s'!$P$2:$BK$2,"="&amp;BA52),0)</f>
        <v>108277.02087538387</v>
      </c>
      <c r="BB57" s="105">
        <f>IF(BB52&lt;$C50,SUMIFS('Monthly CF''s'!$P$58:$BK$58,'Monthly CF''s'!$P$2:$BK$2,"="&amp;BB52),0)</f>
        <v>108277.02087538387</v>
      </c>
      <c r="BC57" s="105">
        <f>IF(BC52&lt;$C50,SUMIFS('Monthly CF''s'!$P$58:$BK$58,'Monthly CF''s'!$P$2:$BK$2,"="&amp;BC52),0)</f>
        <v>108277.02087538387</v>
      </c>
      <c r="BD57" s="105">
        <f>IF(BD52&lt;$C50,SUMIFS('Monthly CF''s'!$P$58:$BK$58,'Monthly CF''s'!$P$2:$BK$2,"="&amp;BD52),0)</f>
        <v>108277.02087538387</v>
      </c>
      <c r="BE57" s="105">
        <f>IF(BE52&lt;$C50,SUMIFS('Monthly CF''s'!$P$58:$BK$58,'Monthly CF''s'!$P$2:$BK$2,"="&amp;BE52),0)</f>
        <v>108277.02087538387</v>
      </c>
      <c r="BF57" s="105">
        <f>IF(BF52&lt;$C50,SUMIFS('Monthly CF''s'!$P$58:$BK$58,'Monthly CF''s'!$P$2:$BK$2,"="&amp;BF52),0)</f>
        <v>108277.02087538387</v>
      </c>
      <c r="BG57" s="105">
        <f>IF(BG52&lt;$C50,SUMIFS('Monthly CF''s'!$P$58:$BK$58,'Monthly CF''s'!$P$2:$BK$2,"="&amp;BG52),0)</f>
        <v>108277.02087538387</v>
      </c>
      <c r="BH57" s="105">
        <f>IF(BH52&lt;$C50,SUMIFS('Monthly CF''s'!$P$58:$BK$58,'Monthly CF''s'!$P$2:$BK$2,"="&amp;BH52),0)</f>
        <v>123547.2608117474</v>
      </c>
      <c r="BI57" s="105">
        <f>IF(BI52&lt;$C50,SUMIFS('Monthly CF''s'!$P$58:$BK$58,'Monthly CF''s'!$P$2:$BK$2,"="&amp;BI52),0)</f>
        <v>123547.2608117474</v>
      </c>
      <c r="BJ57" s="105">
        <f>IF(BJ52&lt;$C50,SUMIFS('Monthly CF''s'!$P$58:$BK$58,'Monthly CF''s'!$P$2:$BK$2,"="&amp;BJ52),0)</f>
        <v>123547.26081174746</v>
      </c>
      <c r="BK57" s="105">
        <f>IF(BK52&lt;$C50,SUMIFS('Monthly CF''s'!$P$58:$BK$58,'Monthly CF''s'!$P$2:$BK$2,"="&amp;BK52),0)</f>
        <v>123547.26081174746</v>
      </c>
      <c r="BL57" s="105">
        <f>IF(BL52&lt;$C50,SUMIFS('Monthly CF''s'!$P$58:$BK$58,'Monthly CF''s'!$P$2:$BK$2,"="&amp;BL52),0)</f>
        <v>123547.2608117474</v>
      </c>
      <c r="BM57" s="105">
        <f>IF(BM52&lt;$C50,SUMIFS('Monthly CF''s'!$P$58:$BK$58,'Monthly CF''s'!$P$2:$BK$2,"="&amp;BM52),0)</f>
        <v>0</v>
      </c>
      <c r="BN57" s="105">
        <f>IF(BN52&lt;$C50,SUMIFS('Monthly CF''s'!$P$58:$BK$58,'Monthly CF''s'!$P$2:$BK$2,"="&amp;BN52),0)</f>
        <v>0</v>
      </c>
      <c r="BO57" s="169">
        <f>IF(BO52&lt;$C50,SUMIFS('Monthly CF''s'!$P$58:$BK$58,'Monthly CF''s'!$P$2:$BK$2,"="&amp;BO52),0)</f>
        <v>0</v>
      </c>
    </row>
    <row r="58" spans="1:67">
      <c r="A58">
        <v>7</v>
      </c>
      <c r="B58" s="168" t="str">
        <f>'Monthly CF''s'!$B$59</f>
        <v>Net Refi Proceeds</v>
      </c>
      <c r="C58" s="5"/>
      <c r="D58" s="105"/>
      <c r="E58" s="105">
        <f>IF(E52&lt;$C50,SUMIFS('Monthly CF''s'!$P$59:$BK$59,'Monthly CF''s'!$P$2:$BK$2,"="&amp;E52),0)</f>
        <v>0</v>
      </c>
      <c r="F58" s="105">
        <f>IF(F52&lt;$C50,SUMIFS('Monthly CF''s'!$P$59:$BK$59,'Monthly CF''s'!$P$2:$BK$2,"="&amp;F52),0)</f>
        <v>0</v>
      </c>
      <c r="G58" s="105">
        <f>IF(G52&lt;$C50,SUMIFS('Monthly CF''s'!$P$59:$BK$59,'Monthly CF''s'!$P$2:$BK$2,"="&amp;G52),0)</f>
        <v>0</v>
      </c>
      <c r="H58" s="105">
        <f>IF(H52&lt;$C50,SUMIFS('Monthly CF''s'!$P$59:$BK$59,'Monthly CF''s'!$P$2:$BK$2,"="&amp;H52),0)</f>
        <v>0</v>
      </c>
      <c r="I58" s="105">
        <f>IF(I52&lt;$C50,SUMIFS('Monthly CF''s'!$P$59:$BK$59,'Monthly CF''s'!$P$2:$BK$2,"="&amp;I52),0)</f>
        <v>0</v>
      </c>
      <c r="J58" s="105">
        <f>IF(J52&lt;$C50,SUMIFS('Monthly CF''s'!$P$59:$BK$59,'Monthly CF''s'!$P$2:$BK$2,"="&amp;J52),0)</f>
        <v>0</v>
      </c>
      <c r="K58" s="105">
        <f>IF(K52&lt;$C50,SUMIFS('Monthly CF''s'!$P$59:$BK$59,'Monthly CF''s'!$P$2:$BK$2,"="&amp;K52),0)</f>
        <v>0</v>
      </c>
      <c r="L58" s="105">
        <f>IF(L52&lt;$C50,SUMIFS('Monthly CF''s'!$P$59:$BK$59,'Monthly CF''s'!$P$2:$BK$2,"="&amp;L52),0)</f>
        <v>0</v>
      </c>
      <c r="M58" s="105">
        <f>IF(M52&lt;$C50,SUMIFS('Monthly CF''s'!$P$59:$BK$59,'Monthly CF''s'!$P$2:$BK$2,"="&amp;M52),0)</f>
        <v>0</v>
      </c>
      <c r="N58" s="105">
        <f>IF(N52&lt;$C50,SUMIFS('Monthly CF''s'!$P$59:$BK$59,'Monthly CF''s'!$P$2:$BK$2,"="&amp;N52),0)</f>
        <v>0</v>
      </c>
      <c r="O58" s="105">
        <f>IF(O52&lt;$C50,SUMIFS('Monthly CF''s'!$P$59:$BK$59,'Monthly CF''s'!$P$2:$BK$2,"="&amp;O52),0)</f>
        <v>0</v>
      </c>
      <c r="P58" s="105">
        <f>IF(P52&lt;$C50,SUMIFS('Monthly CF''s'!$P$59:$BK$59,'Monthly CF''s'!$P$2:$BK$2,"="&amp;P52),0)</f>
        <v>0</v>
      </c>
      <c r="Q58" s="105">
        <f>IF(Q52&lt;$C50,SUMIFS('Monthly CF''s'!$P$59:$BK$59,'Monthly CF''s'!$P$2:$BK$2,"="&amp;Q52),0)</f>
        <v>0</v>
      </c>
      <c r="R58" s="105">
        <f>IF(R52&lt;$C50,SUMIFS('Monthly CF''s'!$P$59:$BK$59,'Monthly CF''s'!$P$2:$BK$2,"="&amp;R52),0)</f>
        <v>0</v>
      </c>
      <c r="S58" s="105">
        <f>IF(S52&lt;$C50,SUMIFS('Monthly CF''s'!$P$59:$BK$59,'Monthly CF''s'!$P$2:$BK$2,"="&amp;S52),0)</f>
        <v>0</v>
      </c>
      <c r="T58" s="105">
        <f>IF(T52&lt;$C50,SUMIFS('Monthly CF''s'!$P$59:$BK$59,'Monthly CF''s'!$P$2:$BK$2,"="&amp;T52),0)</f>
        <v>0</v>
      </c>
      <c r="U58" s="105">
        <f>IF(U52&lt;$C50,SUMIFS('Monthly CF''s'!$P$59:$BK$59,'Monthly CF''s'!$P$2:$BK$2,"="&amp;U52),0)</f>
        <v>0</v>
      </c>
      <c r="V58" s="105">
        <f>IF(V52&lt;$C50,SUMIFS('Monthly CF''s'!$P$59:$BK$59,'Monthly CF''s'!$P$2:$BK$2,"="&amp;V52),0)</f>
        <v>0</v>
      </c>
      <c r="W58" s="105">
        <f>IF(W52&lt;$C50,SUMIFS('Monthly CF''s'!$P$59:$BK$59,'Monthly CF''s'!$P$2:$BK$2,"="&amp;W52),0)</f>
        <v>0</v>
      </c>
      <c r="X58" s="105">
        <f>IF(X52&lt;$C50,SUMIFS('Monthly CF''s'!$P$59:$BK$59,'Monthly CF''s'!$P$2:$BK$2,"="&amp;X52),0)</f>
        <v>0</v>
      </c>
      <c r="Y58" s="105">
        <f>IF(Y52&lt;$C50,SUMIFS('Monthly CF''s'!$P$59:$BK$59,'Monthly CF''s'!$P$2:$BK$2,"="&amp;Y52),0)</f>
        <v>0</v>
      </c>
      <c r="Z58" s="105">
        <f>IF(Z52&lt;$C50,SUMIFS('Monthly CF''s'!$P$59:$BK$59,'Monthly CF''s'!$P$2:$BK$2,"="&amp;Z52),0)</f>
        <v>0</v>
      </c>
      <c r="AA58" s="105">
        <f>IF(AA52&lt;$C50,SUMIFS('Monthly CF''s'!$P$59:$BK$59,'Monthly CF''s'!$P$2:$BK$2,"="&amp;AA52),0)</f>
        <v>0</v>
      </c>
      <c r="AB58" s="105">
        <f>IF(AB52&lt;$C50,SUMIFS('Monthly CF''s'!$P$59:$BK$59,'Monthly CF''s'!$P$2:$BK$2,"="&amp;AB52),0)</f>
        <v>0</v>
      </c>
      <c r="AC58" s="105">
        <f>IF(AC52&lt;$C50,SUMIFS('Monthly CF''s'!$P$59:$BK$59,'Monthly CF''s'!$P$2:$BK$2,"="&amp;AC52),0)</f>
        <v>0</v>
      </c>
      <c r="AD58" s="105">
        <f>IF(AD52&lt;$C50,SUMIFS('Monthly CF''s'!$P$59:$BK$59,'Monthly CF''s'!$P$2:$BK$2,"="&amp;AD52),0)</f>
        <v>-1381023.3589114696</v>
      </c>
      <c r="AE58" s="105">
        <f>IF(AE52&lt;$C50,SUMIFS('Monthly CF''s'!$P$59:$BK$59,'Monthly CF''s'!$P$2:$BK$2,"="&amp;AE52),0)</f>
        <v>0</v>
      </c>
      <c r="AF58" s="105">
        <f>IF(AF52&lt;$C50,SUMIFS('Monthly CF''s'!$P$59:$BK$59,'Monthly CF''s'!$P$2:$BK$2,"="&amp;AF52),0)</f>
        <v>0</v>
      </c>
      <c r="AG58" s="105">
        <f>IF(AG52&lt;$C50,SUMIFS('Monthly CF''s'!$P$59:$BK$59,'Monthly CF''s'!$P$2:$BK$2,"="&amp;AG52),0)</f>
        <v>0</v>
      </c>
      <c r="AH58" s="105">
        <f>IF(AH52&lt;$C50,SUMIFS('Monthly CF''s'!$P$59:$BK$59,'Monthly CF''s'!$P$2:$BK$2,"="&amp;AH52),0)</f>
        <v>0</v>
      </c>
      <c r="AI58" s="105">
        <f>IF(AI52&lt;$C50,SUMIFS('Monthly CF''s'!$P$59:$BK$59,'Monthly CF''s'!$P$2:$BK$2,"="&amp;AI52),0)</f>
        <v>0</v>
      </c>
      <c r="AJ58" s="105">
        <f>IF(AJ52&lt;$C50,SUMIFS('Monthly CF''s'!$P$59:$BK$59,'Monthly CF''s'!$P$2:$BK$2,"="&amp;AJ52),0)</f>
        <v>0</v>
      </c>
      <c r="AK58" s="105">
        <f>IF(AK52&lt;$C50,SUMIFS('Monthly CF''s'!$P$59:$BK$59,'Monthly CF''s'!$P$2:$BK$2,"="&amp;AK52),0)</f>
        <v>0</v>
      </c>
      <c r="AL58" s="105">
        <f>IF(AL52&lt;$C50,SUMIFS('Monthly CF''s'!$P$59:$BK$59,'Monthly CF''s'!$P$2:$BK$2,"="&amp;AL52),0)</f>
        <v>0</v>
      </c>
      <c r="AM58" s="105">
        <f>IF(AM52&lt;$C50,SUMIFS('Monthly CF''s'!$P$59:$BK$59,'Monthly CF''s'!$P$2:$BK$2,"="&amp;AM52),0)</f>
        <v>0</v>
      </c>
      <c r="AN58" s="105">
        <f>IF(AN52&lt;$C50,SUMIFS('Monthly CF''s'!$P$59:$BK$59,'Monthly CF''s'!$P$2:$BK$2,"="&amp;AN52),0)</f>
        <v>0</v>
      </c>
      <c r="AO58" s="105">
        <f>IF(AO52&lt;$C50,SUMIFS('Monthly CF''s'!$P$59:$BK$59,'Monthly CF''s'!$P$2:$BK$2,"="&amp;AO52),0)</f>
        <v>0</v>
      </c>
      <c r="AP58" s="105">
        <f>IF(AP52&lt;$C50,SUMIFS('Monthly CF''s'!$P$59:$BK$59,'Monthly CF''s'!$P$2:$BK$2,"="&amp;AP52),0)</f>
        <v>0</v>
      </c>
      <c r="AQ58" s="105">
        <f>IF(AQ52&lt;$C50,SUMIFS('Monthly CF''s'!$P$59:$BK$59,'Monthly CF''s'!$P$2:$BK$2,"="&amp;AQ52),0)</f>
        <v>0</v>
      </c>
      <c r="AR58" s="105">
        <f>IF(AR52&lt;$C50,SUMIFS('Monthly CF''s'!$P$59:$BK$59,'Monthly CF''s'!$P$2:$BK$2,"="&amp;AR52),0)</f>
        <v>0</v>
      </c>
      <c r="AS58" s="105">
        <f>IF(AS52&lt;$C50,SUMIFS('Monthly CF''s'!$P$59:$BK$59,'Monthly CF''s'!$P$2:$BK$2,"="&amp;AS52),0)</f>
        <v>0</v>
      </c>
      <c r="AT58" s="105">
        <f>IF(AT52&lt;$C50,SUMIFS('Monthly CF''s'!$P$59:$BK$59,'Monthly CF''s'!$P$2:$BK$2,"="&amp;AT52),0)</f>
        <v>0</v>
      </c>
      <c r="AU58" s="105">
        <f>IF(AU52&lt;$C50,SUMIFS('Monthly CF''s'!$P$59:$BK$59,'Monthly CF''s'!$P$2:$BK$2,"="&amp;AU52),0)</f>
        <v>0</v>
      </c>
      <c r="AV58" s="105">
        <f>IF(AV52&lt;$C50,SUMIFS('Monthly CF''s'!$P$59:$BK$59,'Monthly CF''s'!$P$2:$BK$2,"="&amp;AV52),0)</f>
        <v>0</v>
      </c>
      <c r="AW58" s="105">
        <f>IF(AW52&lt;$C50,SUMIFS('Monthly CF''s'!$P$59:$BK$59,'Monthly CF''s'!$P$2:$BK$2,"="&amp;AW52),0)</f>
        <v>0</v>
      </c>
      <c r="AX58" s="105">
        <f>IF(AX52&lt;$C50,SUMIFS('Monthly CF''s'!$P$59:$BK$59,'Monthly CF''s'!$P$2:$BK$2,"="&amp;AX52),0)</f>
        <v>0</v>
      </c>
      <c r="AY58" s="105">
        <f>IF(AY52&lt;$C50,SUMIFS('Monthly CF''s'!$P$59:$BK$59,'Monthly CF''s'!$P$2:$BK$2,"="&amp;AY52),0)</f>
        <v>0</v>
      </c>
      <c r="AZ58" s="105">
        <f>IF(AZ52&lt;$C50,SUMIFS('Monthly CF''s'!$P$59:$BK$59,'Monthly CF''s'!$P$2:$BK$2,"="&amp;AZ52),0)</f>
        <v>0</v>
      </c>
      <c r="BA58" s="105">
        <f>IF(BA52&lt;$C50,SUMIFS('Monthly CF''s'!$P$59:$BK$59,'Monthly CF''s'!$P$2:$BK$2,"="&amp;BA52),0)</f>
        <v>0</v>
      </c>
      <c r="BB58" s="105">
        <f>IF(BB52&lt;$C50,SUMIFS('Monthly CF''s'!$P$59:$BK$59,'Monthly CF''s'!$P$2:$BK$2,"="&amp;BB52),0)</f>
        <v>0</v>
      </c>
      <c r="BC58" s="105">
        <f>IF(BC52&lt;$C50,SUMIFS('Monthly CF''s'!$P$59:$BK$59,'Monthly CF''s'!$P$2:$BK$2,"="&amp;BC52),0)</f>
        <v>0</v>
      </c>
      <c r="BD58" s="105">
        <f>IF(BD52&lt;$C50,SUMIFS('Monthly CF''s'!$P$59:$BK$59,'Monthly CF''s'!$P$2:$BK$2,"="&amp;BD52),0)</f>
        <v>0</v>
      </c>
      <c r="BE58" s="105">
        <f>IF(BE52&lt;$C50,SUMIFS('Monthly CF''s'!$P$59:$BK$59,'Monthly CF''s'!$P$2:$BK$2,"="&amp;BE52),0)</f>
        <v>0</v>
      </c>
      <c r="BF58" s="105">
        <f>IF(BF52&lt;$C50,SUMIFS('Monthly CF''s'!$P$59:$BK$59,'Monthly CF''s'!$P$2:$BK$2,"="&amp;BF52),0)</f>
        <v>0</v>
      </c>
      <c r="BG58" s="105">
        <f>IF(BG52&lt;$C50,SUMIFS('Monthly CF''s'!$P$59:$BK$59,'Monthly CF''s'!$P$2:$BK$2,"="&amp;BG52),0)</f>
        <v>0</v>
      </c>
      <c r="BH58" s="105">
        <f>IF(BH52&lt;$C50,SUMIFS('Monthly CF''s'!$P$59:$BK$59,'Monthly CF''s'!$P$2:$BK$2,"="&amp;BH52),0)</f>
        <v>0</v>
      </c>
      <c r="BI58" s="105">
        <f>IF(BI52&lt;$C50,SUMIFS('Monthly CF''s'!$P$59:$BK$59,'Monthly CF''s'!$P$2:$BK$2,"="&amp;BI52),0)</f>
        <v>0</v>
      </c>
      <c r="BJ58" s="105">
        <f>IF(BJ52&lt;$C50,SUMIFS('Monthly CF''s'!$P$59:$BK$59,'Monthly CF''s'!$P$2:$BK$2,"="&amp;BJ52),0)</f>
        <v>0</v>
      </c>
      <c r="BK58" s="105">
        <f>IF(BK52&lt;$C50,SUMIFS('Monthly CF''s'!$P$59:$BK$59,'Monthly CF''s'!$P$2:$BK$2,"="&amp;BK52),0)</f>
        <v>0</v>
      </c>
      <c r="BL58" s="105">
        <f>IF(BL52&lt;$C50,SUMIFS('Monthly CF''s'!$P$59:$BK$59,'Monthly CF''s'!$P$2:$BK$2,"="&amp;BL52),0)</f>
        <v>0</v>
      </c>
      <c r="BM58" s="105">
        <f>IF(BM52&lt;$C50,SUMIFS('Monthly CF''s'!$P$59:$BK$59,'Monthly CF''s'!$P$2:$BK$2,"="&amp;BM52),0)</f>
        <v>0</v>
      </c>
      <c r="BN58" s="105">
        <f>IF(BN52&lt;$C50,SUMIFS('Monthly CF''s'!$P$59:$BK$59,'Monthly CF''s'!$P$2:$BK$2,"="&amp;BN52),0)</f>
        <v>0</v>
      </c>
      <c r="BO58" s="169">
        <f>IF(BO52&lt;$C50,SUMIFS('Monthly CF''s'!$P$59:$BK$59,'Monthly CF''s'!$P$2:$BK$2,"="&amp;BO52),0)</f>
        <v>0</v>
      </c>
    </row>
    <row r="59" spans="1:67">
      <c r="A59">
        <v>8</v>
      </c>
      <c r="B59" s="168" t="str">
        <f>Dashboard!$G$58</f>
        <v>Net Sale Proceeds</v>
      </c>
      <c r="C59" s="5"/>
      <c r="D59" s="105"/>
      <c r="E59" s="105">
        <f>IF(E52=$C50,Dashboard!$O$58,0)</f>
        <v>0</v>
      </c>
      <c r="F59" s="105">
        <f>IF(F52=$C50,Dashboard!$O$58,0)</f>
        <v>0</v>
      </c>
      <c r="G59" s="105">
        <f>IF(G52=$C50,Dashboard!$O$58,0)</f>
        <v>0</v>
      </c>
      <c r="H59" s="105">
        <f>IF(H52=$C50,Dashboard!$O$58,0)</f>
        <v>0</v>
      </c>
      <c r="I59" s="105">
        <f>IF(I52=$C50,Dashboard!$O$58,0)</f>
        <v>0</v>
      </c>
      <c r="J59" s="105">
        <f>IF(J52=$C50,Dashboard!$O$58,0)</f>
        <v>0</v>
      </c>
      <c r="K59" s="105">
        <f>IF(K52=$C50,Dashboard!$O$58,0)</f>
        <v>0</v>
      </c>
      <c r="L59" s="105">
        <f>IF(L52=$C50,Dashboard!$O$58,0)</f>
        <v>0</v>
      </c>
      <c r="M59" s="105">
        <f>IF(M52=$C50,Dashboard!$O$58,0)</f>
        <v>0</v>
      </c>
      <c r="N59" s="105">
        <f>IF(N52=$C50,Dashboard!$O$58,0)</f>
        <v>0</v>
      </c>
      <c r="O59" s="105">
        <f>IF(O52=$C50,Dashboard!$O$58,0)</f>
        <v>0</v>
      </c>
      <c r="P59" s="105">
        <f>IF(P52=$C50,Dashboard!$O$58,0)</f>
        <v>0</v>
      </c>
      <c r="Q59" s="105">
        <f>IF(Q52=$C50,Dashboard!$O$58,0)</f>
        <v>0</v>
      </c>
      <c r="R59" s="105">
        <f>IF(R52=$C50,Dashboard!$O$58,0)</f>
        <v>0</v>
      </c>
      <c r="S59" s="105">
        <f>IF(S52=$C50,Dashboard!$O$58,0)</f>
        <v>0</v>
      </c>
      <c r="T59" s="105">
        <f>IF(T52=$C50,Dashboard!$O$58,0)</f>
        <v>0</v>
      </c>
      <c r="U59" s="105">
        <f>IF(U52=$C50,Dashboard!$O$58,0)</f>
        <v>0</v>
      </c>
      <c r="V59" s="105">
        <f>IF(V52=$C50,Dashboard!$O$58,0)</f>
        <v>0</v>
      </c>
      <c r="W59" s="105">
        <f>IF(W52=$C50,Dashboard!$O$58,0)</f>
        <v>0</v>
      </c>
      <c r="X59" s="105">
        <f>IF(X52=$C50,Dashboard!$O$58,0)</f>
        <v>0</v>
      </c>
      <c r="Y59" s="105">
        <f>IF(Y52=$C50,Dashboard!$O$58,0)</f>
        <v>0</v>
      </c>
      <c r="Z59" s="105">
        <f>IF(Z52=$C50,Dashboard!$O$58,0)</f>
        <v>0</v>
      </c>
      <c r="AA59" s="105">
        <f>IF(AA52=$C50,Dashboard!$O$58,0)</f>
        <v>0</v>
      </c>
      <c r="AB59" s="105">
        <f>IF(AB52=$C50,Dashboard!$O$58,0)</f>
        <v>0</v>
      </c>
      <c r="AC59" s="105">
        <f>IF(AC52=$C50,Dashboard!$O$58,0)</f>
        <v>0</v>
      </c>
      <c r="AD59" s="105">
        <f>IF(AD52=$C50,Dashboard!$O$58,0)</f>
        <v>0</v>
      </c>
      <c r="AE59" s="105">
        <f>IF(AE52=$C50,Dashboard!$O$58,0)</f>
        <v>0</v>
      </c>
      <c r="AF59" s="105">
        <f>IF(AF52=$C50,Dashboard!$O$58,0)</f>
        <v>0</v>
      </c>
      <c r="AG59" s="105">
        <f>IF(AG52=$C50,Dashboard!$O$58,0)</f>
        <v>0</v>
      </c>
      <c r="AH59" s="105">
        <f>IF(AH52=$C50,Dashboard!$O$58,0)</f>
        <v>0</v>
      </c>
      <c r="AI59" s="105">
        <f>IF(AI52=$C50,Dashboard!$O$58,0)</f>
        <v>0</v>
      </c>
      <c r="AJ59" s="105">
        <f>IF(AJ52=$C50,Dashboard!$O$58,0)</f>
        <v>0</v>
      </c>
      <c r="AK59" s="105">
        <f>IF(AK52=$C50,Dashboard!$O$58,0)</f>
        <v>0</v>
      </c>
      <c r="AL59" s="105">
        <f>IF(AL52=$C50,Dashboard!$O$58,0)</f>
        <v>0</v>
      </c>
      <c r="AM59" s="105">
        <f>IF(AM52=$C50,Dashboard!$O$58,0)</f>
        <v>0</v>
      </c>
      <c r="AN59" s="105">
        <f>IF(AN52=$C50,Dashboard!$O$58,0)</f>
        <v>0</v>
      </c>
      <c r="AO59" s="105">
        <f>IF(AO52=$C50,Dashboard!$O$58,0)</f>
        <v>0</v>
      </c>
      <c r="AP59" s="105">
        <f>IF(AP52=$C50,Dashboard!$O$58,0)</f>
        <v>0</v>
      </c>
      <c r="AQ59" s="105">
        <f>IF(AQ52=$C50,Dashboard!$O$58,0)</f>
        <v>0</v>
      </c>
      <c r="AR59" s="105">
        <f>IF(AR52=$C50,Dashboard!$O$58,0)</f>
        <v>0</v>
      </c>
      <c r="AS59" s="105">
        <f>IF(AS52=$C50,Dashboard!$O$58,0)</f>
        <v>0</v>
      </c>
      <c r="AT59" s="105">
        <f>IF(AT52=$C50,Dashboard!$O$58,0)</f>
        <v>0</v>
      </c>
      <c r="AU59" s="105">
        <f>IF(AU52=$C50,Dashboard!$O$58,0)</f>
        <v>0</v>
      </c>
      <c r="AV59" s="105">
        <f>IF(AV52=$C50,Dashboard!$O$58,0)</f>
        <v>0</v>
      </c>
      <c r="AW59" s="105">
        <f>IF(AW52=$C50,Dashboard!$O$58,0)</f>
        <v>0</v>
      </c>
      <c r="AX59" s="105">
        <f>IF(AX52=$C50,Dashboard!$O$58,0)</f>
        <v>0</v>
      </c>
      <c r="AY59" s="105">
        <f>IF(AY52=$C50,Dashboard!$O$58,0)</f>
        <v>0</v>
      </c>
      <c r="AZ59" s="105">
        <f>IF(AZ52=$C50,Dashboard!$O$58,0)</f>
        <v>0</v>
      </c>
      <c r="BA59" s="105">
        <f>IF(BA52=$C50,Dashboard!$O$58,0)</f>
        <v>0</v>
      </c>
      <c r="BB59" s="105">
        <f>IF(BB52=$C50,Dashboard!$O$58,0)</f>
        <v>0</v>
      </c>
      <c r="BC59" s="105">
        <f>IF(BC52=$C50,Dashboard!$O$58,0)</f>
        <v>0</v>
      </c>
      <c r="BD59" s="105">
        <f>IF(BD52=$C50,Dashboard!$O$58,0)</f>
        <v>0</v>
      </c>
      <c r="BE59" s="105">
        <f>IF(BE52=$C50,Dashboard!$O$58,0)</f>
        <v>0</v>
      </c>
      <c r="BF59" s="105">
        <f>IF(BF52=$C50,Dashboard!$O$58,0)</f>
        <v>0</v>
      </c>
      <c r="BG59" s="105">
        <f>IF(BG52=$C50,Dashboard!$O$58,0)</f>
        <v>0</v>
      </c>
      <c r="BH59" s="105">
        <f>IF(BH52=$C50,Dashboard!$O$58,0)</f>
        <v>0</v>
      </c>
      <c r="BI59" s="105">
        <f>IF(BI52=$C50,Dashboard!$O$58,0)</f>
        <v>0</v>
      </c>
      <c r="BJ59" s="105">
        <f>IF(BJ52=$C50,Dashboard!$O$58,0)</f>
        <v>0</v>
      </c>
      <c r="BK59" s="105">
        <f>IF(BK52=$C50,Dashboard!$O$58,0)</f>
        <v>0</v>
      </c>
      <c r="BL59" s="105">
        <f>IF(BL52=$C50,Dashboard!$O$58,0)</f>
        <v>0</v>
      </c>
      <c r="BM59" s="105">
        <f>IF(BM52=$C50,Dashboard!$O$58,0)</f>
        <v>47798762.401759155</v>
      </c>
      <c r="BN59" s="105">
        <f>IF(BN52=$C50,Dashboard!$O$58,0)</f>
        <v>0</v>
      </c>
      <c r="BO59" s="169">
        <f>IF(BO52=$C50,Dashboard!$O$58,0)</f>
        <v>0</v>
      </c>
    </row>
    <row r="60" spans="1:67" ht="6.75" customHeight="1">
      <c r="B60" s="168"/>
      <c r="C60" s="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05"/>
      <c r="W60" s="105"/>
      <c r="X60" s="105"/>
      <c r="Y60" s="105"/>
      <c r="Z60" s="105"/>
      <c r="AA60" s="105"/>
      <c r="AB60" s="105"/>
      <c r="AC60" s="105"/>
      <c r="AD60" s="105"/>
      <c r="AE60" s="105"/>
      <c r="AF60" s="105"/>
      <c r="AG60" s="105"/>
      <c r="AH60" s="105"/>
      <c r="AI60" s="105"/>
      <c r="AJ60" s="105"/>
      <c r="AK60" s="105"/>
      <c r="AL60" s="105"/>
      <c r="AM60" s="105"/>
      <c r="AN60" s="105"/>
      <c r="AO60" s="105"/>
      <c r="AP60" s="105"/>
      <c r="AQ60" s="105"/>
      <c r="AR60" s="105"/>
      <c r="AS60" s="105"/>
      <c r="AT60" s="105"/>
      <c r="AU60" s="105"/>
      <c r="AV60" s="105"/>
      <c r="AW60" s="105"/>
      <c r="AX60" s="105"/>
      <c r="AY60" s="105"/>
      <c r="AZ60" s="105"/>
      <c r="BA60" s="543"/>
      <c r="BB60" s="543"/>
      <c r="BC60" s="543"/>
      <c r="BD60" s="543"/>
      <c r="BE60" s="543"/>
      <c r="BF60" s="543"/>
      <c r="BG60" s="543"/>
      <c r="BH60" s="543"/>
      <c r="BI60" s="543"/>
      <c r="BJ60" s="543"/>
      <c r="BK60" s="543"/>
      <c r="BL60" s="543"/>
      <c r="BM60" s="543"/>
      <c r="BN60" s="543"/>
      <c r="BO60" s="544"/>
    </row>
    <row r="61" spans="1:67">
      <c r="B61" s="186" t="s">
        <v>157</v>
      </c>
      <c r="C61" s="198"/>
      <c r="D61" s="154">
        <f>SUM(D57:D59)+D54</f>
        <v>-24033944.982098967</v>
      </c>
      <c r="E61" s="154">
        <f>SUM(E57:E59)+E54</f>
        <v>0</v>
      </c>
      <c r="F61" s="154">
        <f t="shared" ref="F61:AZ61" si="75">SUM(F57:F59)+F54</f>
        <v>0</v>
      </c>
      <c r="G61" s="154">
        <f t="shared" si="75"/>
        <v>0</v>
      </c>
      <c r="H61" s="154">
        <f t="shared" si="75"/>
        <v>0</v>
      </c>
      <c r="I61" s="154">
        <f t="shared" si="75"/>
        <v>0</v>
      </c>
      <c r="J61" s="154">
        <f t="shared" si="75"/>
        <v>0</v>
      </c>
      <c r="K61" s="154">
        <f t="shared" si="75"/>
        <v>0</v>
      </c>
      <c r="L61" s="154">
        <f t="shared" si="75"/>
        <v>0</v>
      </c>
      <c r="M61" s="154">
        <f t="shared" si="75"/>
        <v>0</v>
      </c>
      <c r="N61" s="154">
        <f t="shared" si="75"/>
        <v>0</v>
      </c>
      <c r="O61" s="154">
        <f t="shared" si="75"/>
        <v>0</v>
      </c>
      <c r="P61" s="154">
        <f t="shared" si="75"/>
        <v>0</v>
      </c>
      <c r="Q61" s="154">
        <f t="shared" si="75"/>
        <v>0</v>
      </c>
      <c r="R61" s="154">
        <f t="shared" si="75"/>
        <v>0</v>
      </c>
      <c r="S61" s="154">
        <f t="shared" si="75"/>
        <v>0</v>
      </c>
      <c r="T61" s="154">
        <f t="shared" si="75"/>
        <v>0</v>
      </c>
      <c r="U61" s="154">
        <f t="shared" si="75"/>
        <v>0</v>
      </c>
      <c r="V61" s="154">
        <f t="shared" si="75"/>
        <v>0</v>
      </c>
      <c r="W61" s="154">
        <f t="shared" si="75"/>
        <v>0</v>
      </c>
      <c r="X61" s="154">
        <f t="shared" si="75"/>
        <v>55865.937070519256</v>
      </c>
      <c r="Y61" s="154">
        <f t="shared" si="75"/>
        <v>55865.937070519256</v>
      </c>
      <c r="Z61" s="154">
        <f t="shared" si="75"/>
        <v>55865.937070519256</v>
      </c>
      <c r="AA61" s="154">
        <f t="shared" si="75"/>
        <v>1567865.9370705192</v>
      </c>
      <c r="AB61" s="154">
        <f t="shared" si="75"/>
        <v>55865.937070519256</v>
      </c>
      <c r="AC61" s="154">
        <f t="shared" si="75"/>
        <v>55865.937070519256</v>
      </c>
      <c r="AD61" s="154">
        <f t="shared" si="75"/>
        <v>-1220620.9207049725</v>
      </c>
      <c r="AE61" s="154">
        <f t="shared" si="75"/>
        <v>160402.43820649723</v>
      </c>
      <c r="AF61" s="154">
        <f t="shared" si="75"/>
        <v>160402.43820649723</v>
      </c>
      <c r="AG61" s="154">
        <f t="shared" si="75"/>
        <v>160402.43820649723</v>
      </c>
      <c r="AH61" s="154">
        <f t="shared" si="75"/>
        <v>160402.43820649723</v>
      </c>
      <c r="AI61" s="154">
        <f t="shared" si="75"/>
        <v>160402.43820649723</v>
      </c>
      <c r="AJ61" s="154">
        <f t="shared" si="75"/>
        <v>174756.336958414</v>
      </c>
      <c r="AK61" s="154">
        <f t="shared" si="75"/>
        <v>174756.336958414</v>
      </c>
      <c r="AL61" s="154">
        <f t="shared" si="75"/>
        <v>174756.336958414</v>
      </c>
      <c r="AM61" s="154">
        <f t="shared" si="75"/>
        <v>174756.336958414</v>
      </c>
      <c r="AN61" s="154">
        <f t="shared" si="75"/>
        <v>174756.336958414</v>
      </c>
      <c r="AO61" s="154">
        <f t="shared" si="75"/>
        <v>174756.336958414</v>
      </c>
      <c r="AP61" s="154">
        <f t="shared" si="75"/>
        <v>93471.925282638869</v>
      </c>
      <c r="AQ61" s="154">
        <f t="shared" si="75"/>
        <v>93471.925282638811</v>
      </c>
      <c r="AR61" s="154">
        <f t="shared" si="75"/>
        <v>93471.925282638811</v>
      </c>
      <c r="AS61" s="154">
        <f t="shared" si="75"/>
        <v>93471.925282638811</v>
      </c>
      <c r="AT61" s="154">
        <f t="shared" si="75"/>
        <v>93471.925282638811</v>
      </c>
      <c r="AU61" s="154">
        <f t="shared" si="75"/>
        <v>93471.925282638869</v>
      </c>
      <c r="AV61" s="154">
        <f t="shared" si="75"/>
        <v>108277.02087538387</v>
      </c>
      <c r="AW61" s="154">
        <f t="shared" si="75"/>
        <v>108277.02087538387</v>
      </c>
      <c r="AX61" s="154">
        <f t="shared" si="75"/>
        <v>108277.02087538387</v>
      </c>
      <c r="AY61" s="154">
        <f t="shared" si="75"/>
        <v>108277.02087538387</v>
      </c>
      <c r="AZ61" s="493">
        <f t="shared" si="75"/>
        <v>108277.02087538387</v>
      </c>
      <c r="BA61" s="493">
        <f t="shared" ref="BA61:BF61" si="76">SUM(BA57:BA59)+BA54</f>
        <v>108277.02087538387</v>
      </c>
      <c r="BB61" s="493">
        <f t="shared" si="76"/>
        <v>108277.02087538387</v>
      </c>
      <c r="BC61" s="493">
        <f t="shared" si="76"/>
        <v>108277.02087538387</v>
      </c>
      <c r="BD61" s="493">
        <f t="shared" si="76"/>
        <v>108277.02087538387</v>
      </c>
      <c r="BE61" s="493">
        <f t="shared" si="76"/>
        <v>108277.02087538387</v>
      </c>
      <c r="BF61" s="493">
        <f t="shared" si="76"/>
        <v>108277.02087538387</v>
      </c>
      <c r="BG61" s="493">
        <f t="shared" ref="BG61:BO61" si="77">SUM(BG57:BG59)+BG54</f>
        <v>108277.02087538387</v>
      </c>
      <c r="BH61" s="493">
        <f t="shared" si="77"/>
        <v>123547.2608117474</v>
      </c>
      <c r="BI61" s="493">
        <f t="shared" si="77"/>
        <v>123547.2608117474</v>
      </c>
      <c r="BJ61" s="493">
        <f t="shared" si="77"/>
        <v>123547.26081174746</v>
      </c>
      <c r="BK61" s="493">
        <f t="shared" si="77"/>
        <v>123547.26081174746</v>
      </c>
      <c r="BL61" s="493">
        <f t="shared" si="77"/>
        <v>123547.2608117474</v>
      </c>
      <c r="BM61" s="493">
        <f t="shared" si="77"/>
        <v>47798762.401759155</v>
      </c>
      <c r="BN61" s="493">
        <f t="shared" si="77"/>
        <v>0</v>
      </c>
      <c r="BO61" s="494">
        <f t="shared" si="77"/>
        <v>0</v>
      </c>
    </row>
    <row r="62" spans="1:67">
      <c r="B62" s="206" t="s">
        <v>91</v>
      </c>
      <c r="C62" s="208">
        <f>XIRR(D61:BO61,D52:BO52)</f>
        <v>0.17446634173393252</v>
      </c>
      <c r="D62" s="151"/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  <c r="AC62" s="151"/>
      <c r="AD62" s="151"/>
      <c r="AE62" s="151"/>
      <c r="AF62" s="151"/>
      <c r="AG62" s="151"/>
      <c r="AH62" s="151"/>
      <c r="AI62" s="151"/>
      <c r="AJ62" s="151"/>
      <c r="AK62" s="151"/>
      <c r="AL62" s="151"/>
      <c r="AM62" s="151"/>
      <c r="AN62" s="151"/>
      <c r="AO62" s="151"/>
      <c r="AP62" s="151"/>
      <c r="AQ62" s="151"/>
      <c r="AR62" s="151"/>
      <c r="AS62" s="151"/>
      <c r="AT62" s="151"/>
      <c r="AU62" s="151"/>
      <c r="AV62" s="151"/>
      <c r="AW62" s="151"/>
      <c r="AX62" s="151"/>
      <c r="AY62" s="151"/>
      <c r="AZ62" s="151"/>
    </row>
    <row r="63" spans="1:67">
      <c r="B63" s="207" t="s">
        <v>92</v>
      </c>
      <c r="C63" s="209">
        <f>SUM(E61:BO61)/-D54</f>
        <v>2.1949696340659708</v>
      </c>
      <c r="D63" s="151"/>
      <c r="E63" s="151"/>
      <c r="F63" s="151"/>
      <c r="G63" s="151"/>
      <c r="H63" s="151"/>
      <c r="I63" s="151"/>
      <c r="J63" s="151"/>
      <c r="K63" s="151"/>
      <c r="L63" s="151"/>
      <c r="M63" s="151"/>
      <c r="N63" s="151"/>
      <c r="O63" s="151"/>
      <c r="P63" s="151"/>
      <c r="Q63" s="151"/>
      <c r="R63" s="151"/>
      <c r="S63" s="151"/>
      <c r="T63" s="151"/>
      <c r="U63" s="151"/>
      <c r="V63" s="151"/>
      <c r="W63" s="151"/>
      <c r="X63" s="151"/>
      <c r="Y63" s="151"/>
      <c r="Z63" s="151"/>
      <c r="AA63" s="151"/>
      <c r="AB63" s="151"/>
      <c r="AC63" s="151"/>
      <c r="AD63" s="151"/>
      <c r="AE63" s="151"/>
      <c r="AF63" s="151"/>
      <c r="AG63" s="151"/>
      <c r="AH63" s="151"/>
      <c r="AI63" s="151"/>
      <c r="AJ63" s="151"/>
      <c r="AK63" s="151"/>
      <c r="AL63" s="151"/>
      <c r="AM63" s="151"/>
      <c r="AN63" s="151"/>
      <c r="AO63" s="151"/>
      <c r="AP63" s="151"/>
      <c r="AQ63" s="151"/>
      <c r="AR63" s="151"/>
      <c r="AS63" s="151"/>
      <c r="AT63" s="151"/>
      <c r="AU63" s="151"/>
      <c r="AV63" s="151"/>
      <c r="AW63" s="151"/>
      <c r="AX63" s="151"/>
      <c r="AY63" s="151"/>
      <c r="AZ63" s="151"/>
    </row>
    <row r="66" spans="1:78" ht="15.75">
      <c r="B66" s="202" t="s">
        <v>89</v>
      </c>
      <c r="C66" s="205">
        <f>Dashboard!B67</f>
        <v>47880</v>
      </c>
      <c r="BA66" s="42"/>
      <c r="BB66" s="42"/>
      <c r="BC66" s="42"/>
      <c r="BD66" s="42"/>
      <c r="BE66" s="42"/>
      <c r="BF66" s="42"/>
      <c r="BG66" s="42"/>
      <c r="BH66" s="42"/>
      <c r="BI66" s="42"/>
      <c r="BJ66" s="42"/>
      <c r="BK66" s="42"/>
      <c r="BL66" s="42"/>
      <c r="BM66" s="42"/>
      <c r="BN66" s="42"/>
      <c r="BO66" s="42"/>
    </row>
    <row r="67" spans="1:78" ht="15.75">
      <c r="B67" s="204" t="s">
        <v>81</v>
      </c>
      <c r="C67" s="203">
        <f>Dashboard!C67</f>
        <v>6.083333333333333</v>
      </c>
      <c r="BA67" s="42"/>
      <c r="BB67" s="42"/>
      <c r="BC67" s="42"/>
      <c r="BD67" s="42"/>
      <c r="BE67" s="42"/>
      <c r="BF67" s="42"/>
      <c r="BG67" s="42"/>
      <c r="BH67" s="42"/>
      <c r="BI67" s="42"/>
      <c r="BJ67" s="42"/>
      <c r="BK67" s="42"/>
      <c r="BL67" s="42"/>
      <c r="BM67" s="42"/>
      <c r="BN67" s="42"/>
      <c r="BO67" s="42"/>
    </row>
    <row r="68" spans="1:78" ht="21" customHeight="1">
      <c r="A68">
        <v>1</v>
      </c>
      <c r="B68" s="197" t="s">
        <v>115</v>
      </c>
      <c r="C68" s="197"/>
      <c r="D68" s="405">
        <f>Dashboard!$F$54</f>
        <v>45658</v>
      </c>
      <c r="E68" s="354">
        <f>IF((D68+1)=$C66,$C66,EOMONTH(D68,1))</f>
        <v>45716</v>
      </c>
      <c r="F68" s="354">
        <f>IF((E68+1)=$C66,$C66,EOMONTH(E68,1))</f>
        <v>45747</v>
      </c>
      <c r="G68" s="354">
        <f t="shared" ref="G68" si="78">IF((F68+1)=$C66,$C66,EOMONTH(F68,1))</f>
        <v>45777</v>
      </c>
      <c r="H68" s="354">
        <f t="shared" ref="H68" si="79">IF((G68+1)=$C66,$C66,EOMONTH(G68,1))</f>
        <v>45808</v>
      </c>
      <c r="I68" s="354">
        <f t="shared" ref="I68" si="80">IF((H68+1)=$C66,$C66,EOMONTH(H68,1))</f>
        <v>45838</v>
      </c>
      <c r="J68" s="354">
        <f t="shared" ref="J68" si="81">IF((I68+1)=$C66,$C66,EOMONTH(I68,1))</f>
        <v>45869</v>
      </c>
      <c r="K68" s="354">
        <f t="shared" ref="K68" si="82">IF((J68+1)=$C66,$C66,EOMONTH(J68,1))</f>
        <v>45900</v>
      </c>
      <c r="L68" s="354">
        <f t="shared" ref="L68" si="83">IF((K68+1)=$C66,$C66,EOMONTH(K68,1))</f>
        <v>45930</v>
      </c>
      <c r="M68" s="354">
        <f t="shared" ref="M68" si="84">IF((L68+1)=$C66,$C66,EOMONTH(L68,1))</f>
        <v>45961</v>
      </c>
      <c r="N68" s="354">
        <f t="shared" ref="N68" si="85">IF((M68+1)=$C66,$C66,EOMONTH(M68,1))</f>
        <v>45991</v>
      </c>
      <c r="O68" s="354">
        <f t="shared" ref="O68" si="86">IF((N68+1)=$C66,$C66,EOMONTH(N68,1))</f>
        <v>46022</v>
      </c>
      <c r="P68" s="354">
        <f t="shared" ref="P68" si="87">IF((O68+1)=$C66,$C66,EOMONTH(O68,1))</f>
        <v>46053</v>
      </c>
      <c r="Q68" s="354">
        <f t="shared" ref="Q68" si="88">IF((P68+1)=$C66,$C66,EOMONTH(P68,1))</f>
        <v>46081</v>
      </c>
      <c r="R68" s="354">
        <f t="shared" ref="R68" si="89">IF((Q68+1)=$C66,$C66,EOMONTH(Q68,1))</f>
        <v>46112</v>
      </c>
      <c r="S68" s="354">
        <f t="shared" ref="S68" si="90">IF((R68+1)=$C66,$C66,EOMONTH(R68,1))</f>
        <v>46142</v>
      </c>
      <c r="T68" s="354">
        <f t="shared" ref="T68" si="91">IF((S68+1)=$C66,$C66,EOMONTH(S68,1))</f>
        <v>46173</v>
      </c>
      <c r="U68" s="354">
        <f t="shared" ref="U68" si="92">IF((T68+1)=$C66,$C66,EOMONTH(T68,1))</f>
        <v>46203</v>
      </c>
      <c r="V68" s="354">
        <f t="shared" ref="V68" si="93">IF((U68+1)=$C66,$C66,EOMONTH(U68,1))</f>
        <v>46234</v>
      </c>
      <c r="W68" s="354">
        <f t="shared" ref="W68" si="94">IF((V68+1)=$C66,$C66,EOMONTH(V68,1))</f>
        <v>46265</v>
      </c>
      <c r="X68" s="354">
        <f t="shared" ref="X68" si="95">IF((W68+1)=$C66,$C66,EOMONTH(W68,1))</f>
        <v>46295</v>
      </c>
      <c r="Y68" s="354">
        <f t="shared" ref="Y68" si="96">IF((X68+1)=$C66,$C66,EOMONTH(X68,1))</f>
        <v>46326</v>
      </c>
      <c r="Z68" s="354">
        <f t="shared" ref="Z68" si="97">IF((Y68+1)=$C66,$C66,EOMONTH(Y68,1))</f>
        <v>46356</v>
      </c>
      <c r="AA68" s="354">
        <f t="shared" ref="AA68" si="98">IF((Z68+1)=$C66,$C66,EOMONTH(Z68,1))</f>
        <v>46387</v>
      </c>
      <c r="AB68" s="354">
        <f t="shared" ref="AB68" si="99">IF((AA68+1)=$C66,$C66,EOMONTH(AA68,1))</f>
        <v>46418</v>
      </c>
      <c r="AC68" s="354">
        <f t="shared" ref="AC68" si="100">IF((AB68+1)=$C66,$C66,EOMONTH(AB68,1))</f>
        <v>46446</v>
      </c>
      <c r="AD68" s="354">
        <f t="shared" ref="AD68" si="101">IF((AC68+1)=$C66,$C66,EOMONTH(AC68,1))</f>
        <v>46477</v>
      </c>
      <c r="AE68" s="354">
        <f t="shared" ref="AE68" si="102">IF((AD68+1)=$C66,$C66,EOMONTH(AD68,1))</f>
        <v>46507</v>
      </c>
      <c r="AF68" s="354">
        <f t="shared" ref="AF68" si="103">IF((AE68+1)=$C66,$C66,EOMONTH(AE68,1))</f>
        <v>46538</v>
      </c>
      <c r="AG68" s="354">
        <f t="shared" ref="AG68" si="104">IF((AF68+1)=$C66,$C66,EOMONTH(AF68,1))</f>
        <v>46568</v>
      </c>
      <c r="AH68" s="354">
        <f t="shared" ref="AH68" si="105">IF((AG68+1)=$C66,$C66,EOMONTH(AG68,1))</f>
        <v>46599</v>
      </c>
      <c r="AI68" s="354">
        <f t="shared" ref="AI68" si="106">IF((AH68+1)=$C66,$C66,EOMONTH(AH68,1))</f>
        <v>46630</v>
      </c>
      <c r="AJ68" s="354">
        <f t="shared" ref="AJ68" si="107">IF((AI68+1)=$C66,$C66,EOMONTH(AI68,1))</f>
        <v>46660</v>
      </c>
      <c r="AK68" s="354">
        <f t="shared" ref="AK68" si="108">IF((AJ68+1)=$C66,$C66,EOMONTH(AJ68,1))</f>
        <v>46691</v>
      </c>
      <c r="AL68" s="354">
        <f t="shared" ref="AL68" si="109">IF((AK68+1)=$C66,$C66,EOMONTH(AK68,1))</f>
        <v>46721</v>
      </c>
      <c r="AM68" s="354">
        <f t="shared" ref="AM68" si="110">IF((AL68+1)=$C66,$C66,EOMONTH(AL68,1))</f>
        <v>46752</v>
      </c>
      <c r="AN68" s="354">
        <f t="shared" ref="AN68" si="111">IF((AM68+1)=$C66,$C66,EOMONTH(AM68,1))</f>
        <v>46783</v>
      </c>
      <c r="AO68" s="354">
        <f t="shared" ref="AO68" si="112">IF((AN68+1)=$C66,$C66,EOMONTH(AN68,1))</f>
        <v>46812</v>
      </c>
      <c r="AP68" s="354">
        <f t="shared" ref="AP68" si="113">IF((AO68+1)=$C66,$C66,EOMONTH(AO68,1))</f>
        <v>46843</v>
      </c>
      <c r="AQ68" s="354">
        <f t="shared" ref="AQ68" si="114">IF((AP68+1)=$C66,$C66,EOMONTH(AP68,1))</f>
        <v>46873</v>
      </c>
      <c r="AR68" s="354">
        <f t="shared" ref="AR68" si="115">IF((AQ68+1)=$C66,$C66,EOMONTH(AQ68,1))</f>
        <v>46904</v>
      </c>
      <c r="AS68" s="354">
        <f t="shared" ref="AS68" si="116">IF((AR68+1)=$C66,$C66,EOMONTH(AR68,1))</f>
        <v>46934</v>
      </c>
      <c r="AT68" s="354">
        <f t="shared" ref="AT68" si="117">IF((AS68+1)=$C66,$C66,EOMONTH(AS68,1))</f>
        <v>46965</v>
      </c>
      <c r="AU68" s="354">
        <f t="shared" ref="AU68" si="118">IF((AT68+1)=$C66,$C66,EOMONTH(AT68,1))</f>
        <v>46996</v>
      </c>
      <c r="AV68" s="354">
        <f t="shared" ref="AV68" si="119">IF((AU68+1)=$C66,$C66,EOMONTH(AU68,1))</f>
        <v>47026</v>
      </c>
      <c r="AW68" s="354">
        <f t="shared" ref="AW68" si="120">IF((AV68+1)=$C66,$C66,EOMONTH(AV68,1))</f>
        <v>47057</v>
      </c>
      <c r="AX68" s="354">
        <f t="shared" ref="AX68" si="121">IF((AW68+1)=$C66,$C66,EOMONTH(AW68,1))</f>
        <v>47087</v>
      </c>
      <c r="AY68" s="354">
        <f t="shared" ref="AY68" si="122">IF((AX68+1)=$C66,$C66,EOMONTH(AX68,1))</f>
        <v>47118</v>
      </c>
      <c r="AZ68" s="354">
        <f t="shared" ref="AZ68" si="123">IF((AY68+1)=$C66,$C66,EOMONTH(AY68,1))</f>
        <v>47149</v>
      </c>
      <c r="BA68" s="354">
        <f t="shared" ref="BA68" si="124">IF((AZ68+1)=$C66,$C66,EOMONTH(AZ68,1))</f>
        <v>47177</v>
      </c>
      <c r="BB68" s="354">
        <f t="shared" ref="BB68" si="125">IF((BA68+1)=$C66,$C66,EOMONTH(BA68,1))</f>
        <v>47208</v>
      </c>
      <c r="BC68" s="354">
        <f t="shared" ref="BC68" si="126">IF((BB68+1)=$C66,$C66,EOMONTH(BB68,1))</f>
        <v>47238</v>
      </c>
      <c r="BD68" s="354">
        <f t="shared" ref="BD68" si="127">IF((BC68+1)=$C66,$C66,EOMONTH(BC68,1))</f>
        <v>47269</v>
      </c>
      <c r="BE68" s="354">
        <f t="shared" ref="BE68" si="128">IF((BD68+1)=$C66,$C66,EOMONTH(BD68,1))</f>
        <v>47299</v>
      </c>
      <c r="BF68" s="354">
        <f t="shared" ref="BF68" si="129">IF((BE68+1)=$C66,$C66,EOMONTH(BE68,1))</f>
        <v>47330</v>
      </c>
      <c r="BG68" s="354">
        <f t="shared" ref="BG68" si="130">IF((BF68+1)=$C66,$C66,EOMONTH(BF68,1))</f>
        <v>47361</v>
      </c>
      <c r="BH68" s="354">
        <f t="shared" ref="BH68" si="131">IF((BG68+1)=$C66,$C66,EOMONTH(BG68,1))</f>
        <v>47391</v>
      </c>
      <c r="BI68" s="354">
        <f t="shared" ref="BI68" si="132">IF((BH68+1)=$C66,$C66,EOMONTH(BH68,1))</f>
        <v>47422</v>
      </c>
      <c r="BJ68" s="354">
        <f t="shared" ref="BJ68" si="133">IF((BI68+1)=$C66,$C66,EOMONTH(BI68,1))</f>
        <v>47452</v>
      </c>
      <c r="BK68" s="354">
        <f t="shared" ref="BK68" si="134">IF((BJ68+1)=$C66,$C66,EOMONTH(BJ68,1))</f>
        <v>47483</v>
      </c>
      <c r="BL68" s="354">
        <f t="shared" ref="BL68" si="135">IF((BK68+1)=$C66,$C66,EOMONTH(BK68,1))</f>
        <v>47514</v>
      </c>
      <c r="BM68" s="354">
        <f t="shared" ref="BM68" si="136">IF((BL68+1)=$C66,$C66,EOMONTH(BL68,1))</f>
        <v>47542</v>
      </c>
      <c r="BN68" s="354">
        <f t="shared" ref="BN68" si="137">IF((BM68+1)=$C66,$C66,EOMONTH(BM68,1))</f>
        <v>47573</v>
      </c>
      <c r="BO68" s="770">
        <f t="shared" ref="BO68:BZ68" si="138">IF((BN68+1)=$C66,$C66,EOMONTH(BN68,1))</f>
        <v>47603</v>
      </c>
      <c r="BP68" s="770">
        <f t="shared" si="138"/>
        <v>47634</v>
      </c>
      <c r="BQ68" s="770">
        <f t="shared" si="138"/>
        <v>47664</v>
      </c>
      <c r="BR68" s="770">
        <f t="shared" si="138"/>
        <v>47695</v>
      </c>
      <c r="BS68" s="770">
        <f t="shared" si="138"/>
        <v>47726</v>
      </c>
      <c r="BT68" s="770">
        <f t="shared" si="138"/>
        <v>47756</v>
      </c>
      <c r="BU68" s="770">
        <f t="shared" si="138"/>
        <v>47787</v>
      </c>
      <c r="BV68" s="770">
        <f t="shared" si="138"/>
        <v>47817</v>
      </c>
      <c r="BW68" s="770">
        <f t="shared" si="138"/>
        <v>47848</v>
      </c>
      <c r="BX68" s="770">
        <f t="shared" si="138"/>
        <v>47879</v>
      </c>
      <c r="BY68" s="770">
        <f t="shared" si="138"/>
        <v>47880</v>
      </c>
      <c r="BZ68" s="770">
        <f t="shared" si="138"/>
        <v>47938</v>
      </c>
    </row>
    <row r="69" spans="1:78">
      <c r="A69">
        <v>2</v>
      </c>
      <c r="B69" s="184" t="s">
        <v>162</v>
      </c>
      <c r="C69" s="29"/>
      <c r="D69" s="105"/>
      <c r="E69" s="105"/>
      <c r="F69" s="105"/>
      <c r="G69" s="105"/>
      <c r="H69" s="105"/>
      <c r="I69" s="105"/>
      <c r="J69" s="105"/>
      <c r="K69" s="105"/>
      <c r="L69" s="105"/>
      <c r="M69" s="105"/>
      <c r="N69" s="105"/>
      <c r="O69" s="105"/>
      <c r="P69" s="105"/>
      <c r="Q69" s="105"/>
      <c r="R69" s="105"/>
      <c r="S69" s="105"/>
      <c r="T69" s="105"/>
      <c r="U69" s="105"/>
      <c r="V69" s="105"/>
      <c r="W69" s="105"/>
      <c r="X69" s="105"/>
      <c r="Y69" s="105"/>
      <c r="Z69" s="105"/>
      <c r="AA69" s="105"/>
      <c r="AB69" s="105"/>
      <c r="AC69" s="105"/>
      <c r="AD69" s="105"/>
      <c r="AE69" s="105"/>
      <c r="AF69" s="105"/>
      <c r="AG69" s="105"/>
      <c r="AH69" s="105"/>
      <c r="AI69" s="105"/>
      <c r="AJ69" s="105"/>
      <c r="AK69" s="105"/>
      <c r="AL69" s="105"/>
      <c r="AM69" s="105"/>
      <c r="AN69" s="105"/>
      <c r="AO69" s="105"/>
      <c r="AP69" s="105"/>
      <c r="AQ69" s="105"/>
      <c r="AR69" s="105"/>
      <c r="AS69" s="105"/>
      <c r="AT69" s="105"/>
      <c r="AU69" s="105"/>
      <c r="AV69" s="105"/>
      <c r="AW69" s="105"/>
      <c r="AX69" s="105"/>
      <c r="AY69" s="105"/>
      <c r="AZ69" s="105"/>
      <c r="BA69" s="541"/>
      <c r="BB69" s="541"/>
      <c r="BC69" s="541"/>
      <c r="BD69" s="541"/>
      <c r="BE69" s="541"/>
      <c r="BF69" s="541"/>
      <c r="BG69" s="541"/>
      <c r="BH69" s="541"/>
      <c r="BI69" s="541"/>
      <c r="BJ69" s="541"/>
      <c r="BK69" s="541"/>
      <c r="BL69" s="541"/>
      <c r="BM69" s="541"/>
      <c r="BN69" s="541"/>
      <c r="BO69" s="541"/>
      <c r="BP69" s="541"/>
      <c r="BQ69" s="541"/>
      <c r="BR69" s="541"/>
      <c r="BS69" s="541"/>
      <c r="BT69" s="541"/>
      <c r="BU69" s="541"/>
      <c r="BV69" s="541"/>
      <c r="BW69" s="541"/>
      <c r="BX69" s="541"/>
      <c r="BY69" s="541"/>
      <c r="BZ69" s="541"/>
    </row>
    <row r="70" spans="1:78">
      <c r="A70">
        <v>3</v>
      </c>
      <c r="B70" s="168" t="str">
        <f>Dashboard!$E$54</f>
        <v>Initial Equity Investment</v>
      </c>
      <c r="C70" s="5"/>
      <c r="D70" s="105">
        <f>-SUM(Dashboard!$F$9:$F$10)</f>
        <v>-24033944.982098967</v>
      </c>
      <c r="E70" s="105"/>
      <c r="F70" s="105"/>
      <c r="G70" s="105"/>
      <c r="H70" s="105"/>
      <c r="I70" s="105"/>
      <c r="J70" s="105"/>
      <c r="K70" s="105"/>
      <c r="L70" s="105"/>
      <c r="M70" s="105"/>
      <c r="N70" s="105"/>
      <c r="O70" s="105"/>
      <c r="P70" s="105"/>
      <c r="Q70" s="105"/>
      <c r="R70" s="105"/>
      <c r="S70" s="105"/>
      <c r="T70" s="105"/>
      <c r="U70" s="105"/>
      <c r="V70" s="105"/>
      <c r="W70" s="105"/>
      <c r="X70" s="105"/>
      <c r="Y70" s="105"/>
      <c r="Z70" s="105"/>
      <c r="AA70" s="105"/>
      <c r="AB70" s="105"/>
      <c r="AC70" s="105"/>
      <c r="AD70" s="105"/>
      <c r="AE70" s="105"/>
      <c r="AF70" s="105"/>
      <c r="AG70" s="105"/>
      <c r="AH70" s="105"/>
      <c r="AI70" s="105"/>
      <c r="AJ70" s="105"/>
      <c r="AK70" s="105"/>
      <c r="AL70" s="105"/>
      <c r="AM70" s="105"/>
      <c r="AN70" s="105"/>
      <c r="AO70" s="105"/>
      <c r="AP70" s="105"/>
      <c r="AQ70" s="105"/>
      <c r="AR70" s="105"/>
      <c r="AS70" s="105"/>
      <c r="AT70" s="105"/>
      <c r="AU70" s="105"/>
      <c r="AV70" s="105"/>
      <c r="AW70" s="105"/>
      <c r="AX70" s="105"/>
      <c r="AY70" s="105"/>
      <c r="AZ70" s="105"/>
      <c r="BA70" s="105"/>
      <c r="BB70" s="105"/>
      <c r="BC70" s="105"/>
      <c r="BD70" s="105"/>
      <c r="BE70" s="105"/>
      <c r="BF70" s="105"/>
      <c r="BG70" s="105"/>
      <c r="BH70" s="105"/>
      <c r="BI70" s="105"/>
      <c r="BJ70" s="105"/>
      <c r="BK70" s="105"/>
      <c r="BL70" s="105"/>
      <c r="BM70" s="105"/>
      <c r="BN70" s="105"/>
      <c r="BO70" s="105"/>
      <c r="BP70" s="105"/>
      <c r="BQ70" s="105"/>
      <c r="BR70" s="105"/>
      <c r="BS70" s="105"/>
      <c r="BT70" s="105"/>
      <c r="BU70" s="105"/>
      <c r="BV70" s="105"/>
      <c r="BW70" s="105"/>
      <c r="BX70" s="105"/>
      <c r="BY70" s="105"/>
      <c r="BZ70" s="105"/>
    </row>
    <row r="71" spans="1:78" ht="6.75" customHeight="1">
      <c r="A71">
        <v>4</v>
      </c>
      <c r="B71" s="168"/>
      <c r="C71" s="5"/>
      <c r="D71" s="105"/>
      <c r="E71" s="105"/>
      <c r="F71" s="105"/>
      <c r="G71" s="105"/>
      <c r="H71" s="105"/>
      <c r="I71" s="105"/>
      <c r="J71" s="105"/>
      <c r="K71" s="105"/>
      <c r="L71" s="105"/>
      <c r="M71" s="105"/>
      <c r="N71" s="105"/>
      <c r="O71" s="105"/>
      <c r="P71" s="105"/>
      <c r="Q71" s="105"/>
      <c r="R71" s="105"/>
      <c r="S71" s="105"/>
      <c r="T71" s="105"/>
      <c r="U71" s="105"/>
      <c r="V71" s="105"/>
      <c r="W71" s="105"/>
      <c r="X71" s="105"/>
      <c r="Y71" s="105"/>
      <c r="Z71" s="105"/>
      <c r="AA71" s="105"/>
      <c r="AB71" s="105"/>
      <c r="AC71" s="105"/>
      <c r="AD71" s="105"/>
      <c r="AE71" s="105"/>
      <c r="AF71" s="105"/>
      <c r="AG71" s="105"/>
      <c r="AH71" s="105"/>
      <c r="AI71" s="105"/>
      <c r="AJ71" s="105"/>
      <c r="AK71" s="105"/>
      <c r="AL71" s="105"/>
      <c r="AM71" s="105"/>
      <c r="AN71" s="105"/>
      <c r="AO71" s="105"/>
      <c r="AP71" s="105"/>
      <c r="AQ71" s="105"/>
      <c r="AR71" s="105"/>
      <c r="AS71" s="105"/>
      <c r="AT71" s="105"/>
      <c r="AU71" s="105"/>
      <c r="AV71" s="105"/>
      <c r="AW71" s="105"/>
      <c r="AX71" s="105"/>
      <c r="AY71" s="105"/>
      <c r="AZ71" s="105"/>
      <c r="BA71" s="105"/>
      <c r="BB71" s="105"/>
      <c r="BC71" s="105"/>
      <c r="BD71" s="105"/>
      <c r="BE71" s="105"/>
      <c r="BF71" s="105"/>
      <c r="BG71" s="105"/>
      <c r="BH71" s="105"/>
      <c r="BI71" s="105"/>
      <c r="BJ71" s="105"/>
      <c r="BK71" s="105"/>
      <c r="BL71" s="105"/>
      <c r="BM71" s="105"/>
      <c r="BN71" s="105"/>
      <c r="BO71" s="105"/>
      <c r="BP71" s="105"/>
      <c r="BQ71" s="105"/>
      <c r="BR71" s="105"/>
      <c r="BS71" s="105"/>
      <c r="BT71" s="105"/>
      <c r="BU71" s="105"/>
      <c r="BV71" s="105"/>
      <c r="BW71" s="105"/>
      <c r="BX71" s="105"/>
      <c r="BY71" s="105"/>
      <c r="BZ71" s="105"/>
    </row>
    <row r="72" spans="1:78">
      <c r="A72">
        <v>5</v>
      </c>
      <c r="B72" s="185" t="s">
        <v>163</v>
      </c>
      <c r="C72" s="29"/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  <c r="P72" s="151"/>
      <c r="Q72" s="151"/>
      <c r="R72" s="151"/>
      <c r="S72" s="151"/>
      <c r="T72" s="151"/>
      <c r="U72" s="151"/>
      <c r="V72" s="151"/>
      <c r="W72" s="151"/>
      <c r="X72" s="151"/>
      <c r="Y72" s="151"/>
      <c r="Z72" s="151"/>
      <c r="AA72" s="151"/>
      <c r="AB72" s="151"/>
      <c r="AC72" s="151"/>
      <c r="AD72" s="151"/>
      <c r="AE72" s="151"/>
      <c r="AF72" s="151"/>
      <c r="AG72" s="151"/>
      <c r="AH72" s="151"/>
      <c r="AI72" s="151"/>
      <c r="AJ72" s="151"/>
      <c r="AK72" s="151"/>
      <c r="AL72" s="151"/>
      <c r="AM72" s="151"/>
      <c r="AN72" s="151"/>
      <c r="AO72" s="151"/>
      <c r="AP72" s="151"/>
      <c r="AQ72" s="151"/>
      <c r="AR72" s="151"/>
      <c r="AS72" s="151"/>
      <c r="AT72" s="151"/>
      <c r="AU72" s="151"/>
      <c r="AV72" s="151"/>
      <c r="AW72" s="151"/>
      <c r="AX72" s="151"/>
      <c r="AY72" s="151"/>
      <c r="AZ72" s="151"/>
      <c r="BA72" s="151"/>
      <c r="BB72" s="151"/>
      <c r="BC72" s="151"/>
      <c r="BD72" s="151"/>
      <c r="BE72" s="151"/>
      <c r="BF72" s="151"/>
      <c r="BG72" s="151"/>
      <c r="BH72" s="151"/>
      <c r="BI72" s="151"/>
      <c r="BJ72" s="151"/>
      <c r="BK72" s="151"/>
      <c r="BL72" s="151"/>
      <c r="BM72" s="151"/>
      <c r="BN72" s="151"/>
      <c r="BO72" s="151"/>
      <c r="BP72" s="151"/>
      <c r="BQ72" s="151"/>
      <c r="BR72" s="151"/>
      <c r="BS72" s="151"/>
      <c r="BT72" s="151"/>
      <c r="BU72" s="151"/>
      <c r="BV72" s="151"/>
      <c r="BW72" s="151"/>
      <c r="BX72" s="151"/>
      <c r="BY72" s="151"/>
      <c r="BZ72" s="151"/>
    </row>
    <row r="73" spans="1:78">
      <c r="A73">
        <v>6</v>
      </c>
      <c r="B73" s="168" t="str">
        <f>'Monthly CF''s'!$B$58</f>
        <v>Net Property Cash Flows</v>
      </c>
      <c r="C73" s="5"/>
      <c r="D73" s="105"/>
      <c r="E73" s="105">
        <f>IF(E68&lt;$C66,SUMIFS('Monthly CF''s'!$P$58:$BK$58,'Monthly CF''s'!$P$2:$BK$2,"="&amp;E68),0)</f>
        <v>0</v>
      </c>
      <c r="F73" s="105">
        <f>IF(F68&lt;$C66,SUMIFS('Monthly CF''s'!$P$58:$BK$58,'Monthly CF''s'!$P$2:$BK$2,"="&amp;F68),0)</f>
        <v>0</v>
      </c>
      <c r="G73" s="105">
        <f>IF(G68&lt;$C66,SUMIFS('Monthly CF''s'!$P$58:$BK$58,'Monthly CF''s'!$P$2:$BK$2,"="&amp;G68),0)</f>
        <v>0</v>
      </c>
      <c r="H73" s="105">
        <f>IF(H68&lt;$C66,SUMIFS('Monthly CF''s'!$P$58:$BK$58,'Monthly CF''s'!$P$2:$BK$2,"="&amp;H68),0)</f>
        <v>0</v>
      </c>
      <c r="I73" s="105">
        <f>IF(I68&lt;$C66,SUMIFS('Monthly CF''s'!$P$58:$BK$58,'Monthly CF''s'!$P$2:$BK$2,"="&amp;I68),0)</f>
        <v>0</v>
      </c>
      <c r="J73" s="105">
        <f>IF(J68&lt;$C66,SUMIFS('Monthly CF''s'!$P$58:$BK$58,'Monthly CF''s'!$P$2:$BK$2,"="&amp;J68),0)</f>
        <v>0</v>
      </c>
      <c r="K73" s="105">
        <f>IF(K68&lt;$C66,SUMIFS('Monthly CF''s'!$P$58:$BK$58,'Monthly CF''s'!$P$2:$BK$2,"="&amp;K68),0)</f>
        <v>0</v>
      </c>
      <c r="L73" s="105">
        <f>IF(L68&lt;$C66,SUMIFS('Monthly CF''s'!$P$58:$BK$58,'Monthly CF''s'!$P$2:$BK$2,"="&amp;L68),0)</f>
        <v>0</v>
      </c>
      <c r="M73" s="105">
        <f>IF(M68&lt;$C66,SUMIFS('Monthly CF''s'!$P$58:$BK$58,'Monthly CF''s'!$P$2:$BK$2,"="&amp;M68),0)</f>
        <v>0</v>
      </c>
      <c r="N73" s="105">
        <f>IF(N68&lt;$C66,SUMIFS('Monthly CF''s'!$P$58:$BK$58,'Monthly CF''s'!$P$2:$BK$2,"="&amp;N68),0)</f>
        <v>0</v>
      </c>
      <c r="O73" s="105">
        <f>IF(O68&lt;$C66,SUMIFS('Monthly CF''s'!$P$58:$BK$58,'Monthly CF''s'!$P$2:$BK$2,"="&amp;O68),0)</f>
        <v>0</v>
      </c>
      <c r="P73" s="105">
        <f>IF(P68&lt;$C66,SUMIFS('Monthly CF''s'!$P$58:$BK$58,'Monthly CF''s'!$P$2:$BK$2,"="&amp;P68),0)</f>
        <v>0</v>
      </c>
      <c r="Q73" s="105">
        <f>IF(Q68&lt;$C66,SUMIFS('Monthly CF''s'!$P$58:$BK$58,'Monthly CF''s'!$P$2:$BK$2,"="&amp;Q68),0)</f>
        <v>0</v>
      </c>
      <c r="R73" s="105">
        <f>IF(R68&lt;$C66,SUMIFS('Monthly CF''s'!$P$58:$BK$58,'Monthly CF''s'!$P$2:$BK$2,"="&amp;R68),0)</f>
        <v>0</v>
      </c>
      <c r="S73" s="105">
        <f>IF(S68&lt;$C66,SUMIFS('Monthly CF''s'!$P$58:$BK$58,'Monthly CF''s'!$P$2:$BK$2,"="&amp;S68),0)</f>
        <v>0</v>
      </c>
      <c r="T73" s="105">
        <f>IF(T68&lt;$C66,SUMIFS('Monthly CF''s'!$P$58:$BK$58,'Monthly CF''s'!$P$2:$BK$2,"="&amp;T68),0)</f>
        <v>0</v>
      </c>
      <c r="U73" s="105">
        <f>IF(U68&lt;$C66,SUMIFS('Monthly CF''s'!$P$58:$BK$58,'Monthly CF''s'!$P$2:$BK$2,"="&amp;U68),0)</f>
        <v>0</v>
      </c>
      <c r="V73" s="105">
        <f>IF(V68&lt;$C66,SUMIFS('Monthly CF''s'!$P$58:$BK$58,'Monthly CF''s'!$P$2:$BK$2,"="&amp;V68),0)</f>
        <v>0</v>
      </c>
      <c r="W73" s="105">
        <f>IF(W68&lt;$C66,SUMIFS('Monthly CF''s'!$P$58:$BK$58,'Monthly CF''s'!$P$2:$BK$2,"="&amp;W68),0)</f>
        <v>0</v>
      </c>
      <c r="X73" s="105">
        <f>IF(X68&lt;$C66,SUMIFS('Monthly CF''s'!$P$58:$BK$58,'Monthly CF''s'!$P$2:$BK$2,"="&amp;X68),0)</f>
        <v>55865.937070519256</v>
      </c>
      <c r="Y73" s="105">
        <f>IF(Y68&lt;$C66,SUMIFS('Monthly CF''s'!$P$58:$BK$58,'Monthly CF''s'!$P$2:$BK$2,"="&amp;Y68),0)</f>
        <v>55865.937070519256</v>
      </c>
      <c r="Z73" s="105">
        <f>IF(Z68&lt;$C66,SUMIFS('Monthly CF''s'!$P$58:$BK$58,'Monthly CF''s'!$P$2:$BK$2,"="&amp;Z68),0)</f>
        <v>55865.937070519256</v>
      </c>
      <c r="AA73" s="105">
        <f>IF(AA68&lt;$C66,SUMIFS('Monthly CF''s'!$P$58:$BK$58,'Monthly CF''s'!$P$2:$BK$2,"="&amp;AA68),0)</f>
        <v>1567865.9370705192</v>
      </c>
      <c r="AB73" s="105">
        <f>IF(AB68&lt;$C66,SUMIFS('Monthly CF''s'!$P$58:$BK$58,'Monthly CF''s'!$P$2:$BK$2,"="&amp;AB68),0)</f>
        <v>55865.937070519256</v>
      </c>
      <c r="AC73" s="105">
        <f>IF(AC68&lt;$C66,SUMIFS('Monthly CF''s'!$P$58:$BK$58,'Monthly CF''s'!$P$2:$BK$2,"="&amp;AC68),0)</f>
        <v>55865.937070519256</v>
      </c>
      <c r="AD73" s="105">
        <f>IF(AD68&lt;$C66,SUMIFS('Monthly CF''s'!$P$58:$BK$58,'Monthly CF''s'!$P$2:$BK$2,"="&amp;AD68),0)</f>
        <v>160402.43820649723</v>
      </c>
      <c r="AE73" s="105">
        <f>IF(AE68&lt;$C66,SUMIFS('Monthly CF''s'!$P$58:$BK$58,'Monthly CF''s'!$P$2:$BK$2,"="&amp;AE68),0)</f>
        <v>160402.43820649723</v>
      </c>
      <c r="AF73" s="105">
        <f>IF(AF68&lt;$C66,SUMIFS('Monthly CF''s'!$P$58:$BK$58,'Monthly CF''s'!$P$2:$BK$2,"="&amp;AF68),0)</f>
        <v>160402.43820649723</v>
      </c>
      <c r="AG73" s="105">
        <f>IF(AG68&lt;$C66,SUMIFS('Monthly CF''s'!$P$58:$BK$58,'Monthly CF''s'!$P$2:$BK$2,"="&amp;AG68),0)</f>
        <v>160402.43820649723</v>
      </c>
      <c r="AH73" s="105">
        <f>IF(AH68&lt;$C66,SUMIFS('Monthly CF''s'!$P$58:$BK$58,'Monthly CF''s'!$P$2:$BK$2,"="&amp;AH68),0)</f>
        <v>160402.43820649723</v>
      </c>
      <c r="AI73" s="105">
        <f>IF(AI68&lt;$C66,SUMIFS('Monthly CF''s'!$P$58:$BK$58,'Monthly CF''s'!$P$2:$BK$2,"="&amp;AI68),0)</f>
        <v>160402.43820649723</v>
      </c>
      <c r="AJ73" s="105">
        <f>IF(AJ68&lt;$C66,SUMIFS('Monthly CF''s'!$P$58:$BK$58,'Monthly CF''s'!$P$2:$BK$2,"="&amp;AJ68),0)</f>
        <v>174756.336958414</v>
      </c>
      <c r="AK73" s="105">
        <f>IF(AK68&lt;$C66,SUMIFS('Monthly CF''s'!$P$58:$BK$58,'Monthly CF''s'!$P$2:$BK$2,"="&amp;AK68),0)</f>
        <v>174756.336958414</v>
      </c>
      <c r="AL73" s="105">
        <f>IF(AL68&lt;$C66,SUMIFS('Monthly CF''s'!$P$58:$BK$58,'Monthly CF''s'!$P$2:$BK$2,"="&amp;AL68),0)</f>
        <v>174756.336958414</v>
      </c>
      <c r="AM73" s="105">
        <f>IF(AM68&lt;$C66,SUMIFS('Monthly CF''s'!$P$58:$BK$58,'Monthly CF''s'!$P$2:$BK$2,"="&amp;AM68),0)</f>
        <v>174756.336958414</v>
      </c>
      <c r="AN73" s="105">
        <f>IF(AN68&lt;$C66,SUMIFS('Monthly CF''s'!$P$58:$BK$58,'Monthly CF''s'!$P$2:$BK$2,"="&amp;AN68),0)</f>
        <v>174756.336958414</v>
      </c>
      <c r="AO73" s="105">
        <f>IF(AO68&lt;$C66,SUMIFS('Monthly CF''s'!$P$58:$BK$58,'Monthly CF''s'!$P$2:$BK$2,"="&amp;AO68),0)</f>
        <v>174756.336958414</v>
      </c>
      <c r="AP73" s="105">
        <f>IF(AP68&lt;$C66,SUMIFS('Monthly CF''s'!$P$58:$BK$58,'Monthly CF''s'!$P$2:$BK$2,"="&amp;AP68),0)</f>
        <v>93471.925282638869</v>
      </c>
      <c r="AQ73" s="105">
        <f>IF(AQ68&lt;$C66,SUMIFS('Monthly CF''s'!$P$58:$BK$58,'Monthly CF''s'!$P$2:$BK$2,"="&amp;AQ68),0)</f>
        <v>93471.925282638811</v>
      </c>
      <c r="AR73" s="105">
        <f>IF(AR68&lt;$C66,SUMIFS('Monthly CF''s'!$P$58:$BK$58,'Monthly CF''s'!$P$2:$BK$2,"="&amp;AR68),0)</f>
        <v>93471.925282638811</v>
      </c>
      <c r="AS73" s="105">
        <f>IF(AS68&lt;$C66,SUMIFS('Monthly CF''s'!$P$58:$BK$58,'Monthly CF''s'!$P$2:$BK$2,"="&amp;AS68),0)</f>
        <v>93471.925282638811</v>
      </c>
      <c r="AT73" s="105">
        <f>IF(AT68&lt;$C66,SUMIFS('Monthly CF''s'!$P$58:$BK$58,'Monthly CF''s'!$P$2:$BK$2,"="&amp;AT68),0)</f>
        <v>93471.925282638811</v>
      </c>
      <c r="AU73" s="105">
        <f>IF(AU68&lt;$C66,SUMIFS('Monthly CF''s'!$P$58:$BK$58,'Monthly CF''s'!$P$2:$BK$2,"="&amp;AU68),0)</f>
        <v>93471.925282638869</v>
      </c>
      <c r="AV73" s="105">
        <f>IF(AV68&lt;$C66,SUMIFS('Monthly CF''s'!$P$58:$BK$58,'Monthly CF''s'!$P$2:$BK$2,"="&amp;AV68),0)</f>
        <v>108277.02087538387</v>
      </c>
      <c r="AW73" s="105">
        <f>IF(AW68&lt;$C66,SUMIFS('Monthly CF''s'!$P$58:$BK$58,'Monthly CF''s'!$P$2:$BK$2,"="&amp;AW68),0)</f>
        <v>108277.02087538387</v>
      </c>
      <c r="AX73" s="105">
        <f>IF(AX68&lt;$C66,SUMIFS('Monthly CF''s'!$P$58:$BK$58,'Monthly CF''s'!$P$2:$BK$2,"="&amp;AX68),0)</f>
        <v>108277.02087538387</v>
      </c>
      <c r="AY73" s="105">
        <f>IF(AY68&lt;$C66,SUMIFS('Monthly CF''s'!$P$58:$BK$58,'Monthly CF''s'!$P$2:$BK$2,"="&amp;AY68),0)</f>
        <v>108277.02087538387</v>
      </c>
      <c r="AZ73" s="105">
        <f>IF(AZ68&lt;$C66,SUMIFS('Monthly CF''s'!$P$58:$BK$58,'Monthly CF''s'!$P$2:$BK$2,"="&amp;AZ68),0)</f>
        <v>108277.02087538387</v>
      </c>
      <c r="BA73" s="105">
        <f>IF(BA68&lt;$C66,SUMIFS('Monthly CF''s'!$P$58:$BK$58,'Monthly CF''s'!$P$2:$BK$2,"="&amp;BA68),0)</f>
        <v>108277.02087538387</v>
      </c>
      <c r="BB73" s="105">
        <f>IF(BB68&lt;$C66,SUMIFS('Monthly CF''s'!$P$58:$BK$58,'Monthly CF''s'!$P$2:$BK$2,"="&amp;BB68),0)</f>
        <v>108277.02087538387</v>
      </c>
      <c r="BC73" s="105">
        <f>IF(BC68&lt;$C66,SUMIFS('Monthly CF''s'!$P$58:$BK$58,'Monthly CF''s'!$P$2:$BK$2,"="&amp;BC68),0)</f>
        <v>108277.02087538387</v>
      </c>
      <c r="BD73" s="105">
        <f>IF(BD68&lt;$C66,SUMIFS('Monthly CF''s'!$P$58:$BK$58,'Monthly CF''s'!$P$2:$BK$2,"="&amp;BD68),0)</f>
        <v>108277.02087538387</v>
      </c>
      <c r="BE73" s="105">
        <f>IF(BE68&lt;$C66,SUMIFS('Monthly CF''s'!$P$58:$BK$58,'Monthly CF''s'!$P$2:$BK$2,"="&amp;BE68),0)</f>
        <v>108277.02087538387</v>
      </c>
      <c r="BF73" s="105">
        <f>IF(BF68&lt;$C66,SUMIFS('Monthly CF''s'!$P$58:$BW$58,'Monthly CF''s'!$P$2:$BW$2,"="&amp;BF68),0)</f>
        <v>108277.02087538387</v>
      </c>
      <c r="BG73" s="105">
        <f>IF(BG68&lt;$C66,SUMIFS('Monthly CF''s'!$P$58:$BW$58,'Monthly CF''s'!$P$2:$BW$2,"="&amp;BG68),0)</f>
        <v>108277.02087538387</v>
      </c>
      <c r="BH73" s="105">
        <f>IF(BH68&lt;$C66,SUMIFS('Monthly CF''s'!$P$58:$BW$58,'Monthly CF''s'!$P$2:$BW$2,"="&amp;BH68),0)</f>
        <v>123547.2608117474</v>
      </c>
      <c r="BI73" s="105">
        <f>IF(BI68&lt;$C66,SUMIFS('Monthly CF''s'!$P$58:$BW$58,'Monthly CF''s'!$P$2:$BW$2,"="&amp;BI68),0)</f>
        <v>123547.2608117474</v>
      </c>
      <c r="BJ73" s="105">
        <f>IF(BJ68&lt;$C66,SUMIFS('Monthly CF''s'!$P$58:$BW$58,'Monthly CF''s'!$P$2:$BW$2,"="&amp;BJ68),0)</f>
        <v>123547.26081174746</v>
      </c>
      <c r="BK73" s="105">
        <f>IF(BK68&lt;$C66,SUMIFS('Monthly CF''s'!$P$58:$BW$58,'Monthly CF''s'!$P$2:$BW$2,"="&amp;BK68),0)</f>
        <v>123547.26081174746</v>
      </c>
      <c r="BL73" s="105">
        <f>IF(BL68&lt;$C66,SUMIFS('Monthly CF''s'!$P$58:$BW$58,'Monthly CF''s'!$P$2:$BW$2,"="&amp;BL68),0)</f>
        <v>123547.2608117474</v>
      </c>
      <c r="BM73" s="105">
        <f>IF(BM68&lt;$C66,SUMIFS('Monthly CF''s'!$P$58:$BW$58,'Monthly CF''s'!$P$2:$BW$2,"="&amp;BM68),0)</f>
        <v>123547.26081174734</v>
      </c>
      <c r="BN73" s="105">
        <f>IF(BN68&lt;$C66,SUMIFS('Monthly CF''s'!$P$58:$BW$58,'Monthly CF''s'!$P$2:$BW$2,"="&amp;BN68),0)</f>
        <v>123547.2608117474</v>
      </c>
      <c r="BO73" s="105">
        <f>IF(BO68&lt;$C66,SUMIFS('Monthly CF''s'!$P$58:$BW$58,'Monthly CF''s'!$P$2:$BW$2,"="&amp;BO68),0)</f>
        <v>123547.2608117474</v>
      </c>
      <c r="BP73" s="105">
        <f>IF(BP68&lt;$C66,SUMIFS('Monthly CF''s'!$P$58:$BW$58,'Monthly CF''s'!$P$2:$BW$2,"="&amp;BP68),0)</f>
        <v>123547.2608117474</v>
      </c>
      <c r="BQ73" s="105">
        <f>IF(BQ68&lt;$C66,SUMIFS('Monthly CF''s'!$P$58:$BW$58,'Monthly CF''s'!$P$2:$BW$2,"="&amp;BQ68),0)</f>
        <v>123547.2608117474</v>
      </c>
      <c r="BR73" s="105">
        <f>IF(BR68&lt;$C66,SUMIFS('Monthly CF''s'!$P$58:$BW$58,'Monthly CF''s'!$P$2:$BW$2,"="&amp;BR68),0)</f>
        <v>123547.2608117474</v>
      </c>
      <c r="BS73" s="105">
        <f>IF(BS68&lt;$C66,SUMIFS('Monthly CF''s'!$P$58:$BW$58,'Monthly CF''s'!$P$2:$BW$2,"="&amp;BS68),0)</f>
        <v>123547.2608117474</v>
      </c>
      <c r="BT73" s="105">
        <f>IF(BT68&lt;$C66,SUMIFS('Monthly CF''s'!$P$58:$BW$58,'Monthly CF''s'!$P$2:$BW$2,"="&amp;BT68),0)</f>
        <v>139270.16794622707</v>
      </c>
      <c r="BU73" s="105">
        <f>IF(BU68&lt;$C66,SUMIFS('Monthly CF''s'!$P$58:$BW$58,'Monthly CF''s'!$P$2:$BW$2,"="&amp;BU68),0)</f>
        <v>139270.16794622701</v>
      </c>
      <c r="BV73" s="105">
        <f>IF(BV68&lt;$C66,SUMIFS('Monthly CF''s'!$P$58:$BW$58,'Monthly CF''s'!$P$2:$BW$2,"="&amp;BV68),0)</f>
        <v>139270.16794622701</v>
      </c>
      <c r="BW73" s="105">
        <f>IF(BW68&lt;$C66,SUMIFS('Monthly CF''s'!$P$58:$BW$58,'Monthly CF''s'!$P$2:$BW$2,"="&amp;BW68),0)</f>
        <v>139270.16794622701</v>
      </c>
      <c r="BX73" s="105">
        <f>IF(BX68&lt;$C66,SUMIFS('Monthly CF''s'!$P$58:$BW$58,'Monthly CF''s'!$P$2:$BW$2,"="&amp;BX68),0)</f>
        <v>139270.16794622701</v>
      </c>
      <c r="BY73" s="105">
        <f>IF(BY68&lt;$C66,SUMIFS('Monthly CF''s'!$P$58:$BW$58,'Monthly CF''s'!$P$2:$BW$2,"="&amp;BY68),0)</f>
        <v>0</v>
      </c>
      <c r="BZ73" s="105">
        <f>IF(BZ68&lt;$C66,SUMIFS('Monthly CF''s'!$P$58:$BW$58,'Monthly CF''s'!$P$2:$BW$2,"="&amp;BZ68),0)</f>
        <v>0</v>
      </c>
    </row>
    <row r="74" spans="1:78">
      <c r="A74">
        <v>7</v>
      </c>
      <c r="B74" s="168" t="str">
        <f>'Monthly CF''s'!$B$59</f>
        <v>Net Refi Proceeds</v>
      </c>
      <c r="C74" s="5"/>
      <c r="D74" s="105"/>
      <c r="E74" s="105">
        <f>IF(E68&lt;$C66,SUMIFS('Monthly CF''s'!$P$59:$BK$59,'Monthly CF''s'!$P$2:$BK$2,"="&amp;E68),0)</f>
        <v>0</v>
      </c>
      <c r="F74" s="105">
        <f>IF(F68&lt;$C66,SUMIFS('Monthly CF''s'!$P$59:$BK$59,'Monthly CF''s'!$P$2:$BK$2,"="&amp;F68),0)</f>
        <v>0</v>
      </c>
      <c r="G74" s="105">
        <f>IF(G68&lt;$C66,SUMIFS('Monthly CF''s'!$P$59:$BK$59,'Monthly CF''s'!$P$2:$BK$2,"="&amp;G68),0)</f>
        <v>0</v>
      </c>
      <c r="H74" s="105">
        <f>IF(H68&lt;$C66,SUMIFS('Monthly CF''s'!$P$59:$BK$59,'Monthly CF''s'!$P$2:$BK$2,"="&amp;H68),0)</f>
        <v>0</v>
      </c>
      <c r="I74" s="105">
        <f>IF(I68&lt;$C66,SUMIFS('Monthly CF''s'!$P$59:$BK$59,'Monthly CF''s'!$P$2:$BK$2,"="&amp;I68),0)</f>
        <v>0</v>
      </c>
      <c r="J74" s="105">
        <f>IF(J68&lt;$C66,SUMIFS('Monthly CF''s'!$P$59:$BK$59,'Monthly CF''s'!$P$2:$BK$2,"="&amp;J68),0)</f>
        <v>0</v>
      </c>
      <c r="K74" s="105">
        <f>IF(K68&lt;$C66,SUMIFS('Monthly CF''s'!$P$59:$BK$59,'Monthly CF''s'!$P$2:$BK$2,"="&amp;K68),0)</f>
        <v>0</v>
      </c>
      <c r="L74" s="105">
        <f>IF(L68&lt;$C66,SUMIFS('Monthly CF''s'!$P$59:$BK$59,'Monthly CF''s'!$P$2:$BK$2,"="&amp;L68),0)</f>
        <v>0</v>
      </c>
      <c r="M74" s="105">
        <f>IF(M68&lt;$C66,SUMIFS('Monthly CF''s'!$P$59:$BK$59,'Monthly CF''s'!$P$2:$BK$2,"="&amp;M68),0)</f>
        <v>0</v>
      </c>
      <c r="N74" s="105">
        <f>IF(N68&lt;$C66,SUMIFS('Monthly CF''s'!$P$59:$BK$59,'Monthly CF''s'!$P$2:$BK$2,"="&amp;N68),0)</f>
        <v>0</v>
      </c>
      <c r="O74" s="105">
        <f>IF(O68&lt;$C66,SUMIFS('Monthly CF''s'!$P$59:$BK$59,'Monthly CF''s'!$P$2:$BK$2,"="&amp;O68),0)</f>
        <v>0</v>
      </c>
      <c r="P74" s="105">
        <f>IF(P68&lt;$C66,SUMIFS('Monthly CF''s'!$P$59:$BK$59,'Monthly CF''s'!$P$2:$BK$2,"="&amp;P68),0)</f>
        <v>0</v>
      </c>
      <c r="Q74" s="105">
        <f>IF(Q68&lt;$C66,SUMIFS('Monthly CF''s'!$P$59:$BK$59,'Monthly CF''s'!$P$2:$BK$2,"="&amp;Q68),0)</f>
        <v>0</v>
      </c>
      <c r="R74" s="105">
        <f>IF(R68&lt;$C66,SUMIFS('Monthly CF''s'!$P$59:$BK$59,'Monthly CF''s'!$P$2:$BK$2,"="&amp;R68),0)</f>
        <v>0</v>
      </c>
      <c r="S74" s="105">
        <f>IF(S68&lt;$C66,SUMIFS('Monthly CF''s'!$P$59:$BK$59,'Monthly CF''s'!$P$2:$BK$2,"="&amp;S68),0)</f>
        <v>0</v>
      </c>
      <c r="T74" s="105">
        <f>IF(T68&lt;$C66,SUMIFS('Monthly CF''s'!$P$59:$BK$59,'Monthly CF''s'!$P$2:$BK$2,"="&amp;T68),0)</f>
        <v>0</v>
      </c>
      <c r="U74" s="105">
        <f>IF(U68&lt;$C66,SUMIFS('Monthly CF''s'!$P$59:$BK$59,'Monthly CF''s'!$P$2:$BK$2,"="&amp;U68),0)</f>
        <v>0</v>
      </c>
      <c r="V74" s="105">
        <f>IF(V68&lt;$C66,SUMIFS('Monthly CF''s'!$P$59:$BK$59,'Monthly CF''s'!$P$2:$BK$2,"="&amp;V68),0)</f>
        <v>0</v>
      </c>
      <c r="W74" s="105">
        <f>IF(W68&lt;$C66,SUMIFS('Monthly CF''s'!$P$59:$BK$59,'Monthly CF''s'!$P$2:$BK$2,"="&amp;W68),0)</f>
        <v>0</v>
      </c>
      <c r="X74" s="105">
        <f>IF(X68&lt;$C66,SUMIFS('Monthly CF''s'!$P$59:$BK$59,'Monthly CF''s'!$P$2:$BK$2,"="&amp;X68),0)</f>
        <v>0</v>
      </c>
      <c r="Y74" s="105">
        <f>IF(Y68&lt;$C66,SUMIFS('Monthly CF''s'!$P$59:$BK$59,'Monthly CF''s'!$P$2:$BK$2,"="&amp;Y68),0)</f>
        <v>0</v>
      </c>
      <c r="Z74" s="105">
        <f>IF(Z68&lt;$C66,SUMIFS('Monthly CF''s'!$P$59:$BK$59,'Monthly CF''s'!$P$2:$BK$2,"="&amp;Z68),0)</f>
        <v>0</v>
      </c>
      <c r="AA74" s="105">
        <f>IF(AA68&lt;$C66,SUMIFS('Monthly CF''s'!$P$59:$BK$59,'Monthly CF''s'!$P$2:$BK$2,"="&amp;AA68),0)</f>
        <v>0</v>
      </c>
      <c r="AB74" s="105">
        <f>IF(AB68&lt;$C66,SUMIFS('Monthly CF''s'!$P$59:$BK$59,'Monthly CF''s'!$P$2:$BK$2,"="&amp;AB68),0)</f>
        <v>0</v>
      </c>
      <c r="AC74" s="105">
        <f>IF(AC68&lt;$C66,SUMIFS('Monthly CF''s'!$P$59:$BK$59,'Monthly CF''s'!$P$2:$BK$2,"="&amp;AC68),0)</f>
        <v>0</v>
      </c>
      <c r="AD74" s="105">
        <f>IF(AD68&lt;$C66,SUMIFS('Monthly CF''s'!$P$59:$BK$59,'Monthly CF''s'!$P$2:$BK$2,"="&amp;AD68),0)</f>
        <v>-1381023.3589114696</v>
      </c>
      <c r="AE74" s="105">
        <f>IF(AE68&lt;$C66,SUMIFS('Monthly CF''s'!$P$59:$BK$59,'Monthly CF''s'!$P$2:$BK$2,"="&amp;AE68),0)</f>
        <v>0</v>
      </c>
      <c r="AF74" s="105">
        <f>IF(AF68&lt;$C66,SUMIFS('Monthly CF''s'!$P$59:$BK$59,'Monthly CF''s'!$P$2:$BK$2,"="&amp;AF68),0)</f>
        <v>0</v>
      </c>
      <c r="AG74" s="105">
        <f>IF(AG68&lt;$C66,SUMIFS('Monthly CF''s'!$P$59:$BK$59,'Monthly CF''s'!$P$2:$BK$2,"="&amp;AG68),0)</f>
        <v>0</v>
      </c>
      <c r="AH74" s="105">
        <f>IF(AH68&lt;$C66,SUMIFS('Monthly CF''s'!$P$59:$BK$59,'Monthly CF''s'!$P$2:$BK$2,"="&amp;AH68),0)</f>
        <v>0</v>
      </c>
      <c r="AI74" s="105">
        <f>IF(AI68&lt;$C66,SUMIFS('Monthly CF''s'!$P$59:$BK$59,'Monthly CF''s'!$P$2:$BK$2,"="&amp;AI68),0)</f>
        <v>0</v>
      </c>
      <c r="AJ74" s="105">
        <f>IF(AJ68&lt;$C66,SUMIFS('Monthly CF''s'!$P$59:$BK$59,'Monthly CF''s'!$P$2:$BK$2,"="&amp;AJ68),0)</f>
        <v>0</v>
      </c>
      <c r="AK74" s="105">
        <f>IF(AK68&lt;$C66,SUMIFS('Monthly CF''s'!$P$59:$BK$59,'Monthly CF''s'!$P$2:$BK$2,"="&amp;AK68),0)</f>
        <v>0</v>
      </c>
      <c r="AL74" s="105">
        <f>IF(AL68&lt;$C66,SUMIFS('Monthly CF''s'!$P$59:$BK$59,'Monthly CF''s'!$P$2:$BK$2,"="&amp;AL68),0)</f>
        <v>0</v>
      </c>
      <c r="AM74" s="105">
        <f>IF(AM68&lt;$C66,SUMIFS('Monthly CF''s'!$P$59:$BK$59,'Monthly CF''s'!$P$2:$BK$2,"="&amp;AM68),0)</f>
        <v>0</v>
      </c>
      <c r="AN74" s="105">
        <f>IF(AN68&lt;$C66,SUMIFS('Monthly CF''s'!$P$59:$BK$59,'Monthly CF''s'!$P$2:$BK$2,"="&amp;AN68),0)</f>
        <v>0</v>
      </c>
      <c r="AO74" s="105">
        <f>IF(AO68&lt;$C66,SUMIFS('Monthly CF''s'!$P$59:$BK$59,'Monthly CF''s'!$P$2:$BK$2,"="&amp;AO68),0)</f>
        <v>0</v>
      </c>
      <c r="AP74" s="105">
        <f>IF(AP68&lt;$C66,SUMIFS('Monthly CF''s'!$P$59:$BK$59,'Monthly CF''s'!$P$2:$BK$2,"="&amp;AP68),0)</f>
        <v>0</v>
      </c>
      <c r="AQ74" s="105">
        <f>IF(AQ68&lt;$C66,SUMIFS('Monthly CF''s'!$P$59:$BK$59,'Monthly CF''s'!$P$2:$BK$2,"="&amp;AQ68),0)</f>
        <v>0</v>
      </c>
      <c r="AR74" s="105">
        <f>IF(AR68&lt;$C66,SUMIFS('Monthly CF''s'!$P$59:$BK$59,'Monthly CF''s'!$P$2:$BK$2,"="&amp;AR68),0)</f>
        <v>0</v>
      </c>
      <c r="AS74" s="105">
        <f>IF(AS68&lt;$C66,SUMIFS('Monthly CF''s'!$P$59:$BK$59,'Monthly CF''s'!$P$2:$BK$2,"="&amp;AS68),0)</f>
        <v>0</v>
      </c>
      <c r="AT74" s="105">
        <f>IF(AT68&lt;$C66,SUMIFS('Monthly CF''s'!$P$59:$BK$59,'Monthly CF''s'!$P$2:$BK$2,"="&amp;AT68),0)</f>
        <v>0</v>
      </c>
      <c r="AU74" s="105">
        <f>IF(AU68&lt;$C66,SUMIFS('Monthly CF''s'!$P$59:$BK$59,'Monthly CF''s'!$P$2:$BK$2,"="&amp;AU68),0)</f>
        <v>0</v>
      </c>
      <c r="AV74" s="105">
        <f>IF(AV68&lt;$C66,SUMIFS('Monthly CF''s'!$P$59:$BK$59,'Monthly CF''s'!$P$2:$BK$2,"="&amp;AV68),0)</f>
        <v>0</v>
      </c>
      <c r="AW74" s="105">
        <f>IF(AW68&lt;$C66,SUMIFS('Monthly CF''s'!$P$59:$BK$59,'Monthly CF''s'!$P$2:$BK$2,"="&amp;AW68),0)</f>
        <v>0</v>
      </c>
      <c r="AX74" s="105">
        <f>IF(AX68&lt;$C66,SUMIFS('Monthly CF''s'!$P$59:$BK$59,'Monthly CF''s'!$P$2:$BK$2,"="&amp;AX68),0)</f>
        <v>0</v>
      </c>
      <c r="AY74" s="105">
        <f>IF(AY68&lt;$C66,SUMIFS('Monthly CF''s'!$P$59:$BK$59,'Monthly CF''s'!$P$2:$BK$2,"="&amp;AY68),0)</f>
        <v>0</v>
      </c>
      <c r="AZ74" s="105">
        <f>IF(AZ68&lt;$C66,SUMIFS('Monthly CF''s'!$P$59:$BK$59,'Monthly CF''s'!$P$2:$BK$2,"="&amp;AZ68),0)</f>
        <v>0</v>
      </c>
      <c r="BA74" s="105">
        <f>IF(BA68&lt;$C66,SUMIFS('Monthly CF''s'!$P$59:$BK$59,'Monthly CF''s'!$P$2:$BK$2,"="&amp;BA68),0)</f>
        <v>0</v>
      </c>
      <c r="BB74" s="105">
        <f>IF(BB68&lt;$C66,SUMIFS('Monthly CF''s'!$P$59:$BK$59,'Monthly CF''s'!$P$2:$BK$2,"="&amp;BB68),0)</f>
        <v>0</v>
      </c>
      <c r="BC74" s="105">
        <f>IF(BC68&lt;$C66,SUMIFS('Monthly CF''s'!$P$59:$BK$59,'Monthly CF''s'!$P$2:$BK$2,"="&amp;BC68),0)</f>
        <v>0</v>
      </c>
      <c r="BD74" s="105">
        <f>IF(BD68&lt;$C66,SUMIFS('Monthly CF''s'!$P$59:$BK$59,'Monthly CF''s'!$P$2:$BK$2,"="&amp;BD68),0)</f>
        <v>0</v>
      </c>
      <c r="BE74" s="105">
        <f>IF(BE68&lt;$C66,SUMIFS('Monthly CF''s'!$P$59:$BK$59,'Monthly CF''s'!$P$2:$BK$2,"="&amp;BE68),0)</f>
        <v>0</v>
      </c>
      <c r="BF74" s="105">
        <f>IF(BF68&lt;$C66,SUMIFS('Monthly CF''s'!$P$59:$BK$59,'Monthly CF''s'!$P$2:$BK$2,"="&amp;BF68),0)</f>
        <v>0</v>
      </c>
      <c r="BG74" s="105">
        <f>IF(BG68&lt;$C66,SUMIFS('Monthly CF''s'!$P$59:$BK$59,'Monthly CF''s'!$P$2:$BK$2,"="&amp;BG68),0)</f>
        <v>0</v>
      </c>
      <c r="BH74" s="105">
        <f>IF(BH68&lt;$C66,SUMIFS('Monthly CF''s'!$P$59:$BK$59,'Monthly CF''s'!$P$2:$BK$2,"="&amp;BH68),0)</f>
        <v>0</v>
      </c>
      <c r="BI74" s="105">
        <f>IF(BI68&lt;$C66,SUMIFS('Monthly CF''s'!$P$59:$BK$59,'Monthly CF''s'!$P$2:$BK$2,"="&amp;BI68),0)</f>
        <v>0</v>
      </c>
      <c r="BJ74" s="105">
        <f>IF(BJ68&lt;$C66,SUMIFS('Monthly CF''s'!$P$59:$BK$59,'Monthly CF''s'!$P$2:$BK$2,"="&amp;BJ68),0)</f>
        <v>0</v>
      </c>
      <c r="BK74" s="105">
        <f>IF(BK68&lt;$C66,SUMIFS('Monthly CF''s'!$P$59:$BK$59,'Monthly CF''s'!$P$2:$BK$2,"="&amp;BK68),0)</f>
        <v>0</v>
      </c>
      <c r="BL74" s="105">
        <f>IF(BL68&lt;$C66,SUMIFS('Monthly CF''s'!$P$59:$BK$59,'Monthly CF''s'!$P$2:$BK$2,"="&amp;BL68),0)</f>
        <v>0</v>
      </c>
      <c r="BM74" s="105">
        <f>IF(BM68&lt;$C66,SUMIFS('Monthly CF''s'!$P$59:$BK$59,'Monthly CF''s'!$P$2:$BK$2,"="&amp;BM68),0)</f>
        <v>0</v>
      </c>
      <c r="BN74" s="105">
        <f>IF(BN68&lt;$C66,SUMIFS('Monthly CF''s'!$P$59:$BK$59,'Monthly CF''s'!$P$2:$BK$2,"="&amp;BN68),0)</f>
        <v>0</v>
      </c>
      <c r="BO74" s="105">
        <f>IF(BO68&lt;$C66,SUMIFS('Monthly CF''s'!$P$59:$BK$59,'Monthly CF''s'!$P$2:$BK$2,"="&amp;BO68),0)</f>
        <v>0</v>
      </c>
      <c r="BP74" s="105">
        <f>IF(BP68&lt;$C66,SUMIFS('Monthly CF''s'!$P$59:$BK$59,'Monthly CF''s'!$P$2:$BK$2,"="&amp;BP68),0)</f>
        <v>0</v>
      </c>
      <c r="BQ74" s="105">
        <f>IF(BQ68&lt;$C66,SUMIFS('Monthly CF''s'!$P$59:$BK$59,'Monthly CF''s'!$P$2:$BK$2,"="&amp;BQ68),0)</f>
        <v>0</v>
      </c>
      <c r="BR74" s="105">
        <f>IF(BR68&lt;$C66,SUMIFS('Monthly CF''s'!$P$59:$BK$59,'Monthly CF''s'!$P$2:$BK$2,"="&amp;BR68),0)</f>
        <v>0</v>
      </c>
      <c r="BS74" s="105">
        <f>IF(BS68&lt;$C66,SUMIFS('Monthly CF''s'!$P$59:$BK$59,'Monthly CF''s'!$P$2:$BK$2,"="&amp;BS68),0)</f>
        <v>0</v>
      </c>
      <c r="BT74" s="105">
        <f>IF(BT68&lt;$C66,SUMIFS('Monthly CF''s'!$P$59:$BK$59,'Monthly CF''s'!$P$2:$BK$2,"="&amp;BT68),0)</f>
        <v>0</v>
      </c>
      <c r="BU74" s="105">
        <f>IF(BU68&lt;$C66,SUMIFS('Monthly CF''s'!$P$59:$BK$59,'Monthly CF''s'!$P$2:$BK$2,"="&amp;BU68),0)</f>
        <v>0</v>
      </c>
      <c r="BV74" s="105">
        <f>IF(BV68&lt;$C66,SUMIFS('Monthly CF''s'!$P$59:$BK$59,'Monthly CF''s'!$P$2:$BK$2,"="&amp;BV68),0)</f>
        <v>0</v>
      </c>
      <c r="BW74" s="105">
        <f>IF(BW68&lt;$C66,SUMIFS('Monthly CF''s'!$P$59:$BK$59,'Monthly CF''s'!$P$2:$BK$2,"="&amp;BW68),0)</f>
        <v>0</v>
      </c>
      <c r="BX74" s="105">
        <f>IF(BX68&lt;$C66,SUMIFS('Monthly CF''s'!$P$59:$BK$59,'Monthly CF''s'!$P$2:$BK$2,"="&amp;BX68),0)</f>
        <v>0</v>
      </c>
      <c r="BY74" s="105">
        <f>IF(BY68&lt;$C66,SUMIFS('Monthly CF''s'!$P$59:$BK$59,'Monthly CF''s'!$P$2:$BK$2,"="&amp;BY68),0)</f>
        <v>0</v>
      </c>
      <c r="BZ74" s="105">
        <f>IF(BZ68&lt;$C66,SUMIFS('Monthly CF''s'!$P$59:$BK$59,'Monthly CF''s'!$P$2:$BK$2,"="&amp;BZ68),0)</f>
        <v>0</v>
      </c>
    </row>
    <row r="75" spans="1:78">
      <c r="A75">
        <v>8</v>
      </c>
      <c r="B75" s="168" t="str">
        <f>Dashboard!$G$58</f>
        <v>Net Sale Proceeds</v>
      </c>
      <c r="C75" s="5"/>
      <c r="D75" s="105"/>
      <c r="E75" s="105">
        <f>IF(E68=$C66,Dashboard!$O$58,0)</f>
        <v>0</v>
      </c>
      <c r="F75" s="105">
        <f>IF(F68=$C66,Dashboard!$O$58,0)</f>
        <v>0</v>
      </c>
      <c r="G75" s="105">
        <f>IF(G68=$C66,Dashboard!$O$58,0)</f>
        <v>0</v>
      </c>
      <c r="H75" s="105">
        <f>IF(H68=$C66,Dashboard!$O$58,0)</f>
        <v>0</v>
      </c>
      <c r="I75" s="105">
        <f>IF(I68=$C66,Dashboard!$O$58,0)</f>
        <v>0</v>
      </c>
      <c r="J75" s="105">
        <f>IF(J68=$C66,Dashboard!$O$58,0)</f>
        <v>0</v>
      </c>
      <c r="K75" s="105">
        <f>IF(K68=$C66,Dashboard!$O$58,0)</f>
        <v>0</v>
      </c>
      <c r="L75" s="105">
        <f>IF(L68=$C66,Dashboard!$O$58,0)</f>
        <v>0</v>
      </c>
      <c r="M75" s="105">
        <f>IF(M68=$C66,Dashboard!$O$58,0)</f>
        <v>0</v>
      </c>
      <c r="N75" s="105">
        <f>IF(N68=$C66,Dashboard!$O$58,0)</f>
        <v>0</v>
      </c>
      <c r="O75" s="105">
        <f>IF(O68=$C66,Dashboard!$O$58,0)</f>
        <v>0</v>
      </c>
      <c r="P75" s="105">
        <f>IF(P68=$C66,Dashboard!$O$58,0)</f>
        <v>0</v>
      </c>
      <c r="Q75" s="105">
        <f>IF(Q68=$C66,Dashboard!$O$58,0)</f>
        <v>0</v>
      </c>
      <c r="R75" s="105">
        <f>IF(R68=$C66,Dashboard!$O$58,0)</f>
        <v>0</v>
      </c>
      <c r="S75" s="105">
        <f>IF(S68=$C66,Dashboard!$O$58,0)</f>
        <v>0</v>
      </c>
      <c r="T75" s="105">
        <f>IF(T68=$C66,Dashboard!$O$58,0)</f>
        <v>0</v>
      </c>
      <c r="U75" s="105">
        <f>IF(U68=$C66,Dashboard!$O$58,0)</f>
        <v>0</v>
      </c>
      <c r="V75" s="105">
        <f>IF(V68=$C66,Dashboard!$O$58,0)</f>
        <v>0</v>
      </c>
      <c r="W75" s="105">
        <f>IF(W68=$C66,Dashboard!$O$58,0)</f>
        <v>0</v>
      </c>
      <c r="X75" s="105">
        <f>IF(X68=$C66,Dashboard!$O$58,0)</f>
        <v>0</v>
      </c>
      <c r="Y75" s="105">
        <f>IF(Y68=$C66,Dashboard!$O$58,0)</f>
        <v>0</v>
      </c>
      <c r="Z75" s="105">
        <f>IF(Z68=$C66,Dashboard!$O$58,0)</f>
        <v>0</v>
      </c>
      <c r="AA75" s="105">
        <f>IF(AA68=$C66,Dashboard!$O$58,0)</f>
        <v>0</v>
      </c>
      <c r="AB75" s="105">
        <f>IF(AB68=$C66,Dashboard!$O$58,0)</f>
        <v>0</v>
      </c>
      <c r="AC75" s="105">
        <f>IF(AC68=$C66,Dashboard!$O$58,0)</f>
        <v>0</v>
      </c>
      <c r="AD75" s="105">
        <f>IF(AD68=$C66,Dashboard!$O$58,0)</f>
        <v>0</v>
      </c>
      <c r="AE75" s="105">
        <f>IF(AE68=$C66,Dashboard!$O$58,0)</f>
        <v>0</v>
      </c>
      <c r="AF75" s="105">
        <f>IF(AF68=$C66,Dashboard!$O$58,0)</f>
        <v>0</v>
      </c>
      <c r="AG75" s="105">
        <f>IF(AG68=$C66,Dashboard!$O$58,0)</f>
        <v>0</v>
      </c>
      <c r="AH75" s="105">
        <f>IF(AH68=$C66,Dashboard!$O$58,0)</f>
        <v>0</v>
      </c>
      <c r="AI75" s="105">
        <f>IF(AI68=$C66,Dashboard!$O$58,0)</f>
        <v>0</v>
      </c>
      <c r="AJ75" s="105">
        <f>IF(AJ68=$C66,Dashboard!$O$58,0)</f>
        <v>0</v>
      </c>
      <c r="AK75" s="105">
        <f>IF(AK68=$C66,Dashboard!$O$58,0)</f>
        <v>0</v>
      </c>
      <c r="AL75" s="105">
        <f>IF(AL68=$C66,Dashboard!$O$58,0)</f>
        <v>0</v>
      </c>
      <c r="AM75" s="105">
        <f>IF(AM68=$C66,Dashboard!$O$58,0)</f>
        <v>0</v>
      </c>
      <c r="AN75" s="105">
        <f>IF(AN68=$C66,Dashboard!$O$58,0)</f>
        <v>0</v>
      </c>
      <c r="AO75" s="105">
        <f>IF(AO68=$C66,Dashboard!$O$58,0)</f>
        <v>0</v>
      </c>
      <c r="AP75" s="105">
        <f>IF(AP68=$C66,Dashboard!$O$58,0)</f>
        <v>0</v>
      </c>
      <c r="AQ75" s="105">
        <f>IF(AQ68=$C66,Dashboard!$O$58,0)</f>
        <v>0</v>
      </c>
      <c r="AR75" s="105">
        <f>IF(AR68=$C66,Dashboard!$O$58,0)</f>
        <v>0</v>
      </c>
      <c r="AS75" s="105">
        <f>IF(AS68=$C66,Dashboard!$O$58,0)</f>
        <v>0</v>
      </c>
      <c r="AT75" s="105">
        <f>IF(AT68=$C66,Dashboard!$O$58,0)</f>
        <v>0</v>
      </c>
      <c r="AU75" s="105">
        <f>IF(AU68=$C66,Dashboard!$O$58,0)</f>
        <v>0</v>
      </c>
      <c r="AV75" s="105">
        <f>IF(AV68=$C66,Dashboard!$O$58,0)</f>
        <v>0</v>
      </c>
      <c r="AW75" s="105">
        <f>IF(AW68=$C66,Dashboard!$O$58,0)</f>
        <v>0</v>
      </c>
      <c r="AX75" s="105">
        <f>IF(AX68=$C66,Dashboard!$O$58,0)</f>
        <v>0</v>
      </c>
      <c r="AY75" s="105">
        <f>IF(AY68=$C66,Dashboard!$O$58,0)</f>
        <v>0</v>
      </c>
      <c r="AZ75" s="105">
        <f>IF(AZ68=$C66,Dashboard!$O$58,0)</f>
        <v>0</v>
      </c>
      <c r="BA75" s="105">
        <f>IF(BA68=$C66,Dashboard!$O$58,0)</f>
        <v>0</v>
      </c>
      <c r="BB75" s="105">
        <f>IF(BB68=$C66,Dashboard!$O$58,0)</f>
        <v>0</v>
      </c>
      <c r="BC75" s="105">
        <f>IF(BC68=$C66,Dashboard!$O$58,0)</f>
        <v>0</v>
      </c>
      <c r="BD75" s="105">
        <f>IF(BD68=$C66,Dashboard!$O$58,0)</f>
        <v>0</v>
      </c>
      <c r="BE75" s="105">
        <f>IF(BE68=$C66,Dashboard!$O$58,0)</f>
        <v>0</v>
      </c>
      <c r="BF75" s="105">
        <f>IF(BF68=$C66,Dashboard!$O$58,0)</f>
        <v>0</v>
      </c>
      <c r="BG75" s="105">
        <f>IF(BG68=$C66,Dashboard!$O$58,0)</f>
        <v>0</v>
      </c>
      <c r="BH75" s="105">
        <f>IF(BH68=$C66,Dashboard!$O$58,0)</f>
        <v>0</v>
      </c>
      <c r="BI75" s="105">
        <f>IF(BI68=$C66,Dashboard!$O$58,0)</f>
        <v>0</v>
      </c>
      <c r="BJ75" s="105">
        <f>IF(BJ68=$C66,Dashboard!$O$58,0)</f>
        <v>0</v>
      </c>
      <c r="BK75" s="105">
        <f>IF(BK68=$C66,Dashboard!$O$58,0)</f>
        <v>0</v>
      </c>
      <c r="BL75" s="105">
        <f>IF(BL68=$C66,Dashboard!$Q$58,0)</f>
        <v>0</v>
      </c>
      <c r="BM75" s="105">
        <f>IF(BM68=$C66,Dashboard!$O$58,0)</f>
        <v>0</v>
      </c>
      <c r="BN75" s="105">
        <f>IF(BN68=$C66,Dashboard!$O$58,0)</f>
        <v>0</v>
      </c>
      <c r="BO75" s="105">
        <f>IF(BO68=$C66,Dashboard!$O$58,0)</f>
        <v>0</v>
      </c>
      <c r="BP75" s="105">
        <f>IF(BP68=$C66,Dashboard!$O$58,0)</f>
        <v>0</v>
      </c>
      <c r="BQ75" s="105">
        <f>IF(BQ68=$C66,Dashboard!$O$58,0)</f>
        <v>0</v>
      </c>
      <c r="BR75" s="105">
        <f>IF(BR68=$C66,Dashboard!$O$58,0)</f>
        <v>0</v>
      </c>
      <c r="BS75" s="105">
        <f>IF(BS68=$C66,Dashboard!$O$58,0)</f>
        <v>0</v>
      </c>
      <c r="BT75" s="105">
        <f>IF(BT68=$C66,Dashboard!$O$58,0)</f>
        <v>0</v>
      </c>
      <c r="BU75" s="105">
        <f>IF(BU68=$C66,Dashboard!$O$58,0)</f>
        <v>0</v>
      </c>
      <c r="BV75" s="105">
        <f>IF(BV68=$C66,Dashboard!$O$58,0)</f>
        <v>0</v>
      </c>
      <c r="BW75" s="105">
        <f>IF(BW68=$C66,Dashboard!$O$58,0)</f>
        <v>0</v>
      </c>
      <c r="BX75" s="105">
        <f>IF(BX68=$C66,Dashboard!$O$58,0)</f>
        <v>0</v>
      </c>
      <c r="BY75" s="105">
        <f>IF(BY68=$C66,Dashboard!$O$58,0)</f>
        <v>47798762.401759155</v>
      </c>
      <c r="BZ75" s="105">
        <f>IF(BZ68=$C66,Dashboard!$Q$58,0)</f>
        <v>0</v>
      </c>
    </row>
    <row r="76" spans="1:78" ht="6.75" customHeight="1">
      <c r="B76" s="168"/>
      <c r="C76" s="5"/>
      <c r="D76" s="105"/>
      <c r="E76" s="105"/>
      <c r="F76" s="105"/>
      <c r="G76" s="105"/>
      <c r="H76" s="105"/>
      <c r="I76" s="105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L76" s="105"/>
      <c r="AM76" s="105"/>
      <c r="AN76" s="105"/>
      <c r="AO76" s="105"/>
      <c r="AP76" s="105"/>
      <c r="AQ76" s="105"/>
      <c r="AR76" s="105"/>
      <c r="AS76" s="105"/>
      <c r="AT76" s="105"/>
      <c r="AU76" s="105"/>
      <c r="AV76" s="105"/>
      <c r="AW76" s="105"/>
      <c r="AX76" s="105"/>
      <c r="AY76" s="105"/>
      <c r="AZ76" s="105"/>
      <c r="BA76" s="543"/>
      <c r="BB76" s="543"/>
      <c r="BC76" s="543"/>
      <c r="BD76" s="543"/>
      <c r="BE76" s="543"/>
      <c r="BF76" s="543"/>
      <c r="BG76" s="543"/>
      <c r="BH76" s="543"/>
      <c r="BI76" s="543"/>
      <c r="BJ76" s="543"/>
      <c r="BK76" s="543"/>
      <c r="BL76" s="543"/>
      <c r="BM76" s="543"/>
      <c r="BN76" s="543"/>
      <c r="BO76" s="543"/>
      <c r="BP76" s="543"/>
      <c r="BQ76" s="543"/>
      <c r="BR76" s="543"/>
      <c r="BS76" s="543"/>
      <c r="BT76" s="543"/>
      <c r="BU76" s="543"/>
      <c r="BV76" s="543"/>
      <c r="BW76" s="543"/>
      <c r="BX76" s="543"/>
      <c r="BY76" s="543"/>
      <c r="BZ76" s="543"/>
    </row>
    <row r="77" spans="1:78">
      <c r="B77" s="186" t="s">
        <v>157</v>
      </c>
      <c r="C77" s="198"/>
      <c r="D77" s="154">
        <f>SUM(D73:D75)+D70</f>
        <v>-24033944.982098967</v>
      </c>
      <c r="E77" s="154">
        <f>SUM(E73:E75)+E70</f>
        <v>0</v>
      </c>
      <c r="F77" s="154">
        <f t="shared" ref="F77:AZ77" si="139">SUM(F73:F75)+F70</f>
        <v>0</v>
      </c>
      <c r="G77" s="154">
        <f t="shared" si="139"/>
        <v>0</v>
      </c>
      <c r="H77" s="154">
        <f t="shared" si="139"/>
        <v>0</v>
      </c>
      <c r="I77" s="154">
        <f t="shared" si="139"/>
        <v>0</v>
      </c>
      <c r="J77" s="154">
        <f t="shared" si="139"/>
        <v>0</v>
      </c>
      <c r="K77" s="154">
        <f t="shared" si="139"/>
        <v>0</v>
      </c>
      <c r="L77" s="154">
        <f t="shared" si="139"/>
        <v>0</v>
      </c>
      <c r="M77" s="154">
        <f t="shared" si="139"/>
        <v>0</v>
      </c>
      <c r="N77" s="154">
        <f t="shared" si="139"/>
        <v>0</v>
      </c>
      <c r="O77" s="154">
        <f t="shared" si="139"/>
        <v>0</v>
      </c>
      <c r="P77" s="154">
        <f t="shared" si="139"/>
        <v>0</v>
      </c>
      <c r="Q77" s="154">
        <f t="shared" si="139"/>
        <v>0</v>
      </c>
      <c r="R77" s="154">
        <f t="shared" si="139"/>
        <v>0</v>
      </c>
      <c r="S77" s="154">
        <f t="shared" si="139"/>
        <v>0</v>
      </c>
      <c r="T77" s="154">
        <f t="shared" si="139"/>
        <v>0</v>
      </c>
      <c r="U77" s="154">
        <f t="shared" si="139"/>
        <v>0</v>
      </c>
      <c r="V77" s="154">
        <f t="shared" si="139"/>
        <v>0</v>
      </c>
      <c r="W77" s="154">
        <f t="shared" si="139"/>
        <v>0</v>
      </c>
      <c r="X77" s="154">
        <f t="shared" si="139"/>
        <v>55865.937070519256</v>
      </c>
      <c r="Y77" s="154">
        <f t="shared" si="139"/>
        <v>55865.937070519256</v>
      </c>
      <c r="Z77" s="154">
        <f t="shared" si="139"/>
        <v>55865.937070519256</v>
      </c>
      <c r="AA77" s="154">
        <f t="shared" si="139"/>
        <v>1567865.9370705192</v>
      </c>
      <c r="AB77" s="154">
        <f t="shared" si="139"/>
        <v>55865.937070519256</v>
      </c>
      <c r="AC77" s="154">
        <f t="shared" si="139"/>
        <v>55865.937070519256</v>
      </c>
      <c r="AD77" s="154">
        <f t="shared" si="139"/>
        <v>-1220620.9207049725</v>
      </c>
      <c r="AE77" s="154">
        <f t="shared" si="139"/>
        <v>160402.43820649723</v>
      </c>
      <c r="AF77" s="154">
        <f t="shared" si="139"/>
        <v>160402.43820649723</v>
      </c>
      <c r="AG77" s="154">
        <f t="shared" si="139"/>
        <v>160402.43820649723</v>
      </c>
      <c r="AH77" s="154">
        <f t="shared" si="139"/>
        <v>160402.43820649723</v>
      </c>
      <c r="AI77" s="154">
        <f t="shared" si="139"/>
        <v>160402.43820649723</v>
      </c>
      <c r="AJ77" s="154">
        <f t="shared" si="139"/>
        <v>174756.336958414</v>
      </c>
      <c r="AK77" s="154">
        <f t="shared" si="139"/>
        <v>174756.336958414</v>
      </c>
      <c r="AL77" s="154">
        <f t="shared" si="139"/>
        <v>174756.336958414</v>
      </c>
      <c r="AM77" s="154">
        <f t="shared" si="139"/>
        <v>174756.336958414</v>
      </c>
      <c r="AN77" s="154">
        <f t="shared" si="139"/>
        <v>174756.336958414</v>
      </c>
      <c r="AO77" s="154">
        <f t="shared" si="139"/>
        <v>174756.336958414</v>
      </c>
      <c r="AP77" s="154">
        <f t="shared" si="139"/>
        <v>93471.925282638869</v>
      </c>
      <c r="AQ77" s="154">
        <f t="shared" si="139"/>
        <v>93471.925282638811</v>
      </c>
      <c r="AR77" s="154">
        <f t="shared" si="139"/>
        <v>93471.925282638811</v>
      </c>
      <c r="AS77" s="154">
        <f t="shared" si="139"/>
        <v>93471.925282638811</v>
      </c>
      <c r="AT77" s="154">
        <f t="shared" si="139"/>
        <v>93471.925282638811</v>
      </c>
      <c r="AU77" s="154">
        <f t="shared" si="139"/>
        <v>93471.925282638869</v>
      </c>
      <c r="AV77" s="154">
        <f t="shared" si="139"/>
        <v>108277.02087538387</v>
      </c>
      <c r="AW77" s="154">
        <f t="shared" si="139"/>
        <v>108277.02087538387</v>
      </c>
      <c r="AX77" s="154">
        <f t="shared" si="139"/>
        <v>108277.02087538387</v>
      </c>
      <c r="AY77" s="154">
        <f t="shared" si="139"/>
        <v>108277.02087538387</v>
      </c>
      <c r="AZ77" s="493">
        <f t="shared" si="139"/>
        <v>108277.02087538387</v>
      </c>
      <c r="BA77" s="493">
        <f t="shared" ref="BA77:BF77" si="140">SUM(BA73:BA75)+BA70</f>
        <v>108277.02087538387</v>
      </c>
      <c r="BB77" s="493">
        <f t="shared" si="140"/>
        <v>108277.02087538387</v>
      </c>
      <c r="BC77" s="493">
        <f t="shared" si="140"/>
        <v>108277.02087538387</v>
      </c>
      <c r="BD77" s="493">
        <f t="shared" si="140"/>
        <v>108277.02087538387</v>
      </c>
      <c r="BE77" s="493">
        <f t="shared" si="140"/>
        <v>108277.02087538387</v>
      </c>
      <c r="BF77" s="493">
        <f t="shared" si="140"/>
        <v>108277.02087538387</v>
      </c>
      <c r="BG77" s="493">
        <f t="shared" ref="BG77:BO77" si="141">SUM(BG73:BG75)+BG70</f>
        <v>108277.02087538387</v>
      </c>
      <c r="BH77" s="493">
        <f t="shared" si="141"/>
        <v>123547.2608117474</v>
      </c>
      <c r="BI77" s="493">
        <f t="shared" si="141"/>
        <v>123547.2608117474</v>
      </c>
      <c r="BJ77" s="493">
        <f t="shared" si="141"/>
        <v>123547.26081174746</v>
      </c>
      <c r="BK77" s="493">
        <f t="shared" si="141"/>
        <v>123547.26081174746</v>
      </c>
      <c r="BL77" s="493">
        <f t="shared" si="141"/>
        <v>123547.2608117474</v>
      </c>
      <c r="BM77" s="493">
        <f t="shared" si="141"/>
        <v>123547.26081174734</v>
      </c>
      <c r="BN77" s="493">
        <f t="shared" si="141"/>
        <v>123547.2608117474</v>
      </c>
      <c r="BO77" s="493">
        <f t="shared" si="141"/>
        <v>123547.2608117474</v>
      </c>
      <c r="BP77" s="493">
        <f t="shared" ref="BP77:BZ77" si="142">SUM(BP73:BP75)+BP70</f>
        <v>123547.2608117474</v>
      </c>
      <c r="BQ77" s="493">
        <f t="shared" si="142"/>
        <v>123547.2608117474</v>
      </c>
      <c r="BR77" s="493">
        <f t="shared" si="142"/>
        <v>123547.2608117474</v>
      </c>
      <c r="BS77" s="493">
        <f t="shared" si="142"/>
        <v>123547.2608117474</v>
      </c>
      <c r="BT77" s="493">
        <f t="shared" si="142"/>
        <v>139270.16794622707</v>
      </c>
      <c r="BU77" s="493">
        <f t="shared" si="142"/>
        <v>139270.16794622701</v>
      </c>
      <c r="BV77" s="493">
        <f t="shared" si="142"/>
        <v>139270.16794622701</v>
      </c>
      <c r="BW77" s="493">
        <f t="shared" si="142"/>
        <v>139270.16794622701</v>
      </c>
      <c r="BX77" s="493">
        <f t="shared" si="142"/>
        <v>139270.16794622701</v>
      </c>
      <c r="BY77" s="493">
        <f t="shared" si="142"/>
        <v>47798762.401759155</v>
      </c>
      <c r="BZ77" s="493">
        <f t="shared" si="142"/>
        <v>0</v>
      </c>
    </row>
    <row r="78" spans="1:78">
      <c r="B78" s="206" t="s">
        <v>91</v>
      </c>
      <c r="C78" s="208">
        <f>XIRR(D77:BZ77,D68:BZ68)</f>
        <v>0.15197257399559025</v>
      </c>
      <c r="D78" s="151"/>
      <c r="E78" s="151"/>
      <c r="F78" s="151"/>
      <c r="G78" s="151"/>
      <c r="H78" s="151"/>
      <c r="I78" s="151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L78" s="151"/>
      <c r="AM78" s="151"/>
      <c r="AN78" s="151"/>
      <c r="AO78" s="151"/>
      <c r="AP78" s="151"/>
      <c r="AQ78" s="151"/>
      <c r="AR78" s="151"/>
      <c r="AS78" s="151"/>
      <c r="AT78" s="151"/>
      <c r="AU78" s="151"/>
      <c r="AV78" s="151"/>
      <c r="AW78" s="151"/>
      <c r="AX78" s="151"/>
      <c r="AY78" s="151"/>
      <c r="AZ78" s="151"/>
    </row>
    <row r="79" spans="1:78">
      <c r="B79" s="207" t="s">
        <v>92</v>
      </c>
      <c r="C79" s="209">
        <f>SUM(E77:BZ77)/-D70</f>
        <v>2.2599269961043782</v>
      </c>
      <c r="D79" s="151"/>
      <c r="E79" s="151"/>
      <c r="F79" s="151"/>
      <c r="G79" s="151"/>
      <c r="H79" s="151"/>
      <c r="I79" s="151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L79" s="151"/>
      <c r="AM79" s="151"/>
      <c r="AN79" s="151"/>
      <c r="AO79" s="151"/>
      <c r="AP79" s="151"/>
      <c r="AQ79" s="151"/>
      <c r="AR79" s="151"/>
      <c r="AS79" s="151"/>
      <c r="AT79" s="151"/>
      <c r="AU79" s="151"/>
      <c r="AV79" s="151"/>
      <c r="AW79" s="151"/>
      <c r="AX79" s="151"/>
      <c r="AY79" s="151"/>
      <c r="AZ79" s="151"/>
    </row>
  </sheetData>
  <conditionalFormatting sqref="E9:BO11">
    <cfRule type="cellIs" dxfId="126" priority="51" operator="equal">
      <formula>0</formula>
    </cfRule>
  </conditionalFormatting>
  <conditionalFormatting sqref="E25:BO25 F27:BO27">
    <cfRule type="cellIs" dxfId="125" priority="50" operator="equal">
      <formula>0</formula>
    </cfRule>
  </conditionalFormatting>
  <conditionalFormatting sqref="E41:BO41 F43:BO43">
    <cfRule type="cellIs" dxfId="124" priority="49" operator="equal">
      <formula>0</formula>
    </cfRule>
  </conditionalFormatting>
  <conditionalFormatting sqref="E57:BO57 F59:BO59">
    <cfRule type="cellIs" dxfId="123" priority="48" operator="equal">
      <formula>0</formula>
    </cfRule>
  </conditionalFormatting>
  <conditionalFormatting sqref="D13:BO13 D29:BO29 D45:BO45 D61:BO61">
    <cfRule type="cellIs" dxfId="122" priority="47" operator="equal">
      <formula>0</formula>
    </cfRule>
  </conditionalFormatting>
  <conditionalFormatting sqref="E43">
    <cfRule type="cellIs" dxfId="121" priority="43" operator="equal">
      <formula>0</formula>
    </cfRule>
  </conditionalFormatting>
  <conditionalFormatting sqref="E27">
    <cfRule type="cellIs" dxfId="120" priority="44" operator="equal">
      <formula>0</formula>
    </cfRule>
  </conditionalFormatting>
  <conditionalFormatting sqref="E59">
    <cfRule type="cellIs" dxfId="119" priority="42" operator="equal">
      <formula>0</formula>
    </cfRule>
  </conditionalFormatting>
  <conditionalFormatting sqref="E26:BO26">
    <cfRule type="cellIs" dxfId="118" priority="40" operator="equal">
      <formula>0</formula>
    </cfRule>
  </conditionalFormatting>
  <conditionalFormatting sqref="E42:BO42">
    <cfRule type="cellIs" dxfId="117" priority="39" operator="equal">
      <formula>0</formula>
    </cfRule>
  </conditionalFormatting>
  <conditionalFormatting sqref="E58:BO58">
    <cfRule type="cellIs" dxfId="116" priority="38" operator="equal">
      <formula>0</formula>
    </cfRule>
  </conditionalFormatting>
  <conditionalFormatting sqref="F75:BO75 E73:BO73">
    <cfRule type="cellIs" dxfId="115" priority="37" operator="equal">
      <formula>0</formula>
    </cfRule>
  </conditionalFormatting>
  <conditionalFormatting sqref="D77:BO77">
    <cfRule type="cellIs" dxfId="114" priority="36" operator="equal">
      <formula>0</formula>
    </cfRule>
  </conditionalFormatting>
  <conditionalFormatting sqref="E75">
    <cfRule type="cellIs" dxfId="113" priority="35" operator="equal">
      <formula>0</formula>
    </cfRule>
  </conditionalFormatting>
  <conditionalFormatting sqref="E74:BO74">
    <cfRule type="cellIs" dxfId="112" priority="34" operator="equal">
      <formula>0</formula>
    </cfRule>
  </conditionalFormatting>
  <conditionalFormatting sqref="BP75 BP73">
    <cfRule type="cellIs" dxfId="111" priority="33" operator="equal">
      <formula>0</formula>
    </cfRule>
  </conditionalFormatting>
  <conditionalFormatting sqref="BP77">
    <cfRule type="cellIs" dxfId="110" priority="32" operator="equal">
      <formula>0</formula>
    </cfRule>
  </conditionalFormatting>
  <conditionalFormatting sqref="BP74">
    <cfRule type="cellIs" dxfId="109" priority="31" operator="equal">
      <formula>0</formula>
    </cfRule>
  </conditionalFormatting>
  <conditionalFormatting sqref="BQ75 BQ73">
    <cfRule type="cellIs" dxfId="108" priority="30" operator="equal">
      <formula>0</formula>
    </cfRule>
  </conditionalFormatting>
  <conditionalFormatting sqref="BQ77">
    <cfRule type="cellIs" dxfId="107" priority="29" operator="equal">
      <formula>0</formula>
    </cfRule>
  </conditionalFormatting>
  <conditionalFormatting sqref="BQ74">
    <cfRule type="cellIs" dxfId="106" priority="28" operator="equal">
      <formula>0</formula>
    </cfRule>
  </conditionalFormatting>
  <conditionalFormatting sqref="BR75 BR73">
    <cfRule type="cellIs" dxfId="105" priority="27" operator="equal">
      <formula>0</formula>
    </cfRule>
  </conditionalFormatting>
  <conditionalFormatting sqref="BR77">
    <cfRule type="cellIs" dxfId="104" priority="26" operator="equal">
      <formula>0</formula>
    </cfRule>
  </conditionalFormatting>
  <conditionalFormatting sqref="BR74">
    <cfRule type="cellIs" dxfId="103" priority="25" operator="equal">
      <formula>0</formula>
    </cfRule>
  </conditionalFormatting>
  <conditionalFormatting sqref="BS75 BS73">
    <cfRule type="cellIs" dxfId="102" priority="24" operator="equal">
      <formula>0</formula>
    </cfRule>
  </conditionalFormatting>
  <conditionalFormatting sqref="BS77">
    <cfRule type="cellIs" dxfId="101" priority="23" operator="equal">
      <formula>0</formula>
    </cfRule>
  </conditionalFormatting>
  <conditionalFormatting sqref="BS74">
    <cfRule type="cellIs" dxfId="100" priority="22" operator="equal">
      <formula>0</formula>
    </cfRule>
  </conditionalFormatting>
  <conditionalFormatting sqref="BT75 BT73">
    <cfRule type="cellIs" dxfId="99" priority="21" operator="equal">
      <formula>0</formula>
    </cfRule>
  </conditionalFormatting>
  <conditionalFormatting sqref="BT77">
    <cfRule type="cellIs" dxfId="98" priority="20" operator="equal">
      <formula>0</formula>
    </cfRule>
  </conditionalFormatting>
  <conditionalFormatting sqref="BT74">
    <cfRule type="cellIs" dxfId="97" priority="19" operator="equal">
      <formula>0</formula>
    </cfRule>
  </conditionalFormatting>
  <conditionalFormatting sqref="BU75 BU73">
    <cfRule type="cellIs" dxfId="96" priority="18" operator="equal">
      <formula>0</formula>
    </cfRule>
  </conditionalFormatting>
  <conditionalFormatting sqref="BU77">
    <cfRule type="cellIs" dxfId="95" priority="17" operator="equal">
      <formula>0</formula>
    </cfRule>
  </conditionalFormatting>
  <conditionalFormatting sqref="BU74">
    <cfRule type="cellIs" dxfId="94" priority="16" operator="equal">
      <formula>0</formula>
    </cfRule>
  </conditionalFormatting>
  <conditionalFormatting sqref="BV75 BV73">
    <cfRule type="cellIs" dxfId="93" priority="15" operator="equal">
      <formula>0</formula>
    </cfRule>
  </conditionalFormatting>
  <conditionalFormatting sqref="BV77">
    <cfRule type="cellIs" dxfId="92" priority="14" operator="equal">
      <formula>0</formula>
    </cfRule>
  </conditionalFormatting>
  <conditionalFormatting sqref="BV74">
    <cfRule type="cellIs" dxfId="91" priority="13" operator="equal">
      <formula>0</formula>
    </cfRule>
  </conditionalFormatting>
  <conditionalFormatting sqref="BW75 BW73">
    <cfRule type="cellIs" dxfId="90" priority="12" operator="equal">
      <formula>0</formula>
    </cfRule>
  </conditionalFormatting>
  <conditionalFormatting sqref="BW77">
    <cfRule type="cellIs" dxfId="89" priority="11" operator="equal">
      <formula>0</formula>
    </cfRule>
  </conditionalFormatting>
  <conditionalFormatting sqref="BW74">
    <cfRule type="cellIs" dxfId="88" priority="10" operator="equal">
      <formula>0</formula>
    </cfRule>
  </conditionalFormatting>
  <conditionalFormatting sqref="BX75 BX73">
    <cfRule type="cellIs" dxfId="87" priority="9" operator="equal">
      <formula>0</formula>
    </cfRule>
  </conditionalFormatting>
  <conditionalFormatting sqref="BX77">
    <cfRule type="cellIs" dxfId="86" priority="8" operator="equal">
      <formula>0</formula>
    </cfRule>
  </conditionalFormatting>
  <conditionalFormatting sqref="BX74">
    <cfRule type="cellIs" dxfId="85" priority="7" operator="equal">
      <formula>0</formula>
    </cfRule>
  </conditionalFormatting>
  <conditionalFormatting sqref="BY75 BY73">
    <cfRule type="cellIs" dxfId="84" priority="6" operator="equal">
      <formula>0</formula>
    </cfRule>
  </conditionalFormatting>
  <conditionalFormatting sqref="BY77">
    <cfRule type="cellIs" dxfId="83" priority="5" operator="equal">
      <formula>0</formula>
    </cfRule>
  </conditionalFormatting>
  <conditionalFormatting sqref="BY74">
    <cfRule type="cellIs" dxfId="82" priority="4" operator="equal">
      <formula>0</formula>
    </cfRule>
  </conditionalFormatting>
  <conditionalFormatting sqref="BZ75 BZ73">
    <cfRule type="cellIs" dxfId="81" priority="3" operator="equal">
      <formula>0</formula>
    </cfRule>
  </conditionalFormatting>
  <conditionalFormatting sqref="BZ77">
    <cfRule type="cellIs" dxfId="80" priority="2" operator="equal">
      <formula>0</formula>
    </cfRule>
  </conditionalFormatting>
  <conditionalFormatting sqref="BZ74">
    <cfRule type="cellIs" dxfId="79" priority="1" operator="equal">
      <formula>0</formula>
    </cfRule>
  </conditionalFormatting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/>
  <dimension ref="A1"/>
  <sheetViews>
    <sheetView workbookViewId="0">
      <selection activeCell="U33" sqref="U33"/>
    </sheetView>
  </sheetViews>
  <sheetFormatPr defaultColWidth="9.140625" defaultRowHeight="1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9">
    <tabColor rgb="FF00B050"/>
    <pageSetUpPr fitToPage="1"/>
  </sheetPr>
  <dimension ref="B1:P10"/>
  <sheetViews>
    <sheetView showGridLines="0" zoomScaleNormal="100" zoomScaleSheetLayoutView="85" workbookViewId="0"/>
  </sheetViews>
  <sheetFormatPr defaultColWidth="9.140625" defaultRowHeight="15"/>
  <cols>
    <col min="1" max="1" width="1.85546875" customWidth="1"/>
    <col min="2" max="2" width="18.140625" customWidth="1"/>
    <col min="17" max="17" width="1.85546875" customWidth="1"/>
  </cols>
  <sheetData>
    <row r="1" spans="2:16" ht="6.75" customHeight="1" thickBot="1"/>
    <row r="2" spans="2:16" ht="15" customHeight="1">
      <c r="B2" s="1115" t="s">
        <v>88</v>
      </c>
      <c r="C2" s="1116"/>
      <c r="D2" s="1116"/>
      <c r="E2" s="1116"/>
      <c r="F2" s="1116"/>
      <c r="G2" s="1116"/>
      <c r="H2" s="1116"/>
      <c r="I2" s="1116"/>
      <c r="J2" s="1116"/>
      <c r="K2" s="1116"/>
      <c r="L2" s="1116"/>
      <c r="M2" s="1116"/>
      <c r="N2" s="1116"/>
      <c r="O2" s="1116"/>
      <c r="P2" s="1117"/>
    </row>
    <row r="3" spans="2:16">
      <c r="B3" s="1118" t="s">
        <v>89</v>
      </c>
      <c r="C3" s="1120" t="s">
        <v>81</v>
      </c>
      <c r="D3" s="1120"/>
      <c r="E3" s="1122" t="s">
        <v>90</v>
      </c>
      <c r="F3" s="1123"/>
      <c r="G3" s="1123"/>
      <c r="H3" s="1124"/>
      <c r="I3" s="1125" t="s">
        <v>369</v>
      </c>
      <c r="J3" s="1125"/>
      <c r="K3" s="1125"/>
      <c r="L3" s="1126"/>
      <c r="M3" s="1127" t="s">
        <v>202</v>
      </c>
      <c r="N3" s="1127"/>
      <c r="O3" s="1127"/>
      <c r="P3" s="1128"/>
    </row>
    <row r="4" spans="2:16">
      <c r="B4" s="1119"/>
      <c r="C4" s="1121"/>
      <c r="D4" s="1121"/>
      <c r="E4" s="1129" t="s">
        <v>91</v>
      </c>
      <c r="F4" s="1130"/>
      <c r="G4" s="1130" t="s">
        <v>92</v>
      </c>
      <c r="H4" s="1131"/>
      <c r="I4" s="1132" t="s">
        <v>91</v>
      </c>
      <c r="J4" s="1132"/>
      <c r="K4" s="1132" t="s">
        <v>92</v>
      </c>
      <c r="L4" s="1133"/>
      <c r="M4" s="1132" t="s">
        <v>91</v>
      </c>
      <c r="N4" s="1132"/>
      <c r="O4" s="1132" t="s">
        <v>92</v>
      </c>
      <c r="P4" s="1133"/>
    </row>
    <row r="5" spans="2:16" ht="25.5" customHeight="1">
      <c r="B5" s="545">
        <f>+'Property Level Return Calcs'!C2</f>
        <v>46447</v>
      </c>
      <c r="C5" s="1011">
        <f>+'Property Level Return Calcs'!C3</f>
        <v>2.1666666666666665</v>
      </c>
      <c r="D5" s="1011"/>
      <c r="E5" s="1134">
        <f>'Waterfall 2.0 Years'!BP67</f>
        <v>0.19708642363548279</v>
      </c>
      <c r="F5" s="1135"/>
      <c r="G5" s="1136">
        <f>'Waterfall 2.0 Years'!BQ67</f>
        <v>1.4728744193600007</v>
      </c>
      <c r="H5" s="1137"/>
      <c r="I5" s="1135">
        <f>'Waterfall 2.0 Years'!BP70</f>
        <v>0.182702785730362</v>
      </c>
      <c r="J5" s="1135"/>
      <c r="K5" s="1136">
        <f>'Waterfall 2.0 Years'!BQ70</f>
        <v>1.4349888140171319</v>
      </c>
      <c r="L5" s="1138"/>
      <c r="M5" s="1135">
        <f>'Waterfall 2.0 Years'!BP73</f>
        <v>0.27504108548164374</v>
      </c>
      <c r="N5" s="1135"/>
      <c r="O5" s="1136">
        <f>'Waterfall 2.0 Years'!BQ73</f>
        <v>1.6875595163029236</v>
      </c>
      <c r="P5" s="1138"/>
    </row>
    <row r="6" spans="2:16" ht="25.5" customHeight="1">
      <c r="B6" s="545">
        <f>+'Property Level Return Calcs'!C18</f>
        <v>46813</v>
      </c>
      <c r="C6" s="1011">
        <f>+'Property Level Return Calcs'!C19</f>
        <v>3.1666666666666665</v>
      </c>
      <c r="D6" s="1011"/>
      <c r="E6" s="1134">
        <f>'Waterfall 3.0 Years'!BP67</f>
        <v>0.20005646347999576</v>
      </c>
      <c r="F6" s="1135"/>
      <c r="G6" s="1136">
        <f>'Waterfall 3.0 Years'!BQ67</f>
        <v>1.7656883346301457</v>
      </c>
      <c r="H6" s="1137"/>
      <c r="I6" s="1135">
        <f>'Waterfall 3.0 Years'!BP70</f>
        <v>0.18493979573249819</v>
      </c>
      <c r="J6" s="1135"/>
      <c r="K6" s="1136">
        <f>'Waterfall 3.0 Years'!BQ70</f>
        <v>1.6968203806849746</v>
      </c>
      <c r="L6" s="1138"/>
      <c r="M6" s="1135">
        <f>'Waterfall 3.0 Years'!BP73</f>
        <v>0.27872413992881773</v>
      </c>
      <c r="N6" s="1135"/>
      <c r="O6" s="1136">
        <f>'Waterfall 3.0 Years'!BQ73</f>
        <v>2.1559400736527827</v>
      </c>
      <c r="P6" s="1138"/>
    </row>
    <row r="7" spans="2:16" ht="25.5" customHeight="1">
      <c r="B7" s="545">
        <f>+'Property Level Return Calcs'!C34</f>
        <v>47178</v>
      </c>
      <c r="C7" s="1011">
        <f>+'Property Level Return Calcs'!C35</f>
        <v>4.166666666666667</v>
      </c>
      <c r="D7" s="1011"/>
      <c r="E7" s="1134">
        <f>'Waterfall 4.0 Years'!BP67</f>
        <v>0.1888221204280853</v>
      </c>
      <c r="F7" s="1135"/>
      <c r="G7" s="1136">
        <f>'Waterfall 4.0 Years'!BQ67</f>
        <v>2.0145168495418742</v>
      </c>
      <c r="H7" s="1137"/>
      <c r="I7" s="1135">
        <f>'Waterfall 4.0 Years'!BP70</f>
        <v>0.17590917944908144</v>
      </c>
      <c r="J7" s="1135"/>
      <c r="K7" s="1136">
        <f>'Waterfall 4.0 Years'!BQ70</f>
        <v>1.9260893210495937</v>
      </c>
      <c r="L7" s="1138"/>
      <c r="M7" s="1135">
        <f>'Waterfall 4.0 Years'!BP73</f>
        <v>0.25458042025566097</v>
      </c>
      <c r="N7" s="1135"/>
      <c r="O7" s="1136">
        <f>'Waterfall 4.0 Years'!BQ73</f>
        <v>2.5156061776647962</v>
      </c>
      <c r="P7" s="1138"/>
    </row>
    <row r="8" spans="2:16" ht="25.5" customHeight="1" thickBot="1">
      <c r="B8" s="546">
        <f>+'Property Level Return Calcs'!C50</f>
        <v>47515</v>
      </c>
      <c r="C8" s="1010">
        <f>+'Property Level Return Calcs'!C51</f>
        <v>5.083333333333333</v>
      </c>
      <c r="D8" s="1010"/>
      <c r="E8" s="1141">
        <f>'Waterfall 5.0 Years'!BP67</f>
        <v>0.17446634173393252</v>
      </c>
      <c r="F8" s="1142"/>
      <c r="G8" s="1139">
        <f>'Waterfall 5.0 Years'!BQ67</f>
        <v>2.1949696340659703</v>
      </c>
      <c r="H8" s="1143"/>
      <c r="I8" s="1142">
        <f>'Waterfall 5.0 Years'!BP70</f>
        <v>0.16337835192680361</v>
      </c>
      <c r="J8" s="1142"/>
      <c r="K8" s="1139">
        <f>'Waterfall 5.0 Years'!BQ70</f>
        <v>2.0932241878950753</v>
      </c>
      <c r="L8" s="1140"/>
      <c r="M8" s="1142">
        <f>'Waterfall 5.0 Years'!BP73</f>
        <v>0.2302029430866242</v>
      </c>
      <c r="N8" s="1142"/>
      <c r="O8" s="1139">
        <f>'Waterfall 5.0 Years'!BQ73</f>
        <v>2.7715271623677085</v>
      </c>
      <c r="P8" s="1140"/>
    </row>
    <row r="9" spans="2:16" ht="25.5" hidden="1" customHeight="1" thickBot="1">
      <c r="B9" s="777">
        <f>+'Property Level Return Calcs'!C66</f>
        <v>47880</v>
      </c>
      <c r="C9" s="1025">
        <f>+'Property Level Return Calcs'!C67</f>
        <v>6.083333333333333</v>
      </c>
      <c r="D9" s="1025"/>
      <c r="E9" s="1147">
        <f>+'Waterfall 6.0 Years'!CB67</f>
        <v>-0.26943729259073734</v>
      </c>
      <c r="F9" s="1144"/>
      <c r="G9" s="1145">
        <f>+'Waterfall 6.0 Years'!CC67</f>
        <v>0.27112480664439687</v>
      </c>
      <c r="H9" s="1148"/>
      <c r="I9" s="1144">
        <f>+'Waterfall 6.0 Years'!CB70</f>
        <v>-0.26943729259073734</v>
      </c>
      <c r="J9" s="1144"/>
      <c r="K9" s="1145">
        <f>+'Waterfall 6.0 Years'!CC70</f>
        <v>0.27112480664439692</v>
      </c>
      <c r="L9" s="1146"/>
      <c r="M9" s="1144">
        <f>+'Waterfall 6.0 Years'!CB73</f>
        <v>-0.26943729259073734</v>
      </c>
      <c r="N9" s="1144"/>
      <c r="O9" s="1145">
        <f>+'Waterfall 6.0 Years'!CC73</f>
        <v>0.27112480664439692</v>
      </c>
      <c r="P9" s="1146"/>
    </row>
    <row r="10" spans="2:16" ht="6.75" customHeight="1"/>
  </sheetData>
  <mergeCells count="47">
    <mergeCell ref="M9:N9"/>
    <mergeCell ref="O9:P9"/>
    <mergeCell ref="C9:D9"/>
    <mergeCell ref="E9:F9"/>
    <mergeCell ref="G9:H9"/>
    <mergeCell ref="I9:J9"/>
    <mergeCell ref="K9:L9"/>
    <mergeCell ref="O8:P8"/>
    <mergeCell ref="C8:D8"/>
    <mergeCell ref="E8:F8"/>
    <mergeCell ref="G8:H8"/>
    <mergeCell ref="I8:J8"/>
    <mergeCell ref="K8:L8"/>
    <mergeCell ref="M8:N8"/>
    <mergeCell ref="M5:N5"/>
    <mergeCell ref="O5:P5"/>
    <mergeCell ref="O6:P6"/>
    <mergeCell ref="C7:D7"/>
    <mergeCell ref="E7:F7"/>
    <mergeCell ref="G7:H7"/>
    <mergeCell ref="I7:J7"/>
    <mergeCell ref="K7:L7"/>
    <mergeCell ref="M7:N7"/>
    <mergeCell ref="O7:P7"/>
    <mergeCell ref="C6:D6"/>
    <mergeCell ref="E6:F6"/>
    <mergeCell ref="G6:H6"/>
    <mergeCell ref="I6:J6"/>
    <mergeCell ref="K6:L6"/>
    <mergeCell ref="M6:N6"/>
    <mergeCell ref="C5:D5"/>
    <mergeCell ref="E5:F5"/>
    <mergeCell ref="G5:H5"/>
    <mergeCell ref="I5:J5"/>
    <mergeCell ref="K5:L5"/>
    <mergeCell ref="B2:P2"/>
    <mergeCell ref="B3:B4"/>
    <mergeCell ref="C3:D4"/>
    <mergeCell ref="E3:H3"/>
    <mergeCell ref="I3:L3"/>
    <mergeCell ref="M3:P3"/>
    <mergeCell ref="E4:F4"/>
    <mergeCell ref="G4:H4"/>
    <mergeCell ref="I4:J4"/>
    <mergeCell ref="K4:L4"/>
    <mergeCell ref="M4:N4"/>
    <mergeCell ref="O4:P4"/>
  </mergeCells>
  <printOptions horizontalCentered="1"/>
  <pageMargins left="0.25" right="0.25" top="0.75" bottom="0.75" header="0.3" footer="0.3"/>
  <pageSetup paperSize="5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0">
    <tabColor rgb="FF00B050"/>
  </sheetPr>
  <dimension ref="A1:BW94"/>
  <sheetViews>
    <sheetView showGridLines="0" zoomScale="75" zoomScaleNormal="75" workbookViewId="0">
      <pane xSplit="2" ySplit="6" topLeftCell="C7" activePane="bottomRight" state="frozen"/>
      <selection activeCell="B32" sqref="B32"/>
      <selection pane="topRight" activeCell="B32" sqref="B32"/>
      <selection pane="bottomLeft" activeCell="B32" sqref="B32"/>
      <selection pane="bottomRight" activeCell="BP73" sqref="BP73"/>
    </sheetView>
  </sheetViews>
  <sheetFormatPr defaultColWidth="9.140625" defaultRowHeight="15"/>
  <cols>
    <col min="1" max="1" width="6.28515625" style="210" customWidth="1"/>
    <col min="2" max="2" width="64.28515625" style="211" customWidth="1"/>
    <col min="3" max="3" width="13.85546875" style="211" bestFit="1" customWidth="1"/>
    <col min="4" max="9" width="12.7109375" style="211" customWidth="1"/>
    <col min="10" max="10" width="13.28515625" style="211" customWidth="1"/>
    <col min="11" max="21" width="12.7109375" style="211" customWidth="1"/>
    <col min="22" max="23" width="13.28515625" style="211" bestFit="1" customWidth="1"/>
    <col min="24" max="27" width="12.7109375" style="211" customWidth="1"/>
    <col min="28" max="28" width="13.28515625" style="211" customWidth="1"/>
    <col min="29" max="29" width="12.7109375" style="211" customWidth="1"/>
    <col min="30" max="30" width="13.28515625" style="211" customWidth="1"/>
    <col min="31" max="65" width="12.7109375" style="211" customWidth="1"/>
    <col min="66" max="66" width="15.42578125" style="211" customWidth="1"/>
    <col min="67" max="67" width="3.85546875" style="211" customWidth="1"/>
    <col min="68" max="68" width="30.140625" style="212" customWidth="1"/>
    <col min="69" max="69" width="14.5703125" style="212" customWidth="1"/>
    <col min="70" max="70" width="13.85546875" style="212" customWidth="1"/>
    <col min="71" max="71" width="15.42578125" style="213" customWidth="1"/>
    <col min="72" max="72" width="14.28515625" style="212" customWidth="1"/>
    <col min="73" max="73" width="13.5703125" style="212" customWidth="1"/>
    <col min="74" max="74" width="14.42578125" style="212" customWidth="1"/>
    <col min="75" max="16384" width="9.140625" style="212"/>
  </cols>
  <sheetData>
    <row r="1" spans="1:75" ht="15.75" thickBot="1"/>
    <row r="2" spans="1:75" ht="15.75" thickBot="1">
      <c r="B2" s="315" t="s">
        <v>188</v>
      </c>
      <c r="C2" s="314"/>
      <c r="D2" s="314"/>
      <c r="E2" s="314"/>
      <c r="F2" s="314"/>
      <c r="G2" s="314"/>
      <c r="H2" s="314"/>
      <c r="I2" s="314"/>
      <c r="J2" s="314"/>
      <c r="K2" s="314"/>
      <c r="L2" s="314"/>
      <c r="M2" s="314"/>
      <c r="N2" s="314"/>
      <c r="O2" s="314"/>
      <c r="P2" s="314"/>
      <c r="Q2" s="314"/>
      <c r="R2" s="314"/>
      <c r="S2" s="314"/>
      <c r="T2" s="314"/>
      <c r="U2" s="314"/>
      <c r="V2" s="314"/>
      <c r="W2" s="314"/>
      <c r="X2" s="314"/>
      <c r="Y2" s="314"/>
      <c r="Z2" s="314"/>
      <c r="AA2" s="314"/>
      <c r="AB2" s="314"/>
      <c r="AC2" s="314"/>
      <c r="AD2" s="314"/>
      <c r="AE2" s="314"/>
      <c r="AF2" s="314"/>
      <c r="AG2" s="314"/>
      <c r="AH2" s="314"/>
      <c r="AI2" s="314"/>
      <c r="AJ2" s="314"/>
      <c r="AK2" s="314"/>
      <c r="AL2" s="314"/>
      <c r="AM2" s="314"/>
      <c r="AN2" s="314"/>
      <c r="AO2" s="314"/>
      <c r="AP2" s="314"/>
      <c r="AQ2" s="314"/>
      <c r="AR2" s="314"/>
      <c r="AS2" s="314"/>
      <c r="AT2" s="314"/>
      <c r="AU2" s="314"/>
      <c r="AV2" s="314"/>
      <c r="AW2" s="314"/>
      <c r="AX2" s="314"/>
      <c r="AY2" s="314"/>
      <c r="AZ2" s="314"/>
      <c r="BA2" s="314"/>
      <c r="BB2" s="314"/>
      <c r="BC2" s="314"/>
      <c r="BD2" s="314"/>
      <c r="BE2" s="314"/>
      <c r="BF2" s="314"/>
      <c r="BG2" s="314"/>
      <c r="BH2" s="314"/>
      <c r="BI2" s="314"/>
      <c r="BJ2" s="314"/>
      <c r="BK2" s="314"/>
      <c r="BL2" s="314"/>
      <c r="BM2" s="314"/>
      <c r="BN2" s="314"/>
      <c r="BO2" s="242"/>
      <c r="BP2" s="359" t="s">
        <v>189</v>
      </c>
      <c r="BQ2" s="360"/>
      <c r="BR2" s="360"/>
      <c r="BS2" s="547"/>
      <c r="BT2" s="361"/>
    </row>
    <row r="3" spans="1:75">
      <c r="B3" s="226" t="s">
        <v>89</v>
      </c>
      <c r="C3" s="548">
        <f>+'Property Level Return Calcs'!C2</f>
        <v>46447</v>
      </c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  <c r="AF3" s="241"/>
      <c r="AG3" s="241"/>
      <c r="AH3" s="241"/>
      <c r="AI3" s="241"/>
      <c r="AJ3" s="241"/>
      <c r="AK3" s="241"/>
      <c r="AL3" s="241"/>
      <c r="AM3" s="241"/>
      <c r="AN3" s="241"/>
      <c r="AO3" s="241"/>
      <c r="AP3" s="241"/>
      <c r="AQ3" s="241"/>
      <c r="AR3" s="241"/>
      <c r="AS3" s="241"/>
      <c r="AT3" s="241"/>
      <c r="AU3" s="241"/>
      <c r="AV3" s="241"/>
      <c r="AW3" s="241"/>
      <c r="AX3" s="241"/>
      <c r="AY3" s="241"/>
      <c r="AZ3" s="241"/>
      <c r="BA3" s="241"/>
      <c r="BB3" s="241"/>
      <c r="BC3" s="241"/>
      <c r="BD3" s="241"/>
      <c r="BE3" s="241"/>
      <c r="BF3" s="241"/>
      <c r="BG3" s="241"/>
      <c r="BH3" s="241"/>
      <c r="BI3" s="241"/>
      <c r="BJ3" s="241"/>
      <c r="BK3" s="241"/>
      <c r="BL3" s="241"/>
      <c r="BO3" s="242"/>
      <c r="BP3" s="362"/>
      <c r="BQ3" s="356" t="s">
        <v>190</v>
      </c>
      <c r="BR3" s="356" t="s">
        <v>191</v>
      </c>
      <c r="BS3" s="549" t="s">
        <v>47</v>
      </c>
      <c r="BT3" s="363" t="s">
        <v>206</v>
      </c>
      <c r="BV3" s="216" t="s">
        <v>203</v>
      </c>
      <c r="BW3" s="216" t="s">
        <v>207</v>
      </c>
    </row>
    <row r="4" spans="1:75">
      <c r="B4" s="316" t="s">
        <v>81</v>
      </c>
      <c r="C4" s="550">
        <f>+'Property Level Return Calcs'!C3</f>
        <v>2.1666666666666665</v>
      </c>
      <c r="D4" s="244"/>
      <c r="E4" s="244"/>
      <c r="F4" s="244"/>
      <c r="G4" s="244"/>
      <c r="H4" s="244"/>
      <c r="I4" s="244"/>
      <c r="J4" s="244"/>
      <c r="K4" s="244"/>
      <c r="L4" s="244"/>
      <c r="M4" s="244"/>
      <c r="N4" s="244"/>
      <c r="O4" s="244"/>
      <c r="P4" s="244"/>
      <c r="Q4" s="244"/>
      <c r="R4" s="244"/>
      <c r="S4" s="244"/>
      <c r="T4" s="244"/>
      <c r="U4" s="244"/>
      <c r="V4" s="244"/>
      <c r="W4" s="244"/>
      <c r="X4" s="244"/>
      <c r="Y4" s="244"/>
      <c r="Z4" s="244"/>
      <c r="AA4" s="244"/>
      <c r="AB4" s="244"/>
      <c r="AC4" s="244"/>
      <c r="AD4" s="244"/>
      <c r="AE4" s="244"/>
      <c r="AF4" s="244"/>
      <c r="AG4" s="244"/>
      <c r="AH4" s="244"/>
      <c r="AI4" s="244"/>
      <c r="AJ4" s="244"/>
      <c r="AK4" s="244"/>
      <c r="AL4" s="244"/>
      <c r="AM4" s="244"/>
      <c r="AN4" s="244"/>
      <c r="AO4" s="244"/>
      <c r="AP4" s="244"/>
      <c r="AQ4" s="244"/>
      <c r="AR4" s="244"/>
      <c r="AS4" s="244"/>
      <c r="AT4" s="244"/>
      <c r="AU4" s="244"/>
      <c r="AV4" s="244"/>
      <c r="AW4" s="244"/>
      <c r="AX4" s="244"/>
      <c r="AY4" s="244"/>
      <c r="AZ4" s="244"/>
      <c r="BA4" s="244"/>
      <c r="BB4" s="244"/>
      <c r="BC4" s="244"/>
      <c r="BD4" s="244"/>
      <c r="BE4" s="244"/>
      <c r="BF4" s="244"/>
      <c r="BG4" s="244"/>
      <c r="BH4" s="244"/>
      <c r="BI4" s="244"/>
      <c r="BJ4" s="244"/>
      <c r="BK4" s="244"/>
      <c r="BL4" s="244"/>
      <c r="BN4" s="580"/>
      <c r="BO4" s="248"/>
      <c r="BP4" s="251" t="s">
        <v>45</v>
      </c>
      <c r="BQ4" s="357">
        <f>+Dashboard!E14</f>
        <v>1</v>
      </c>
      <c r="BR4" s="357">
        <f>1-BQ4</f>
        <v>0</v>
      </c>
      <c r="BS4" s="357">
        <f>+Dashboard!F14</f>
        <v>0.1</v>
      </c>
      <c r="BT4" s="602" t="s">
        <v>49</v>
      </c>
      <c r="BV4" s="487"/>
    </row>
    <row r="5" spans="1:75">
      <c r="B5" s="466" t="s">
        <v>41</v>
      </c>
      <c r="C5" s="551">
        <f>-SUM(C7:BN7)</f>
        <v>24033944.982098967</v>
      </c>
      <c r="D5" s="468"/>
      <c r="E5" s="468"/>
      <c r="F5" s="468"/>
      <c r="G5" s="468"/>
      <c r="H5" s="468"/>
      <c r="I5" s="468"/>
      <c r="J5" s="468"/>
      <c r="K5" s="468"/>
      <c r="L5" s="468"/>
      <c r="M5" s="468"/>
      <c r="N5" s="468"/>
      <c r="O5" s="468"/>
      <c r="P5" s="468"/>
      <c r="Q5" s="468"/>
      <c r="R5" s="468"/>
      <c r="S5" s="468"/>
      <c r="T5" s="468"/>
      <c r="U5" s="468"/>
      <c r="V5" s="468"/>
      <c r="W5" s="468"/>
      <c r="X5" s="468"/>
      <c r="Y5" s="468"/>
      <c r="Z5" s="468"/>
      <c r="AA5" s="468"/>
      <c r="AB5" s="468"/>
      <c r="AC5" s="468"/>
      <c r="AD5" s="468"/>
      <c r="AE5" s="468"/>
      <c r="AF5" s="468"/>
      <c r="AG5" s="468"/>
      <c r="AH5" s="468"/>
      <c r="AI5" s="468"/>
      <c r="AJ5" s="468"/>
      <c r="AK5" s="468"/>
      <c r="AL5" s="468"/>
      <c r="AM5" s="468"/>
      <c r="AN5" s="468"/>
      <c r="AO5" s="468"/>
      <c r="AP5" s="468"/>
      <c r="AQ5" s="468"/>
      <c r="AR5" s="468"/>
      <c r="AS5" s="468"/>
      <c r="AT5" s="468"/>
      <c r="AU5" s="468"/>
      <c r="AV5" s="468"/>
      <c r="AW5" s="468"/>
      <c r="AX5" s="468"/>
      <c r="AY5" s="468"/>
      <c r="AZ5" s="468"/>
      <c r="BA5" s="468"/>
      <c r="BB5" s="468"/>
      <c r="BC5" s="468"/>
      <c r="BD5" s="468"/>
      <c r="BE5" s="468"/>
      <c r="BF5" s="468"/>
      <c r="BG5" s="468"/>
      <c r="BH5" s="468"/>
      <c r="BI5" s="468"/>
      <c r="BJ5" s="468"/>
      <c r="BK5" s="468"/>
      <c r="BL5" s="468"/>
      <c r="BM5" s="468"/>
      <c r="BN5" s="468"/>
      <c r="BO5" s="248"/>
      <c r="BP5" s="364" t="s">
        <v>46</v>
      </c>
      <c r="BQ5" s="664"/>
      <c r="BR5" s="664"/>
      <c r="BS5" s="665"/>
      <c r="BT5" s="581"/>
      <c r="BV5" s="213"/>
    </row>
    <row r="6" spans="1:75">
      <c r="B6" s="245" t="s">
        <v>158</v>
      </c>
      <c r="C6" s="246">
        <f>+'Property Level Return Calcs'!D4</f>
        <v>45658</v>
      </c>
      <c r="D6" s="246">
        <f>EOMONTH(C6,0)</f>
        <v>45688</v>
      </c>
      <c r="E6" s="246">
        <f>IF(D6+1&gt;$C$3,EOMONTH(D6,1),IF(EOMONTH(D6,1)&lt;$C$3,EOMONTH('Waterfall 2.0 Years'!D6,1),$C$3))</f>
        <v>45716</v>
      </c>
      <c r="F6" s="246">
        <f>IF(E6+1&gt;$C$3,EOMONTH(E6,1),IF(EOMONTH(E6,1)&lt;$C$3,EOMONTH('Waterfall 2.0 Years'!E6,1),$C$3))</f>
        <v>45747</v>
      </c>
      <c r="G6" s="246">
        <f>IF(F6+1&gt;$C$3,EOMONTH(F6,1),IF(EOMONTH(F6,1)&lt;$C$3,EOMONTH('Waterfall 2.0 Years'!F6,1),$C$3))</f>
        <v>45777</v>
      </c>
      <c r="H6" s="246">
        <f>IF(G6+1&gt;$C$3,EOMONTH(G6,1),IF(EOMONTH(G6,1)&lt;$C$3,EOMONTH('Waterfall 2.0 Years'!G6,1),$C$3))</f>
        <v>45808</v>
      </c>
      <c r="I6" s="246">
        <f>IF(H6+1&gt;$C$3,EOMONTH(H6,1),IF(EOMONTH(H6,1)&lt;$C$3,EOMONTH('Waterfall 2.0 Years'!H6,1),$C$3))</f>
        <v>45838</v>
      </c>
      <c r="J6" s="246">
        <f>IF(I6+1&gt;$C$3,EOMONTH(I6,1),IF(EOMONTH(I6,1)&lt;$C$3,EOMONTH('Waterfall 2.0 Years'!I6,1),$C$3))</f>
        <v>45869</v>
      </c>
      <c r="K6" s="246">
        <f>IF(J6+1&gt;$C$3,EOMONTH(J6,1),IF(EOMONTH(J6,1)&lt;$C$3,EOMONTH('Waterfall 2.0 Years'!J6,1),$C$3))</f>
        <v>45900</v>
      </c>
      <c r="L6" s="246">
        <f>IF(K6+1&gt;$C$3,EOMONTH(K6,1),IF(EOMONTH(K6,1)&lt;$C$3,EOMONTH('Waterfall 2.0 Years'!K6,1),$C$3))</f>
        <v>45930</v>
      </c>
      <c r="M6" s="246">
        <f>IF(L6+1&gt;$C$3,EOMONTH(L6,1),IF(EOMONTH(L6,1)&lt;$C$3,EOMONTH('Waterfall 2.0 Years'!L6,1),$C$3))</f>
        <v>45961</v>
      </c>
      <c r="N6" s="246">
        <f>IF(M6+1&gt;$C$3,EOMONTH(M6,1),IF(EOMONTH(M6,1)&lt;$C$3,EOMONTH('Waterfall 2.0 Years'!M6,1),$C$3))</f>
        <v>45991</v>
      </c>
      <c r="O6" s="246">
        <f>IF(N6+1&gt;$C$3,EOMONTH(N6,1),IF(EOMONTH(N6,1)&lt;$C$3,EOMONTH('Waterfall 2.0 Years'!N6,1),$C$3))</f>
        <v>46022</v>
      </c>
      <c r="P6" s="246">
        <f>IF(O6+1&gt;$C$3,EOMONTH(O6,1),IF(EOMONTH(O6,1)&lt;$C$3,EOMONTH('Waterfall 2.0 Years'!O6,1),$C$3))</f>
        <v>46053</v>
      </c>
      <c r="Q6" s="246">
        <f>IF(P6+1&gt;$C$3,EOMONTH(P6,1),IF(EOMONTH(P6,1)&lt;$C$3,EOMONTH('Waterfall 2.0 Years'!P6,1),$C$3))</f>
        <v>46081</v>
      </c>
      <c r="R6" s="246">
        <f>IF(Q6+1&gt;$C$3,EOMONTH(Q6,1),IF(EOMONTH(Q6,1)&lt;$C$3,EOMONTH('Waterfall 2.0 Years'!Q6,1),$C$3))</f>
        <v>46112</v>
      </c>
      <c r="S6" s="246">
        <f>IF(R6+1&gt;$C$3,EOMONTH(R6,1),IF(EOMONTH(R6,1)&lt;$C$3,EOMONTH('Waterfall 2.0 Years'!R6,1),$C$3))</f>
        <v>46142</v>
      </c>
      <c r="T6" s="246">
        <f>IF(S6+1&gt;$C$3,EOMONTH(S6,1),IF(EOMONTH(S6,1)&lt;$C$3,EOMONTH('Waterfall 2.0 Years'!S6,1),$C$3))</f>
        <v>46173</v>
      </c>
      <c r="U6" s="246">
        <f>IF(T6+1&gt;$C$3,EOMONTH(T6,1),IF(EOMONTH(T6,1)&lt;$C$3,EOMONTH('Waterfall 2.0 Years'!T6,1),$C$3))</f>
        <v>46203</v>
      </c>
      <c r="V6" s="246">
        <f>IF(U6+1&gt;$C$3,EOMONTH(U6,1),IF(EOMONTH(U6,1)&lt;$C$3,EOMONTH('Waterfall 2.0 Years'!U6,1),$C$3))</f>
        <v>46234</v>
      </c>
      <c r="W6" s="246">
        <f>IF(V6+1&gt;$C$3,EOMONTH(V6,1),IF(EOMONTH(V6,1)&lt;$C$3,EOMONTH('Waterfall 2.0 Years'!V6,1),$C$3))</f>
        <v>46265</v>
      </c>
      <c r="X6" s="246">
        <f>IF(W6+1&gt;$C$3,EOMONTH(W6,1),IF(EOMONTH(W6,1)&lt;$C$3,EOMONTH('Waterfall 2.0 Years'!W6,1),$C$3))</f>
        <v>46295</v>
      </c>
      <c r="Y6" s="246">
        <f>IF(X6+1&gt;$C$3,EOMONTH(X6,1),IF(EOMONTH(X6,1)&lt;$C$3,EOMONTH('Waterfall 2.0 Years'!X6,1),$C$3))</f>
        <v>46326</v>
      </c>
      <c r="Z6" s="246">
        <f>IF(Y6+1&gt;$C$3,EOMONTH(Y6,1),IF(EOMONTH(Y6,1)&lt;$C$3,EOMONTH('Waterfall 2.0 Years'!Y6,1),$C$3))</f>
        <v>46356</v>
      </c>
      <c r="AA6" s="246">
        <f>IF(Z6+1&gt;$C$3,EOMONTH(Z6,1),IF(EOMONTH(Z6,1)&lt;$C$3,EOMONTH('Waterfall 2.0 Years'!Z6,1),$C$3))</f>
        <v>46387</v>
      </c>
      <c r="AB6" s="246">
        <f>IF(AA6+1&gt;$C$3,EOMONTH(AA6,1),IF(EOMONTH(AA6,1)&lt;$C$3,EOMONTH('Waterfall 2.0 Years'!AA6,1),$C$3))</f>
        <v>46418</v>
      </c>
      <c r="AC6" s="246">
        <f>IF(AB6+1&gt;$C$3,EOMONTH(AB6,1),IF(EOMONTH(AB6,1)&lt;$C$3,EOMONTH('Waterfall 2.0 Years'!AB6,1),$C$3))</f>
        <v>46446</v>
      </c>
      <c r="AD6" s="246">
        <f>IF(AC6+1&gt;$C$3,EOMONTH(AC6,1),IF(EOMONTH(AC6,1)&lt;$C$3,EOMONTH('Waterfall 2.0 Years'!AC6,1),$C$3))</f>
        <v>46447</v>
      </c>
      <c r="AE6" s="246">
        <f>IF(AD6+1&gt;$C$3,EOMONTH(AD6,1),IF(EOMONTH(AD6,1)&lt;$C$3,EOMONTH('Waterfall 2.0 Years'!AD6,1),$C$3))</f>
        <v>46507</v>
      </c>
      <c r="AF6" s="246">
        <f>IF(AE6+1&gt;$C$3,EOMONTH(AE6,1),IF(EOMONTH(AE6,1)&lt;$C$3,EOMONTH('Waterfall 2.0 Years'!AE6,1),$C$3))</f>
        <v>46538</v>
      </c>
      <c r="AG6" s="246">
        <f>IF(AF6+1&gt;$C$3,EOMONTH(AF6,1),IF(EOMONTH(AF6,1)&lt;$C$3,EOMONTH('Waterfall 2.0 Years'!AF6,1),$C$3))</f>
        <v>46568</v>
      </c>
      <c r="AH6" s="246">
        <f>IF(AG6+1&gt;$C$3,EOMONTH(AG6,1),IF(EOMONTH(AG6,1)&lt;$C$3,EOMONTH('Waterfall 2.0 Years'!AG6,1),$C$3))</f>
        <v>46599</v>
      </c>
      <c r="AI6" s="246">
        <f>IF(AH6+1&gt;$C$3,EOMONTH(AH6,1),IF(EOMONTH(AH6,1)&lt;$C$3,EOMONTH('Waterfall 2.0 Years'!AH6,1),$C$3))</f>
        <v>46630</v>
      </c>
      <c r="AJ6" s="246">
        <f>IF(AI6+1&gt;$C$3,EOMONTH(AI6,1),IF(EOMONTH(AI6,1)&lt;$C$3,EOMONTH('Waterfall 2.0 Years'!AI6,1),$C$3))</f>
        <v>46660</v>
      </c>
      <c r="AK6" s="246">
        <f>IF(AJ6+1&gt;$C$3,EOMONTH(AJ6,1),IF(EOMONTH(AJ6,1)&lt;$C$3,EOMONTH('Waterfall 2.0 Years'!AJ6,1),$C$3))</f>
        <v>46691</v>
      </c>
      <c r="AL6" s="246">
        <f>IF(AK6+1&gt;$C$3,EOMONTH(AK6,1),IF(EOMONTH(AK6,1)&lt;$C$3,EOMONTH('Waterfall 2.0 Years'!AK6,1),$C$3))</f>
        <v>46721</v>
      </c>
      <c r="AM6" s="246">
        <f>IF(AL6+1&gt;$C$3,EOMONTH(AL6,1),IF(EOMONTH(AL6,1)&lt;$C$3,EOMONTH('Waterfall 2.0 Years'!AL6,1),$C$3))</f>
        <v>46752</v>
      </c>
      <c r="AN6" s="246">
        <f>IF(AM6+1&gt;$C$3,EOMONTH(AM6,1),IF(EOMONTH(AM6,1)&lt;$C$3,EOMONTH('Waterfall 2.0 Years'!AM6,1),$C$3))</f>
        <v>46783</v>
      </c>
      <c r="AO6" s="246">
        <f>IF(AN6+1&gt;$C$3,EOMONTH(AN6,1),IF(EOMONTH(AN6,1)&lt;$C$3,EOMONTH('Waterfall 2.0 Years'!AN6,1),$C$3))</f>
        <v>46812</v>
      </c>
      <c r="AP6" s="246">
        <f>IF(AO6+1&gt;$C$3,EOMONTH(AO6,1),IF(EOMONTH(AO6,1)&lt;$C$3,EOMONTH('Waterfall 2.0 Years'!AO6,1),$C$3))</f>
        <v>46843</v>
      </c>
      <c r="AQ6" s="246">
        <f>IF(AP6+1&gt;$C$3,EOMONTH(AP6,1),IF(EOMONTH(AP6,1)&lt;$C$3,EOMONTH('Waterfall 2.0 Years'!AP6,1),$C$3))</f>
        <v>46873</v>
      </c>
      <c r="AR6" s="246">
        <f>IF(AQ6+1&gt;$C$3,EOMONTH(AQ6,1),IF(EOMONTH(AQ6,1)&lt;$C$3,EOMONTH('Waterfall 2.0 Years'!AQ6,1),$C$3))</f>
        <v>46904</v>
      </c>
      <c r="AS6" s="246">
        <f>IF(AR6+1&gt;$C$3,EOMONTH(AR6,1),IF(EOMONTH(AR6,1)&lt;$C$3,EOMONTH('Waterfall 2.0 Years'!AR6,1),$C$3))</f>
        <v>46934</v>
      </c>
      <c r="AT6" s="246">
        <f>IF(AS6+1&gt;$C$3,EOMONTH(AS6,1),IF(EOMONTH(AS6,1)&lt;$C$3,EOMONTH('Waterfall 2.0 Years'!AS6,1),$C$3))</f>
        <v>46965</v>
      </c>
      <c r="AU6" s="246">
        <f>IF(AT6+1&gt;$C$3,EOMONTH(AT6,1),IF(EOMONTH(AT6,1)&lt;$C$3,EOMONTH('Waterfall 2.0 Years'!AT6,1),$C$3))</f>
        <v>46996</v>
      </c>
      <c r="AV6" s="246">
        <f>IF(AU6+1&gt;$C$3,EOMONTH(AU6,1),IF(EOMONTH(AU6,1)&lt;$C$3,EOMONTH('Waterfall 2.0 Years'!AU6,1),$C$3))</f>
        <v>47026</v>
      </c>
      <c r="AW6" s="246">
        <f>IF(AV6+1&gt;$C$3,EOMONTH(AV6,1),IF(EOMONTH(AV6,1)&lt;$C$3,EOMONTH('Waterfall 2.0 Years'!AV6,1),$C$3))</f>
        <v>47057</v>
      </c>
      <c r="AX6" s="246">
        <f>IF(AW6+1&gt;$C$3,EOMONTH(AW6,1),IF(EOMONTH(AW6,1)&lt;$C$3,EOMONTH('Waterfall 2.0 Years'!AW6,1),$C$3))</f>
        <v>47087</v>
      </c>
      <c r="AY6" s="246">
        <f>IF(AX6+1&gt;$C$3,EOMONTH(AX6,1),IF(EOMONTH(AX6,1)&lt;$C$3,EOMONTH('Waterfall 2.0 Years'!AX6,1),$C$3))</f>
        <v>47118</v>
      </c>
      <c r="AZ6" s="246">
        <f>IF(AY6+1&gt;$C$3,EOMONTH(AY6,1),IF(EOMONTH(AY6,1)&lt;$C$3,EOMONTH('Waterfall 2.0 Years'!AY6,1),$C$3))</f>
        <v>47149</v>
      </c>
      <c r="BA6" s="246">
        <f>IF(AZ6+1&gt;$C$3,EOMONTH(AZ6,1),IF(EOMONTH(AZ6,1)&lt;$C$3,EOMONTH('Waterfall 2.0 Years'!AZ6,1),$C$3))</f>
        <v>47177</v>
      </c>
      <c r="BB6" s="246">
        <f>IF(BA6+1&gt;$C$3,EOMONTH(BA6,1),IF(EOMONTH(BA6,1)&lt;$C$3,EOMONTH('Waterfall 2.0 Years'!BA6,1),$C$3))</f>
        <v>47208</v>
      </c>
      <c r="BC6" s="246">
        <f>IF(BB6+1&gt;$C$3,EOMONTH(BB6,1),IF(EOMONTH(BB6,1)&lt;$C$3,EOMONTH('Waterfall 2.0 Years'!BB6,1),$C$3))</f>
        <v>47238</v>
      </c>
      <c r="BD6" s="246">
        <f>IF(BC6+1&gt;$C$3,EOMONTH(BC6,1),IF(EOMONTH(BC6,1)&lt;$C$3,EOMONTH('Waterfall 2.0 Years'!BC6,1),$C$3))</f>
        <v>47269</v>
      </c>
      <c r="BE6" s="246">
        <f>IF(BD6+1&gt;$C$3,EOMONTH(BD6,1),IF(EOMONTH(BD6,1)&lt;$C$3,EOMONTH('Waterfall 2.0 Years'!BD6,1),$C$3))</f>
        <v>47299</v>
      </c>
      <c r="BF6" s="246">
        <f>IF(BE6+1&gt;$C$3,EOMONTH(BE6,1),IF(EOMONTH(BE6,1)&lt;$C$3,EOMONTH('Waterfall 2.0 Years'!BE6,1),$C$3))</f>
        <v>47330</v>
      </c>
      <c r="BG6" s="246">
        <f>IF(BF6+1&gt;$C$3,EOMONTH(BF6,1),IF(EOMONTH(BF6,1)&lt;$C$3,EOMONTH('Waterfall 2.0 Years'!BF6,1),$C$3))</f>
        <v>47361</v>
      </c>
      <c r="BH6" s="246">
        <f>IF(BG6+1&gt;$C$3,EOMONTH(BG6,1),IF(EOMONTH(BG6,1)&lt;$C$3,EOMONTH('Waterfall 2.0 Years'!BG6,1),$C$3))</f>
        <v>47391</v>
      </c>
      <c r="BI6" s="246">
        <f>IF(BH6+1&gt;$C$3,EOMONTH(BH6,1),IF(EOMONTH(BH6,1)&lt;$C$3,EOMONTH('Waterfall 2.0 Years'!BH6,1),$C$3))</f>
        <v>47422</v>
      </c>
      <c r="BJ6" s="246">
        <f>IF(BI6+1&gt;$C$3,EOMONTH(BI6,1),IF(EOMONTH(BI6,1)&lt;$C$3,EOMONTH('Waterfall 2.0 Years'!BI6,1),$C$3))</f>
        <v>47452</v>
      </c>
      <c r="BK6" s="246">
        <f>IF(BJ6+1&gt;$C$3,EOMONTH(BJ6,1),IF(EOMONTH(BJ6,1)&lt;$C$3,EOMONTH('Waterfall 2.0 Years'!BJ6,1),$C$3))</f>
        <v>47483</v>
      </c>
      <c r="BL6" s="246">
        <f>IF(BK6+1&gt;$C$3,EOMONTH(BK6,1),IF(EOMONTH(BK6,1)&lt;$C$3,EOMONTH('Waterfall 2.0 Years'!BK6,1),$C$3))</f>
        <v>47514</v>
      </c>
      <c r="BM6" s="246">
        <f>IF(BL6+1&gt;$C$3,EOMONTH(BL6,1),IF(EOMONTH(BL6,1)&lt;$C$3,EOMONTH('Waterfall 2.0 Years'!BL6,1),$C$3))</f>
        <v>47542</v>
      </c>
      <c r="BN6" s="246">
        <f>IF(BM6+1&gt;$C$3,EOMONTH(BM6,1),IF(EOMONTH(BM6,1)&lt;$C$3,EOMONTH('Waterfall 2.0 Years'!BM6,1),$C$3))</f>
        <v>47573</v>
      </c>
      <c r="BO6" s="345"/>
      <c r="BP6" s="251" t="s">
        <v>214</v>
      </c>
      <c r="BQ6" s="357">
        <f>+Dashboard!E16</f>
        <v>0.85</v>
      </c>
      <c r="BR6" s="357">
        <f>1-BQ6</f>
        <v>0.15000000000000002</v>
      </c>
      <c r="BS6" s="357">
        <f>+Dashboard!F16</f>
        <v>0.18</v>
      </c>
      <c r="BT6" s="602" t="s">
        <v>49</v>
      </c>
      <c r="BU6" s="214"/>
      <c r="BV6" s="552">
        <f>(1+BS6)^(1/12)</f>
        <v>1.0138884303484099</v>
      </c>
      <c r="BW6" s="212">
        <f>(1+BS6)^(1/365)</f>
        <v>1.0004535670454469</v>
      </c>
    </row>
    <row r="7" spans="1:75">
      <c r="B7" s="248" t="s">
        <v>164</v>
      </c>
      <c r="C7" s="553">
        <f>IFERROR(HLOOKUP(C$6,'Property Level Return Calcs'!$D$4:$BO$11,'Property Level Return Calcs'!$A$6,FALSE),0)</f>
        <v>-24033944.982098967</v>
      </c>
      <c r="D7" s="553">
        <f>IFERROR(HLOOKUP(D$6,'Property Level Return Calcs'!$D$4:$BO$11,'Property Level Return Calcs'!$A$6,FALSE),0)</f>
        <v>0</v>
      </c>
      <c r="E7" s="553">
        <f>IFERROR(HLOOKUP(E$6,'Property Level Return Calcs'!$D$4:$BO$11,'Property Level Return Calcs'!$A$6,FALSE),0)</f>
        <v>0</v>
      </c>
      <c r="F7" s="553">
        <f>IFERROR(HLOOKUP(F$6,'Property Level Return Calcs'!$D$4:$BO$11,'Property Level Return Calcs'!$A$6,FALSE),0)</f>
        <v>0</v>
      </c>
      <c r="G7" s="553">
        <f>IFERROR(HLOOKUP(G$6,'Property Level Return Calcs'!$D$4:$BO$11,'Property Level Return Calcs'!$A$6,FALSE),0)</f>
        <v>0</v>
      </c>
      <c r="H7" s="553">
        <f>IFERROR(HLOOKUP(H$6,'Property Level Return Calcs'!$D$4:$BO$11,'Property Level Return Calcs'!$A$6,FALSE),0)</f>
        <v>0</v>
      </c>
      <c r="I7" s="553">
        <f>IFERROR(HLOOKUP(I$6,'Property Level Return Calcs'!$D$4:$BO$11,'Property Level Return Calcs'!$A$6,FALSE),0)</f>
        <v>0</v>
      </c>
      <c r="J7" s="553">
        <f>IFERROR(HLOOKUP(J$6,'Property Level Return Calcs'!$D$4:$BO$11,'Property Level Return Calcs'!$A$6,FALSE),0)</f>
        <v>0</v>
      </c>
      <c r="K7" s="553">
        <f>IFERROR(HLOOKUP(K$6,'Property Level Return Calcs'!$D$4:$BO$11,'Property Level Return Calcs'!$A$6,FALSE),0)</f>
        <v>0</v>
      </c>
      <c r="L7" s="553">
        <f>IFERROR(HLOOKUP(L$6,'Property Level Return Calcs'!$D$4:$BO$11,'Property Level Return Calcs'!$A$6,FALSE),0)</f>
        <v>0</v>
      </c>
      <c r="M7" s="553">
        <f>IFERROR(HLOOKUP(M$6,'Property Level Return Calcs'!$D$4:$BO$11,'Property Level Return Calcs'!$A$6,FALSE),0)</f>
        <v>0</v>
      </c>
      <c r="N7" s="553">
        <f>IFERROR(HLOOKUP(N$6,'Property Level Return Calcs'!$D$4:$BO$11,'Property Level Return Calcs'!$A$6,FALSE),0)</f>
        <v>0</v>
      </c>
      <c r="O7" s="553">
        <f>IFERROR(HLOOKUP(O$6,'Property Level Return Calcs'!$D$4:$BO$11,'Property Level Return Calcs'!$A$6,FALSE),0)</f>
        <v>0</v>
      </c>
      <c r="P7" s="553">
        <f>IFERROR(HLOOKUP(P$6,'Property Level Return Calcs'!$D$4:$BO$11,'Property Level Return Calcs'!$A$6,FALSE),0)</f>
        <v>0</v>
      </c>
      <c r="Q7" s="553">
        <f>IFERROR(HLOOKUP(Q$6,'Property Level Return Calcs'!$D$4:$BO$11,'Property Level Return Calcs'!$A$6,FALSE),0)</f>
        <v>0</v>
      </c>
      <c r="R7" s="553">
        <f>IFERROR(HLOOKUP(R$6,'Property Level Return Calcs'!$D$4:$BO$11,'Property Level Return Calcs'!$A$6,FALSE),0)</f>
        <v>0</v>
      </c>
      <c r="S7" s="553">
        <f>IFERROR(HLOOKUP(S$6,'Property Level Return Calcs'!$D$4:$BO$11,'Property Level Return Calcs'!$A$6,FALSE),0)</f>
        <v>0</v>
      </c>
      <c r="T7" s="553">
        <f>IFERROR(HLOOKUP(T$6,'Property Level Return Calcs'!$D$4:$BO$11,'Property Level Return Calcs'!$A$6,FALSE),0)</f>
        <v>0</v>
      </c>
      <c r="U7" s="553">
        <f>IFERROR(HLOOKUP(U$6,'Property Level Return Calcs'!$D$4:$BO$11,'Property Level Return Calcs'!$A$6,FALSE),0)</f>
        <v>0</v>
      </c>
      <c r="V7" s="553">
        <f>IFERROR(HLOOKUP(V$6,'Property Level Return Calcs'!$D$4:$BO$11,'Property Level Return Calcs'!$A$6,FALSE),0)</f>
        <v>0</v>
      </c>
      <c r="W7" s="553">
        <f>IFERROR(HLOOKUP(W$6,'Property Level Return Calcs'!$D$4:$BO$11,'Property Level Return Calcs'!$A$6,FALSE),0)</f>
        <v>0</v>
      </c>
      <c r="X7" s="553">
        <f>IFERROR(HLOOKUP(X$6,'Property Level Return Calcs'!$D$4:$BO$11,'Property Level Return Calcs'!$A$6,FALSE),0)</f>
        <v>0</v>
      </c>
      <c r="Y7" s="553">
        <f>IFERROR(HLOOKUP(Y$6,'Property Level Return Calcs'!$D$4:$BO$11,'Property Level Return Calcs'!$A$6,FALSE),0)</f>
        <v>0</v>
      </c>
      <c r="Z7" s="553">
        <f>IFERROR(HLOOKUP(Z$6,'Property Level Return Calcs'!$D$4:$BO$11,'Property Level Return Calcs'!$A$6,FALSE),0)</f>
        <v>0</v>
      </c>
      <c r="AA7" s="553">
        <f>IFERROR(HLOOKUP(AA$6,'Property Level Return Calcs'!$D$4:$BO$11,'Property Level Return Calcs'!$A$6,FALSE),0)</f>
        <v>0</v>
      </c>
      <c r="AB7" s="553">
        <f>IFERROR(HLOOKUP(AB$6,'Property Level Return Calcs'!$D$4:$BO$11,'Property Level Return Calcs'!$A$6,FALSE),0)</f>
        <v>0</v>
      </c>
      <c r="AC7" s="553">
        <f>IFERROR(HLOOKUP(AC$6,'Property Level Return Calcs'!$D$4:$BO$11,'Property Level Return Calcs'!$A$6,FALSE),0)</f>
        <v>0</v>
      </c>
      <c r="AD7" s="553">
        <f>IFERROR(HLOOKUP(AD$6,'Property Level Return Calcs'!$D$4:$BO$11,'Property Level Return Calcs'!$A$6,FALSE),0)</f>
        <v>0</v>
      </c>
      <c r="AE7" s="553">
        <f>IFERROR(HLOOKUP(AE$6,'Property Level Return Calcs'!$D$4:$BO$11,'Property Level Return Calcs'!$A$6,FALSE),0)</f>
        <v>0</v>
      </c>
      <c r="AF7" s="553">
        <f>IFERROR(HLOOKUP(AF$6,'Property Level Return Calcs'!$D$4:$BO$11,'Property Level Return Calcs'!$A$6,FALSE),0)</f>
        <v>0</v>
      </c>
      <c r="AG7" s="553">
        <f>IFERROR(HLOOKUP(AG$6,'Property Level Return Calcs'!$D$4:$BO$11,'Property Level Return Calcs'!$A$6,FALSE),0)</f>
        <v>0</v>
      </c>
      <c r="AH7" s="553">
        <f>IFERROR(HLOOKUP(AH$6,'Property Level Return Calcs'!$D$4:$BO$11,'Property Level Return Calcs'!$A$6,FALSE),0)</f>
        <v>0</v>
      </c>
      <c r="AI7" s="553">
        <f>IFERROR(HLOOKUP(AI$6,'Property Level Return Calcs'!$D$4:$BO$11,'Property Level Return Calcs'!$A$6,FALSE),0)</f>
        <v>0</v>
      </c>
      <c r="AJ7" s="553">
        <f>IFERROR(HLOOKUP(AJ$6,'Property Level Return Calcs'!$D$4:$BO$11,'Property Level Return Calcs'!$A$6,FALSE),0)</f>
        <v>0</v>
      </c>
      <c r="AK7" s="553">
        <f>IFERROR(HLOOKUP(AK$6,'Property Level Return Calcs'!$D$4:$BO$11,'Property Level Return Calcs'!$A$6,FALSE),0)</f>
        <v>0</v>
      </c>
      <c r="AL7" s="553">
        <f>IFERROR(HLOOKUP(AL$6,'Property Level Return Calcs'!$D$4:$BO$11,'Property Level Return Calcs'!$A$6,FALSE),0)</f>
        <v>0</v>
      </c>
      <c r="AM7" s="553">
        <f>IFERROR(HLOOKUP(AM$6,'Property Level Return Calcs'!$D$4:$BO$11,'Property Level Return Calcs'!$A$6,FALSE),0)</f>
        <v>0</v>
      </c>
      <c r="AN7" s="553">
        <f>IFERROR(HLOOKUP(AN$6,'Property Level Return Calcs'!$D$4:$BO$11,'Property Level Return Calcs'!$A$6,FALSE),0)</f>
        <v>0</v>
      </c>
      <c r="AO7" s="553">
        <f>IFERROR(HLOOKUP(AO$6,'Property Level Return Calcs'!$D$4:$BO$11,'Property Level Return Calcs'!$A$6,FALSE),0)</f>
        <v>0</v>
      </c>
      <c r="AP7" s="553">
        <f>IFERROR(HLOOKUP(AP$6,'Property Level Return Calcs'!$D$4:$BO$11,'Property Level Return Calcs'!$A$6,FALSE),0)</f>
        <v>0</v>
      </c>
      <c r="AQ7" s="553">
        <f>IFERROR(HLOOKUP(AQ$6,'Property Level Return Calcs'!$D$4:$BO$11,'Property Level Return Calcs'!$A$6,FALSE),0)</f>
        <v>0</v>
      </c>
      <c r="AR7" s="553">
        <f>IFERROR(HLOOKUP(AR$6,'Property Level Return Calcs'!$D$4:$BO$11,'Property Level Return Calcs'!$A$6,FALSE),0)</f>
        <v>0</v>
      </c>
      <c r="AS7" s="553">
        <f>IFERROR(HLOOKUP(AS$6,'Property Level Return Calcs'!$D$4:$BO$11,'Property Level Return Calcs'!$A$6,FALSE),0)</f>
        <v>0</v>
      </c>
      <c r="AT7" s="553">
        <f>IFERROR(HLOOKUP(AT$6,'Property Level Return Calcs'!$D$4:$BO$11,'Property Level Return Calcs'!$A$6,FALSE),0)</f>
        <v>0</v>
      </c>
      <c r="AU7" s="553">
        <f>IFERROR(HLOOKUP(AU$6,'Property Level Return Calcs'!$D$4:$BO$11,'Property Level Return Calcs'!$A$6,FALSE),0)</f>
        <v>0</v>
      </c>
      <c r="AV7" s="553">
        <f>IFERROR(HLOOKUP(AV$6,'Property Level Return Calcs'!$D$4:$BO$11,'Property Level Return Calcs'!$A$6,FALSE),0)</f>
        <v>0</v>
      </c>
      <c r="AW7" s="553">
        <f>IFERROR(HLOOKUP(AW$6,'Property Level Return Calcs'!$D$4:$BO$11,'Property Level Return Calcs'!$A$6,FALSE),0)</f>
        <v>0</v>
      </c>
      <c r="AX7" s="553">
        <f>IFERROR(HLOOKUP(AX$6,'Property Level Return Calcs'!$D$4:$BO$11,'Property Level Return Calcs'!$A$6,FALSE),0)</f>
        <v>0</v>
      </c>
      <c r="AY7" s="553">
        <f>IFERROR(HLOOKUP(AY$6,'Property Level Return Calcs'!$D$4:$BO$11,'Property Level Return Calcs'!$A$6,FALSE),0)</f>
        <v>0</v>
      </c>
      <c r="AZ7" s="553">
        <f>IFERROR(HLOOKUP(AZ$6,'Property Level Return Calcs'!$D$4:$BO$11,'Property Level Return Calcs'!$A$6,FALSE),0)</f>
        <v>0</v>
      </c>
      <c r="BA7" s="553">
        <f>IFERROR(HLOOKUP(BA$6,'Property Level Return Calcs'!$D$4:$BO$11,'Property Level Return Calcs'!$A$6,FALSE),0)</f>
        <v>0</v>
      </c>
      <c r="BB7" s="553">
        <f>IFERROR(HLOOKUP(BB$6,'Property Level Return Calcs'!$D$4:$BO$11,'Property Level Return Calcs'!$A$6,FALSE),0)</f>
        <v>0</v>
      </c>
      <c r="BC7" s="553">
        <f>IFERROR(HLOOKUP(BC$6,'Property Level Return Calcs'!$D$4:$BO$11,'Property Level Return Calcs'!$A$6,FALSE),0)</f>
        <v>0</v>
      </c>
      <c r="BD7" s="553">
        <f>IFERROR(HLOOKUP(BD$6,'Property Level Return Calcs'!$D$4:$BO$11,'Property Level Return Calcs'!$A$6,FALSE),0)</f>
        <v>0</v>
      </c>
      <c r="BE7" s="553">
        <f>IFERROR(HLOOKUP(BE$6,'Property Level Return Calcs'!$D$4:$BO$11,'Property Level Return Calcs'!$A$6,FALSE),0)</f>
        <v>0</v>
      </c>
      <c r="BF7" s="553">
        <f>IFERROR(HLOOKUP(BF$6,'Property Level Return Calcs'!$D$4:$BO$11,'Property Level Return Calcs'!$A$6,FALSE),0)</f>
        <v>0</v>
      </c>
      <c r="BG7" s="553">
        <f>IFERROR(HLOOKUP(BG$6,'Property Level Return Calcs'!$D$4:$BO$11,'Property Level Return Calcs'!$A$6,FALSE),0)</f>
        <v>0</v>
      </c>
      <c r="BH7" s="553">
        <f>IFERROR(HLOOKUP(BH$6,'Property Level Return Calcs'!$D$4:$BO$11,'Property Level Return Calcs'!$A$6,FALSE),0)</f>
        <v>0</v>
      </c>
      <c r="BI7" s="553">
        <f>IFERROR(HLOOKUP(BI$6,'Property Level Return Calcs'!$D$4:$BO$11,'Property Level Return Calcs'!$A$6,FALSE),0)</f>
        <v>0</v>
      </c>
      <c r="BJ7" s="553">
        <f>IFERROR(HLOOKUP(BJ$6,'Property Level Return Calcs'!$D$4:$BO$11,'Property Level Return Calcs'!$A$6,FALSE),0)</f>
        <v>0</v>
      </c>
      <c r="BK7" s="553">
        <f>IFERROR(HLOOKUP(BK$6,'Property Level Return Calcs'!$D$4:$BO$11,'Property Level Return Calcs'!$A$6,FALSE),0)</f>
        <v>0</v>
      </c>
      <c r="BL7" s="553">
        <f>IFERROR(HLOOKUP(BL$6,'Property Level Return Calcs'!$D$4:$BO$11,'Property Level Return Calcs'!$A$6,FALSE),0)</f>
        <v>0</v>
      </c>
      <c r="BM7" s="553">
        <f>IFERROR(HLOOKUP(BM$6,'Property Level Return Calcs'!$D$4:$BO$11,'Property Level Return Calcs'!$A$6,FALSE),0)</f>
        <v>0</v>
      </c>
      <c r="BN7" s="553">
        <f>IFERROR(HLOOKUP(BN$6,'Property Level Return Calcs'!$D$4:$BO$11,'Property Level Return Calcs'!$A$6,FALSE),0)</f>
        <v>0</v>
      </c>
      <c r="BO7" s="346"/>
      <c r="BP7" s="251" t="s">
        <v>215</v>
      </c>
      <c r="BQ7" s="357">
        <f>+Dashboard!E18</f>
        <v>0.75</v>
      </c>
      <c r="BR7" s="357">
        <f t="shared" ref="BR7:BR8" si="0">1-BQ7</f>
        <v>0.25</v>
      </c>
      <c r="BS7" s="357">
        <f>+Dashboard!F18</f>
        <v>0.22</v>
      </c>
      <c r="BT7" s="602">
        <v>0</v>
      </c>
      <c r="BV7" s="552">
        <f>(1+BS7)^(1/12)</f>
        <v>1.0167089638731281</v>
      </c>
      <c r="BW7" s="554">
        <f>(1+BS7)^(1/365)</f>
        <v>1.0005449453020443</v>
      </c>
    </row>
    <row r="8" spans="1:75" ht="15.75" thickBot="1">
      <c r="B8" s="248" t="s">
        <v>165</v>
      </c>
      <c r="C8" s="553">
        <f>IFERROR(HLOOKUP(C$6,'Property Level Return Calcs'!$D$4:$BO$11,'Property Level Return Calcs'!$A$9,FALSE),0)</f>
        <v>0</v>
      </c>
      <c r="D8" s="553">
        <f>IFERROR(HLOOKUP(D$6,'Property Level Return Calcs'!$D$4:$BO$11,'Property Level Return Calcs'!$A$9,FALSE),0)</f>
        <v>0</v>
      </c>
      <c r="E8" s="553">
        <f>IFERROR(HLOOKUP(E$6,'Property Level Return Calcs'!$D$4:$BO$11,'Property Level Return Calcs'!$A$9,FALSE),0)</f>
        <v>0</v>
      </c>
      <c r="F8" s="553">
        <f>IFERROR(HLOOKUP(F$6,'Property Level Return Calcs'!$D$4:$BO$11,'Property Level Return Calcs'!$A$9,FALSE),0)</f>
        <v>0</v>
      </c>
      <c r="G8" s="553">
        <f>IFERROR(HLOOKUP(G$6,'Property Level Return Calcs'!$D$4:$BO$11,'Property Level Return Calcs'!$A$9,FALSE),0)</f>
        <v>0</v>
      </c>
      <c r="H8" s="553">
        <f>IFERROR(HLOOKUP(H$6,'Property Level Return Calcs'!$D$4:$BO$11,'Property Level Return Calcs'!$A$9,FALSE),0)</f>
        <v>0</v>
      </c>
      <c r="I8" s="553">
        <f>IFERROR(HLOOKUP(I$6,'Property Level Return Calcs'!$D$4:$BO$11,'Property Level Return Calcs'!$A$9,FALSE),0)</f>
        <v>0</v>
      </c>
      <c r="J8" s="553">
        <f>IFERROR(HLOOKUP(J$6,'Property Level Return Calcs'!$D$4:$BO$11,'Property Level Return Calcs'!$A$9,FALSE),0)</f>
        <v>0</v>
      </c>
      <c r="K8" s="553">
        <f>IFERROR(HLOOKUP(K$6,'Property Level Return Calcs'!$D$4:$BO$11,'Property Level Return Calcs'!$A$9,FALSE),0)</f>
        <v>0</v>
      </c>
      <c r="L8" s="553">
        <f>IFERROR(HLOOKUP(L$6,'Property Level Return Calcs'!$D$4:$BO$11,'Property Level Return Calcs'!$A$9,FALSE),0)</f>
        <v>0</v>
      </c>
      <c r="M8" s="553">
        <f>IFERROR(HLOOKUP(M$6,'Property Level Return Calcs'!$D$4:$BO$11,'Property Level Return Calcs'!$A$9,FALSE),0)</f>
        <v>0</v>
      </c>
      <c r="N8" s="553">
        <f>IFERROR(HLOOKUP(N$6,'Property Level Return Calcs'!$D$4:$BO$11,'Property Level Return Calcs'!$A$9,FALSE),0)</f>
        <v>0</v>
      </c>
      <c r="O8" s="553">
        <f>IFERROR(HLOOKUP(O$6,'Property Level Return Calcs'!$D$4:$BO$11,'Property Level Return Calcs'!$A$9,FALSE),0)</f>
        <v>0</v>
      </c>
      <c r="P8" s="553">
        <f>IFERROR(HLOOKUP(P$6,'Property Level Return Calcs'!$D$4:$BO$11,'Property Level Return Calcs'!$A$9,FALSE),0)</f>
        <v>0</v>
      </c>
      <c r="Q8" s="553">
        <f>IFERROR(HLOOKUP(Q$6,'Property Level Return Calcs'!$D$4:$BO$11,'Property Level Return Calcs'!$A$9,FALSE),0)</f>
        <v>0</v>
      </c>
      <c r="R8" s="553">
        <f>IFERROR(HLOOKUP(R$6,'Property Level Return Calcs'!$D$4:$BO$11,'Property Level Return Calcs'!$A$9,FALSE),0)</f>
        <v>0</v>
      </c>
      <c r="S8" s="553">
        <f>IFERROR(HLOOKUP(S$6,'Property Level Return Calcs'!$D$4:$BO$11,'Property Level Return Calcs'!$A$9,FALSE),0)</f>
        <v>0</v>
      </c>
      <c r="T8" s="553">
        <f>IFERROR(HLOOKUP(T$6,'Property Level Return Calcs'!$D$4:$BO$11,'Property Level Return Calcs'!$A$9,FALSE),0)</f>
        <v>0</v>
      </c>
      <c r="U8" s="553">
        <f>IFERROR(HLOOKUP(U$6,'Property Level Return Calcs'!$D$4:$BO$11,'Property Level Return Calcs'!$A$9,FALSE),0)</f>
        <v>0</v>
      </c>
      <c r="V8" s="553">
        <f>IFERROR(HLOOKUP(V$6,'Property Level Return Calcs'!$D$4:$BO$11,'Property Level Return Calcs'!$A$9,FALSE),0)</f>
        <v>0</v>
      </c>
      <c r="W8" s="553">
        <f>IFERROR(HLOOKUP(W$6,'Property Level Return Calcs'!$D$4:$BO$11,'Property Level Return Calcs'!$A$9,FALSE),0)</f>
        <v>0</v>
      </c>
      <c r="X8" s="553">
        <f>IFERROR(HLOOKUP(X$6,'Property Level Return Calcs'!$D$4:$BO$11,'Property Level Return Calcs'!$A$9,FALSE),0)</f>
        <v>55865.937070519256</v>
      </c>
      <c r="Y8" s="553">
        <f>IFERROR(HLOOKUP(Y$6,'Property Level Return Calcs'!$D$4:$BO$11,'Property Level Return Calcs'!$A$9,FALSE),0)</f>
        <v>55865.937070519256</v>
      </c>
      <c r="Z8" s="553">
        <f>IFERROR(HLOOKUP(Z$6,'Property Level Return Calcs'!$D$4:$BO$11,'Property Level Return Calcs'!$A$9,FALSE),0)</f>
        <v>55865.937070519256</v>
      </c>
      <c r="AA8" s="553">
        <f>IFERROR(HLOOKUP(AA$6,'Property Level Return Calcs'!$D$4:$BO$11,'Property Level Return Calcs'!$A$9,FALSE),0)</f>
        <v>1567865.9370705192</v>
      </c>
      <c r="AB8" s="553">
        <f>IFERROR(HLOOKUP(AB$6,'Property Level Return Calcs'!$D$4:$BO$11,'Property Level Return Calcs'!$A$9,FALSE),0)</f>
        <v>55865.937070519256</v>
      </c>
      <c r="AC8" s="553">
        <f>IFERROR(HLOOKUP(AC$6,'Property Level Return Calcs'!$D$4:$BO$11,'Property Level Return Calcs'!$A$9,FALSE),0)</f>
        <v>55865.937070519256</v>
      </c>
      <c r="AD8" s="553">
        <f>IFERROR(HLOOKUP(AD$6,'Property Level Return Calcs'!$D$4:$BO$11,'Property Level Return Calcs'!$A$9,FALSE),0)</f>
        <v>0</v>
      </c>
      <c r="AE8" s="553">
        <f>IFERROR(HLOOKUP(AE$6,'Property Level Return Calcs'!$D$4:$BO$11,'Property Level Return Calcs'!$A$9,FALSE),0)</f>
        <v>0</v>
      </c>
      <c r="AF8" s="553">
        <f>IFERROR(HLOOKUP(AF$6,'Property Level Return Calcs'!$D$4:$BO$11,'Property Level Return Calcs'!$A$9,FALSE),0)</f>
        <v>0</v>
      </c>
      <c r="AG8" s="553">
        <f>IFERROR(HLOOKUP(AG$6,'Property Level Return Calcs'!$D$4:$BO$11,'Property Level Return Calcs'!$A$9,FALSE),0)</f>
        <v>0</v>
      </c>
      <c r="AH8" s="553">
        <f>IFERROR(HLOOKUP(AH$6,'Property Level Return Calcs'!$D$4:$BO$11,'Property Level Return Calcs'!$A$9,FALSE),0)</f>
        <v>0</v>
      </c>
      <c r="AI8" s="553">
        <f>IFERROR(HLOOKUP(AI$6,'Property Level Return Calcs'!$D$4:$BO$11,'Property Level Return Calcs'!$A$9,FALSE),0)</f>
        <v>0</v>
      </c>
      <c r="AJ8" s="553">
        <f>IFERROR(HLOOKUP(AJ$6,'Property Level Return Calcs'!$D$4:$BO$11,'Property Level Return Calcs'!$A$9,FALSE),0)</f>
        <v>0</v>
      </c>
      <c r="AK8" s="553">
        <f>IFERROR(HLOOKUP(AK$6,'Property Level Return Calcs'!$D$4:$BO$11,'Property Level Return Calcs'!$A$9,FALSE),0)</f>
        <v>0</v>
      </c>
      <c r="AL8" s="553">
        <f>IFERROR(HLOOKUP(AL$6,'Property Level Return Calcs'!$D$4:$BO$11,'Property Level Return Calcs'!$A$9,FALSE),0)</f>
        <v>0</v>
      </c>
      <c r="AM8" s="553">
        <f>IFERROR(HLOOKUP(AM$6,'Property Level Return Calcs'!$D$4:$BO$11,'Property Level Return Calcs'!$A$9,FALSE),0)</f>
        <v>0</v>
      </c>
      <c r="AN8" s="553">
        <f>IFERROR(HLOOKUP(AN$6,'Property Level Return Calcs'!$D$4:$BO$11,'Property Level Return Calcs'!$A$9,FALSE),0)</f>
        <v>0</v>
      </c>
      <c r="AO8" s="553">
        <f>IFERROR(HLOOKUP(AO$6,'Property Level Return Calcs'!$D$4:$BO$11,'Property Level Return Calcs'!$A$9,FALSE),0)</f>
        <v>0</v>
      </c>
      <c r="AP8" s="553">
        <f>IFERROR(HLOOKUP(AP$6,'Property Level Return Calcs'!$D$4:$BO$11,'Property Level Return Calcs'!$A$9,FALSE),0)</f>
        <v>0</v>
      </c>
      <c r="AQ8" s="553">
        <f>IFERROR(HLOOKUP(AQ$6,'Property Level Return Calcs'!$D$4:$BO$11,'Property Level Return Calcs'!$A$9,FALSE),0)</f>
        <v>0</v>
      </c>
      <c r="AR8" s="553">
        <f>IFERROR(HLOOKUP(AR$6,'Property Level Return Calcs'!$D$4:$BO$11,'Property Level Return Calcs'!$A$9,FALSE),0)</f>
        <v>0</v>
      </c>
      <c r="AS8" s="553">
        <f>IFERROR(HLOOKUP(AS$6,'Property Level Return Calcs'!$D$4:$BO$11,'Property Level Return Calcs'!$A$9,FALSE),0)</f>
        <v>0</v>
      </c>
      <c r="AT8" s="553">
        <f>IFERROR(HLOOKUP(AT$6,'Property Level Return Calcs'!$D$4:$BO$11,'Property Level Return Calcs'!$A$9,FALSE),0)</f>
        <v>0</v>
      </c>
      <c r="AU8" s="553">
        <f>IFERROR(HLOOKUP(AU$6,'Property Level Return Calcs'!$D$4:$BO$11,'Property Level Return Calcs'!$A$9,FALSE),0)</f>
        <v>0</v>
      </c>
      <c r="AV8" s="553">
        <f>IFERROR(HLOOKUP(AV$6,'Property Level Return Calcs'!$D$4:$BO$11,'Property Level Return Calcs'!$A$9,FALSE),0)</f>
        <v>0</v>
      </c>
      <c r="AW8" s="553">
        <f>IFERROR(HLOOKUP(AW$6,'Property Level Return Calcs'!$D$4:$BO$11,'Property Level Return Calcs'!$A$9,FALSE),0)</f>
        <v>0</v>
      </c>
      <c r="AX8" s="553">
        <f>IFERROR(HLOOKUP(AX$6,'Property Level Return Calcs'!$D$4:$BO$11,'Property Level Return Calcs'!$A$9,FALSE),0)</f>
        <v>0</v>
      </c>
      <c r="AY8" s="553">
        <f>IFERROR(HLOOKUP(AY$6,'Property Level Return Calcs'!$D$4:$BO$11,'Property Level Return Calcs'!$A$9,FALSE),0)</f>
        <v>0</v>
      </c>
      <c r="AZ8" s="553">
        <f>IFERROR(HLOOKUP(AZ$6,'Property Level Return Calcs'!$D$4:$BO$11,'Property Level Return Calcs'!$A$9,FALSE),0)</f>
        <v>0</v>
      </c>
      <c r="BA8" s="553">
        <f>IFERROR(HLOOKUP(BA$6,'Property Level Return Calcs'!$D$4:$BO$11,'Property Level Return Calcs'!$A$9,FALSE),0)</f>
        <v>0</v>
      </c>
      <c r="BB8" s="553">
        <f>IFERROR(HLOOKUP(BB$6,'Property Level Return Calcs'!$D$4:$BO$11,'Property Level Return Calcs'!$A$9,FALSE),0)</f>
        <v>0</v>
      </c>
      <c r="BC8" s="553">
        <f>IFERROR(HLOOKUP(BC$6,'Property Level Return Calcs'!$D$4:$BO$11,'Property Level Return Calcs'!$A$9,FALSE),0)</f>
        <v>0</v>
      </c>
      <c r="BD8" s="553">
        <f>IFERROR(HLOOKUP(BD$6,'Property Level Return Calcs'!$D$4:$BO$11,'Property Level Return Calcs'!$A$9,FALSE),0)</f>
        <v>0</v>
      </c>
      <c r="BE8" s="553">
        <f>IFERROR(HLOOKUP(BE$6,'Property Level Return Calcs'!$D$4:$BO$11,'Property Level Return Calcs'!$A$9,FALSE),0)</f>
        <v>0</v>
      </c>
      <c r="BF8" s="553">
        <f>IFERROR(HLOOKUP(BF$6,'Property Level Return Calcs'!$D$4:$BO$11,'Property Level Return Calcs'!$A$9,FALSE),0)</f>
        <v>0</v>
      </c>
      <c r="BG8" s="553">
        <f>IFERROR(HLOOKUP(BG$6,'Property Level Return Calcs'!$D$4:$BO$11,'Property Level Return Calcs'!$A$9,FALSE),0)</f>
        <v>0</v>
      </c>
      <c r="BH8" s="553">
        <f>IFERROR(HLOOKUP(BH$6,'Property Level Return Calcs'!$D$4:$BO$11,'Property Level Return Calcs'!$A$9,FALSE),0)</f>
        <v>0</v>
      </c>
      <c r="BI8" s="553">
        <f>IFERROR(HLOOKUP(BI$6,'Property Level Return Calcs'!$D$4:$BO$11,'Property Level Return Calcs'!$A$9,FALSE),0)</f>
        <v>0</v>
      </c>
      <c r="BJ8" s="553">
        <f>IFERROR(HLOOKUP(BJ$6,'Property Level Return Calcs'!$D$4:$BO$11,'Property Level Return Calcs'!$A$9,FALSE),0)</f>
        <v>0</v>
      </c>
      <c r="BK8" s="553">
        <f>IFERROR(HLOOKUP(BK$6,'Property Level Return Calcs'!$D$4:$BO$11,'Property Level Return Calcs'!$A$9,FALSE),0)</f>
        <v>0</v>
      </c>
      <c r="BL8" s="553">
        <f>IFERROR(HLOOKUP(BL$6,'Property Level Return Calcs'!$D$4:$BO$11,'Property Level Return Calcs'!$A$9,FALSE),0)</f>
        <v>0</v>
      </c>
      <c r="BM8" s="553">
        <f>IFERROR(HLOOKUP(BM$6,'Property Level Return Calcs'!$D$4:$BO$11,'Property Level Return Calcs'!$A$9,FALSE),0)</f>
        <v>0</v>
      </c>
      <c r="BN8" s="553">
        <f>IFERROR(HLOOKUP(BN$6,'Property Level Return Calcs'!$D$4:$BO$11,'Property Level Return Calcs'!$A$9,FALSE),0)</f>
        <v>0</v>
      </c>
      <c r="BO8" s="322"/>
      <c r="BP8" s="555" t="s">
        <v>216</v>
      </c>
      <c r="BQ8" s="556">
        <f>+Dashboard!E20</f>
        <v>0.65</v>
      </c>
      <c r="BR8" s="556">
        <f t="shared" si="0"/>
        <v>0.35</v>
      </c>
      <c r="BS8" s="556">
        <f>+Dashboard!F20</f>
        <v>2</v>
      </c>
      <c r="BT8" s="603" t="s">
        <v>49</v>
      </c>
      <c r="BV8" s="487"/>
    </row>
    <row r="9" spans="1:75">
      <c r="B9" s="248" t="s">
        <v>156</v>
      </c>
      <c r="C9" s="553">
        <f>IFERROR(HLOOKUP(C$6,'Property Level Return Calcs'!$D$4:$BO$11,'Property Level Return Calcs'!$A$10,FALSE),0)</f>
        <v>0</v>
      </c>
      <c r="D9" s="553">
        <f>IFERROR(HLOOKUP(D$6,'Property Level Return Calcs'!$D$4:$BO$11,'Property Level Return Calcs'!$A$10,FALSE),0)</f>
        <v>0</v>
      </c>
      <c r="E9" s="553">
        <f>IFERROR(HLOOKUP(E$6,'Property Level Return Calcs'!$D$4:$BO$11,'Property Level Return Calcs'!$A$10,FALSE),0)</f>
        <v>0</v>
      </c>
      <c r="F9" s="553">
        <f>IFERROR(HLOOKUP(F$6,'Property Level Return Calcs'!$D$4:$BO$11,'Property Level Return Calcs'!$A$10,FALSE),0)</f>
        <v>0</v>
      </c>
      <c r="G9" s="553">
        <f>IFERROR(HLOOKUP(G$6,'Property Level Return Calcs'!$D$4:$BO$11,'Property Level Return Calcs'!$A$10,FALSE),0)</f>
        <v>0</v>
      </c>
      <c r="H9" s="553">
        <f>IFERROR(HLOOKUP(H$6,'Property Level Return Calcs'!$D$4:$BO$11,'Property Level Return Calcs'!$A$10,FALSE),0)</f>
        <v>0</v>
      </c>
      <c r="I9" s="553">
        <f>IFERROR(HLOOKUP(I$6,'Property Level Return Calcs'!$D$4:$BO$11,'Property Level Return Calcs'!$A$10,FALSE),0)</f>
        <v>0</v>
      </c>
      <c r="J9" s="553">
        <f>IFERROR(HLOOKUP(J$6,'Property Level Return Calcs'!$D$4:$BO$11,'Property Level Return Calcs'!$A$10,FALSE),0)</f>
        <v>0</v>
      </c>
      <c r="K9" s="553">
        <f>IFERROR(HLOOKUP(K$6,'Property Level Return Calcs'!$D$4:$BO$11,'Property Level Return Calcs'!$A$10,FALSE),0)</f>
        <v>0</v>
      </c>
      <c r="L9" s="553">
        <f>IFERROR(HLOOKUP(L$6,'Property Level Return Calcs'!$D$4:$BO$11,'Property Level Return Calcs'!$A$10,FALSE),0)</f>
        <v>0</v>
      </c>
      <c r="M9" s="553">
        <f>IFERROR(HLOOKUP(M$6,'Property Level Return Calcs'!$D$4:$BO$11,'Property Level Return Calcs'!$A$10,FALSE),0)</f>
        <v>0</v>
      </c>
      <c r="N9" s="553">
        <f>IFERROR(HLOOKUP(N$6,'Property Level Return Calcs'!$D$4:$BO$11,'Property Level Return Calcs'!$A$10,FALSE),0)</f>
        <v>0</v>
      </c>
      <c r="O9" s="553">
        <f>IFERROR(HLOOKUP(O$6,'Property Level Return Calcs'!$D$4:$BO$11,'Property Level Return Calcs'!$A$10,FALSE),0)</f>
        <v>0</v>
      </c>
      <c r="P9" s="553">
        <f>IFERROR(HLOOKUP(P$6,'Property Level Return Calcs'!$D$4:$BO$11,'Property Level Return Calcs'!$A$10,FALSE),0)</f>
        <v>0</v>
      </c>
      <c r="Q9" s="553">
        <f>IFERROR(HLOOKUP(Q$6,'Property Level Return Calcs'!$D$4:$BO$11,'Property Level Return Calcs'!$A$10,FALSE),0)</f>
        <v>0</v>
      </c>
      <c r="R9" s="553">
        <f>IFERROR(HLOOKUP(R$6,'Property Level Return Calcs'!$D$4:$BO$11,'Property Level Return Calcs'!$A$10,FALSE),0)</f>
        <v>0</v>
      </c>
      <c r="S9" s="553">
        <f>IFERROR(HLOOKUP(S$6,'Property Level Return Calcs'!$D$4:$BO$11,'Property Level Return Calcs'!$A$10,FALSE),0)</f>
        <v>0</v>
      </c>
      <c r="T9" s="553">
        <f>IFERROR(HLOOKUP(T$6,'Property Level Return Calcs'!$D$4:$BO$11,'Property Level Return Calcs'!$A$10,FALSE),0)</f>
        <v>0</v>
      </c>
      <c r="U9" s="553">
        <f>IFERROR(HLOOKUP(U$6,'Property Level Return Calcs'!$D$4:$BO$11,'Property Level Return Calcs'!$A$10,FALSE),0)</f>
        <v>0</v>
      </c>
      <c r="V9" s="553">
        <f>IFERROR(HLOOKUP(V$6,'Property Level Return Calcs'!$D$4:$BO$11,'Property Level Return Calcs'!$A$10,FALSE),0)</f>
        <v>0</v>
      </c>
      <c r="W9" s="553">
        <f>IFERROR(HLOOKUP(W$6,'Property Level Return Calcs'!$D$4:$BO$11,'Property Level Return Calcs'!$A$10,FALSE),0)</f>
        <v>0</v>
      </c>
      <c r="X9" s="553">
        <f>IFERROR(HLOOKUP(X$6,'Property Level Return Calcs'!$D$4:$BO$11,'Property Level Return Calcs'!$A$10,FALSE),0)</f>
        <v>0</v>
      </c>
      <c r="Y9" s="553">
        <f>IFERROR(HLOOKUP(Y$6,'Property Level Return Calcs'!$D$4:$BO$11,'Property Level Return Calcs'!$A$10,FALSE),0)</f>
        <v>0</v>
      </c>
      <c r="Z9" s="553">
        <f>IFERROR(HLOOKUP(Z$6,'Property Level Return Calcs'!$D$4:$BO$11,'Property Level Return Calcs'!$A$10,FALSE),0)</f>
        <v>0</v>
      </c>
      <c r="AA9" s="553">
        <f>IFERROR(HLOOKUP(AA$6,'Property Level Return Calcs'!$D$4:$BO$11,'Property Level Return Calcs'!$A$10,FALSE),0)</f>
        <v>0</v>
      </c>
      <c r="AB9" s="553">
        <f>IFERROR(HLOOKUP(AB$6,'Property Level Return Calcs'!$D$4:$BO$11,'Property Level Return Calcs'!$A$10,FALSE),0)</f>
        <v>0</v>
      </c>
      <c r="AC9" s="553">
        <f>IFERROR(HLOOKUP(AC$6,'Property Level Return Calcs'!$D$4:$BO$11,'Property Level Return Calcs'!$A$10,FALSE),0)</f>
        <v>0</v>
      </c>
      <c r="AD9" s="553">
        <f>IFERROR(HLOOKUP(AD$6,'Property Level Return Calcs'!$D$4:$BO$11,'Property Level Return Calcs'!$A$10,FALSE),0)</f>
        <v>0</v>
      </c>
      <c r="AE9" s="553">
        <f>IFERROR(HLOOKUP(AE$6,'Property Level Return Calcs'!$D$4:$BO$11,'Property Level Return Calcs'!$A$10,FALSE),0)</f>
        <v>0</v>
      </c>
      <c r="AF9" s="553">
        <f>IFERROR(HLOOKUP(AF$6,'Property Level Return Calcs'!$D$4:$BO$11,'Property Level Return Calcs'!$A$10,FALSE),0)</f>
        <v>0</v>
      </c>
      <c r="AG9" s="553">
        <f>IFERROR(HLOOKUP(AG$6,'Property Level Return Calcs'!$D$4:$BO$11,'Property Level Return Calcs'!$A$10,FALSE),0)</f>
        <v>0</v>
      </c>
      <c r="AH9" s="553">
        <f>IFERROR(HLOOKUP(AH$6,'Property Level Return Calcs'!$D$4:$BO$11,'Property Level Return Calcs'!$A$10,FALSE),0)</f>
        <v>0</v>
      </c>
      <c r="AI9" s="553">
        <f>IFERROR(HLOOKUP(AI$6,'Property Level Return Calcs'!$D$4:$BO$11,'Property Level Return Calcs'!$A$10,FALSE),0)</f>
        <v>0</v>
      </c>
      <c r="AJ9" s="553">
        <f>IFERROR(HLOOKUP(AJ$6,'Property Level Return Calcs'!$D$4:$BO$11,'Property Level Return Calcs'!$A$10,FALSE),0)</f>
        <v>0</v>
      </c>
      <c r="AK9" s="553">
        <f>IFERROR(HLOOKUP(AK$6,'Property Level Return Calcs'!$D$4:$BO$11,'Property Level Return Calcs'!$A$10,FALSE),0)</f>
        <v>0</v>
      </c>
      <c r="AL9" s="553">
        <f>IFERROR(HLOOKUP(AL$6,'Property Level Return Calcs'!$D$4:$BO$11,'Property Level Return Calcs'!$A$10,FALSE),0)</f>
        <v>0</v>
      </c>
      <c r="AM9" s="553">
        <f>IFERROR(HLOOKUP(AM$6,'Property Level Return Calcs'!$D$4:$BO$11,'Property Level Return Calcs'!$A$10,FALSE),0)</f>
        <v>0</v>
      </c>
      <c r="AN9" s="553">
        <f>IFERROR(HLOOKUP(AN$6,'Property Level Return Calcs'!$D$4:$BO$11,'Property Level Return Calcs'!$A$10,FALSE),0)</f>
        <v>0</v>
      </c>
      <c r="AO9" s="553">
        <f>IFERROR(HLOOKUP(AO$6,'Property Level Return Calcs'!$D$4:$BO$11,'Property Level Return Calcs'!$A$10,FALSE),0)</f>
        <v>0</v>
      </c>
      <c r="AP9" s="553">
        <f>IFERROR(HLOOKUP(AP$6,'Property Level Return Calcs'!$D$4:$BO$11,'Property Level Return Calcs'!$A$10,FALSE),0)</f>
        <v>0</v>
      </c>
      <c r="AQ9" s="553">
        <f>IFERROR(HLOOKUP(AQ$6,'Property Level Return Calcs'!$D$4:$BO$11,'Property Level Return Calcs'!$A$10,FALSE),0)</f>
        <v>0</v>
      </c>
      <c r="AR9" s="553">
        <f>IFERROR(HLOOKUP(AR$6,'Property Level Return Calcs'!$D$4:$BO$11,'Property Level Return Calcs'!$A$10,FALSE),0)</f>
        <v>0</v>
      </c>
      <c r="AS9" s="553">
        <f>IFERROR(HLOOKUP(AS$6,'Property Level Return Calcs'!$D$4:$BO$11,'Property Level Return Calcs'!$A$10,FALSE),0)</f>
        <v>0</v>
      </c>
      <c r="AT9" s="553">
        <f>IFERROR(HLOOKUP(AT$6,'Property Level Return Calcs'!$D$4:$BO$11,'Property Level Return Calcs'!$A$10,FALSE),0)</f>
        <v>0</v>
      </c>
      <c r="AU9" s="553">
        <f>IFERROR(HLOOKUP(AU$6,'Property Level Return Calcs'!$D$4:$BO$11,'Property Level Return Calcs'!$A$10,FALSE),0)</f>
        <v>0</v>
      </c>
      <c r="AV9" s="553">
        <f>IFERROR(HLOOKUP(AV$6,'Property Level Return Calcs'!$D$4:$BO$11,'Property Level Return Calcs'!$A$10,FALSE),0)</f>
        <v>0</v>
      </c>
      <c r="AW9" s="553">
        <f>IFERROR(HLOOKUP(AW$6,'Property Level Return Calcs'!$D$4:$BO$11,'Property Level Return Calcs'!$A$10,FALSE),0)</f>
        <v>0</v>
      </c>
      <c r="AX9" s="553">
        <f>IFERROR(HLOOKUP(AX$6,'Property Level Return Calcs'!$D$4:$BO$11,'Property Level Return Calcs'!$A$10,FALSE),0)</f>
        <v>0</v>
      </c>
      <c r="AY9" s="553">
        <f>IFERROR(HLOOKUP(AY$6,'Property Level Return Calcs'!$D$4:$BO$11,'Property Level Return Calcs'!$A$10,FALSE),0)</f>
        <v>0</v>
      </c>
      <c r="AZ9" s="553">
        <f>IFERROR(HLOOKUP(AZ$6,'Property Level Return Calcs'!$D$4:$BO$11,'Property Level Return Calcs'!$A$10,FALSE),0)</f>
        <v>0</v>
      </c>
      <c r="BA9" s="553">
        <f>IFERROR(HLOOKUP(BA$6,'Property Level Return Calcs'!$D$4:$BO$11,'Property Level Return Calcs'!$A$10,FALSE),0)</f>
        <v>0</v>
      </c>
      <c r="BB9" s="553">
        <f>IFERROR(HLOOKUP(BB$6,'Property Level Return Calcs'!$D$4:$BO$11,'Property Level Return Calcs'!$A$10,FALSE),0)</f>
        <v>0</v>
      </c>
      <c r="BC9" s="553">
        <f>IFERROR(HLOOKUP(BC$6,'Property Level Return Calcs'!$D$4:$BO$11,'Property Level Return Calcs'!$A$10,FALSE),0)</f>
        <v>0</v>
      </c>
      <c r="BD9" s="553">
        <f>IFERROR(HLOOKUP(BD$6,'Property Level Return Calcs'!$D$4:$BO$11,'Property Level Return Calcs'!$A$10,FALSE),0)</f>
        <v>0</v>
      </c>
      <c r="BE9" s="553">
        <f>IFERROR(HLOOKUP(BE$6,'Property Level Return Calcs'!$D$4:$BO$11,'Property Level Return Calcs'!$A$10,FALSE),0)</f>
        <v>0</v>
      </c>
      <c r="BF9" s="553">
        <f>IFERROR(HLOOKUP(BF$6,'Property Level Return Calcs'!$D$4:$BO$11,'Property Level Return Calcs'!$A$10,FALSE),0)</f>
        <v>0</v>
      </c>
      <c r="BG9" s="553">
        <f>IFERROR(HLOOKUP(BG$6,'Property Level Return Calcs'!$D$4:$BO$11,'Property Level Return Calcs'!$A$10,FALSE),0)</f>
        <v>0</v>
      </c>
      <c r="BH9" s="553">
        <f>IFERROR(HLOOKUP(BH$6,'Property Level Return Calcs'!$D$4:$BO$11,'Property Level Return Calcs'!$A$10,FALSE),0)</f>
        <v>0</v>
      </c>
      <c r="BI9" s="553">
        <f>IFERROR(HLOOKUP(BI$6,'Property Level Return Calcs'!$D$4:$BO$11,'Property Level Return Calcs'!$A$10,FALSE),0)</f>
        <v>0</v>
      </c>
      <c r="BJ9" s="553">
        <f>IFERROR(HLOOKUP(BJ$6,'Property Level Return Calcs'!$D$4:$BO$11,'Property Level Return Calcs'!$A$10,FALSE),0)</f>
        <v>0</v>
      </c>
      <c r="BK9" s="553">
        <f>IFERROR(HLOOKUP(BK$6,'Property Level Return Calcs'!$D$4:$BO$11,'Property Level Return Calcs'!$A$10,FALSE),0)</f>
        <v>0</v>
      </c>
      <c r="BL9" s="553">
        <f>IFERROR(HLOOKUP(BL$6,'Property Level Return Calcs'!$D$4:$BO$11,'Property Level Return Calcs'!$A$10,FALSE),0)</f>
        <v>0</v>
      </c>
      <c r="BM9" s="553">
        <f>IFERROR(HLOOKUP(BM$6,'Property Level Return Calcs'!$D$4:$BO$11,'Property Level Return Calcs'!$A$10,FALSE),0)</f>
        <v>0</v>
      </c>
      <c r="BN9" s="553">
        <f>IFERROR(HLOOKUP(BN$6,'Property Level Return Calcs'!$D$4:$BO$11,'Property Level Return Calcs'!$A$10,FALSE),0)</f>
        <v>0</v>
      </c>
      <c r="BO9" s="347"/>
    </row>
    <row r="10" spans="1:75" s="216" customFormat="1">
      <c r="A10" s="215"/>
      <c r="B10" s="255" t="s">
        <v>166</v>
      </c>
      <c r="C10" s="553">
        <f>IFERROR(HLOOKUP(C$6,'Property Level Return Calcs'!$D$4:$BO$11,'Property Level Return Calcs'!$A$11,FALSE),0)</f>
        <v>0</v>
      </c>
      <c r="D10" s="553">
        <f>IFERROR(HLOOKUP(D$6,'Property Level Return Calcs'!$D$4:$BO$11,'Property Level Return Calcs'!$A$11,FALSE),0)</f>
        <v>0</v>
      </c>
      <c r="E10" s="553">
        <f>IFERROR(HLOOKUP(E$6,'Property Level Return Calcs'!$D$4:$BO$11,'Property Level Return Calcs'!$A$11,FALSE),0)</f>
        <v>0</v>
      </c>
      <c r="F10" s="553">
        <f>IFERROR(HLOOKUP(F$6,'Property Level Return Calcs'!$D$4:$BO$11,'Property Level Return Calcs'!$A$11,FALSE),0)</f>
        <v>0</v>
      </c>
      <c r="G10" s="553">
        <f>IFERROR(HLOOKUP(G$6,'Property Level Return Calcs'!$D$4:$BO$11,'Property Level Return Calcs'!$A$11,FALSE),0)</f>
        <v>0</v>
      </c>
      <c r="H10" s="553">
        <f>IFERROR(HLOOKUP(H$6,'Property Level Return Calcs'!$D$4:$BO$11,'Property Level Return Calcs'!$A$11,FALSE),0)</f>
        <v>0</v>
      </c>
      <c r="I10" s="553">
        <f>IFERROR(HLOOKUP(I$6,'Property Level Return Calcs'!$D$4:$BO$11,'Property Level Return Calcs'!$A$11,FALSE),0)</f>
        <v>0</v>
      </c>
      <c r="J10" s="553">
        <f>IFERROR(HLOOKUP(J$6,'Property Level Return Calcs'!$D$4:$BO$11,'Property Level Return Calcs'!$A$11,FALSE),0)</f>
        <v>0</v>
      </c>
      <c r="K10" s="553">
        <f>IFERROR(HLOOKUP(K$6,'Property Level Return Calcs'!$D$4:$BO$11,'Property Level Return Calcs'!$A$11,FALSE),0)</f>
        <v>0</v>
      </c>
      <c r="L10" s="553">
        <f>IFERROR(HLOOKUP(L$6,'Property Level Return Calcs'!$D$4:$BO$11,'Property Level Return Calcs'!$A$11,FALSE),0)</f>
        <v>0</v>
      </c>
      <c r="M10" s="553">
        <f>IFERROR(HLOOKUP(M$6,'Property Level Return Calcs'!$D$4:$BO$11,'Property Level Return Calcs'!$A$11,FALSE),0)</f>
        <v>0</v>
      </c>
      <c r="N10" s="553">
        <f>IFERROR(HLOOKUP(N$6,'Property Level Return Calcs'!$D$4:$BO$11,'Property Level Return Calcs'!$A$11,FALSE),0)</f>
        <v>0</v>
      </c>
      <c r="O10" s="553">
        <f>IFERROR(HLOOKUP(O$6,'Property Level Return Calcs'!$D$4:$BO$11,'Property Level Return Calcs'!$A$11,FALSE),0)</f>
        <v>0</v>
      </c>
      <c r="P10" s="553">
        <f>IFERROR(HLOOKUP(P$6,'Property Level Return Calcs'!$D$4:$BO$11,'Property Level Return Calcs'!$A$11,FALSE),0)</f>
        <v>0</v>
      </c>
      <c r="Q10" s="553">
        <f>IFERROR(HLOOKUP(Q$6,'Property Level Return Calcs'!$D$4:$BO$11,'Property Level Return Calcs'!$A$11,FALSE),0)</f>
        <v>0</v>
      </c>
      <c r="R10" s="553">
        <f>IFERROR(HLOOKUP(R$6,'Property Level Return Calcs'!$D$4:$BO$11,'Property Level Return Calcs'!$A$11,FALSE),0)</f>
        <v>0</v>
      </c>
      <c r="S10" s="553">
        <f>IFERROR(HLOOKUP(S$6,'Property Level Return Calcs'!$D$4:$BO$11,'Property Level Return Calcs'!$A$11,FALSE),0)</f>
        <v>0</v>
      </c>
      <c r="T10" s="553">
        <f>IFERROR(HLOOKUP(T$6,'Property Level Return Calcs'!$D$4:$BO$11,'Property Level Return Calcs'!$A$11,FALSE),0)</f>
        <v>0</v>
      </c>
      <c r="U10" s="553">
        <f>IFERROR(HLOOKUP(U$6,'Property Level Return Calcs'!$D$4:$BO$11,'Property Level Return Calcs'!$A$11,FALSE),0)</f>
        <v>0</v>
      </c>
      <c r="V10" s="553">
        <f>IFERROR(HLOOKUP(V$6,'Property Level Return Calcs'!$D$4:$BO$11,'Property Level Return Calcs'!$A$11,FALSE),0)</f>
        <v>0</v>
      </c>
      <c r="W10" s="553">
        <f>IFERROR(HLOOKUP(W$6,'Property Level Return Calcs'!$D$4:$BO$11,'Property Level Return Calcs'!$A$11,FALSE),0)</f>
        <v>0</v>
      </c>
      <c r="X10" s="553">
        <f>IFERROR(HLOOKUP(X$6,'Property Level Return Calcs'!$D$4:$BO$11,'Property Level Return Calcs'!$A$11,FALSE),0)</f>
        <v>0</v>
      </c>
      <c r="Y10" s="553">
        <f>IFERROR(HLOOKUP(Y$6,'Property Level Return Calcs'!$D$4:$BO$11,'Property Level Return Calcs'!$A$11,FALSE),0)</f>
        <v>0</v>
      </c>
      <c r="Z10" s="553">
        <f>IFERROR(HLOOKUP(Z$6,'Property Level Return Calcs'!$D$4:$BO$11,'Property Level Return Calcs'!$A$11,FALSE),0)</f>
        <v>0</v>
      </c>
      <c r="AA10" s="553">
        <f>IFERROR(HLOOKUP(AA$6,'Property Level Return Calcs'!$D$4:$BO$11,'Property Level Return Calcs'!$A$11,FALSE),0)</f>
        <v>0</v>
      </c>
      <c r="AB10" s="553">
        <f>IFERROR(HLOOKUP(AB$6,'Property Level Return Calcs'!$D$4:$BO$11,'Property Level Return Calcs'!$A$11,FALSE),0)</f>
        <v>0</v>
      </c>
      <c r="AC10" s="553">
        <f>IFERROR(HLOOKUP(AC$6,'Property Level Return Calcs'!$D$4:$BO$11,'Property Level Return Calcs'!$A$11,FALSE),0)</f>
        <v>0</v>
      </c>
      <c r="AD10" s="553">
        <f>IFERROR(HLOOKUP(AD$6,'Property Level Return Calcs'!$D$4:$BO$11,'Property Level Return Calcs'!$A$11,FALSE),0)</f>
        <v>33551787.168016102</v>
      </c>
      <c r="AE10" s="553">
        <f>IFERROR(HLOOKUP(AE$6,'Property Level Return Calcs'!$D$4:$BO$11,'Property Level Return Calcs'!$A$11,FALSE),0)</f>
        <v>0</v>
      </c>
      <c r="AF10" s="553">
        <f>IFERROR(HLOOKUP(AF$6,'Property Level Return Calcs'!$D$4:$BO$11,'Property Level Return Calcs'!$A$11,FALSE),0)</f>
        <v>0</v>
      </c>
      <c r="AG10" s="553">
        <f>IFERROR(HLOOKUP(AG$6,'Property Level Return Calcs'!$D$4:$BO$11,'Property Level Return Calcs'!$A$11,FALSE),0)</f>
        <v>0</v>
      </c>
      <c r="AH10" s="553">
        <f>IFERROR(HLOOKUP(AH$6,'Property Level Return Calcs'!$D$4:$BO$11,'Property Level Return Calcs'!$A$11,FALSE),0)</f>
        <v>0</v>
      </c>
      <c r="AI10" s="553">
        <f>IFERROR(HLOOKUP(AI$6,'Property Level Return Calcs'!$D$4:$BO$11,'Property Level Return Calcs'!$A$11,FALSE),0)</f>
        <v>0</v>
      </c>
      <c r="AJ10" s="553">
        <f>IFERROR(HLOOKUP(AJ$6,'Property Level Return Calcs'!$D$4:$BO$11,'Property Level Return Calcs'!$A$11,FALSE),0)</f>
        <v>0</v>
      </c>
      <c r="AK10" s="553">
        <f>IFERROR(HLOOKUP(AK$6,'Property Level Return Calcs'!$D$4:$BO$11,'Property Level Return Calcs'!$A$11,FALSE),0)</f>
        <v>0</v>
      </c>
      <c r="AL10" s="553">
        <f>IFERROR(HLOOKUP(AL$6,'Property Level Return Calcs'!$D$4:$BO$11,'Property Level Return Calcs'!$A$11,FALSE),0)</f>
        <v>0</v>
      </c>
      <c r="AM10" s="553">
        <f>IFERROR(HLOOKUP(AM$6,'Property Level Return Calcs'!$D$4:$BO$11,'Property Level Return Calcs'!$A$11,FALSE),0)</f>
        <v>0</v>
      </c>
      <c r="AN10" s="553">
        <f>IFERROR(HLOOKUP(AN$6,'Property Level Return Calcs'!$D$4:$BO$11,'Property Level Return Calcs'!$A$11,FALSE),0)</f>
        <v>0</v>
      </c>
      <c r="AO10" s="553">
        <f>IFERROR(HLOOKUP(AO$6,'Property Level Return Calcs'!$D$4:$BO$11,'Property Level Return Calcs'!$A$11,FALSE),0)</f>
        <v>0</v>
      </c>
      <c r="AP10" s="553">
        <f>IFERROR(HLOOKUP(AP$6,'Property Level Return Calcs'!$D$4:$BO$11,'Property Level Return Calcs'!$A$11,FALSE),0)</f>
        <v>0</v>
      </c>
      <c r="AQ10" s="553">
        <f>IFERROR(HLOOKUP(AQ$6,'Property Level Return Calcs'!$D$4:$BO$11,'Property Level Return Calcs'!$A$11,FALSE),0)</f>
        <v>0</v>
      </c>
      <c r="AR10" s="553">
        <f>IFERROR(HLOOKUP(AR$6,'Property Level Return Calcs'!$D$4:$BO$11,'Property Level Return Calcs'!$A$11,FALSE),0)</f>
        <v>0</v>
      </c>
      <c r="AS10" s="553">
        <f>IFERROR(HLOOKUP(AS$6,'Property Level Return Calcs'!$D$4:$BO$11,'Property Level Return Calcs'!$A$11,FALSE),0)</f>
        <v>0</v>
      </c>
      <c r="AT10" s="553">
        <f>IFERROR(HLOOKUP(AT$6,'Property Level Return Calcs'!$D$4:$BO$11,'Property Level Return Calcs'!$A$11,FALSE),0)</f>
        <v>0</v>
      </c>
      <c r="AU10" s="553">
        <f>IFERROR(HLOOKUP(AU$6,'Property Level Return Calcs'!$D$4:$BO$11,'Property Level Return Calcs'!$A$11,FALSE),0)</f>
        <v>0</v>
      </c>
      <c r="AV10" s="553">
        <f>IFERROR(HLOOKUP(AV$6,'Property Level Return Calcs'!$D$4:$BO$11,'Property Level Return Calcs'!$A$11,FALSE),0)</f>
        <v>0</v>
      </c>
      <c r="AW10" s="553">
        <f>IFERROR(HLOOKUP(AW$6,'Property Level Return Calcs'!$D$4:$BO$11,'Property Level Return Calcs'!$A$11,FALSE),0)</f>
        <v>0</v>
      </c>
      <c r="AX10" s="553">
        <f>IFERROR(HLOOKUP(AX$6,'Property Level Return Calcs'!$D$4:$BO$11,'Property Level Return Calcs'!$A$11,FALSE),0)</f>
        <v>0</v>
      </c>
      <c r="AY10" s="553">
        <f>IFERROR(HLOOKUP(AY$6,'Property Level Return Calcs'!$D$4:$BO$11,'Property Level Return Calcs'!$A$11,FALSE),0)</f>
        <v>0</v>
      </c>
      <c r="AZ10" s="553">
        <f>IFERROR(HLOOKUP(AZ$6,'Property Level Return Calcs'!$D$4:$BO$11,'Property Level Return Calcs'!$A$11,FALSE),0)</f>
        <v>0</v>
      </c>
      <c r="BA10" s="553">
        <f>IFERROR(HLOOKUP(BA$6,'Property Level Return Calcs'!$D$4:$BO$11,'Property Level Return Calcs'!$A$11,FALSE),0)</f>
        <v>0</v>
      </c>
      <c r="BB10" s="553">
        <f>IFERROR(HLOOKUP(BB$6,'Property Level Return Calcs'!$D$4:$BO$11,'Property Level Return Calcs'!$A$11,FALSE),0)</f>
        <v>0</v>
      </c>
      <c r="BC10" s="553">
        <f>IFERROR(HLOOKUP(BC$6,'Property Level Return Calcs'!$D$4:$BO$11,'Property Level Return Calcs'!$A$11,FALSE),0)</f>
        <v>0</v>
      </c>
      <c r="BD10" s="553">
        <f>IFERROR(HLOOKUP(BD$6,'Property Level Return Calcs'!$D$4:$BO$11,'Property Level Return Calcs'!$A$11,FALSE),0)</f>
        <v>0</v>
      </c>
      <c r="BE10" s="553">
        <f>IFERROR(HLOOKUP(BE$6,'Property Level Return Calcs'!$D$4:$BO$11,'Property Level Return Calcs'!$A$11,FALSE),0)</f>
        <v>0</v>
      </c>
      <c r="BF10" s="553">
        <f>IFERROR(HLOOKUP(BF$6,'Property Level Return Calcs'!$D$4:$BO$11,'Property Level Return Calcs'!$A$11,FALSE),0)</f>
        <v>0</v>
      </c>
      <c r="BG10" s="553">
        <f>IFERROR(HLOOKUP(BG$6,'Property Level Return Calcs'!$D$4:$BO$11,'Property Level Return Calcs'!$A$11,FALSE),0)</f>
        <v>0</v>
      </c>
      <c r="BH10" s="553">
        <f>IFERROR(HLOOKUP(BH$6,'Property Level Return Calcs'!$D$4:$BO$11,'Property Level Return Calcs'!$A$11,FALSE),0)</f>
        <v>0</v>
      </c>
      <c r="BI10" s="553">
        <f>IFERROR(HLOOKUP(BI$6,'Property Level Return Calcs'!$D$4:$BO$11,'Property Level Return Calcs'!$A$11,FALSE),0)</f>
        <v>0</v>
      </c>
      <c r="BJ10" s="553">
        <f>IFERROR(HLOOKUP(BJ$6,'Property Level Return Calcs'!$D$4:$BO$11,'Property Level Return Calcs'!$A$11,FALSE),0)</f>
        <v>0</v>
      </c>
      <c r="BK10" s="553">
        <f>IFERROR(HLOOKUP(BK$6,'Property Level Return Calcs'!$D$4:$BO$11,'Property Level Return Calcs'!$A$11,FALSE),0)</f>
        <v>0</v>
      </c>
      <c r="BL10" s="553">
        <f>IFERROR(HLOOKUP(BL$6,'Property Level Return Calcs'!$D$4:$BO$11,'Property Level Return Calcs'!$A$11,FALSE),0)</f>
        <v>0</v>
      </c>
      <c r="BM10" s="553">
        <f>IFERROR(HLOOKUP(BM$6,'Property Level Return Calcs'!$D$4:$BO$11,'Property Level Return Calcs'!$A$11,FALSE),0)</f>
        <v>0</v>
      </c>
      <c r="BN10" s="553">
        <f>IFERROR(HLOOKUP(BN$6,'Property Level Return Calcs'!$D$4:$BO$11,'Property Level Return Calcs'!$A$11,FALSE),0)</f>
        <v>0</v>
      </c>
      <c r="BO10" s="348"/>
    </row>
    <row r="11" spans="1:75" s="216" customFormat="1">
      <c r="A11" s="215"/>
      <c r="B11" s="226" t="s">
        <v>167</v>
      </c>
      <c r="C11" s="557">
        <f>SUM(C7:C10)</f>
        <v>-24033944.982098967</v>
      </c>
      <c r="D11" s="557">
        <f>SUM(D7:D10)</f>
        <v>0</v>
      </c>
      <c r="E11" s="557">
        <f t="shared" ref="E11:BM11" si="1">SUM(E7:E10)</f>
        <v>0</v>
      </c>
      <c r="F11" s="557">
        <f t="shared" si="1"/>
        <v>0</v>
      </c>
      <c r="G11" s="557">
        <f t="shared" si="1"/>
        <v>0</v>
      </c>
      <c r="H11" s="557">
        <f t="shared" si="1"/>
        <v>0</v>
      </c>
      <c r="I11" s="557">
        <f t="shared" si="1"/>
        <v>0</v>
      </c>
      <c r="J11" s="557">
        <f t="shared" si="1"/>
        <v>0</v>
      </c>
      <c r="K11" s="557">
        <f t="shared" si="1"/>
        <v>0</v>
      </c>
      <c r="L11" s="557">
        <f t="shared" si="1"/>
        <v>0</v>
      </c>
      <c r="M11" s="557">
        <f t="shared" si="1"/>
        <v>0</v>
      </c>
      <c r="N11" s="557">
        <f t="shared" si="1"/>
        <v>0</v>
      </c>
      <c r="O11" s="557">
        <f t="shared" si="1"/>
        <v>0</v>
      </c>
      <c r="P11" s="557">
        <f t="shared" si="1"/>
        <v>0</v>
      </c>
      <c r="Q11" s="557">
        <f t="shared" si="1"/>
        <v>0</v>
      </c>
      <c r="R11" s="557">
        <f t="shared" si="1"/>
        <v>0</v>
      </c>
      <c r="S11" s="557">
        <f t="shared" si="1"/>
        <v>0</v>
      </c>
      <c r="T11" s="557">
        <f t="shared" si="1"/>
        <v>0</v>
      </c>
      <c r="U11" s="557">
        <f t="shared" si="1"/>
        <v>0</v>
      </c>
      <c r="V11" s="557">
        <f t="shared" si="1"/>
        <v>0</v>
      </c>
      <c r="W11" s="557">
        <f t="shared" si="1"/>
        <v>0</v>
      </c>
      <c r="X11" s="557">
        <f t="shared" si="1"/>
        <v>55865.937070519256</v>
      </c>
      <c r="Y11" s="557">
        <f t="shared" si="1"/>
        <v>55865.937070519256</v>
      </c>
      <c r="Z11" s="557">
        <f t="shared" si="1"/>
        <v>55865.937070519256</v>
      </c>
      <c r="AA11" s="557">
        <f t="shared" si="1"/>
        <v>1567865.9370705192</v>
      </c>
      <c r="AB11" s="557">
        <f t="shared" si="1"/>
        <v>55865.937070519256</v>
      </c>
      <c r="AC11" s="557">
        <f t="shared" si="1"/>
        <v>55865.937070519256</v>
      </c>
      <c r="AD11" s="557">
        <f t="shared" si="1"/>
        <v>33551787.168016102</v>
      </c>
      <c r="AE11" s="557">
        <f t="shared" si="1"/>
        <v>0</v>
      </c>
      <c r="AF11" s="557">
        <f t="shared" si="1"/>
        <v>0</v>
      </c>
      <c r="AG11" s="557">
        <f t="shared" si="1"/>
        <v>0</v>
      </c>
      <c r="AH11" s="557">
        <f t="shared" si="1"/>
        <v>0</v>
      </c>
      <c r="AI11" s="557">
        <f t="shared" si="1"/>
        <v>0</v>
      </c>
      <c r="AJ11" s="557">
        <f t="shared" si="1"/>
        <v>0</v>
      </c>
      <c r="AK11" s="557">
        <f t="shared" si="1"/>
        <v>0</v>
      </c>
      <c r="AL11" s="557">
        <f t="shared" si="1"/>
        <v>0</v>
      </c>
      <c r="AM11" s="557">
        <f t="shared" si="1"/>
        <v>0</v>
      </c>
      <c r="AN11" s="557">
        <f t="shared" si="1"/>
        <v>0</v>
      </c>
      <c r="AO11" s="557">
        <f t="shared" si="1"/>
        <v>0</v>
      </c>
      <c r="AP11" s="557">
        <f t="shared" si="1"/>
        <v>0</v>
      </c>
      <c r="AQ11" s="557">
        <f t="shared" si="1"/>
        <v>0</v>
      </c>
      <c r="AR11" s="557">
        <f t="shared" si="1"/>
        <v>0</v>
      </c>
      <c r="AS11" s="557">
        <f t="shared" si="1"/>
        <v>0</v>
      </c>
      <c r="AT11" s="557">
        <f t="shared" si="1"/>
        <v>0</v>
      </c>
      <c r="AU11" s="557">
        <f t="shared" si="1"/>
        <v>0</v>
      </c>
      <c r="AV11" s="557">
        <f t="shared" si="1"/>
        <v>0</v>
      </c>
      <c r="AW11" s="557">
        <f t="shared" si="1"/>
        <v>0</v>
      </c>
      <c r="AX11" s="557">
        <f t="shared" si="1"/>
        <v>0</v>
      </c>
      <c r="AY11" s="557">
        <f t="shared" si="1"/>
        <v>0</v>
      </c>
      <c r="AZ11" s="557">
        <f t="shared" si="1"/>
        <v>0</v>
      </c>
      <c r="BA11" s="557">
        <f t="shared" si="1"/>
        <v>0</v>
      </c>
      <c r="BB11" s="557">
        <f t="shared" si="1"/>
        <v>0</v>
      </c>
      <c r="BC11" s="557">
        <f t="shared" si="1"/>
        <v>0</v>
      </c>
      <c r="BD11" s="557">
        <f t="shared" si="1"/>
        <v>0</v>
      </c>
      <c r="BE11" s="557">
        <f t="shared" si="1"/>
        <v>0</v>
      </c>
      <c r="BF11" s="557">
        <f t="shared" si="1"/>
        <v>0</v>
      </c>
      <c r="BG11" s="557">
        <f t="shared" si="1"/>
        <v>0</v>
      </c>
      <c r="BH11" s="557">
        <f t="shared" si="1"/>
        <v>0</v>
      </c>
      <c r="BI11" s="557">
        <f t="shared" si="1"/>
        <v>0</v>
      </c>
      <c r="BJ11" s="557">
        <f t="shared" si="1"/>
        <v>0</v>
      </c>
      <c r="BK11" s="557">
        <f t="shared" si="1"/>
        <v>0</v>
      </c>
      <c r="BL11" s="557">
        <f t="shared" si="1"/>
        <v>0</v>
      </c>
      <c r="BM11" s="557">
        <f t="shared" si="1"/>
        <v>0</v>
      </c>
      <c r="BN11" s="557">
        <f>SUM(BN7:BN10)</f>
        <v>0</v>
      </c>
      <c r="BO11" s="349"/>
    </row>
    <row r="12" spans="1:75">
      <c r="B12" s="248"/>
      <c r="C12" s="213"/>
      <c r="D12" s="324"/>
      <c r="E12" s="324"/>
      <c r="F12" s="324"/>
      <c r="G12" s="324"/>
      <c r="H12" s="324"/>
      <c r="I12" s="324"/>
      <c r="J12" s="324"/>
      <c r="K12" s="324"/>
      <c r="L12" s="324"/>
      <c r="M12" s="324"/>
      <c r="N12" s="324"/>
      <c r="O12" s="324"/>
      <c r="P12" s="324"/>
      <c r="Q12" s="324"/>
      <c r="R12" s="324"/>
      <c r="S12" s="324"/>
      <c r="T12" s="324"/>
      <c r="U12" s="324"/>
      <c r="V12" s="324"/>
      <c r="W12" s="324"/>
      <c r="X12" s="324"/>
      <c r="Y12" s="324"/>
      <c r="Z12" s="324"/>
      <c r="AA12" s="324"/>
      <c r="AB12" s="324"/>
      <c r="AC12" s="324"/>
      <c r="AD12" s="324"/>
      <c r="AE12" s="324"/>
      <c r="AF12" s="324"/>
      <c r="AG12" s="324"/>
      <c r="AH12" s="324"/>
      <c r="AI12" s="324"/>
      <c r="AJ12" s="324"/>
      <c r="AK12" s="324"/>
      <c r="AL12" s="324"/>
      <c r="AM12" s="324"/>
      <c r="AN12" s="324"/>
      <c r="AO12" s="324"/>
      <c r="AP12" s="324"/>
      <c r="AQ12" s="324"/>
      <c r="AR12" s="324"/>
      <c r="AS12" s="324"/>
      <c r="AT12" s="324"/>
      <c r="AU12" s="324"/>
      <c r="AV12" s="324"/>
      <c r="AW12" s="324"/>
      <c r="AX12" s="324"/>
      <c r="AY12" s="324"/>
      <c r="AZ12" s="324"/>
      <c r="BA12" s="324"/>
      <c r="BB12" s="324"/>
      <c r="BC12" s="324"/>
      <c r="BD12" s="324"/>
      <c r="BE12" s="324"/>
      <c r="BF12" s="324"/>
      <c r="BG12" s="324"/>
      <c r="BH12" s="324"/>
      <c r="BI12" s="324"/>
      <c r="BJ12" s="324"/>
      <c r="BK12" s="324"/>
      <c r="BL12" s="324"/>
      <c r="BM12" s="324"/>
      <c r="BN12" s="324"/>
      <c r="BO12" s="248"/>
    </row>
    <row r="13" spans="1:75" s="216" customFormat="1">
      <c r="A13" s="215"/>
      <c r="B13" s="226" t="s">
        <v>91</v>
      </c>
      <c r="C13" s="327">
        <f>XIRR(C11:BN11,C6:BN6)</f>
        <v>0.19708642363548279</v>
      </c>
      <c r="D13" s="326"/>
      <c r="E13" s="326"/>
      <c r="F13" s="326"/>
      <c r="G13" s="326"/>
      <c r="H13" s="326"/>
      <c r="I13" s="326"/>
      <c r="J13" s="326"/>
      <c r="K13" s="326"/>
      <c r="L13" s="326"/>
      <c r="M13" s="326"/>
      <c r="N13" s="326"/>
      <c r="O13" s="326"/>
      <c r="P13" s="326"/>
      <c r="Q13" s="326"/>
      <c r="R13" s="326"/>
      <c r="S13" s="326"/>
      <c r="T13" s="326"/>
      <c r="U13" s="326"/>
      <c r="V13" s="326"/>
      <c r="W13" s="326"/>
      <c r="X13" s="326"/>
      <c r="Y13" s="326"/>
      <c r="Z13" s="326"/>
      <c r="AA13" s="326"/>
      <c r="AB13" s="326"/>
      <c r="AC13" s="326"/>
      <c r="AD13" s="326"/>
      <c r="AE13" s="326"/>
      <c r="AF13" s="326"/>
      <c r="AG13" s="326"/>
      <c r="AH13" s="326"/>
      <c r="AI13" s="326"/>
      <c r="AJ13" s="326"/>
      <c r="AK13" s="326"/>
      <c r="AL13" s="326"/>
      <c r="AM13" s="326"/>
      <c r="AN13" s="326"/>
      <c r="AO13" s="326"/>
      <c r="AP13" s="326"/>
      <c r="AQ13" s="326"/>
      <c r="AR13" s="326"/>
      <c r="AS13" s="326"/>
      <c r="AT13" s="326"/>
      <c r="AU13" s="326"/>
      <c r="AV13" s="326"/>
      <c r="AW13" s="326"/>
      <c r="AX13" s="326"/>
      <c r="AY13" s="326"/>
      <c r="AZ13" s="326"/>
      <c r="BA13" s="326"/>
      <c r="BB13" s="326"/>
      <c r="BC13" s="326"/>
      <c r="BD13" s="326"/>
      <c r="BE13" s="326"/>
      <c r="BF13" s="326"/>
      <c r="BG13" s="326"/>
      <c r="BH13" s="326"/>
      <c r="BI13" s="326"/>
      <c r="BJ13" s="326"/>
      <c r="BK13" s="326"/>
      <c r="BL13" s="326"/>
      <c r="BM13" s="326"/>
      <c r="BO13" s="226"/>
    </row>
    <row r="14" spans="1:75">
      <c r="B14" s="226" t="s">
        <v>168</v>
      </c>
      <c r="C14" s="329">
        <f>SUM(D11:BN11)/-C11</f>
        <v>1.4728744206082351</v>
      </c>
      <c r="D14" s="224"/>
      <c r="E14" s="224"/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  <c r="R14" s="224"/>
      <c r="S14" s="224"/>
      <c r="T14" s="224"/>
      <c r="U14" s="224"/>
      <c r="V14" s="224"/>
      <c r="W14" s="224"/>
      <c r="X14" s="224"/>
      <c r="Y14" s="224"/>
      <c r="Z14" s="224"/>
      <c r="AA14" s="224"/>
      <c r="AB14" s="224"/>
      <c r="AC14" s="224"/>
      <c r="AD14" s="224"/>
      <c r="AE14" s="224"/>
      <c r="AF14" s="224"/>
      <c r="AG14" s="224"/>
      <c r="AH14" s="224"/>
      <c r="AI14" s="224"/>
      <c r="AJ14" s="224"/>
      <c r="AK14" s="224"/>
      <c r="AL14" s="224"/>
      <c r="AM14" s="224"/>
      <c r="AN14" s="224"/>
      <c r="AO14" s="224"/>
      <c r="AP14" s="224"/>
      <c r="AQ14" s="224"/>
      <c r="AR14" s="224"/>
      <c r="AS14" s="224"/>
      <c r="AT14" s="224"/>
      <c r="AU14" s="224"/>
      <c r="AV14" s="224"/>
      <c r="AW14" s="224"/>
      <c r="AX14" s="224"/>
      <c r="AY14" s="224"/>
      <c r="AZ14" s="224"/>
      <c r="BA14" s="224"/>
      <c r="BB14" s="224"/>
      <c r="BC14" s="224"/>
      <c r="BD14" s="224"/>
      <c r="BE14" s="224"/>
      <c r="BF14" s="224"/>
      <c r="BG14" s="224"/>
      <c r="BH14" s="224"/>
      <c r="BI14" s="224"/>
      <c r="BJ14" s="224"/>
      <c r="BK14" s="224"/>
      <c r="BL14" s="224"/>
      <c r="BM14" s="224"/>
      <c r="BO14" s="276"/>
    </row>
    <row r="15" spans="1:75" ht="15.75" thickBot="1">
      <c r="B15" s="470" t="s">
        <v>169</v>
      </c>
      <c r="C15" s="558">
        <f>SUM(D11:BN11)</f>
        <v>35398982.790439218</v>
      </c>
      <c r="D15" s="471"/>
      <c r="E15" s="471"/>
      <c r="F15" s="471"/>
      <c r="G15" s="471"/>
      <c r="H15" s="471"/>
      <c r="I15" s="471"/>
      <c r="J15" s="471"/>
      <c r="K15" s="471"/>
      <c r="L15" s="471"/>
      <c r="M15" s="471"/>
      <c r="N15" s="471"/>
      <c r="O15" s="471"/>
      <c r="P15" s="471"/>
      <c r="Q15" s="471"/>
      <c r="R15" s="471"/>
      <c r="S15" s="471"/>
      <c r="T15" s="471"/>
      <c r="U15" s="471"/>
      <c r="V15" s="471"/>
      <c r="W15" s="471"/>
      <c r="X15" s="471"/>
      <c r="Y15" s="471"/>
      <c r="Z15" s="471"/>
      <c r="AA15" s="471"/>
      <c r="AB15" s="471"/>
      <c r="AC15" s="471"/>
      <c r="AD15" s="471"/>
      <c r="AE15" s="471"/>
      <c r="AF15" s="471"/>
      <c r="AG15" s="471"/>
      <c r="AH15" s="471"/>
      <c r="AI15" s="471"/>
      <c r="AJ15" s="471"/>
      <c r="AK15" s="471"/>
      <c r="AL15" s="471"/>
      <c r="AM15" s="471"/>
      <c r="AN15" s="471"/>
      <c r="AO15" s="471"/>
      <c r="AP15" s="471"/>
      <c r="AQ15" s="471"/>
      <c r="AR15" s="471"/>
      <c r="AS15" s="471"/>
      <c r="AT15" s="471"/>
      <c r="AU15" s="471"/>
      <c r="AV15" s="471"/>
      <c r="AW15" s="471"/>
      <c r="AX15" s="471"/>
      <c r="AY15" s="471"/>
      <c r="AZ15" s="471"/>
      <c r="BA15" s="471"/>
      <c r="BB15" s="471"/>
      <c r="BC15" s="471"/>
      <c r="BD15" s="471"/>
      <c r="BE15" s="471"/>
      <c r="BF15" s="471"/>
      <c r="BG15" s="471"/>
      <c r="BH15" s="471"/>
      <c r="BI15" s="471"/>
      <c r="BJ15" s="471"/>
      <c r="BK15" s="471"/>
      <c r="BL15" s="471"/>
      <c r="BM15" s="471"/>
      <c r="BN15" s="471"/>
      <c r="BO15" s="248"/>
      <c r="BP15" s="266"/>
      <c r="BQ15" s="254"/>
      <c r="BR15" s="461"/>
    </row>
    <row r="16" spans="1:75" ht="15.75" thickTop="1">
      <c r="B16" s="242" t="s">
        <v>170</v>
      </c>
      <c r="C16" s="292" t="s">
        <v>171</v>
      </c>
      <c r="D16" s="1149">
        <f>C5</f>
        <v>24033944.982098967</v>
      </c>
      <c r="E16" s="1149"/>
      <c r="F16" s="293"/>
      <c r="G16" s="293"/>
      <c r="H16" s="293"/>
      <c r="I16" s="293"/>
      <c r="J16" s="293"/>
      <c r="K16" s="293"/>
      <c r="L16" s="293"/>
      <c r="M16" s="293"/>
      <c r="N16" s="293"/>
      <c r="O16" s="293"/>
      <c r="P16" s="293"/>
      <c r="Q16" s="293"/>
      <c r="R16" s="293"/>
      <c r="S16" s="293"/>
      <c r="T16" s="293"/>
      <c r="U16" s="293"/>
      <c r="V16" s="293"/>
      <c r="W16" s="293"/>
      <c r="X16" s="293"/>
      <c r="Y16" s="293"/>
      <c r="Z16" s="293"/>
      <c r="AA16" s="293"/>
      <c r="AB16" s="293"/>
      <c r="AC16" s="293"/>
      <c r="AD16" s="293"/>
      <c r="AE16" s="293"/>
      <c r="AF16" s="293"/>
      <c r="AG16" s="293"/>
      <c r="AH16" s="293"/>
      <c r="AI16" s="293"/>
      <c r="AJ16" s="293"/>
      <c r="AK16" s="293"/>
      <c r="AL16" s="293"/>
      <c r="AM16" s="293"/>
      <c r="AN16" s="293"/>
      <c r="AO16" s="293"/>
      <c r="AP16" s="293"/>
      <c r="AQ16" s="293"/>
      <c r="AR16" s="293"/>
      <c r="AS16" s="293"/>
      <c r="AT16" s="293"/>
      <c r="AU16" s="293"/>
      <c r="AV16" s="293"/>
      <c r="AW16" s="293"/>
      <c r="AX16" s="293"/>
      <c r="AY16" s="293"/>
      <c r="AZ16" s="293"/>
      <c r="BA16" s="293"/>
      <c r="BB16" s="293"/>
      <c r="BC16" s="293"/>
      <c r="BD16" s="293"/>
      <c r="BE16" s="293"/>
      <c r="BF16" s="293"/>
      <c r="BG16" s="293"/>
      <c r="BH16" s="293"/>
      <c r="BI16" s="293"/>
      <c r="BJ16" s="293"/>
      <c r="BK16" s="293"/>
      <c r="BL16" s="293"/>
      <c r="BM16" s="293"/>
      <c r="BO16" s="248"/>
      <c r="BP16" s="266"/>
      <c r="BR16" s="461"/>
      <c r="BS16" s="220"/>
    </row>
    <row r="17" spans="1:74">
      <c r="B17" s="248" t="s">
        <v>373</v>
      </c>
      <c r="C17" s="559">
        <f>Dashboard!$E$9</f>
        <v>0.85</v>
      </c>
      <c r="D17" s="1150">
        <f>D16*C17</f>
        <v>20428853.234784123</v>
      </c>
      <c r="E17" s="1150"/>
      <c r="F17" s="293"/>
      <c r="G17" s="293"/>
      <c r="H17" s="293"/>
      <c r="I17" s="293"/>
      <c r="J17" s="293"/>
      <c r="K17" s="293"/>
      <c r="L17" s="293"/>
      <c r="M17" s="293"/>
      <c r="N17" s="293"/>
      <c r="O17" s="293"/>
      <c r="P17" s="293"/>
      <c r="Q17" s="293"/>
      <c r="R17" s="293"/>
      <c r="S17" s="293"/>
      <c r="T17" s="293"/>
      <c r="U17" s="293"/>
      <c r="V17" s="293"/>
      <c r="W17" s="293"/>
      <c r="X17" s="293"/>
      <c r="Y17" s="293"/>
      <c r="Z17" s="293"/>
      <c r="AA17" s="293"/>
      <c r="AB17" s="293"/>
      <c r="AC17" s="293"/>
      <c r="AD17" s="293"/>
      <c r="AE17" s="293"/>
      <c r="AF17" s="293"/>
      <c r="AG17" s="293"/>
      <c r="AH17" s="293"/>
      <c r="AI17" s="293"/>
      <c r="AJ17" s="293"/>
      <c r="AK17" s="293"/>
      <c r="AL17" s="293"/>
      <c r="AM17" s="293"/>
      <c r="AN17" s="293"/>
      <c r="AO17" s="293"/>
      <c r="AP17" s="293"/>
      <c r="AQ17" s="293"/>
      <c r="AR17" s="293"/>
      <c r="AS17" s="293"/>
      <c r="AT17" s="293"/>
      <c r="AU17" s="293"/>
      <c r="AV17" s="293"/>
      <c r="AW17" s="293"/>
      <c r="AX17" s="293"/>
      <c r="AY17" s="293"/>
      <c r="AZ17" s="293"/>
      <c r="BA17" s="293"/>
      <c r="BB17" s="293"/>
      <c r="BC17" s="293"/>
      <c r="BD17" s="293"/>
      <c r="BE17" s="293"/>
      <c r="BF17" s="293"/>
      <c r="BG17" s="293"/>
      <c r="BH17" s="293"/>
      <c r="BI17" s="293"/>
      <c r="BJ17" s="293"/>
      <c r="BK17" s="293"/>
      <c r="BL17" s="293"/>
      <c r="BM17" s="293"/>
      <c r="BO17" s="248"/>
      <c r="BP17" s="266"/>
      <c r="BQ17" s="254"/>
      <c r="BR17" s="254"/>
    </row>
    <row r="18" spans="1:74">
      <c r="B18" s="248" t="s">
        <v>172</v>
      </c>
      <c r="C18" s="560">
        <f>1-C17</f>
        <v>0.15000000000000002</v>
      </c>
      <c r="D18" s="1150">
        <f>D16*C18</f>
        <v>3605091.7473148457</v>
      </c>
      <c r="E18" s="1150"/>
      <c r="F18" s="293"/>
      <c r="G18" s="293"/>
      <c r="H18" s="293"/>
      <c r="I18" s="293"/>
      <c r="J18" s="293"/>
      <c r="K18" s="293"/>
      <c r="L18" s="293"/>
      <c r="M18" s="293"/>
      <c r="N18" s="293"/>
      <c r="O18" s="293"/>
      <c r="P18" s="293"/>
      <c r="Q18" s="293"/>
      <c r="R18" s="293"/>
      <c r="S18" s="293"/>
      <c r="T18" s="293"/>
      <c r="U18" s="293"/>
      <c r="V18" s="293"/>
      <c r="W18" s="293"/>
      <c r="X18" s="293"/>
      <c r="Y18" s="293"/>
      <c r="Z18" s="293"/>
      <c r="AA18" s="293"/>
      <c r="AB18" s="293"/>
      <c r="AC18" s="293"/>
      <c r="AD18" s="293"/>
      <c r="AE18" s="293"/>
      <c r="AF18" s="293"/>
      <c r="AG18" s="293"/>
      <c r="AH18" s="293"/>
      <c r="AI18" s="293"/>
      <c r="AJ18" s="293"/>
      <c r="AK18" s="293"/>
      <c r="AL18" s="293"/>
      <c r="AM18" s="293"/>
      <c r="AN18" s="293"/>
      <c r="AO18" s="293"/>
      <c r="AP18" s="293"/>
      <c r="AQ18" s="293"/>
      <c r="AR18" s="293"/>
      <c r="AS18" s="293"/>
      <c r="AT18" s="293"/>
      <c r="AU18" s="293"/>
      <c r="AV18" s="293"/>
      <c r="AW18" s="293"/>
      <c r="AX18" s="293"/>
      <c r="AY18" s="293"/>
      <c r="AZ18" s="293"/>
      <c r="BA18" s="293"/>
      <c r="BB18" s="293"/>
      <c r="BC18" s="293"/>
      <c r="BD18" s="293"/>
      <c r="BE18" s="293"/>
      <c r="BF18" s="293"/>
      <c r="BG18" s="293"/>
      <c r="BH18" s="293"/>
      <c r="BI18" s="293"/>
      <c r="BJ18" s="293"/>
      <c r="BK18" s="293"/>
      <c r="BL18" s="293"/>
      <c r="BM18" s="293"/>
      <c r="BO18" s="248"/>
      <c r="BP18" s="266"/>
    </row>
    <row r="19" spans="1:74" s="216" customFormat="1" ht="15.75" thickBot="1">
      <c r="A19" s="215"/>
      <c r="B19" s="462"/>
      <c r="C19" s="407"/>
      <c r="D19" s="407"/>
      <c r="E19" s="407"/>
      <c r="F19" s="407"/>
      <c r="G19" s="407"/>
      <c r="H19" s="407"/>
      <c r="I19" s="407"/>
      <c r="J19" s="407"/>
      <c r="K19" s="407"/>
      <c r="L19" s="407"/>
      <c r="M19" s="407"/>
      <c r="N19" s="407"/>
      <c r="O19" s="407"/>
      <c r="P19" s="407"/>
      <c r="Q19" s="407"/>
      <c r="R19" s="407"/>
      <c r="S19" s="407"/>
      <c r="T19" s="407"/>
      <c r="U19" s="407"/>
      <c r="V19" s="407"/>
      <c r="W19" s="407"/>
      <c r="X19" s="407"/>
      <c r="Y19" s="407"/>
      <c r="Z19" s="407"/>
      <c r="AA19" s="407"/>
      <c r="AB19" s="407"/>
      <c r="AC19" s="407"/>
      <c r="AD19" s="407"/>
      <c r="AE19" s="407"/>
      <c r="AF19" s="407"/>
      <c r="AG19" s="407"/>
      <c r="AH19" s="407"/>
      <c r="AI19" s="407"/>
      <c r="AJ19" s="407"/>
      <c r="AK19" s="407"/>
      <c r="AL19" s="407"/>
      <c r="AM19" s="407"/>
      <c r="AN19" s="407"/>
      <c r="AO19" s="407"/>
      <c r="AP19" s="407"/>
      <c r="AQ19" s="407"/>
      <c r="AR19" s="407"/>
      <c r="AS19" s="407"/>
      <c r="AT19" s="407"/>
      <c r="AU19" s="407"/>
      <c r="AV19" s="407"/>
      <c r="AW19" s="407"/>
      <c r="AX19" s="407"/>
      <c r="AY19" s="407"/>
      <c r="AZ19" s="407"/>
      <c r="BA19" s="407"/>
      <c r="BB19" s="407"/>
      <c r="BC19" s="407"/>
      <c r="BD19" s="407"/>
      <c r="BE19" s="407"/>
      <c r="BF19" s="407"/>
      <c r="BG19" s="407"/>
      <c r="BH19" s="407"/>
      <c r="BI19" s="407"/>
      <c r="BJ19" s="407"/>
      <c r="BK19" s="407"/>
      <c r="BL19" s="407"/>
      <c r="BM19" s="407"/>
      <c r="BN19" s="463"/>
      <c r="BO19" s="226"/>
      <c r="BP19" s="266"/>
      <c r="BS19" s="219"/>
    </row>
    <row r="20" spans="1:74" s="216" customFormat="1">
      <c r="A20" s="215"/>
      <c r="B20" s="315" t="s">
        <v>173</v>
      </c>
      <c r="C20" s="373"/>
      <c r="D20" s="373"/>
      <c r="E20" s="373"/>
      <c r="F20" s="373"/>
      <c r="G20" s="373"/>
      <c r="H20" s="373"/>
      <c r="I20" s="373"/>
      <c r="J20" s="373"/>
      <c r="K20" s="373"/>
      <c r="L20" s="373"/>
      <c r="M20" s="373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373"/>
      <c r="AE20" s="373"/>
      <c r="AF20" s="373"/>
      <c r="AG20" s="373"/>
      <c r="AH20" s="373"/>
      <c r="AI20" s="373"/>
      <c r="AJ20" s="373"/>
      <c r="AK20" s="373"/>
      <c r="AL20" s="373"/>
      <c r="AM20" s="373"/>
      <c r="AN20" s="373"/>
      <c r="AO20" s="373"/>
      <c r="AP20" s="373"/>
      <c r="AQ20" s="373"/>
      <c r="AR20" s="373"/>
      <c r="AS20" s="373"/>
      <c r="AT20" s="373"/>
      <c r="AU20" s="373"/>
      <c r="AV20" s="373"/>
      <c r="AW20" s="373"/>
      <c r="AX20" s="373"/>
      <c r="AY20" s="373"/>
      <c r="AZ20" s="373"/>
      <c r="BA20" s="373"/>
      <c r="BB20" s="373"/>
      <c r="BC20" s="373"/>
      <c r="BD20" s="373"/>
      <c r="BE20" s="373"/>
      <c r="BF20" s="373"/>
      <c r="BG20" s="373"/>
      <c r="BH20" s="373"/>
      <c r="BI20" s="373"/>
      <c r="BJ20" s="373"/>
      <c r="BK20" s="373"/>
      <c r="BL20" s="373"/>
      <c r="BM20" s="373"/>
      <c r="BN20" s="373"/>
      <c r="BO20" s="276"/>
      <c r="BP20" s="266"/>
      <c r="BS20" s="219"/>
    </row>
    <row r="21" spans="1:74" s="216" customFormat="1">
      <c r="A21" s="215"/>
      <c r="B21" s="434" t="s">
        <v>174</v>
      </c>
      <c r="C21" s="435"/>
      <c r="D21" s="435"/>
      <c r="E21" s="435"/>
      <c r="F21" s="435"/>
      <c r="G21" s="435"/>
      <c r="H21" s="435"/>
      <c r="I21" s="435"/>
      <c r="J21" s="435"/>
      <c r="K21" s="435"/>
      <c r="L21" s="435"/>
      <c r="M21" s="435"/>
      <c r="N21" s="435"/>
      <c r="O21" s="435"/>
      <c r="P21" s="435"/>
      <c r="Q21" s="435"/>
      <c r="R21" s="435"/>
      <c r="S21" s="435"/>
      <c r="T21" s="435"/>
      <c r="U21" s="435"/>
      <c r="V21" s="435"/>
      <c r="W21" s="435"/>
      <c r="X21" s="435"/>
      <c r="Y21" s="435"/>
      <c r="Z21" s="435"/>
      <c r="AA21" s="435"/>
      <c r="AB21" s="435"/>
      <c r="AC21" s="435"/>
      <c r="AD21" s="435"/>
      <c r="AE21" s="435"/>
      <c r="AF21" s="435"/>
      <c r="AG21" s="435"/>
      <c r="AH21" s="435"/>
      <c r="AI21" s="435"/>
      <c r="AJ21" s="435"/>
      <c r="AK21" s="435"/>
      <c r="AL21" s="435"/>
      <c r="AM21" s="435"/>
      <c r="AN21" s="435"/>
      <c r="AO21" s="435"/>
      <c r="AP21" s="435"/>
      <c r="AQ21" s="435"/>
      <c r="AR21" s="435"/>
      <c r="AS21" s="435"/>
      <c r="AT21" s="435"/>
      <c r="AU21" s="435"/>
      <c r="AV21" s="435"/>
      <c r="AW21" s="435"/>
      <c r="AX21" s="435"/>
      <c r="AY21" s="435"/>
      <c r="AZ21" s="435"/>
      <c r="BA21" s="435"/>
      <c r="BB21" s="435"/>
      <c r="BC21" s="435"/>
      <c r="BD21" s="435"/>
      <c r="BE21" s="435"/>
      <c r="BF21" s="435"/>
      <c r="BG21" s="435"/>
      <c r="BH21" s="435"/>
      <c r="BI21" s="435"/>
      <c r="BJ21" s="435"/>
      <c r="BK21" s="435"/>
      <c r="BL21" s="435"/>
      <c r="BM21" s="435"/>
      <c r="BN21" s="436"/>
      <c r="BO21" s="279"/>
      <c r="BP21" s="561"/>
      <c r="BS21" s="219"/>
    </row>
    <row r="22" spans="1:74" s="216" customFormat="1">
      <c r="A22" s="215"/>
      <c r="B22" s="281" t="s">
        <v>208</v>
      </c>
      <c r="C22" s="282"/>
      <c r="D22" s="488">
        <f t="shared" ref="D22:BN22" si="2">+MIN(D11,(-C34*($BS$4/12)))</f>
        <v>0</v>
      </c>
      <c r="E22" s="488">
        <f>+MIN(E11,(-D34*($BS$4/12)))</f>
        <v>0</v>
      </c>
      <c r="F22" s="488">
        <f t="shared" si="2"/>
        <v>0</v>
      </c>
      <c r="G22" s="488">
        <f t="shared" si="2"/>
        <v>0</v>
      </c>
      <c r="H22" s="488">
        <f t="shared" si="2"/>
        <v>0</v>
      </c>
      <c r="I22" s="488">
        <f t="shared" si="2"/>
        <v>0</v>
      </c>
      <c r="J22" s="488">
        <f t="shared" si="2"/>
        <v>0</v>
      </c>
      <c r="K22" s="488">
        <f t="shared" si="2"/>
        <v>0</v>
      </c>
      <c r="L22" s="488">
        <f t="shared" si="2"/>
        <v>0</v>
      </c>
      <c r="M22" s="488">
        <f t="shared" si="2"/>
        <v>0</v>
      </c>
      <c r="N22" s="488">
        <f t="shared" si="2"/>
        <v>0</v>
      </c>
      <c r="O22" s="488">
        <f t="shared" si="2"/>
        <v>0</v>
      </c>
      <c r="P22" s="488">
        <f t="shared" si="2"/>
        <v>0</v>
      </c>
      <c r="Q22" s="488">
        <f t="shared" si="2"/>
        <v>0</v>
      </c>
      <c r="R22" s="488">
        <f t="shared" si="2"/>
        <v>0</v>
      </c>
      <c r="S22" s="488">
        <f>+MIN(S11,(-R34*($BS$4/12)))</f>
        <v>0</v>
      </c>
      <c r="T22" s="488">
        <f t="shared" si="2"/>
        <v>0</v>
      </c>
      <c r="U22" s="488">
        <f t="shared" si="2"/>
        <v>0</v>
      </c>
      <c r="V22" s="488">
        <f t="shared" si="2"/>
        <v>0</v>
      </c>
      <c r="W22" s="488">
        <f t="shared" si="2"/>
        <v>0</v>
      </c>
      <c r="X22" s="488">
        <f t="shared" si="2"/>
        <v>55865.937070519256</v>
      </c>
      <c r="Y22" s="488">
        <f t="shared" si="2"/>
        <v>55865.937070519256</v>
      </c>
      <c r="Z22" s="488">
        <f t="shared" si="2"/>
        <v>55865.937070519256</v>
      </c>
      <c r="AA22" s="488">
        <f t="shared" si="2"/>
        <v>200282.87485082471</v>
      </c>
      <c r="AB22" s="488">
        <f t="shared" si="2"/>
        <v>55865.937070519256</v>
      </c>
      <c r="AC22" s="488">
        <f t="shared" si="2"/>
        <v>55865.937070519256</v>
      </c>
      <c r="AD22" s="488">
        <f t="shared" si="2"/>
        <v>200282.87485082471</v>
      </c>
      <c r="AE22" s="488">
        <f t="shared" si="2"/>
        <v>0</v>
      </c>
      <c r="AF22" s="488">
        <f t="shared" si="2"/>
        <v>0</v>
      </c>
      <c r="AG22" s="488">
        <f t="shared" si="2"/>
        <v>0</v>
      </c>
      <c r="AH22" s="488">
        <f t="shared" si="2"/>
        <v>0</v>
      </c>
      <c r="AI22" s="488">
        <f t="shared" si="2"/>
        <v>0</v>
      </c>
      <c r="AJ22" s="488">
        <f t="shared" si="2"/>
        <v>0</v>
      </c>
      <c r="AK22" s="488">
        <f t="shared" si="2"/>
        <v>0</v>
      </c>
      <c r="AL22" s="488">
        <f t="shared" si="2"/>
        <v>0</v>
      </c>
      <c r="AM22" s="488">
        <f t="shared" si="2"/>
        <v>0</v>
      </c>
      <c r="AN22" s="488">
        <f t="shared" si="2"/>
        <v>0</v>
      </c>
      <c r="AO22" s="488">
        <f t="shared" si="2"/>
        <v>0</v>
      </c>
      <c r="AP22" s="488">
        <f t="shared" si="2"/>
        <v>0</v>
      </c>
      <c r="AQ22" s="488">
        <f t="shared" si="2"/>
        <v>0</v>
      </c>
      <c r="AR22" s="488">
        <f t="shared" si="2"/>
        <v>0</v>
      </c>
      <c r="AS22" s="488">
        <f t="shared" si="2"/>
        <v>0</v>
      </c>
      <c r="AT22" s="488">
        <f t="shared" si="2"/>
        <v>0</v>
      </c>
      <c r="AU22" s="488">
        <f t="shared" si="2"/>
        <v>0</v>
      </c>
      <c r="AV22" s="488">
        <f t="shared" si="2"/>
        <v>0</v>
      </c>
      <c r="AW22" s="488">
        <f t="shared" si="2"/>
        <v>0</v>
      </c>
      <c r="AX22" s="488">
        <f t="shared" si="2"/>
        <v>0</v>
      </c>
      <c r="AY22" s="488">
        <f t="shared" si="2"/>
        <v>0</v>
      </c>
      <c r="AZ22" s="488">
        <f t="shared" si="2"/>
        <v>0</v>
      </c>
      <c r="BA22" s="488">
        <f t="shared" si="2"/>
        <v>0</v>
      </c>
      <c r="BB22" s="488">
        <f t="shared" si="2"/>
        <v>0</v>
      </c>
      <c r="BC22" s="488">
        <f t="shared" si="2"/>
        <v>0</v>
      </c>
      <c r="BD22" s="488">
        <f t="shared" si="2"/>
        <v>0</v>
      </c>
      <c r="BE22" s="488">
        <f t="shared" si="2"/>
        <v>0</v>
      </c>
      <c r="BF22" s="488">
        <f>+MIN(BF11,(-BE34*($BS$4/12)))</f>
        <v>0</v>
      </c>
      <c r="BG22" s="488">
        <f t="shared" si="2"/>
        <v>0</v>
      </c>
      <c r="BH22" s="488">
        <f t="shared" si="2"/>
        <v>0</v>
      </c>
      <c r="BI22" s="488">
        <f t="shared" si="2"/>
        <v>0</v>
      </c>
      <c r="BJ22" s="488">
        <f t="shared" si="2"/>
        <v>0</v>
      </c>
      <c r="BK22" s="488">
        <f t="shared" si="2"/>
        <v>0</v>
      </c>
      <c r="BL22" s="488">
        <f t="shared" si="2"/>
        <v>0</v>
      </c>
      <c r="BM22" s="488">
        <f t="shared" si="2"/>
        <v>0</v>
      </c>
      <c r="BN22" s="488">
        <f t="shared" si="2"/>
        <v>0</v>
      </c>
      <c r="BO22" s="283"/>
      <c r="BS22" s="219"/>
    </row>
    <row r="23" spans="1:74" s="216" customFormat="1">
      <c r="A23" s="215"/>
      <c r="B23" s="281" t="s">
        <v>209</v>
      </c>
      <c r="C23" s="282"/>
      <c r="D23" s="562">
        <f t="shared" ref="D23:R23" si="3">MIN(D11-D22,C35)</f>
        <v>0</v>
      </c>
      <c r="E23" s="562">
        <f t="shared" si="3"/>
        <v>0</v>
      </c>
      <c r="F23" s="562">
        <f t="shared" si="3"/>
        <v>0</v>
      </c>
      <c r="G23" s="562">
        <f t="shared" si="3"/>
        <v>0</v>
      </c>
      <c r="H23" s="562">
        <f t="shared" si="3"/>
        <v>0</v>
      </c>
      <c r="I23" s="562">
        <f t="shared" si="3"/>
        <v>0</v>
      </c>
      <c r="J23" s="562">
        <f t="shared" si="3"/>
        <v>0</v>
      </c>
      <c r="K23" s="562">
        <f t="shared" si="3"/>
        <v>0</v>
      </c>
      <c r="L23" s="562">
        <f t="shared" si="3"/>
        <v>0</v>
      </c>
      <c r="M23" s="562">
        <f t="shared" si="3"/>
        <v>0</v>
      </c>
      <c r="N23" s="562">
        <f t="shared" si="3"/>
        <v>0</v>
      </c>
      <c r="O23" s="562">
        <f t="shared" si="3"/>
        <v>0</v>
      </c>
      <c r="P23" s="562">
        <f t="shared" si="3"/>
        <v>0</v>
      </c>
      <c r="Q23" s="562">
        <f t="shared" si="3"/>
        <v>0</v>
      </c>
      <c r="R23" s="562">
        <f t="shared" si="3"/>
        <v>0</v>
      </c>
      <c r="S23" s="562">
        <f>MIN(S11-S22,R35)</f>
        <v>0</v>
      </c>
      <c r="T23" s="562">
        <f t="shared" ref="T23:BN23" si="4">MIN(T11-T22,S35)</f>
        <v>0</v>
      </c>
      <c r="U23" s="562">
        <f t="shared" si="4"/>
        <v>0</v>
      </c>
      <c r="V23" s="562">
        <f t="shared" si="4"/>
        <v>0</v>
      </c>
      <c r="W23" s="562">
        <f t="shared" si="4"/>
        <v>0</v>
      </c>
      <c r="X23" s="562">
        <f t="shared" si="4"/>
        <v>0</v>
      </c>
      <c r="Y23" s="562">
        <f t="shared" si="4"/>
        <v>0</v>
      </c>
      <c r="Z23" s="562">
        <f t="shared" si="4"/>
        <v>0</v>
      </c>
      <c r="AA23" s="562">
        <f t="shared" si="4"/>
        <v>1367583.0622196945</v>
      </c>
      <c r="AB23" s="562">
        <f t="shared" si="4"/>
        <v>0</v>
      </c>
      <c r="AC23" s="562">
        <f t="shared" si="4"/>
        <v>0</v>
      </c>
      <c r="AD23" s="562">
        <f t="shared" si="4"/>
        <v>3360159.1236983249</v>
      </c>
      <c r="AE23" s="562">
        <f t="shared" si="4"/>
        <v>0</v>
      </c>
      <c r="AF23" s="562">
        <f t="shared" si="4"/>
        <v>0</v>
      </c>
      <c r="AG23" s="562">
        <f t="shared" si="4"/>
        <v>0</v>
      </c>
      <c r="AH23" s="562">
        <f t="shared" si="4"/>
        <v>0</v>
      </c>
      <c r="AI23" s="562">
        <f t="shared" si="4"/>
        <v>0</v>
      </c>
      <c r="AJ23" s="562">
        <f t="shared" si="4"/>
        <v>0</v>
      </c>
      <c r="AK23" s="562">
        <f t="shared" si="4"/>
        <v>0</v>
      </c>
      <c r="AL23" s="562">
        <f t="shared" si="4"/>
        <v>0</v>
      </c>
      <c r="AM23" s="562">
        <f t="shared" si="4"/>
        <v>0</v>
      </c>
      <c r="AN23" s="562">
        <f t="shared" si="4"/>
        <v>0</v>
      </c>
      <c r="AO23" s="562">
        <f t="shared" si="4"/>
        <v>0</v>
      </c>
      <c r="AP23" s="562">
        <f t="shared" si="4"/>
        <v>0</v>
      </c>
      <c r="AQ23" s="562">
        <f t="shared" si="4"/>
        <v>0</v>
      </c>
      <c r="AR23" s="562">
        <f t="shared" si="4"/>
        <v>0</v>
      </c>
      <c r="AS23" s="562">
        <f t="shared" si="4"/>
        <v>0</v>
      </c>
      <c r="AT23" s="562">
        <f t="shared" si="4"/>
        <v>0</v>
      </c>
      <c r="AU23" s="562">
        <f t="shared" si="4"/>
        <v>0</v>
      </c>
      <c r="AV23" s="562">
        <f t="shared" si="4"/>
        <v>0</v>
      </c>
      <c r="AW23" s="562">
        <f t="shared" si="4"/>
        <v>0</v>
      </c>
      <c r="AX23" s="562">
        <f t="shared" si="4"/>
        <v>0</v>
      </c>
      <c r="AY23" s="562">
        <f t="shared" si="4"/>
        <v>0</v>
      </c>
      <c r="AZ23" s="562">
        <f t="shared" si="4"/>
        <v>0</v>
      </c>
      <c r="BA23" s="562">
        <f t="shared" si="4"/>
        <v>0</v>
      </c>
      <c r="BB23" s="562">
        <f t="shared" si="4"/>
        <v>0</v>
      </c>
      <c r="BC23" s="562">
        <f t="shared" si="4"/>
        <v>0</v>
      </c>
      <c r="BD23" s="562">
        <f t="shared" si="4"/>
        <v>0</v>
      </c>
      <c r="BE23" s="562">
        <f t="shared" si="4"/>
        <v>0</v>
      </c>
      <c r="BF23" s="562">
        <f t="shared" si="4"/>
        <v>0</v>
      </c>
      <c r="BG23" s="562">
        <f t="shared" si="4"/>
        <v>0</v>
      </c>
      <c r="BH23" s="562">
        <f t="shared" si="4"/>
        <v>0</v>
      </c>
      <c r="BI23" s="562">
        <f t="shared" si="4"/>
        <v>0</v>
      </c>
      <c r="BJ23" s="562">
        <f t="shared" si="4"/>
        <v>0</v>
      </c>
      <c r="BK23" s="562">
        <f t="shared" si="4"/>
        <v>0</v>
      </c>
      <c r="BL23" s="562">
        <f t="shared" si="4"/>
        <v>0</v>
      </c>
      <c r="BM23" s="562">
        <f t="shared" si="4"/>
        <v>0</v>
      </c>
      <c r="BN23" s="562">
        <f t="shared" si="4"/>
        <v>0</v>
      </c>
      <c r="BO23" s="283"/>
      <c r="BS23" s="219"/>
    </row>
    <row r="24" spans="1:74" s="216" customFormat="1">
      <c r="A24" s="215"/>
      <c r="B24" s="582" t="s">
        <v>210</v>
      </c>
      <c r="C24" s="282"/>
      <c r="D24" s="563">
        <f>SUM(D22:D23)</f>
        <v>0</v>
      </c>
      <c r="E24" s="563">
        <f t="shared" ref="E24:R24" si="5">SUM(E22:E23)</f>
        <v>0</v>
      </c>
      <c r="F24" s="563">
        <f t="shared" si="5"/>
        <v>0</v>
      </c>
      <c r="G24" s="563">
        <f t="shared" si="5"/>
        <v>0</v>
      </c>
      <c r="H24" s="563">
        <f t="shared" si="5"/>
        <v>0</v>
      </c>
      <c r="I24" s="563">
        <f t="shared" si="5"/>
        <v>0</v>
      </c>
      <c r="J24" s="563">
        <f t="shared" si="5"/>
        <v>0</v>
      </c>
      <c r="K24" s="563">
        <f t="shared" si="5"/>
        <v>0</v>
      </c>
      <c r="L24" s="563">
        <f t="shared" si="5"/>
        <v>0</v>
      </c>
      <c r="M24" s="563">
        <f t="shared" si="5"/>
        <v>0</v>
      </c>
      <c r="N24" s="563">
        <f t="shared" si="5"/>
        <v>0</v>
      </c>
      <c r="O24" s="563">
        <f t="shared" si="5"/>
        <v>0</v>
      </c>
      <c r="P24" s="563">
        <f t="shared" si="5"/>
        <v>0</v>
      </c>
      <c r="Q24" s="563">
        <f t="shared" si="5"/>
        <v>0</v>
      </c>
      <c r="R24" s="563">
        <f t="shared" si="5"/>
        <v>0</v>
      </c>
      <c r="S24" s="563">
        <f>SUM(S22:S23)</f>
        <v>0</v>
      </c>
      <c r="T24" s="563">
        <f t="shared" ref="T24:BN24" si="6">SUM(T22:T23)</f>
        <v>0</v>
      </c>
      <c r="U24" s="563">
        <f t="shared" si="6"/>
        <v>0</v>
      </c>
      <c r="V24" s="563">
        <f>SUM(V22:V23)</f>
        <v>0</v>
      </c>
      <c r="W24" s="563">
        <f t="shared" si="6"/>
        <v>0</v>
      </c>
      <c r="X24" s="563">
        <f t="shared" si="6"/>
        <v>55865.937070519256</v>
      </c>
      <c r="Y24" s="563">
        <f t="shared" si="6"/>
        <v>55865.937070519256</v>
      </c>
      <c r="Z24" s="563">
        <f t="shared" si="6"/>
        <v>55865.937070519256</v>
      </c>
      <c r="AA24" s="563">
        <f t="shared" si="6"/>
        <v>1567865.9370705192</v>
      </c>
      <c r="AB24" s="563">
        <f t="shared" si="6"/>
        <v>55865.937070519256</v>
      </c>
      <c r="AC24" s="563">
        <f t="shared" si="6"/>
        <v>55865.937070519256</v>
      </c>
      <c r="AD24" s="563">
        <f t="shared" si="6"/>
        <v>3560441.9985491494</v>
      </c>
      <c r="AE24" s="563">
        <f t="shared" si="6"/>
        <v>0</v>
      </c>
      <c r="AF24" s="563">
        <f t="shared" si="6"/>
        <v>0</v>
      </c>
      <c r="AG24" s="563">
        <f t="shared" si="6"/>
        <v>0</v>
      </c>
      <c r="AH24" s="563">
        <f t="shared" si="6"/>
        <v>0</v>
      </c>
      <c r="AI24" s="563">
        <f t="shared" si="6"/>
        <v>0</v>
      </c>
      <c r="AJ24" s="563">
        <f t="shared" si="6"/>
        <v>0</v>
      </c>
      <c r="AK24" s="563">
        <f t="shared" si="6"/>
        <v>0</v>
      </c>
      <c r="AL24" s="563">
        <f t="shared" si="6"/>
        <v>0</v>
      </c>
      <c r="AM24" s="563">
        <f t="shared" si="6"/>
        <v>0</v>
      </c>
      <c r="AN24" s="563">
        <f t="shared" si="6"/>
        <v>0</v>
      </c>
      <c r="AO24" s="563">
        <f t="shared" si="6"/>
        <v>0</v>
      </c>
      <c r="AP24" s="563">
        <f t="shared" si="6"/>
        <v>0</v>
      </c>
      <c r="AQ24" s="563">
        <f t="shared" si="6"/>
        <v>0</v>
      </c>
      <c r="AR24" s="563">
        <f t="shared" si="6"/>
        <v>0</v>
      </c>
      <c r="AS24" s="563">
        <f t="shared" si="6"/>
        <v>0</v>
      </c>
      <c r="AT24" s="563">
        <f t="shared" si="6"/>
        <v>0</v>
      </c>
      <c r="AU24" s="563">
        <f t="shared" si="6"/>
        <v>0</v>
      </c>
      <c r="AV24" s="563">
        <f t="shared" si="6"/>
        <v>0</v>
      </c>
      <c r="AW24" s="563">
        <f t="shared" si="6"/>
        <v>0</v>
      </c>
      <c r="AX24" s="563">
        <f t="shared" si="6"/>
        <v>0</v>
      </c>
      <c r="AY24" s="563">
        <f t="shared" si="6"/>
        <v>0</v>
      </c>
      <c r="AZ24" s="563">
        <f t="shared" si="6"/>
        <v>0</v>
      </c>
      <c r="BA24" s="563">
        <f t="shared" si="6"/>
        <v>0</v>
      </c>
      <c r="BB24" s="563">
        <f t="shared" si="6"/>
        <v>0</v>
      </c>
      <c r="BC24" s="563">
        <f t="shared" si="6"/>
        <v>0</v>
      </c>
      <c r="BD24" s="563">
        <f t="shared" si="6"/>
        <v>0</v>
      </c>
      <c r="BE24" s="563">
        <f t="shared" si="6"/>
        <v>0</v>
      </c>
      <c r="BF24" s="563">
        <f>SUM(BF22:BF23)</f>
        <v>0</v>
      </c>
      <c r="BG24" s="563">
        <f t="shared" si="6"/>
        <v>0</v>
      </c>
      <c r="BH24" s="563">
        <f t="shared" si="6"/>
        <v>0</v>
      </c>
      <c r="BI24" s="563">
        <f t="shared" si="6"/>
        <v>0</v>
      </c>
      <c r="BJ24" s="563">
        <f t="shared" si="6"/>
        <v>0</v>
      </c>
      <c r="BK24" s="563">
        <f t="shared" si="6"/>
        <v>0</v>
      </c>
      <c r="BL24" s="563">
        <f t="shared" si="6"/>
        <v>0</v>
      </c>
      <c r="BM24" s="563">
        <f t="shared" si="6"/>
        <v>0</v>
      </c>
      <c r="BN24" s="563">
        <f t="shared" si="6"/>
        <v>0</v>
      </c>
      <c r="BO24" s="283"/>
      <c r="BS24" s="219"/>
    </row>
    <row r="25" spans="1:74" s="216" customFormat="1">
      <c r="A25" s="215"/>
      <c r="B25" s="281"/>
      <c r="C25" s="282"/>
      <c r="D25" s="488"/>
      <c r="E25" s="488"/>
      <c r="F25" s="488"/>
      <c r="G25" s="488"/>
      <c r="H25" s="488"/>
      <c r="I25" s="488"/>
      <c r="J25" s="488"/>
      <c r="K25" s="488"/>
      <c r="L25" s="488"/>
      <c r="M25" s="488"/>
      <c r="N25" s="488"/>
      <c r="O25" s="488"/>
      <c r="P25" s="488"/>
      <c r="Q25" s="488"/>
      <c r="R25" s="488"/>
      <c r="S25" s="488"/>
      <c r="T25" s="488"/>
      <c r="U25" s="488"/>
      <c r="V25" s="488"/>
      <c r="W25" s="488"/>
      <c r="X25" s="488"/>
      <c r="Y25" s="488"/>
      <c r="Z25" s="488"/>
      <c r="AA25" s="488"/>
      <c r="AB25" s="488"/>
      <c r="AC25" s="488"/>
      <c r="AD25" s="488"/>
      <c r="AE25" s="488"/>
      <c r="AF25" s="488"/>
      <c r="AG25" s="488"/>
      <c r="AH25" s="488"/>
      <c r="AI25" s="488"/>
      <c r="AJ25" s="488"/>
      <c r="AK25" s="488"/>
      <c r="AL25" s="488"/>
      <c r="AM25" s="488"/>
      <c r="AN25" s="488"/>
      <c r="AO25" s="488"/>
      <c r="AP25" s="488"/>
      <c r="AQ25" s="488"/>
      <c r="AR25" s="488"/>
      <c r="AS25" s="488"/>
      <c r="AT25" s="488"/>
      <c r="AU25" s="488"/>
      <c r="AV25" s="488"/>
      <c r="AW25" s="488"/>
      <c r="AX25" s="488"/>
      <c r="AY25" s="488"/>
      <c r="AZ25" s="488"/>
      <c r="BA25" s="488"/>
      <c r="BB25" s="488"/>
      <c r="BC25" s="488"/>
      <c r="BD25" s="488"/>
      <c r="BE25" s="488"/>
      <c r="BF25" s="488"/>
      <c r="BG25" s="488"/>
      <c r="BH25" s="488"/>
      <c r="BI25" s="488"/>
      <c r="BJ25" s="488"/>
      <c r="BK25" s="488"/>
      <c r="BL25" s="488"/>
      <c r="BM25" s="488"/>
      <c r="BN25" s="488"/>
      <c r="BO25" s="283"/>
      <c r="BS25" s="219"/>
    </row>
    <row r="26" spans="1:74" s="216" customFormat="1">
      <c r="A26" s="215"/>
      <c r="B26" s="281" t="s">
        <v>204</v>
      </c>
      <c r="C26" s="282"/>
      <c r="D26" s="488">
        <f t="shared" ref="D26:BN26" si="7">IF(-((+C34*($BS$4/12))+D22)&lt;0,0,-((+C34*($BS$4/12))+D22))</f>
        <v>200282.87485082471</v>
      </c>
      <c r="E26" s="488">
        <f t="shared" si="7"/>
        <v>200282.87485082471</v>
      </c>
      <c r="F26" s="488">
        <f t="shared" si="7"/>
        <v>200282.87485082471</v>
      </c>
      <c r="G26" s="488">
        <f t="shared" si="7"/>
        <v>200282.87485082471</v>
      </c>
      <c r="H26" s="488">
        <f t="shared" si="7"/>
        <v>200282.87485082471</v>
      </c>
      <c r="I26" s="488">
        <f t="shared" si="7"/>
        <v>200282.87485082471</v>
      </c>
      <c r="J26" s="488">
        <f t="shared" si="7"/>
        <v>200282.87485082471</v>
      </c>
      <c r="K26" s="488">
        <f t="shared" si="7"/>
        <v>200282.87485082471</v>
      </c>
      <c r="L26" s="488">
        <f t="shared" si="7"/>
        <v>200282.87485082471</v>
      </c>
      <c r="M26" s="488">
        <f t="shared" si="7"/>
        <v>200282.87485082471</v>
      </c>
      <c r="N26" s="488">
        <f t="shared" si="7"/>
        <v>200282.87485082471</v>
      </c>
      <c r="O26" s="488">
        <f t="shared" si="7"/>
        <v>200282.87485082471</v>
      </c>
      <c r="P26" s="488">
        <f t="shared" si="7"/>
        <v>200282.87485082471</v>
      </c>
      <c r="Q26" s="488">
        <f t="shared" si="7"/>
        <v>200282.87485082471</v>
      </c>
      <c r="R26" s="488">
        <f t="shared" si="7"/>
        <v>200282.87485082471</v>
      </c>
      <c r="S26" s="488">
        <f>IF(-((+R34*($BS$4/12))+S22)&lt;0,0,-((+R34*($BS$4/12))+S22))</f>
        <v>200282.87485082471</v>
      </c>
      <c r="T26" s="488">
        <f t="shared" si="7"/>
        <v>200282.87485082471</v>
      </c>
      <c r="U26" s="488">
        <f t="shared" si="7"/>
        <v>200282.87485082471</v>
      </c>
      <c r="V26" s="488">
        <f t="shared" si="7"/>
        <v>200282.87485082471</v>
      </c>
      <c r="W26" s="488">
        <f t="shared" si="7"/>
        <v>200282.87485082471</v>
      </c>
      <c r="X26" s="488">
        <f t="shared" si="7"/>
        <v>144416.93778030545</v>
      </c>
      <c r="Y26" s="488">
        <f t="shared" si="7"/>
        <v>144416.93778030545</v>
      </c>
      <c r="Z26" s="488">
        <f t="shared" si="7"/>
        <v>144416.93778030545</v>
      </c>
      <c r="AA26" s="488">
        <f t="shared" si="7"/>
        <v>0</v>
      </c>
      <c r="AB26" s="488">
        <f t="shared" si="7"/>
        <v>144416.93778030545</v>
      </c>
      <c r="AC26" s="488">
        <f t="shared" si="7"/>
        <v>144416.93778030545</v>
      </c>
      <c r="AD26" s="488">
        <f t="shared" si="7"/>
        <v>0</v>
      </c>
      <c r="AE26" s="488">
        <f t="shared" si="7"/>
        <v>0</v>
      </c>
      <c r="AF26" s="488">
        <f t="shared" si="7"/>
        <v>0</v>
      </c>
      <c r="AG26" s="488">
        <f t="shared" si="7"/>
        <v>0</v>
      </c>
      <c r="AH26" s="488">
        <f t="shared" si="7"/>
        <v>0</v>
      </c>
      <c r="AI26" s="488">
        <f t="shared" si="7"/>
        <v>0</v>
      </c>
      <c r="AJ26" s="488">
        <f t="shared" si="7"/>
        <v>0</v>
      </c>
      <c r="AK26" s="488">
        <f t="shared" si="7"/>
        <v>0</v>
      </c>
      <c r="AL26" s="488">
        <f t="shared" si="7"/>
        <v>0</v>
      </c>
      <c r="AM26" s="488">
        <f t="shared" si="7"/>
        <v>0</v>
      </c>
      <c r="AN26" s="488">
        <f t="shared" si="7"/>
        <v>0</v>
      </c>
      <c r="AO26" s="488">
        <f t="shared" si="7"/>
        <v>0</v>
      </c>
      <c r="AP26" s="488">
        <f t="shared" si="7"/>
        <v>0</v>
      </c>
      <c r="AQ26" s="488">
        <f t="shared" si="7"/>
        <v>0</v>
      </c>
      <c r="AR26" s="488">
        <f t="shared" si="7"/>
        <v>0</v>
      </c>
      <c r="AS26" s="488">
        <f t="shared" si="7"/>
        <v>0</v>
      </c>
      <c r="AT26" s="488">
        <f t="shared" si="7"/>
        <v>0</v>
      </c>
      <c r="AU26" s="488">
        <f t="shared" si="7"/>
        <v>0</v>
      </c>
      <c r="AV26" s="488">
        <f t="shared" si="7"/>
        <v>0</v>
      </c>
      <c r="AW26" s="488">
        <f t="shared" si="7"/>
        <v>0</v>
      </c>
      <c r="AX26" s="488">
        <f t="shared" si="7"/>
        <v>0</v>
      </c>
      <c r="AY26" s="488">
        <f t="shared" si="7"/>
        <v>0</v>
      </c>
      <c r="AZ26" s="488">
        <f t="shared" si="7"/>
        <v>0</v>
      </c>
      <c r="BA26" s="488">
        <f t="shared" si="7"/>
        <v>0</v>
      </c>
      <c r="BB26" s="488">
        <f t="shared" si="7"/>
        <v>0</v>
      </c>
      <c r="BC26" s="488">
        <f t="shared" si="7"/>
        <v>0</v>
      </c>
      <c r="BD26" s="488">
        <f t="shared" si="7"/>
        <v>0</v>
      </c>
      <c r="BE26" s="488">
        <f t="shared" si="7"/>
        <v>0</v>
      </c>
      <c r="BF26" s="488">
        <f>IF(-((+BE34*($BS$4/12))+BF22)&lt;0,0,-((+BE34*($BS$4/12))+BF22))</f>
        <v>0</v>
      </c>
      <c r="BG26" s="488">
        <f t="shared" si="7"/>
        <v>0</v>
      </c>
      <c r="BH26" s="488">
        <f t="shared" si="7"/>
        <v>0</v>
      </c>
      <c r="BI26" s="488">
        <f t="shared" si="7"/>
        <v>0</v>
      </c>
      <c r="BJ26" s="488">
        <f t="shared" si="7"/>
        <v>0</v>
      </c>
      <c r="BK26" s="488">
        <f t="shared" si="7"/>
        <v>0</v>
      </c>
      <c r="BL26" s="488">
        <f t="shared" si="7"/>
        <v>0</v>
      </c>
      <c r="BM26" s="488">
        <f t="shared" si="7"/>
        <v>0</v>
      </c>
      <c r="BN26" s="488">
        <f t="shared" si="7"/>
        <v>0</v>
      </c>
      <c r="BO26" s="283"/>
      <c r="BR26" s="223"/>
      <c r="BS26" s="223"/>
      <c r="BT26" s="223"/>
      <c r="BU26" s="223"/>
      <c r="BV26" s="223"/>
    </row>
    <row r="27" spans="1:74" s="216" customFormat="1">
      <c r="A27" s="215"/>
      <c r="B27" s="284" t="s">
        <v>177</v>
      </c>
      <c r="C27" s="562"/>
      <c r="D27" s="562">
        <f t="shared" ref="D27:R27" si="8">IF(D11&gt;D24,+MIN(-C34,D11-D24),0)</f>
        <v>0</v>
      </c>
      <c r="E27" s="562">
        <f t="shared" si="8"/>
        <v>0</v>
      </c>
      <c r="F27" s="562">
        <f t="shared" si="8"/>
        <v>0</v>
      </c>
      <c r="G27" s="562">
        <f t="shared" si="8"/>
        <v>0</v>
      </c>
      <c r="H27" s="562">
        <f t="shared" si="8"/>
        <v>0</v>
      </c>
      <c r="I27" s="562">
        <f t="shared" si="8"/>
        <v>0</v>
      </c>
      <c r="J27" s="562">
        <f t="shared" si="8"/>
        <v>0</v>
      </c>
      <c r="K27" s="562">
        <f t="shared" si="8"/>
        <v>0</v>
      </c>
      <c r="L27" s="562">
        <f t="shared" si="8"/>
        <v>0</v>
      </c>
      <c r="M27" s="562">
        <f t="shared" si="8"/>
        <v>0</v>
      </c>
      <c r="N27" s="562">
        <f t="shared" si="8"/>
        <v>0</v>
      </c>
      <c r="O27" s="562">
        <f t="shared" si="8"/>
        <v>0</v>
      </c>
      <c r="P27" s="562">
        <f t="shared" si="8"/>
        <v>0</v>
      </c>
      <c r="Q27" s="562">
        <f t="shared" si="8"/>
        <v>0</v>
      </c>
      <c r="R27" s="562">
        <f t="shared" si="8"/>
        <v>0</v>
      </c>
      <c r="S27" s="562">
        <f>IF(S11&gt;S24,+MIN(-R34,S11-S24),0)</f>
        <v>0</v>
      </c>
      <c r="T27" s="562">
        <f t="shared" ref="T27:BN27" si="9">IF(T11&gt;T24,+MIN(-S34,T11-T24),0)</f>
        <v>0</v>
      </c>
      <c r="U27" s="562">
        <f t="shared" si="9"/>
        <v>0</v>
      </c>
      <c r="V27" s="562">
        <f>IF(V11&gt;V24,+MIN(-U34,V11-V24),0)</f>
        <v>0</v>
      </c>
      <c r="W27" s="562">
        <f t="shared" si="9"/>
        <v>0</v>
      </c>
      <c r="X27" s="562">
        <f t="shared" si="9"/>
        <v>0</v>
      </c>
      <c r="Y27" s="562">
        <f t="shared" si="9"/>
        <v>0</v>
      </c>
      <c r="Z27" s="562">
        <f t="shared" si="9"/>
        <v>0</v>
      </c>
      <c r="AA27" s="562">
        <f t="shared" si="9"/>
        <v>0</v>
      </c>
      <c r="AB27" s="562">
        <f t="shared" si="9"/>
        <v>0</v>
      </c>
      <c r="AC27" s="562">
        <f t="shared" si="9"/>
        <v>0</v>
      </c>
      <c r="AD27" s="562">
        <f t="shared" si="9"/>
        <v>24033944.982098967</v>
      </c>
      <c r="AE27" s="562">
        <f t="shared" si="9"/>
        <v>0</v>
      </c>
      <c r="AF27" s="562">
        <f t="shared" si="9"/>
        <v>0</v>
      </c>
      <c r="AG27" s="562">
        <f t="shared" si="9"/>
        <v>0</v>
      </c>
      <c r="AH27" s="562">
        <f t="shared" si="9"/>
        <v>0</v>
      </c>
      <c r="AI27" s="562">
        <f t="shared" si="9"/>
        <v>0</v>
      </c>
      <c r="AJ27" s="562">
        <f t="shared" si="9"/>
        <v>0</v>
      </c>
      <c r="AK27" s="562">
        <f t="shared" si="9"/>
        <v>0</v>
      </c>
      <c r="AL27" s="562">
        <f t="shared" si="9"/>
        <v>0</v>
      </c>
      <c r="AM27" s="562">
        <f t="shared" si="9"/>
        <v>0</v>
      </c>
      <c r="AN27" s="562">
        <f t="shared" si="9"/>
        <v>0</v>
      </c>
      <c r="AO27" s="562">
        <f t="shared" si="9"/>
        <v>0</v>
      </c>
      <c r="AP27" s="562">
        <f t="shared" si="9"/>
        <v>0</v>
      </c>
      <c r="AQ27" s="562">
        <f t="shared" si="9"/>
        <v>0</v>
      </c>
      <c r="AR27" s="562">
        <f t="shared" si="9"/>
        <v>0</v>
      </c>
      <c r="AS27" s="562">
        <f t="shared" si="9"/>
        <v>0</v>
      </c>
      <c r="AT27" s="562">
        <f t="shared" si="9"/>
        <v>0</v>
      </c>
      <c r="AU27" s="562">
        <f t="shared" si="9"/>
        <v>0</v>
      </c>
      <c r="AV27" s="562">
        <f t="shared" si="9"/>
        <v>0</v>
      </c>
      <c r="AW27" s="562">
        <f t="shared" si="9"/>
        <v>0</v>
      </c>
      <c r="AX27" s="562">
        <f t="shared" si="9"/>
        <v>0</v>
      </c>
      <c r="AY27" s="562">
        <f t="shared" si="9"/>
        <v>0</v>
      </c>
      <c r="AZ27" s="562">
        <f t="shared" si="9"/>
        <v>0</v>
      </c>
      <c r="BA27" s="562">
        <f t="shared" si="9"/>
        <v>0</v>
      </c>
      <c r="BB27" s="562">
        <f t="shared" si="9"/>
        <v>0</v>
      </c>
      <c r="BC27" s="562">
        <f t="shared" si="9"/>
        <v>0</v>
      </c>
      <c r="BD27" s="562">
        <f t="shared" si="9"/>
        <v>0</v>
      </c>
      <c r="BE27" s="562">
        <f t="shared" si="9"/>
        <v>0</v>
      </c>
      <c r="BF27" s="562">
        <f>IF(BF11&gt;BF24,+MIN(-BE34,BF11-BF24),0)</f>
        <v>0</v>
      </c>
      <c r="BG27" s="562">
        <f t="shared" si="9"/>
        <v>0</v>
      </c>
      <c r="BH27" s="562">
        <f t="shared" si="9"/>
        <v>0</v>
      </c>
      <c r="BI27" s="562">
        <f t="shared" si="9"/>
        <v>0</v>
      </c>
      <c r="BJ27" s="562">
        <f t="shared" si="9"/>
        <v>0</v>
      </c>
      <c r="BK27" s="562">
        <f t="shared" si="9"/>
        <v>0</v>
      </c>
      <c r="BL27" s="562">
        <f t="shared" si="9"/>
        <v>0</v>
      </c>
      <c r="BM27" s="562">
        <f t="shared" si="9"/>
        <v>0</v>
      </c>
      <c r="BN27" s="562">
        <f t="shared" si="9"/>
        <v>0</v>
      </c>
      <c r="BO27" s="286"/>
      <c r="BR27" s="223"/>
      <c r="BS27" s="223"/>
      <c r="BT27" s="223"/>
      <c r="BU27" s="223"/>
      <c r="BV27" s="223"/>
    </row>
    <row r="28" spans="1:74" s="216" customFormat="1">
      <c r="A28" s="215"/>
      <c r="B28" s="279" t="s">
        <v>205</v>
      </c>
      <c r="C28" s="223"/>
      <c r="D28" s="563">
        <f t="shared" ref="D28:R28" si="10">D11-D24-D27</f>
        <v>0</v>
      </c>
      <c r="E28" s="563">
        <f t="shared" si="10"/>
        <v>0</v>
      </c>
      <c r="F28" s="563">
        <f t="shared" si="10"/>
        <v>0</v>
      </c>
      <c r="G28" s="563">
        <f t="shared" si="10"/>
        <v>0</v>
      </c>
      <c r="H28" s="563">
        <f t="shared" si="10"/>
        <v>0</v>
      </c>
      <c r="I28" s="563">
        <f t="shared" si="10"/>
        <v>0</v>
      </c>
      <c r="J28" s="563">
        <f t="shared" si="10"/>
        <v>0</v>
      </c>
      <c r="K28" s="563">
        <f t="shared" si="10"/>
        <v>0</v>
      </c>
      <c r="L28" s="563">
        <f t="shared" si="10"/>
        <v>0</v>
      </c>
      <c r="M28" s="563">
        <f t="shared" si="10"/>
        <v>0</v>
      </c>
      <c r="N28" s="563">
        <f t="shared" si="10"/>
        <v>0</v>
      </c>
      <c r="O28" s="563">
        <f t="shared" si="10"/>
        <v>0</v>
      </c>
      <c r="P28" s="563">
        <f t="shared" si="10"/>
        <v>0</v>
      </c>
      <c r="Q28" s="563">
        <f t="shared" si="10"/>
        <v>0</v>
      </c>
      <c r="R28" s="563">
        <f t="shared" si="10"/>
        <v>0</v>
      </c>
      <c r="S28" s="563">
        <f>S11-S24-S27</f>
        <v>0</v>
      </c>
      <c r="T28" s="563">
        <f>T11-T24-T27</f>
        <v>0</v>
      </c>
      <c r="U28" s="563">
        <f t="shared" ref="U28:BM28" si="11">U11-U24-U27</f>
        <v>0</v>
      </c>
      <c r="V28" s="563">
        <f t="shared" si="11"/>
        <v>0</v>
      </c>
      <c r="W28" s="563">
        <f t="shared" si="11"/>
        <v>0</v>
      </c>
      <c r="X28" s="563">
        <f t="shared" si="11"/>
        <v>0</v>
      </c>
      <c r="Y28" s="563">
        <f t="shared" si="11"/>
        <v>0</v>
      </c>
      <c r="Z28" s="563">
        <f t="shared" si="11"/>
        <v>0</v>
      </c>
      <c r="AA28" s="563">
        <f t="shared" si="11"/>
        <v>0</v>
      </c>
      <c r="AB28" s="563">
        <f t="shared" si="11"/>
        <v>0</v>
      </c>
      <c r="AC28" s="563">
        <f t="shared" si="11"/>
        <v>0</v>
      </c>
      <c r="AD28" s="563">
        <f t="shared" si="11"/>
        <v>5957400.1873679869</v>
      </c>
      <c r="AE28" s="563">
        <f t="shared" si="11"/>
        <v>0</v>
      </c>
      <c r="AF28" s="563">
        <f t="shared" si="11"/>
        <v>0</v>
      </c>
      <c r="AG28" s="563">
        <f t="shared" si="11"/>
        <v>0</v>
      </c>
      <c r="AH28" s="563">
        <f t="shared" si="11"/>
        <v>0</v>
      </c>
      <c r="AI28" s="563">
        <f t="shared" si="11"/>
        <v>0</v>
      </c>
      <c r="AJ28" s="563">
        <f t="shared" si="11"/>
        <v>0</v>
      </c>
      <c r="AK28" s="563">
        <f t="shared" si="11"/>
        <v>0</v>
      </c>
      <c r="AL28" s="563">
        <f t="shared" si="11"/>
        <v>0</v>
      </c>
      <c r="AM28" s="563">
        <f t="shared" si="11"/>
        <v>0</v>
      </c>
      <c r="AN28" s="563">
        <f t="shared" si="11"/>
        <v>0</v>
      </c>
      <c r="AO28" s="563">
        <f t="shared" si="11"/>
        <v>0</v>
      </c>
      <c r="AP28" s="563">
        <f t="shared" si="11"/>
        <v>0</v>
      </c>
      <c r="AQ28" s="563">
        <f t="shared" si="11"/>
        <v>0</v>
      </c>
      <c r="AR28" s="563">
        <f t="shared" si="11"/>
        <v>0</v>
      </c>
      <c r="AS28" s="563">
        <f t="shared" si="11"/>
        <v>0</v>
      </c>
      <c r="AT28" s="563">
        <f t="shared" si="11"/>
        <v>0</v>
      </c>
      <c r="AU28" s="563">
        <f t="shared" si="11"/>
        <v>0</v>
      </c>
      <c r="AV28" s="563">
        <f>AV11-AV24-AV27</f>
        <v>0</v>
      </c>
      <c r="AW28" s="563">
        <f t="shared" si="11"/>
        <v>0</v>
      </c>
      <c r="AX28" s="563">
        <f t="shared" si="11"/>
        <v>0</v>
      </c>
      <c r="AY28" s="563">
        <f>AY11-AY24-AY27</f>
        <v>0</v>
      </c>
      <c r="AZ28" s="563">
        <f t="shared" si="11"/>
        <v>0</v>
      </c>
      <c r="BA28" s="563">
        <f>BA11-BA24-BA27</f>
        <v>0</v>
      </c>
      <c r="BB28" s="563">
        <f t="shared" si="11"/>
        <v>0</v>
      </c>
      <c r="BC28" s="563">
        <f t="shared" si="11"/>
        <v>0</v>
      </c>
      <c r="BD28" s="563">
        <f t="shared" si="11"/>
        <v>0</v>
      </c>
      <c r="BE28" s="563">
        <f t="shared" si="11"/>
        <v>0</v>
      </c>
      <c r="BF28" s="563">
        <f>BF11-BF24-BF27</f>
        <v>0</v>
      </c>
      <c r="BG28" s="563">
        <f t="shared" si="11"/>
        <v>0</v>
      </c>
      <c r="BH28" s="563">
        <f t="shared" si="11"/>
        <v>0</v>
      </c>
      <c r="BI28" s="563">
        <f t="shared" si="11"/>
        <v>0</v>
      </c>
      <c r="BJ28" s="563">
        <f t="shared" si="11"/>
        <v>0</v>
      </c>
      <c r="BK28" s="563">
        <f t="shared" si="11"/>
        <v>0</v>
      </c>
      <c r="BL28" s="563">
        <f t="shared" si="11"/>
        <v>0</v>
      </c>
      <c r="BM28" s="563">
        <f t="shared" si="11"/>
        <v>0</v>
      </c>
      <c r="BN28" s="563">
        <f>BN11-BN24-BN27</f>
        <v>0</v>
      </c>
      <c r="BO28" s="287"/>
      <c r="BR28" s="223"/>
      <c r="BS28" s="219"/>
      <c r="BV28" s="224"/>
    </row>
    <row r="29" spans="1:74" s="216" customFormat="1">
      <c r="A29" s="215"/>
      <c r="B29" s="279"/>
      <c r="C29" s="223"/>
      <c r="D29" s="563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3"/>
      <c r="BE29" s="563"/>
      <c r="BF29" s="563"/>
      <c r="BG29" s="563"/>
      <c r="BH29" s="563"/>
      <c r="BI29" s="563"/>
      <c r="BJ29" s="563"/>
      <c r="BK29" s="563"/>
      <c r="BL29" s="563"/>
      <c r="BM29" s="563"/>
      <c r="BN29" s="563"/>
      <c r="BO29" s="287"/>
      <c r="BR29" s="223"/>
      <c r="BS29" s="219"/>
      <c r="BV29" s="224"/>
    </row>
    <row r="30" spans="1:74" s="216" customFormat="1">
      <c r="A30" s="215"/>
      <c r="B30" s="902">
        <f>Dashboard!C54</f>
        <v>0.03</v>
      </c>
      <c r="C30" s="223"/>
      <c r="D30" s="563">
        <f>+IF(D28&lt;0,0,MIN($B$30,D$28))</f>
        <v>0</v>
      </c>
      <c r="E30" s="563">
        <f>IF(SUM($D30:D30)&lt;$B$30,MIN(E28,$B$30-SUM($D30:D30)),0)</f>
        <v>0</v>
      </c>
      <c r="F30" s="563">
        <f>IF(SUM($D30:E30)&lt;$B$30,MIN(F28,$B$30-SUM($D30:E30)),0)</f>
        <v>0</v>
      </c>
      <c r="G30" s="563">
        <f>IF(SUM($D30:F30)&lt;$B$30,MIN(G28,$B$30-SUM($D30:F30)),0)</f>
        <v>0</v>
      </c>
      <c r="H30" s="563">
        <f>IF(SUM($D30:G30)&lt;$B$30,MIN(H28,$B$30-SUM($D30:G30)),0)</f>
        <v>0</v>
      </c>
      <c r="I30" s="563">
        <f>IF(SUM($D30:H30)&lt;$B$30,MIN(I28,$B$30-SUM($D30:H30)),0)</f>
        <v>0</v>
      </c>
      <c r="J30" s="563">
        <f>IF(SUM($D30:I30)&lt;$B$30,MIN(J28,$B$30-SUM($D30:I30)),0)</f>
        <v>0</v>
      </c>
      <c r="K30" s="563">
        <f>IF(SUM($D30:J30)&lt;$B$30,MIN(K28,$B$30-SUM($D30:J30)),0)</f>
        <v>0</v>
      </c>
      <c r="L30" s="563">
        <f>IF(SUM($D30:K30)&lt;$B$30,MIN(L28,$B$30-SUM($D30:K30)),0)</f>
        <v>0</v>
      </c>
      <c r="M30" s="563">
        <f>IF(SUM($D30:L30)&lt;$B$30,MIN(M28,$B$30-SUM($D30:L30)),0)</f>
        <v>0</v>
      </c>
      <c r="N30" s="563">
        <f>IF(SUM($D30:M30)&lt;$B$30,MIN(N28,$B$30-SUM($D30:M30)),0)</f>
        <v>0</v>
      </c>
      <c r="O30" s="563">
        <f>IF(SUM($D30:N30)&lt;$B$30,MIN(O28,$B$30-SUM($D30:N30)),0)</f>
        <v>0</v>
      </c>
      <c r="P30" s="563">
        <f>IF(SUM($D30:O30)&lt;$B$30,MIN(P28,$B$30-SUM($D30:O30)),0)</f>
        <v>0</v>
      </c>
      <c r="Q30" s="563">
        <f>IF(SUM($D30:P30)&lt;$B$30,MIN(Q28,$B$30-SUM($D30:P30)),0)</f>
        <v>0</v>
      </c>
      <c r="R30" s="563">
        <f>IF(SUM($D30:Q30)&lt;$B$30,MIN(R28,$B$30-SUM($D30:Q30)),0)</f>
        <v>0</v>
      </c>
      <c r="S30" s="563">
        <f>IF(SUM($D30:R30)&lt;$B$30,MIN(S28,$B$30-SUM($D30:R30)),0)</f>
        <v>0</v>
      </c>
      <c r="T30" s="563">
        <f>IF(SUM($D30:S30)&lt;$B$30,MIN(T28,$B$30-SUM($D30:S30)),0)</f>
        <v>0</v>
      </c>
      <c r="U30" s="563">
        <f>IF(SUM($D30:T30)&lt;$B$30,MIN(U28,$B$30-SUM($D30:T30)),0)</f>
        <v>0</v>
      </c>
      <c r="V30" s="563">
        <f>IF(SUM($D30:U30)&lt;$B$30,MIN(V28,$B$30-SUM($D30:U30)),0)</f>
        <v>0</v>
      </c>
      <c r="W30" s="563">
        <f>IF(SUM($D30:V30)&lt;$B$30,MIN(W28,$B$30-SUM($D30:V30)),0)</f>
        <v>0</v>
      </c>
      <c r="X30" s="563">
        <f>IF(SUM($D30:W30)&lt;$B$30,MIN(X28,$B$30-SUM($D30:W30)),0)</f>
        <v>0</v>
      </c>
      <c r="Y30" s="563">
        <f>IF(SUM($D30:X30)&lt;$B$30,MIN(Y28,$B$30-SUM($D30:X30)),0)</f>
        <v>0</v>
      </c>
      <c r="Z30" s="563">
        <f>IF(SUM($D30:Y30)&lt;$B$30,MIN(Z28,$B$30-SUM($D30:Y30)),0)</f>
        <v>0</v>
      </c>
      <c r="AA30" s="563">
        <f>IF(SUM($D30:Z30)&lt;$B$30,MIN(AA28,$B$30-SUM($D30:Z30)),0)</f>
        <v>0</v>
      </c>
      <c r="AB30" s="563">
        <f>IF(SUM($D30:AA30)&lt;$B$30,MIN(AB28,$B$30-SUM($D30:AA30)),0)</f>
        <v>0</v>
      </c>
      <c r="AC30" s="563">
        <f>IF(SUM($D30:AB30)&lt;$B$30,MIN(AC28,$B$30-SUM($D30:AB30)),0)</f>
        <v>0</v>
      </c>
      <c r="AD30" s="563">
        <f>IF(SUM($D30:AC30)&lt;$B$30,MIN(AD28,$B$30-SUM($D30:AC30)),0)</f>
        <v>0.03</v>
      </c>
      <c r="AE30" s="563">
        <f>IF(SUM($D30:AD30)&lt;$B$30,MIN(AE28,$B$30-SUM($D30:AD30)),0)</f>
        <v>0</v>
      </c>
      <c r="AF30" s="563">
        <f>IF(SUM($D30:AE30)&lt;$B$30,MIN(AF28,$B$30-SUM($D30:AE30)),0)</f>
        <v>0</v>
      </c>
      <c r="AG30" s="563">
        <f>IF(SUM($D30:AF30)&lt;$B$30,MIN(AG28,$B$30-SUM($D30:AF30)),0)</f>
        <v>0</v>
      </c>
      <c r="AH30" s="563">
        <f>IF(SUM($D30:AG30)&lt;$B$30,MIN(AH28,$B$30-SUM($D30:AG30)),0)</f>
        <v>0</v>
      </c>
      <c r="AI30" s="563">
        <f>IF(SUM($D30:AH30)&lt;$B$30,MIN(AI28,$B$30-SUM($D30:AH30)),0)</f>
        <v>0</v>
      </c>
      <c r="AJ30" s="563">
        <f>IF(SUM($D30:AI30)&lt;$B$30,MIN(AJ28,$B$30-SUM($D30:AI30)),0)</f>
        <v>0</v>
      </c>
      <c r="AK30" s="563">
        <f>IF(SUM($D30:AJ30)&lt;$B$30,MIN(AK28,$B$30-SUM($D30:AJ30)),0)</f>
        <v>0</v>
      </c>
      <c r="AL30" s="563">
        <f>IF(SUM($D30:AK30)&lt;$B$30,MIN(AL28,$B$30-SUM($D30:AK30)),0)</f>
        <v>0</v>
      </c>
      <c r="AM30" s="563">
        <f>IF(SUM($D30:AL30)&lt;$B$30,MIN(AM28,$B$30-SUM($D30:AL30)),0)</f>
        <v>0</v>
      </c>
      <c r="AN30" s="563">
        <f>IF(SUM($D30:AM30)&lt;$B$30,MIN(AN28,$B$30-SUM($D30:AM30)),0)</f>
        <v>0</v>
      </c>
      <c r="AO30" s="563">
        <f>IF(SUM($D30:AN30)&lt;$B$30,MIN(AO28,$B$30-SUM($D30:AN30)),0)</f>
        <v>0</v>
      </c>
      <c r="AP30" s="563">
        <f>IF(SUM($D30:AO30)&lt;$B$30,MIN(AP28,$B$30-SUM($D30:AO30)),0)</f>
        <v>0</v>
      </c>
      <c r="AQ30" s="563">
        <f>IF(SUM($D30:AP30)&lt;$B$30,MIN(AQ28,$B$30-SUM($D30:AP30)),0)</f>
        <v>0</v>
      </c>
      <c r="AR30" s="563">
        <f>IF(SUM($D30:AQ30)&lt;$B$30,MIN(AR28,$B$30-SUM($D30:AQ30)),0)</f>
        <v>0</v>
      </c>
      <c r="AS30" s="563">
        <f>IF(SUM($D30:AR30)&lt;$B$30,MIN(AS28,$B$30-SUM($D30:AR30)),0)</f>
        <v>0</v>
      </c>
      <c r="AT30" s="563">
        <f>IF(SUM($D30:AS30)&lt;$B$30,MIN(AT28,$B$30-SUM($D30:AS30)),0)</f>
        <v>0</v>
      </c>
      <c r="AU30" s="563">
        <f>IF(SUM($D30:AT30)&lt;$B$30,MIN(AU28,$B$30-SUM($D30:AT30)),0)</f>
        <v>0</v>
      </c>
      <c r="AV30" s="563">
        <f>IF(SUM($D30:AU30)&lt;$B$30,MIN(AV28,$B$30-SUM($D30:AU30)),0)</f>
        <v>0</v>
      </c>
      <c r="AW30" s="563">
        <f>IF(SUM($D30:AV30)&lt;$B$30,MIN(AW28,$B$30-SUM($D30:AV30)),0)</f>
        <v>0</v>
      </c>
      <c r="AX30" s="563">
        <f>IF(SUM($D30:AW30)&lt;$B$30,MIN(AX28,$B$30-SUM($D30:AW30)),0)</f>
        <v>0</v>
      </c>
      <c r="AY30" s="563">
        <f>IF(SUM($D30:AX30)&lt;$B$30,MIN(AY28,$B$30-SUM($D30:AX30)),0)</f>
        <v>0</v>
      </c>
      <c r="AZ30" s="563">
        <f>IF(SUM($D30:AY30)&lt;$B$30,MIN(AZ28,$B$30-SUM($D30:AY30)),0)</f>
        <v>0</v>
      </c>
      <c r="BA30" s="563">
        <f>IF(SUM($D30:AZ30)&lt;$B$30,MIN(BA28,$B$30-SUM($D30:AZ30)),0)</f>
        <v>0</v>
      </c>
      <c r="BB30" s="563">
        <f>IF(SUM($D30:BA30)&lt;$B$30,MIN(BB28,$B$30-SUM($D30:BA30)),0)</f>
        <v>0</v>
      </c>
      <c r="BC30" s="563">
        <f>IF(SUM($D30:BB30)&lt;$B$30,MIN(BC28,$B$30-SUM($D30:BB30)),0)</f>
        <v>0</v>
      </c>
      <c r="BD30" s="563">
        <f>IF(SUM($D30:BC30)&lt;$B$30,MIN(BD28,$B$30-SUM($D30:BC30)),0)</f>
        <v>0</v>
      </c>
      <c r="BE30" s="563">
        <f>IF(SUM($D30:BD30)&lt;$B$30,MIN(BE28,$B$30-SUM($D30:BD30)),0)</f>
        <v>0</v>
      </c>
      <c r="BF30" s="563">
        <f>IF(SUM($D30:BE30)&lt;$B$30,MIN(BF28,$B$30-SUM($D30:BE30)),0)</f>
        <v>0</v>
      </c>
      <c r="BG30" s="563">
        <f>IF(SUM($D30:BF30)&lt;$B$30,MIN(BG28,$B$30-SUM($D30:BF30)),0)</f>
        <v>0</v>
      </c>
      <c r="BH30" s="563">
        <f>IF(SUM($D30:BG30)&lt;$B$30,MIN(BH28,$B$30-SUM($D30:BG30)),0)</f>
        <v>0</v>
      </c>
      <c r="BI30" s="563">
        <f>IF(SUM($D30:BH30)&lt;$B$30,MIN(BI28,$B$30-SUM($D30:BH30)),0)</f>
        <v>0</v>
      </c>
      <c r="BJ30" s="563">
        <f>IF(SUM($D30:BI30)&lt;$B$30,MIN(BJ28,$B$30-SUM($D30:BI30)),0)</f>
        <v>0</v>
      </c>
      <c r="BK30" s="563">
        <f>IF(SUM($D30:BJ30)&lt;$B$30,MIN(BK28,$B$30-SUM($D30:BJ30)),0)</f>
        <v>0</v>
      </c>
      <c r="BL30" s="563">
        <f>IF(SUM($D30:BK30)&lt;$B$30,MIN(BL28,$B$30-SUM($D30:BK30)),0)</f>
        <v>0</v>
      </c>
      <c r="BM30" s="563">
        <f>IF(SUM($D30:BL30)&lt;$B$30,MIN(BM28,$B$30-SUM($D30:BL30)),0)</f>
        <v>0</v>
      </c>
      <c r="BN30" s="563">
        <f>IF(SUM($D30:BM30)&lt;$B$30,MIN(BN28,$B$30-SUM($D30:BM30)),0)</f>
        <v>0</v>
      </c>
      <c r="BO30" s="287"/>
      <c r="BR30" s="223"/>
      <c r="BS30" s="219"/>
      <c r="BV30" s="224"/>
    </row>
    <row r="31" spans="1:74" s="216" customFormat="1">
      <c r="A31" s="215"/>
      <c r="B31" s="288" t="s">
        <v>377</v>
      </c>
      <c r="C31" s="489">
        <f>+-B30</f>
        <v>-0.03</v>
      </c>
      <c r="D31" s="489">
        <f>+C31+D30</f>
        <v>-0.03</v>
      </c>
      <c r="E31" s="489">
        <f t="shared" ref="E31:W31" si="12">+D31+E30</f>
        <v>-0.03</v>
      </c>
      <c r="F31" s="489">
        <f t="shared" si="12"/>
        <v>-0.03</v>
      </c>
      <c r="G31" s="489">
        <f t="shared" si="12"/>
        <v>-0.03</v>
      </c>
      <c r="H31" s="489">
        <f t="shared" si="12"/>
        <v>-0.03</v>
      </c>
      <c r="I31" s="489">
        <f t="shared" si="12"/>
        <v>-0.03</v>
      </c>
      <c r="J31" s="489">
        <f t="shared" si="12"/>
        <v>-0.03</v>
      </c>
      <c r="K31" s="489">
        <f t="shared" si="12"/>
        <v>-0.03</v>
      </c>
      <c r="L31" s="489">
        <f t="shared" si="12"/>
        <v>-0.03</v>
      </c>
      <c r="M31" s="489">
        <f t="shared" si="12"/>
        <v>-0.03</v>
      </c>
      <c r="N31" s="489">
        <f t="shared" si="12"/>
        <v>-0.03</v>
      </c>
      <c r="O31" s="489">
        <f t="shared" si="12"/>
        <v>-0.03</v>
      </c>
      <c r="P31" s="489">
        <f t="shared" si="12"/>
        <v>-0.03</v>
      </c>
      <c r="Q31" s="489">
        <f t="shared" si="12"/>
        <v>-0.03</v>
      </c>
      <c r="R31" s="489">
        <f t="shared" si="12"/>
        <v>-0.03</v>
      </c>
      <c r="S31" s="489">
        <f t="shared" si="12"/>
        <v>-0.03</v>
      </c>
      <c r="T31" s="489">
        <f t="shared" si="12"/>
        <v>-0.03</v>
      </c>
      <c r="U31" s="489">
        <f t="shared" si="12"/>
        <v>-0.03</v>
      </c>
      <c r="V31" s="489">
        <f t="shared" si="12"/>
        <v>-0.03</v>
      </c>
      <c r="W31" s="489">
        <f t="shared" si="12"/>
        <v>-0.03</v>
      </c>
      <c r="X31" s="489"/>
      <c r="Y31" s="489"/>
      <c r="Z31" s="489"/>
      <c r="AA31" s="489"/>
      <c r="AB31" s="489"/>
      <c r="AC31" s="489"/>
      <c r="AD31" s="489"/>
      <c r="AE31" s="489"/>
      <c r="AF31" s="489"/>
      <c r="AG31" s="489"/>
      <c r="AH31" s="489"/>
      <c r="AI31" s="489"/>
      <c r="AJ31" s="489"/>
      <c r="AK31" s="489"/>
      <c r="AL31" s="489"/>
      <c r="AM31" s="489"/>
      <c r="AN31" s="489"/>
      <c r="AO31" s="489"/>
      <c r="AP31" s="489"/>
      <c r="AQ31" s="489"/>
      <c r="AR31" s="489"/>
      <c r="AS31" s="489"/>
      <c r="AT31" s="489"/>
      <c r="AU31" s="489"/>
      <c r="AV31" s="489"/>
      <c r="AW31" s="489"/>
      <c r="AX31" s="489"/>
      <c r="AY31" s="489"/>
      <c r="AZ31" s="489"/>
      <c r="BA31" s="489"/>
      <c r="BB31" s="489"/>
      <c r="BC31" s="489"/>
      <c r="BD31" s="489"/>
      <c r="BE31" s="489"/>
      <c r="BF31" s="489"/>
      <c r="BG31" s="489"/>
      <c r="BH31" s="489"/>
      <c r="BI31" s="489"/>
      <c r="BJ31" s="489"/>
      <c r="BK31" s="489"/>
      <c r="BL31" s="489"/>
      <c r="BM31" s="489"/>
      <c r="BN31" s="489"/>
      <c r="BO31" s="287"/>
      <c r="BR31" s="223"/>
      <c r="BS31" s="219"/>
      <c r="BV31" s="224"/>
    </row>
    <row r="32" spans="1:74" s="216" customFormat="1">
      <c r="A32" s="215"/>
      <c r="B32" s="657" t="s">
        <v>237</v>
      </c>
      <c r="C32" s="658"/>
      <c r="D32" s="659">
        <f>+D28-D30</f>
        <v>0</v>
      </c>
      <c r="E32" s="659">
        <f t="shared" ref="E32:BN32" si="13">+E28-E30</f>
        <v>0</v>
      </c>
      <c r="F32" s="659">
        <f t="shared" si="13"/>
        <v>0</v>
      </c>
      <c r="G32" s="659">
        <f t="shared" si="13"/>
        <v>0</v>
      </c>
      <c r="H32" s="659">
        <f t="shared" si="13"/>
        <v>0</v>
      </c>
      <c r="I32" s="659">
        <f t="shared" si="13"/>
        <v>0</v>
      </c>
      <c r="J32" s="659">
        <f t="shared" si="13"/>
        <v>0</v>
      </c>
      <c r="K32" s="659">
        <f t="shared" si="13"/>
        <v>0</v>
      </c>
      <c r="L32" s="659">
        <f t="shared" si="13"/>
        <v>0</v>
      </c>
      <c r="M32" s="659">
        <f t="shared" si="13"/>
        <v>0</v>
      </c>
      <c r="N32" s="659">
        <f t="shared" si="13"/>
        <v>0</v>
      </c>
      <c r="O32" s="659">
        <f t="shared" si="13"/>
        <v>0</v>
      </c>
      <c r="P32" s="659">
        <f t="shared" si="13"/>
        <v>0</v>
      </c>
      <c r="Q32" s="659">
        <f t="shared" si="13"/>
        <v>0</v>
      </c>
      <c r="R32" s="659">
        <f t="shared" si="13"/>
        <v>0</v>
      </c>
      <c r="S32" s="659">
        <f t="shared" si="13"/>
        <v>0</v>
      </c>
      <c r="T32" s="659">
        <f t="shared" si="13"/>
        <v>0</v>
      </c>
      <c r="U32" s="659">
        <f t="shared" si="13"/>
        <v>0</v>
      </c>
      <c r="V32" s="659">
        <f t="shared" si="13"/>
        <v>0</v>
      </c>
      <c r="W32" s="659">
        <f t="shared" si="13"/>
        <v>0</v>
      </c>
      <c r="X32" s="659">
        <f t="shared" si="13"/>
        <v>0</v>
      </c>
      <c r="Y32" s="659">
        <f t="shared" si="13"/>
        <v>0</v>
      </c>
      <c r="Z32" s="659">
        <f t="shared" si="13"/>
        <v>0</v>
      </c>
      <c r="AA32" s="659">
        <f t="shared" si="13"/>
        <v>0</v>
      </c>
      <c r="AB32" s="659">
        <f t="shared" si="13"/>
        <v>0</v>
      </c>
      <c r="AC32" s="659">
        <f t="shared" si="13"/>
        <v>0</v>
      </c>
      <c r="AD32" s="659">
        <f t="shared" si="13"/>
        <v>5957400.1573679866</v>
      </c>
      <c r="AE32" s="659">
        <f t="shared" si="13"/>
        <v>0</v>
      </c>
      <c r="AF32" s="659">
        <f t="shared" si="13"/>
        <v>0</v>
      </c>
      <c r="AG32" s="659">
        <f t="shared" si="13"/>
        <v>0</v>
      </c>
      <c r="AH32" s="659">
        <f t="shared" si="13"/>
        <v>0</v>
      </c>
      <c r="AI32" s="659">
        <f t="shared" si="13"/>
        <v>0</v>
      </c>
      <c r="AJ32" s="659">
        <f t="shared" si="13"/>
        <v>0</v>
      </c>
      <c r="AK32" s="659">
        <f t="shared" si="13"/>
        <v>0</v>
      </c>
      <c r="AL32" s="659">
        <f t="shared" si="13"/>
        <v>0</v>
      </c>
      <c r="AM32" s="659">
        <f t="shared" si="13"/>
        <v>0</v>
      </c>
      <c r="AN32" s="659">
        <f t="shared" si="13"/>
        <v>0</v>
      </c>
      <c r="AO32" s="659">
        <f t="shared" si="13"/>
        <v>0</v>
      </c>
      <c r="AP32" s="659">
        <f t="shared" si="13"/>
        <v>0</v>
      </c>
      <c r="AQ32" s="659">
        <f t="shared" si="13"/>
        <v>0</v>
      </c>
      <c r="AR32" s="659">
        <f t="shared" si="13"/>
        <v>0</v>
      </c>
      <c r="AS32" s="659">
        <f t="shared" si="13"/>
        <v>0</v>
      </c>
      <c r="AT32" s="659">
        <f t="shared" si="13"/>
        <v>0</v>
      </c>
      <c r="AU32" s="659">
        <f t="shared" si="13"/>
        <v>0</v>
      </c>
      <c r="AV32" s="659">
        <f t="shared" si="13"/>
        <v>0</v>
      </c>
      <c r="AW32" s="659">
        <f t="shared" si="13"/>
        <v>0</v>
      </c>
      <c r="AX32" s="659">
        <f t="shared" si="13"/>
        <v>0</v>
      </c>
      <c r="AY32" s="659">
        <f t="shared" si="13"/>
        <v>0</v>
      </c>
      <c r="AZ32" s="659">
        <f t="shared" si="13"/>
        <v>0</v>
      </c>
      <c r="BA32" s="659">
        <f t="shared" si="13"/>
        <v>0</v>
      </c>
      <c r="BB32" s="659">
        <f t="shared" si="13"/>
        <v>0</v>
      </c>
      <c r="BC32" s="659">
        <f t="shared" si="13"/>
        <v>0</v>
      </c>
      <c r="BD32" s="659">
        <f t="shared" si="13"/>
        <v>0</v>
      </c>
      <c r="BE32" s="659">
        <f t="shared" si="13"/>
        <v>0</v>
      </c>
      <c r="BF32" s="659">
        <f t="shared" si="13"/>
        <v>0</v>
      </c>
      <c r="BG32" s="659">
        <f t="shared" si="13"/>
        <v>0</v>
      </c>
      <c r="BH32" s="659">
        <f t="shared" si="13"/>
        <v>0</v>
      </c>
      <c r="BI32" s="659">
        <f t="shared" si="13"/>
        <v>0</v>
      </c>
      <c r="BJ32" s="659">
        <f t="shared" si="13"/>
        <v>0</v>
      </c>
      <c r="BK32" s="659">
        <f t="shared" si="13"/>
        <v>0</v>
      </c>
      <c r="BL32" s="659">
        <f t="shared" si="13"/>
        <v>0</v>
      </c>
      <c r="BM32" s="659">
        <f t="shared" si="13"/>
        <v>0</v>
      </c>
      <c r="BN32" s="659">
        <f t="shared" si="13"/>
        <v>0</v>
      </c>
      <c r="BO32" s="287"/>
      <c r="BR32" s="223"/>
      <c r="BS32" s="219"/>
      <c r="BV32" s="224"/>
    </row>
    <row r="33" spans="1:75" s="216" customFormat="1">
      <c r="A33" s="215"/>
      <c r="B33" s="279"/>
      <c r="C33" s="223"/>
      <c r="D33" s="563"/>
      <c r="E33" s="563"/>
      <c r="F33" s="563"/>
      <c r="G33" s="563"/>
      <c r="H33" s="563"/>
      <c r="I33" s="563"/>
      <c r="J33" s="563"/>
      <c r="K33" s="563"/>
      <c r="L33" s="563"/>
      <c r="M33" s="563"/>
      <c r="N33" s="563"/>
      <c r="O33" s="563"/>
      <c r="P33" s="563"/>
      <c r="Q33" s="563"/>
      <c r="R33" s="563"/>
      <c r="S33" s="563"/>
      <c r="T33" s="563"/>
      <c r="U33" s="563"/>
      <c r="V33" s="563"/>
      <c r="W33" s="563"/>
      <c r="X33" s="563"/>
      <c r="Y33" s="563"/>
      <c r="Z33" s="563"/>
      <c r="AA33" s="563"/>
      <c r="AB33" s="563"/>
      <c r="AC33" s="563"/>
      <c r="AD33" s="563"/>
      <c r="AE33" s="563"/>
      <c r="AF33" s="563"/>
      <c r="AG33" s="563"/>
      <c r="AH33" s="563"/>
      <c r="AI33" s="563"/>
      <c r="AJ33" s="563"/>
      <c r="AK33" s="563"/>
      <c r="AL33" s="563"/>
      <c r="AM33" s="563"/>
      <c r="AN33" s="563"/>
      <c r="AO33" s="563"/>
      <c r="AP33" s="563"/>
      <c r="AQ33" s="563"/>
      <c r="AR33" s="563"/>
      <c r="AS33" s="563"/>
      <c r="AT33" s="563"/>
      <c r="AU33" s="563"/>
      <c r="AV33" s="563"/>
      <c r="AW33" s="563"/>
      <c r="AX33" s="563"/>
      <c r="AY33" s="563"/>
      <c r="AZ33" s="563"/>
      <c r="BA33" s="563"/>
      <c r="BB33" s="563"/>
      <c r="BC33" s="563"/>
      <c r="BD33" s="563"/>
      <c r="BE33" s="563"/>
      <c r="BF33" s="563"/>
      <c r="BG33" s="563"/>
      <c r="BH33" s="563"/>
      <c r="BI33" s="563"/>
      <c r="BJ33" s="563"/>
      <c r="BK33" s="563"/>
      <c r="BL33" s="563"/>
      <c r="BM33" s="563"/>
      <c r="BN33" s="563"/>
      <c r="BO33" s="287"/>
      <c r="BR33" s="223"/>
      <c r="BS33" s="219"/>
      <c r="BV33" s="224"/>
    </row>
    <row r="34" spans="1:75" s="216" customFormat="1">
      <c r="A34" s="215"/>
      <c r="B34" s="288" t="s">
        <v>179</v>
      </c>
      <c r="C34" s="289">
        <f>-D16</f>
        <v>-24033944.982098967</v>
      </c>
      <c r="D34" s="489">
        <f t="shared" ref="D34:BN34" si="14">C34+D27</f>
        <v>-24033944.982098967</v>
      </c>
      <c r="E34" s="489">
        <f t="shared" si="14"/>
        <v>-24033944.982098967</v>
      </c>
      <c r="F34" s="489">
        <f t="shared" si="14"/>
        <v>-24033944.982098967</v>
      </c>
      <c r="G34" s="489">
        <f t="shared" si="14"/>
        <v>-24033944.982098967</v>
      </c>
      <c r="H34" s="489">
        <f t="shared" si="14"/>
        <v>-24033944.982098967</v>
      </c>
      <c r="I34" s="489">
        <f t="shared" si="14"/>
        <v>-24033944.982098967</v>
      </c>
      <c r="J34" s="489">
        <f t="shared" si="14"/>
        <v>-24033944.982098967</v>
      </c>
      <c r="K34" s="489">
        <f t="shared" si="14"/>
        <v>-24033944.982098967</v>
      </c>
      <c r="L34" s="489">
        <f t="shared" si="14"/>
        <v>-24033944.982098967</v>
      </c>
      <c r="M34" s="489">
        <f t="shared" si="14"/>
        <v>-24033944.982098967</v>
      </c>
      <c r="N34" s="489">
        <f t="shared" si="14"/>
        <v>-24033944.982098967</v>
      </c>
      <c r="O34" s="489">
        <f t="shared" si="14"/>
        <v>-24033944.982098967</v>
      </c>
      <c r="P34" s="489">
        <f t="shared" si="14"/>
        <v>-24033944.982098967</v>
      </c>
      <c r="Q34" s="489">
        <f t="shared" si="14"/>
        <v>-24033944.982098967</v>
      </c>
      <c r="R34" s="489">
        <f t="shared" si="14"/>
        <v>-24033944.982098967</v>
      </c>
      <c r="S34" s="489">
        <f t="shared" si="14"/>
        <v>-24033944.982098967</v>
      </c>
      <c r="T34" s="489">
        <f t="shared" si="14"/>
        <v>-24033944.982098967</v>
      </c>
      <c r="U34" s="489">
        <f t="shared" si="14"/>
        <v>-24033944.982098967</v>
      </c>
      <c r="V34" s="489">
        <f t="shared" si="14"/>
        <v>-24033944.982098967</v>
      </c>
      <c r="W34" s="489">
        <f t="shared" si="14"/>
        <v>-24033944.982098967</v>
      </c>
      <c r="X34" s="489">
        <f t="shared" si="14"/>
        <v>-24033944.982098967</v>
      </c>
      <c r="Y34" s="489">
        <f t="shared" si="14"/>
        <v>-24033944.982098967</v>
      </c>
      <c r="Z34" s="489">
        <f t="shared" si="14"/>
        <v>-24033944.982098967</v>
      </c>
      <c r="AA34" s="489">
        <f t="shared" si="14"/>
        <v>-24033944.982098967</v>
      </c>
      <c r="AB34" s="489">
        <f t="shared" si="14"/>
        <v>-24033944.982098967</v>
      </c>
      <c r="AC34" s="489">
        <f t="shared" si="14"/>
        <v>-24033944.982098967</v>
      </c>
      <c r="AD34" s="489">
        <f t="shared" si="14"/>
        <v>0</v>
      </c>
      <c r="AE34" s="489">
        <f t="shared" si="14"/>
        <v>0</v>
      </c>
      <c r="AF34" s="489">
        <f t="shared" si="14"/>
        <v>0</v>
      </c>
      <c r="AG34" s="489">
        <f t="shared" si="14"/>
        <v>0</v>
      </c>
      <c r="AH34" s="489">
        <f t="shared" si="14"/>
        <v>0</v>
      </c>
      <c r="AI34" s="489">
        <f t="shared" si="14"/>
        <v>0</v>
      </c>
      <c r="AJ34" s="489">
        <f t="shared" si="14"/>
        <v>0</v>
      </c>
      <c r="AK34" s="489">
        <f t="shared" si="14"/>
        <v>0</v>
      </c>
      <c r="AL34" s="489">
        <f t="shared" si="14"/>
        <v>0</v>
      </c>
      <c r="AM34" s="489">
        <f t="shared" si="14"/>
        <v>0</v>
      </c>
      <c r="AN34" s="489">
        <f t="shared" si="14"/>
        <v>0</v>
      </c>
      <c r="AO34" s="489">
        <f t="shared" si="14"/>
        <v>0</v>
      </c>
      <c r="AP34" s="489">
        <f t="shared" si="14"/>
        <v>0</v>
      </c>
      <c r="AQ34" s="489">
        <f t="shared" si="14"/>
        <v>0</v>
      </c>
      <c r="AR34" s="489">
        <f t="shared" si="14"/>
        <v>0</v>
      </c>
      <c r="AS34" s="489">
        <f t="shared" si="14"/>
        <v>0</v>
      </c>
      <c r="AT34" s="489">
        <f t="shared" si="14"/>
        <v>0</v>
      </c>
      <c r="AU34" s="489">
        <f t="shared" si="14"/>
        <v>0</v>
      </c>
      <c r="AV34" s="489">
        <f t="shared" si="14"/>
        <v>0</v>
      </c>
      <c r="AW34" s="489">
        <f t="shared" si="14"/>
        <v>0</v>
      </c>
      <c r="AX34" s="489">
        <f t="shared" si="14"/>
        <v>0</v>
      </c>
      <c r="AY34" s="489">
        <f t="shared" si="14"/>
        <v>0</v>
      </c>
      <c r="AZ34" s="489">
        <f t="shared" si="14"/>
        <v>0</v>
      </c>
      <c r="BA34" s="489">
        <f t="shared" si="14"/>
        <v>0</v>
      </c>
      <c r="BB34" s="489">
        <f t="shared" si="14"/>
        <v>0</v>
      </c>
      <c r="BC34" s="489">
        <f t="shared" si="14"/>
        <v>0</v>
      </c>
      <c r="BD34" s="489">
        <f t="shared" si="14"/>
        <v>0</v>
      </c>
      <c r="BE34" s="489">
        <f t="shared" si="14"/>
        <v>0</v>
      </c>
      <c r="BF34" s="489">
        <f t="shared" si="14"/>
        <v>0</v>
      </c>
      <c r="BG34" s="489">
        <f t="shared" si="14"/>
        <v>0</v>
      </c>
      <c r="BH34" s="489">
        <f t="shared" si="14"/>
        <v>0</v>
      </c>
      <c r="BI34" s="489">
        <f t="shared" si="14"/>
        <v>0</v>
      </c>
      <c r="BJ34" s="489">
        <f t="shared" si="14"/>
        <v>0</v>
      </c>
      <c r="BK34" s="489">
        <f t="shared" si="14"/>
        <v>0</v>
      </c>
      <c r="BL34" s="489">
        <f t="shared" si="14"/>
        <v>0</v>
      </c>
      <c r="BM34" s="489">
        <f t="shared" si="14"/>
        <v>0</v>
      </c>
      <c r="BN34" s="489">
        <f t="shared" si="14"/>
        <v>0</v>
      </c>
      <c r="BO34" s="290"/>
      <c r="BQ34" s="223"/>
      <c r="BR34" s="223"/>
      <c r="BS34" s="223"/>
      <c r="BT34" s="223"/>
      <c r="BU34" s="223"/>
      <c r="BV34" s="223"/>
      <c r="BW34" s="225"/>
    </row>
    <row r="35" spans="1:75" s="216" customFormat="1">
      <c r="A35" s="215"/>
      <c r="B35" s="288" t="s">
        <v>211</v>
      </c>
      <c r="C35" s="289"/>
      <c r="D35" s="489">
        <f>-((+C34*($BS$4/12))+D24)</f>
        <v>200282.87485082471</v>
      </c>
      <c r="E35" s="489">
        <f>D35+-((+D34*($BS$4/12))+E24)</f>
        <v>400565.74970164942</v>
      </c>
      <c r="F35" s="489">
        <f>E35+-((+E34*($BS$4/12))+F24)</f>
        <v>600848.62455247412</v>
      </c>
      <c r="G35" s="489">
        <f t="shared" ref="G35:R35" si="15">F35+-((+F34*($BS$4/12))+G24)</f>
        <v>801131.49940329883</v>
      </c>
      <c r="H35" s="489">
        <f t="shared" si="15"/>
        <v>1001414.3742541235</v>
      </c>
      <c r="I35" s="489">
        <f t="shared" si="15"/>
        <v>1201697.2491049482</v>
      </c>
      <c r="J35" s="489">
        <f t="shared" si="15"/>
        <v>1401980.123955773</v>
      </c>
      <c r="K35" s="489">
        <f t="shared" si="15"/>
        <v>1602262.9988065977</v>
      </c>
      <c r="L35" s="489">
        <f t="shared" si="15"/>
        <v>1802545.8736574224</v>
      </c>
      <c r="M35" s="489">
        <f t="shared" si="15"/>
        <v>2002828.7485082471</v>
      </c>
      <c r="N35" s="489">
        <f t="shared" si="15"/>
        <v>2203111.623359072</v>
      </c>
      <c r="O35" s="489">
        <f t="shared" si="15"/>
        <v>2403394.4982098965</v>
      </c>
      <c r="P35" s="489">
        <f t="shared" si="15"/>
        <v>2603677.373060721</v>
      </c>
      <c r="Q35" s="489">
        <f t="shared" si="15"/>
        <v>2803960.2479115454</v>
      </c>
      <c r="R35" s="489">
        <f t="shared" si="15"/>
        <v>3004243.1227623699</v>
      </c>
      <c r="S35" s="489">
        <f>R35+-((+R34*($BS$4/12))+S24)</f>
        <v>3204525.9976131944</v>
      </c>
      <c r="T35" s="489">
        <f t="shared" ref="T35:BN35" si="16">S35+-((+S34*($BS$4/12))+T24)</f>
        <v>3404808.8724640189</v>
      </c>
      <c r="U35" s="489">
        <f t="shared" si="16"/>
        <v>3605091.7473148433</v>
      </c>
      <c r="V35" s="489">
        <f t="shared" si="16"/>
        <v>3805374.6221656678</v>
      </c>
      <c r="W35" s="489">
        <f t="shared" si="16"/>
        <v>4005657.4970164923</v>
      </c>
      <c r="X35" s="489">
        <f t="shared" si="16"/>
        <v>4150074.4347967976</v>
      </c>
      <c r="Y35" s="489">
        <f t="shared" si="16"/>
        <v>4294491.3725771029</v>
      </c>
      <c r="Z35" s="489">
        <f t="shared" si="16"/>
        <v>4438908.3103574086</v>
      </c>
      <c r="AA35" s="489">
        <f t="shared" si="16"/>
        <v>3071325.2481377143</v>
      </c>
      <c r="AB35" s="489">
        <f t="shared" si="16"/>
        <v>3215742.1859180196</v>
      </c>
      <c r="AC35" s="489">
        <f t="shared" si="16"/>
        <v>3360159.1236983249</v>
      </c>
      <c r="AD35" s="489">
        <f t="shared" si="16"/>
        <v>0</v>
      </c>
      <c r="AE35" s="489">
        <f t="shared" si="16"/>
        <v>0</v>
      </c>
      <c r="AF35" s="489">
        <f t="shared" si="16"/>
        <v>0</v>
      </c>
      <c r="AG35" s="489">
        <f t="shared" si="16"/>
        <v>0</v>
      </c>
      <c r="AH35" s="489">
        <f t="shared" si="16"/>
        <v>0</v>
      </c>
      <c r="AI35" s="489">
        <f t="shared" si="16"/>
        <v>0</v>
      </c>
      <c r="AJ35" s="489">
        <f t="shared" si="16"/>
        <v>0</v>
      </c>
      <c r="AK35" s="489">
        <f t="shared" si="16"/>
        <v>0</v>
      </c>
      <c r="AL35" s="489">
        <f t="shared" si="16"/>
        <v>0</v>
      </c>
      <c r="AM35" s="489">
        <f t="shared" si="16"/>
        <v>0</v>
      </c>
      <c r="AN35" s="489">
        <f t="shared" si="16"/>
        <v>0</v>
      </c>
      <c r="AO35" s="489">
        <f t="shared" si="16"/>
        <v>0</v>
      </c>
      <c r="AP35" s="489">
        <f t="shared" si="16"/>
        <v>0</v>
      </c>
      <c r="AQ35" s="489">
        <f t="shared" si="16"/>
        <v>0</v>
      </c>
      <c r="AR35" s="489">
        <f t="shared" si="16"/>
        <v>0</v>
      </c>
      <c r="AS35" s="489">
        <f t="shared" si="16"/>
        <v>0</v>
      </c>
      <c r="AT35" s="489">
        <f t="shared" si="16"/>
        <v>0</v>
      </c>
      <c r="AU35" s="489">
        <f t="shared" si="16"/>
        <v>0</v>
      </c>
      <c r="AV35" s="489">
        <f t="shared" si="16"/>
        <v>0</v>
      </c>
      <c r="AW35" s="489">
        <f t="shared" si="16"/>
        <v>0</v>
      </c>
      <c r="AX35" s="489">
        <f t="shared" si="16"/>
        <v>0</v>
      </c>
      <c r="AY35" s="489">
        <f t="shared" si="16"/>
        <v>0</v>
      </c>
      <c r="AZ35" s="489">
        <f t="shared" si="16"/>
        <v>0</v>
      </c>
      <c r="BA35" s="489">
        <f t="shared" si="16"/>
        <v>0</v>
      </c>
      <c r="BB35" s="489">
        <f t="shared" si="16"/>
        <v>0</v>
      </c>
      <c r="BC35" s="489">
        <f t="shared" si="16"/>
        <v>0</v>
      </c>
      <c r="BD35" s="489">
        <f t="shared" si="16"/>
        <v>0</v>
      </c>
      <c r="BE35" s="489">
        <f t="shared" si="16"/>
        <v>0</v>
      </c>
      <c r="BF35" s="489">
        <f t="shared" si="16"/>
        <v>0</v>
      </c>
      <c r="BG35" s="489">
        <f t="shared" si="16"/>
        <v>0</v>
      </c>
      <c r="BH35" s="489">
        <f t="shared" si="16"/>
        <v>0</v>
      </c>
      <c r="BI35" s="489">
        <f t="shared" si="16"/>
        <v>0</v>
      </c>
      <c r="BJ35" s="489">
        <f t="shared" si="16"/>
        <v>0</v>
      </c>
      <c r="BK35" s="489">
        <f t="shared" si="16"/>
        <v>0</v>
      </c>
      <c r="BL35" s="489">
        <f t="shared" si="16"/>
        <v>0</v>
      </c>
      <c r="BM35" s="489">
        <f t="shared" si="16"/>
        <v>0</v>
      </c>
      <c r="BN35" s="489">
        <f t="shared" si="16"/>
        <v>0</v>
      </c>
      <c r="BO35" s="290"/>
      <c r="BQ35" s="223"/>
      <c r="BR35" s="223"/>
      <c r="BS35" s="223"/>
      <c r="BT35" s="223"/>
      <c r="BU35" s="223"/>
      <c r="BV35" s="223"/>
      <c r="BW35" s="225"/>
    </row>
    <row r="36" spans="1:75" s="216" customFormat="1">
      <c r="A36" s="215"/>
      <c r="B36" s="226"/>
      <c r="C36" s="224"/>
      <c r="D36" s="224"/>
      <c r="E36" s="224"/>
      <c r="F36" s="224"/>
      <c r="G36" s="224"/>
      <c r="H36" s="224"/>
      <c r="I36" s="224"/>
      <c r="J36" s="224"/>
      <c r="K36" s="224"/>
      <c r="L36" s="224"/>
      <c r="M36" s="224"/>
      <c r="N36" s="224"/>
      <c r="O36" s="224"/>
      <c r="P36" s="224"/>
      <c r="Q36" s="224"/>
      <c r="R36" s="224"/>
      <c r="S36" s="224"/>
      <c r="T36" s="224"/>
      <c r="U36" s="224"/>
      <c r="V36" s="224"/>
      <c r="W36" s="224"/>
      <c r="X36" s="224"/>
      <c r="Y36" s="224"/>
      <c r="Z36" s="224"/>
      <c r="AA36" s="224"/>
      <c r="AB36" s="224"/>
      <c r="AC36" s="224"/>
      <c r="AD36" s="224"/>
      <c r="AE36" s="224"/>
      <c r="AF36" s="224"/>
      <c r="AG36" s="224"/>
      <c r="AH36" s="224"/>
      <c r="AI36" s="224"/>
      <c r="AJ36" s="224"/>
      <c r="AK36" s="224"/>
      <c r="AL36" s="224"/>
      <c r="AM36" s="224"/>
      <c r="AN36" s="224"/>
      <c r="AO36" s="224"/>
      <c r="AP36" s="224"/>
      <c r="AQ36" s="224"/>
      <c r="AR36" s="224"/>
      <c r="AS36" s="224"/>
      <c r="AT36" s="224"/>
      <c r="AU36" s="224"/>
      <c r="AV36" s="224"/>
      <c r="AW36" s="224"/>
      <c r="AX36" s="224"/>
      <c r="AY36" s="224"/>
      <c r="AZ36" s="224"/>
      <c r="BA36" s="224"/>
      <c r="BB36" s="224"/>
      <c r="BC36" s="224"/>
      <c r="BD36" s="224"/>
      <c r="BE36" s="224"/>
      <c r="BF36" s="224"/>
      <c r="BG36" s="224"/>
      <c r="BH36" s="224"/>
      <c r="BI36" s="224"/>
      <c r="BJ36" s="224"/>
      <c r="BK36" s="224"/>
      <c r="BL36" s="224"/>
      <c r="BM36" s="224"/>
      <c r="BN36" s="224"/>
      <c r="BO36" s="276"/>
      <c r="BS36" s="219"/>
    </row>
    <row r="37" spans="1:75" s="216" customFormat="1">
      <c r="A37" s="215"/>
      <c r="B37" s="434" t="str">
        <f>BP6</f>
        <v>3rd Priority Split (60/40)</v>
      </c>
      <c r="C37" s="435"/>
      <c r="D37" s="435"/>
      <c r="E37" s="435"/>
      <c r="F37" s="435"/>
      <c r="G37" s="435"/>
      <c r="H37" s="435"/>
      <c r="I37" s="435"/>
      <c r="J37" s="435"/>
      <c r="K37" s="435"/>
      <c r="L37" s="435"/>
      <c r="M37" s="435"/>
      <c r="N37" s="435"/>
      <c r="O37" s="435"/>
      <c r="P37" s="435"/>
      <c r="Q37" s="435"/>
      <c r="R37" s="435"/>
      <c r="S37" s="435"/>
      <c r="T37" s="435"/>
      <c r="U37" s="435"/>
      <c r="V37" s="435"/>
      <c r="W37" s="435"/>
      <c r="X37" s="435"/>
      <c r="Y37" s="435"/>
      <c r="Z37" s="435"/>
      <c r="AA37" s="435"/>
      <c r="AB37" s="435"/>
      <c r="AC37" s="435"/>
      <c r="AD37" s="435"/>
      <c r="AE37" s="435"/>
      <c r="AF37" s="435"/>
      <c r="AG37" s="435"/>
      <c r="AH37" s="435"/>
      <c r="AI37" s="435"/>
      <c r="AJ37" s="435"/>
      <c r="AK37" s="435"/>
      <c r="AL37" s="435"/>
      <c r="AM37" s="435"/>
      <c r="AN37" s="435"/>
      <c r="AO37" s="435"/>
      <c r="AP37" s="435"/>
      <c r="AQ37" s="435"/>
      <c r="AR37" s="435"/>
      <c r="AS37" s="435"/>
      <c r="AT37" s="435"/>
      <c r="AU37" s="435"/>
      <c r="AV37" s="435"/>
      <c r="AW37" s="435"/>
      <c r="AX37" s="435"/>
      <c r="AY37" s="435"/>
      <c r="AZ37" s="435"/>
      <c r="BA37" s="435"/>
      <c r="BB37" s="435"/>
      <c r="BC37" s="435"/>
      <c r="BD37" s="435"/>
      <c r="BE37" s="435"/>
      <c r="BF37" s="435"/>
      <c r="BG37" s="435"/>
      <c r="BH37" s="435"/>
      <c r="BI37" s="435"/>
      <c r="BJ37" s="435"/>
      <c r="BK37" s="435"/>
      <c r="BL37" s="435"/>
      <c r="BM37" s="435"/>
      <c r="BN37" s="436"/>
      <c r="BO37" s="226"/>
      <c r="BS37" s="219"/>
    </row>
    <row r="38" spans="1:75" s="216" customFormat="1">
      <c r="A38" s="215"/>
      <c r="B38" s="291" t="s">
        <v>181</v>
      </c>
      <c r="D38" s="289">
        <f>+MIN(+$BQ$6*D32,D39)</f>
        <v>0</v>
      </c>
      <c r="E38" s="289">
        <f t="shared" ref="E38:BN38" si="17">+MIN(+$BQ$6*E32,E39)</f>
        <v>0</v>
      </c>
      <c r="F38" s="289">
        <f t="shared" si="17"/>
        <v>0</v>
      </c>
      <c r="G38" s="289">
        <f t="shared" si="17"/>
        <v>0</v>
      </c>
      <c r="H38" s="289">
        <f t="shared" si="17"/>
        <v>0</v>
      </c>
      <c r="I38" s="289">
        <f t="shared" si="17"/>
        <v>0</v>
      </c>
      <c r="J38" s="289">
        <f t="shared" si="17"/>
        <v>0</v>
      </c>
      <c r="K38" s="289">
        <f t="shared" si="17"/>
        <v>0</v>
      </c>
      <c r="L38" s="289">
        <f t="shared" si="17"/>
        <v>0</v>
      </c>
      <c r="M38" s="289">
        <f t="shared" si="17"/>
        <v>0</v>
      </c>
      <c r="N38" s="289">
        <f t="shared" si="17"/>
        <v>0</v>
      </c>
      <c r="O38" s="289">
        <f t="shared" si="17"/>
        <v>0</v>
      </c>
      <c r="P38" s="289">
        <f t="shared" si="17"/>
        <v>0</v>
      </c>
      <c r="Q38" s="289">
        <f t="shared" si="17"/>
        <v>0</v>
      </c>
      <c r="R38" s="289">
        <f t="shared" si="17"/>
        <v>0</v>
      </c>
      <c r="S38" s="289">
        <f t="shared" si="17"/>
        <v>0</v>
      </c>
      <c r="T38" s="289">
        <f t="shared" si="17"/>
        <v>0</v>
      </c>
      <c r="U38" s="289">
        <f t="shared" si="17"/>
        <v>0</v>
      </c>
      <c r="V38" s="289">
        <f t="shared" si="17"/>
        <v>0</v>
      </c>
      <c r="W38" s="289">
        <f t="shared" si="17"/>
        <v>0</v>
      </c>
      <c r="X38" s="289">
        <f t="shared" si="17"/>
        <v>0</v>
      </c>
      <c r="Y38" s="289">
        <f t="shared" si="17"/>
        <v>0</v>
      </c>
      <c r="Z38" s="289">
        <f t="shared" si="17"/>
        <v>0</v>
      </c>
      <c r="AA38" s="289">
        <f t="shared" si="17"/>
        <v>0</v>
      </c>
      <c r="AB38" s="289">
        <f t="shared" si="17"/>
        <v>0</v>
      </c>
      <c r="AC38" s="289">
        <f t="shared" si="17"/>
        <v>0</v>
      </c>
      <c r="AD38" s="289">
        <f t="shared" si="17"/>
        <v>4919880.596302785</v>
      </c>
      <c r="AE38" s="289">
        <f t="shared" si="17"/>
        <v>0</v>
      </c>
      <c r="AF38" s="289">
        <f t="shared" si="17"/>
        <v>0</v>
      </c>
      <c r="AG38" s="289">
        <f t="shared" si="17"/>
        <v>0</v>
      </c>
      <c r="AH38" s="289">
        <f t="shared" si="17"/>
        <v>0</v>
      </c>
      <c r="AI38" s="289">
        <f t="shared" si="17"/>
        <v>0</v>
      </c>
      <c r="AJ38" s="289">
        <f t="shared" si="17"/>
        <v>0</v>
      </c>
      <c r="AK38" s="289">
        <f t="shared" si="17"/>
        <v>0</v>
      </c>
      <c r="AL38" s="289">
        <f t="shared" si="17"/>
        <v>0</v>
      </c>
      <c r="AM38" s="289">
        <f t="shared" si="17"/>
        <v>0</v>
      </c>
      <c r="AN38" s="289">
        <f t="shared" si="17"/>
        <v>0</v>
      </c>
      <c r="AO38" s="289">
        <f t="shared" si="17"/>
        <v>0</v>
      </c>
      <c r="AP38" s="289">
        <f t="shared" si="17"/>
        <v>0</v>
      </c>
      <c r="AQ38" s="289">
        <f t="shared" si="17"/>
        <v>0</v>
      </c>
      <c r="AR38" s="289">
        <f t="shared" si="17"/>
        <v>0</v>
      </c>
      <c r="AS38" s="289">
        <f t="shared" si="17"/>
        <v>0</v>
      </c>
      <c r="AT38" s="289">
        <f t="shared" si="17"/>
        <v>0</v>
      </c>
      <c r="AU38" s="289">
        <f t="shared" si="17"/>
        <v>0</v>
      </c>
      <c r="AV38" s="289">
        <f t="shared" si="17"/>
        <v>0</v>
      </c>
      <c r="AW38" s="289">
        <f t="shared" si="17"/>
        <v>0</v>
      </c>
      <c r="AX38" s="289">
        <f t="shared" si="17"/>
        <v>0</v>
      </c>
      <c r="AY38" s="289">
        <f t="shared" si="17"/>
        <v>0</v>
      </c>
      <c r="AZ38" s="289">
        <f t="shared" si="17"/>
        <v>0</v>
      </c>
      <c r="BA38" s="289">
        <f t="shared" si="17"/>
        <v>0</v>
      </c>
      <c r="BB38" s="289">
        <f t="shared" si="17"/>
        <v>0</v>
      </c>
      <c r="BC38" s="289">
        <f t="shared" si="17"/>
        <v>0</v>
      </c>
      <c r="BD38" s="289">
        <f t="shared" si="17"/>
        <v>0</v>
      </c>
      <c r="BE38" s="289">
        <f t="shared" si="17"/>
        <v>0</v>
      </c>
      <c r="BF38" s="289">
        <f t="shared" si="17"/>
        <v>0</v>
      </c>
      <c r="BG38" s="289">
        <f t="shared" si="17"/>
        <v>0</v>
      </c>
      <c r="BH38" s="289">
        <f t="shared" si="17"/>
        <v>0</v>
      </c>
      <c r="BI38" s="289">
        <f t="shared" si="17"/>
        <v>0</v>
      </c>
      <c r="BJ38" s="289">
        <f t="shared" si="17"/>
        <v>0</v>
      </c>
      <c r="BK38" s="289">
        <f t="shared" si="17"/>
        <v>0</v>
      </c>
      <c r="BL38" s="289">
        <f t="shared" si="17"/>
        <v>0</v>
      </c>
      <c r="BM38" s="289">
        <f t="shared" si="17"/>
        <v>0</v>
      </c>
      <c r="BN38" s="289">
        <f t="shared" si="17"/>
        <v>0</v>
      </c>
      <c r="BO38" s="290"/>
      <c r="BS38" s="219"/>
    </row>
    <row r="39" spans="1:75" s="216" customFormat="1">
      <c r="A39" s="215"/>
      <c r="B39" s="291" t="s">
        <v>212</v>
      </c>
      <c r="C39" s="292" t="s">
        <v>171</v>
      </c>
      <c r="D39" s="289">
        <f>-C34*(IF(D6-C6=1,$BW$6,$BV$6))-D24-D27</f>
        <v>24367738.752980363</v>
      </c>
      <c r="E39" s="289">
        <f>(D39-D38)*(IF(E6-D6=1,$BW$6,$BV$6))-E24-E27</f>
        <v>24706168.39539938</v>
      </c>
      <c r="F39" s="289">
        <f t="shared" ref="F39:BE39" si="18">(E39-E38)*(IF(F6-E6=1,$BW$6,$BV$6))-F24-F27</f>
        <v>25049298.29433497</v>
      </c>
      <c r="G39" s="289">
        <f t="shared" si="18"/>
        <v>25397193.728972387</v>
      </c>
      <c r="H39" s="289">
        <f t="shared" si="18"/>
        <v>25749920.885122292</v>
      </c>
      <c r="I39" s="289">
        <f t="shared" si="18"/>
        <v>26107546.86781238</v>
      </c>
      <c r="J39" s="289">
        <f t="shared" si="18"/>
        <v>26470139.714053839</v>
      </c>
      <c r="K39" s="289">
        <f t="shared" si="18"/>
        <v>26837768.405785155</v>
      </c>
      <c r="L39" s="289">
        <f t="shared" si="18"/>
        <v>27210502.882995658</v>
      </c>
      <c r="M39" s="289">
        <f t="shared" si="18"/>
        <v>27588414.057031348</v>
      </c>
      <c r="N39" s="289">
        <f t="shared" si="18"/>
        <v>27971573.824085522</v>
      </c>
      <c r="O39" s="289">
        <f t="shared" si="18"/>
        <v>28360055.078876741</v>
      </c>
      <c r="P39" s="289">
        <f t="shared" si="18"/>
        <v>28753931.728516791</v>
      </c>
      <c r="Q39" s="289">
        <f t="shared" si="18"/>
        <v>29153278.706571229</v>
      </c>
      <c r="R39" s="289">
        <f t="shared" si="18"/>
        <v>29558171.987315226</v>
      </c>
      <c r="S39" s="289">
        <f t="shared" si="18"/>
        <v>29968688.600187376</v>
      </c>
      <c r="T39" s="289">
        <f t="shared" si="18"/>
        <v>30384906.644444264</v>
      </c>
      <c r="U39" s="289">
        <f t="shared" si="18"/>
        <v>30806905.304018568</v>
      </c>
      <c r="V39" s="289">
        <f t="shared" si="18"/>
        <v>31234764.862583492</v>
      </c>
      <c r="W39" s="289">
        <f t="shared" si="18"/>
        <v>31668566.718826443</v>
      </c>
      <c r="X39" s="289">
        <f t="shared" si="18"/>
        <v>32052527.464864317</v>
      </c>
      <c r="Y39" s="289">
        <f t="shared" si="18"/>
        <v>32441820.822980061</v>
      </c>
      <c r="Z39" s="289">
        <f t="shared" si="18"/>
        <v>32836520.854785096</v>
      </c>
      <c r="AA39" s="289">
        <f t="shared" si="18"/>
        <v>31724702.65049037</v>
      </c>
      <c r="AB39" s="289">
        <f t="shared" si="18"/>
        <v>32109443.036505204</v>
      </c>
      <c r="AC39" s="289">
        <f t="shared" si="18"/>
        <v>32499526.862573422</v>
      </c>
      <c r="AD39" s="289">
        <f t="shared" si="18"/>
        <v>4919880.596302785</v>
      </c>
      <c r="AE39" s="289">
        <f t="shared" si="18"/>
        <v>0</v>
      </c>
      <c r="AF39" s="289">
        <f t="shared" si="18"/>
        <v>0</v>
      </c>
      <c r="AG39" s="289">
        <f t="shared" si="18"/>
        <v>0</v>
      </c>
      <c r="AH39" s="289">
        <f t="shared" si="18"/>
        <v>0</v>
      </c>
      <c r="AI39" s="289">
        <f t="shared" si="18"/>
        <v>0</v>
      </c>
      <c r="AJ39" s="289">
        <f t="shared" si="18"/>
        <v>0</v>
      </c>
      <c r="AK39" s="289">
        <f t="shared" si="18"/>
        <v>0</v>
      </c>
      <c r="AL39" s="289">
        <f t="shared" si="18"/>
        <v>0</v>
      </c>
      <c r="AM39" s="289">
        <f t="shared" si="18"/>
        <v>0</v>
      </c>
      <c r="AN39" s="289">
        <f t="shared" si="18"/>
        <v>0</v>
      </c>
      <c r="AO39" s="289">
        <f t="shared" si="18"/>
        <v>0</v>
      </c>
      <c r="AP39" s="289">
        <f t="shared" si="18"/>
        <v>0</v>
      </c>
      <c r="AQ39" s="289">
        <f t="shared" si="18"/>
        <v>0</v>
      </c>
      <c r="AR39" s="289">
        <f t="shared" si="18"/>
        <v>0</v>
      </c>
      <c r="AS39" s="289">
        <f t="shared" si="18"/>
        <v>0</v>
      </c>
      <c r="AT39" s="289">
        <f t="shared" si="18"/>
        <v>0</v>
      </c>
      <c r="AU39" s="289">
        <f t="shared" si="18"/>
        <v>0</v>
      </c>
      <c r="AV39" s="289">
        <f t="shared" si="18"/>
        <v>0</v>
      </c>
      <c r="AW39" s="289">
        <f t="shared" si="18"/>
        <v>0</v>
      </c>
      <c r="AX39" s="289">
        <f t="shared" si="18"/>
        <v>0</v>
      </c>
      <c r="AY39" s="289">
        <f t="shared" si="18"/>
        <v>0</v>
      </c>
      <c r="AZ39" s="289">
        <f t="shared" si="18"/>
        <v>0</v>
      </c>
      <c r="BA39" s="289">
        <f t="shared" si="18"/>
        <v>0</v>
      </c>
      <c r="BB39" s="289">
        <f t="shared" si="18"/>
        <v>0</v>
      </c>
      <c r="BC39" s="289">
        <f t="shared" si="18"/>
        <v>0</v>
      </c>
      <c r="BD39" s="289">
        <f t="shared" si="18"/>
        <v>0</v>
      </c>
      <c r="BE39" s="289">
        <f t="shared" si="18"/>
        <v>0</v>
      </c>
      <c r="BF39" s="289">
        <f>(BE39-BE38)*(IF(BF6-BE6=1,$BW$6,$BV$6))-BF24-BF27</f>
        <v>0</v>
      </c>
      <c r="BG39" s="289">
        <f>(BF39-BF38)*(IF(BG6-BF6=1,$BW$6,$BV$6))-BG24-BG27</f>
        <v>0</v>
      </c>
      <c r="BH39" s="289">
        <f t="shared" ref="BH39:BN39" si="19">(BG39-BG38)*(IF(BH6-BG6=1,$BW$6,$BV$6))-BH24-BH27</f>
        <v>0</v>
      </c>
      <c r="BI39" s="289">
        <f t="shared" si="19"/>
        <v>0</v>
      </c>
      <c r="BJ39" s="289">
        <f t="shared" si="19"/>
        <v>0</v>
      </c>
      <c r="BK39" s="289">
        <f t="shared" si="19"/>
        <v>0</v>
      </c>
      <c r="BL39" s="289">
        <f t="shared" si="19"/>
        <v>0</v>
      </c>
      <c r="BM39" s="289">
        <f t="shared" si="19"/>
        <v>0</v>
      </c>
      <c r="BN39" s="289">
        <f t="shared" si="19"/>
        <v>0</v>
      </c>
      <c r="BO39" s="290"/>
      <c r="BS39" s="219"/>
    </row>
    <row r="40" spans="1:75" s="216" customFormat="1">
      <c r="A40" s="215"/>
      <c r="B40" s="248" t="s">
        <v>41</v>
      </c>
      <c r="C40" s="214">
        <f>$BQ$6</f>
        <v>0.85</v>
      </c>
      <c r="D40" s="293">
        <f>D38</f>
        <v>0</v>
      </c>
      <c r="E40" s="293">
        <f>E38</f>
        <v>0</v>
      </c>
      <c r="F40" s="293">
        <f>F38</f>
        <v>0</v>
      </c>
      <c r="G40" s="293">
        <f t="shared" ref="G40:BN40" si="20">G38</f>
        <v>0</v>
      </c>
      <c r="H40" s="293">
        <f t="shared" si="20"/>
        <v>0</v>
      </c>
      <c r="I40" s="293">
        <f t="shared" si="20"/>
        <v>0</v>
      </c>
      <c r="J40" s="293">
        <f t="shared" si="20"/>
        <v>0</v>
      </c>
      <c r="K40" s="293">
        <f t="shared" si="20"/>
        <v>0</v>
      </c>
      <c r="L40" s="293">
        <f t="shared" si="20"/>
        <v>0</v>
      </c>
      <c r="M40" s="293">
        <f t="shared" si="20"/>
        <v>0</v>
      </c>
      <c r="N40" s="293">
        <f t="shared" si="20"/>
        <v>0</v>
      </c>
      <c r="O40" s="293">
        <f t="shared" si="20"/>
        <v>0</v>
      </c>
      <c r="P40" s="293">
        <f t="shared" si="20"/>
        <v>0</v>
      </c>
      <c r="Q40" s="293">
        <f t="shared" si="20"/>
        <v>0</v>
      </c>
      <c r="R40" s="293">
        <f t="shared" si="20"/>
        <v>0</v>
      </c>
      <c r="S40" s="293">
        <f t="shared" si="20"/>
        <v>0</v>
      </c>
      <c r="T40" s="293">
        <f t="shared" si="20"/>
        <v>0</v>
      </c>
      <c r="U40" s="293">
        <f t="shared" si="20"/>
        <v>0</v>
      </c>
      <c r="V40" s="293">
        <f t="shared" si="20"/>
        <v>0</v>
      </c>
      <c r="W40" s="293">
        <f t="shared" si="20"/>
        <v>0</v>
      </c>
      <c r="X40" s="293">
        <f t="shared" si="20"/>
        <v>0</v>
      </c>
      <c r="Y40" s="293">
        <f t="shared" si="20"/>
        <v>0</v>
      </c>
      <c r="Z40" s="293">
        <f t="shared" si="20"/>
        <v>0</v>
      </c>
      <c r="AA40" s="293">
        <f t="shared" si="20"/>
        <v>0</v>
      </c>
      <c r="AB40" s="293">
        <f t="shared" si="20"/>
        <v>0</v>
      </c>
      <c r="AC40" s="293">
        <f t="shared" si="20"/>
        <v>0</v>
      </c>
      <c r="AD40" s="293">
        <f t="shared" si="20"/>
        <v>4919880.596302785</v>
      </c>
      <c r="AE40" s="293">
        <f t="shared" si="20"/>
        <v>0</v>
      </c>
      <c r="AF40" s="293">
        <f t="shared" si="20"/>
        <v>0</v>
      </c>
      <c r="AG40" s="293">
        <f t="shared" si="20"/>
        <v>0</v>
      </c>
      <c r="AH40" s="293">
        <f t="shared" si="20"/>
        <v>0</v>
      </c>
      <c r="AI40" s="293">
        <f t="shared" si="20"/>
        <v>0</v>
      </c>
      <c r="AJ40" s="293">
        <f t="shared" si="20"/>
        <v>0</v>
      </c>
      <c r="AK40" s="293">
        <f t="shared" si="20"/>
        <v>0</v>
      </c>
      <c r="AL40" s="293">
        <f t="shared" si="20"/>
        <v>0</v>
      </c>
      <c r="AM40" s="293">
        <f t="shared" si="20"/>
        <v>0</v>
      </c>
      <c r="AN40" s="293">
        <f t="shared" si="20"/>
        <v>0</v>
      </c>
      <c r="AO40" s="293">
        <f t="shared" si="20"/>
        <v>0</v>
      </c>
      <c r="AP40" s="293">
        <f t="shared" si="20"/>
        <v>0</v>
      </c>
      <c r="AQ40" s="293">
        <f t="shared" si="20"/>
        <v>0</v>
      </c>
      <c r="AR40" s="293">
        <f t="shared" si="20"/>
        <v>0</v>
      </c>
      <c r="AS40" s="293">
        <f t="shared" si="20"/>
        <v>0</v>
      </c>
      <c r="AT40" s="293">
        <f t="shared" si="20"/>
        <v>0</v>
      </c>
      <c r="AU40" s="293">
        <f t="shared" si="20"/>
        <v>0</v>
      </c>
      <c r="AV40" s="293">
        <f t="shared" si="20"/>
        <v>0</v>
      </c>
      <c r="AW40" s="293">
        <f t="shared" si="20"/>
        <v>0</v>
      </c>
      <c r="AX40" s="293">
        <f t="shared" si="20"/>
        <v>0</v>
      </c>
      <c r="AY40" s="293">
        <f t="shared" si="20"/>
        <v>0</v>
      </c>
      <c r="AZ40" s="293">
        <f t="shared" si="20"/>
        <v>0</v>
      </c>
      <c r="BA40" s="293">
        <f t="shared" si="20"/>
        <v>0</v>
      </c>
      <c r="BB40" s="293">
        <f t="shared" si="20"/>
        <v>0</v>
      </c>
      <c r="BC40" s="293">
        <f t="shared" si="20"/>
        <v>0</v>
      </c>
      <c r="BD40" s="293">
        <f t="shared" si="20"/>
        <v>0</v>
      </c>
      <c r="BE40" s="293">
        <f t="shared" si="20"/>
        <v>0</v>
      </c>
      <c r="BF40" s="293">
        <f t="shared" si="20"/>
        <v>0</v>
      </c>
      <c r="BG40" s="293">
        <f t="shared" si="20"/>
        <v>0</v>
      </c>
      <c r="BH40" s="293">
        <f t="shared" si="20"/>
        <v>0</v>
      </c>
      <c r="BI40" s="293">
        <f t="shared" si="20"/>
        <v>0</v>
      </c>
      <c r="BJ40" s="293">
        <f t="shared" si="20"/>
        <v>0</v>
      </c>
      <c r="BK40" s="293">
        <f t="shared" si="20"/>
        <v>0</v>
      </c>
      <c r="BL40" s="293">
        <f t="shared" si="20"/>
        <v>0</v>
      </c>
      <c r="BM40" s="293">
        <f t="shared" si="20"/>
        <v>0</v>
      </c>
      <c r="BN40" s="293">
        <f t="shared" si="20"/>
        <v>0</v>
      </c>
      <c r="BO40" s="294"/>
      <c r="BS40" s="219"/>
    </row>
    <row r="41" spans="1:75" s="216" customFormat="1">
      <c r="A41" s="215"/>
      <c r="B41" s="248" t="s">
        <v>150</v>
      </c>
      <c r="C41" s="214">
        <f>100%-C40</f>
        <v>0.15000000000000002</v>
      </c>
      <c r="D41" s="293">
        <f>((D40/$C$40)*$C$41)</f>
        <v>0</v>
      </c>
      <c r="E41" s="293">
        <f>((E40/$C$40)*$C$41)</f>
        <v>0</v>
      </c>
      <c r="F41" s="293">
        <f>((F40/$C$40)*$C$41)</f>
        <v>0</v>
      </c>
      <c r="G41" s="293">
        <f t="shared" ref="G41:BF41" si="21">((G40/$C$40)*$C$41)</f>
        <v>0</v>
      </c>
      <c r="H41" s="293">
        <f t="shared" si="21"/>
        <v>0</v>
      </c>
      <c r="I41" s="293">
        <f t="shared" si="21"/>
        <v>0</v>
      </c>
      <c r="J41" s="293">
        <f t="shared" si="21"/>
        <v>0</v>
      </c>
      <c r="K41" s="293">
        <f t="shared" si="21"/>
        <v>0</v>
      </c>
      <c r="L41" s="293">
        <f t="shared" si="21"/>
        <v>0</v>
      </c>
      <c r="M41" s="293">
        <f t="shared" si="21"/>
        <v>0</v>
      </c>
      <c r="N41" s="293">
        <f t="shared" si="21"/>
        <v>0</v>
      </c>
      <c r="O41" s="293">
        <f t="shared" si="21"/>
        <v>0</v>
      </c>
      <c r="P41" s="293">
        <f t="shared" si="21"/>
        <v>0</v>
      </c>
      <c r="Q41" s="293">
        <f t="shared" si="21"/>
        <v>0</v>
      </c>
      <c r="R41" s="293">
        <f t="shared" si="21"/>
        <v>0</v>
      </c>
      <c r="S41" s="293">
        <f t="shared" si="21"/>
        <v>0</v>
      </c>
      <c r="T41" s="293">
        <f t="shared" si="21"/>
        <v>0</v>
      </c>
      <c r="U41" s="293">
        <f t="shared" si="21"/>
        <v>0</v>
      </c>
      <c r="V41" s="293">
        <f t="shared" si="21"/>
        <v>0</v>
      </c>
      <c r="W41" s="293">
        <f t="shared" si="21"/>
        <v>0</v>
      </c>
      <c r="X41" s="293">
        <f t="shared" si="21"/>
        <v>0</v>
      </c>
      <c r="Y41" s="293">
        <f t="shared" si="21"/>
        <v>0</v>
      </c>
      <c r="Z41" s="293">
        <f t="shared" si="21"/>
        <v>0</v>
      </c>
      <c r="AA41" s="293">
        <f t="shared" si="21"/>
        <v>0</v>
      </c>
      <c r="AB41" s="293">
        <f t="shared" si="21"/>
        <v>0</v>
      </c>
      <c r="AC41" s="293">
        <f t="shared" si="21"/>
        <v>0</v>
      </c>
      <c r="AD41" s="293">
        <f t="shared" si="21"/>
        <v>868214.22287696227</v>
      </c>
      <c r="AE41" s="293">
        <f t="shared" si="21"/>
        <v>0</v>
      </c>
      <c r="AF41" s="293">
        <f t="shared" si="21"/>
        <v>0</v>
      </c>
      <c r="AG41" s="293">
        <f t="shared" si="21"/>
        <v>0</v>
      </c>
      <c r="AH41" s="293">
        <f t="shared" si="21"/>
        <v>0</v>
      </c>
      <c r="AI41" s="293">
        <f t="shared" si="21"/>
        <v>0</v>
      </c>
      <c r="AJ41" s="293">
        <f t="shared" si="21"/>
        <v>0</v>
      </c>
      <c r="AK41" s="293">
        <f t="shared" si="21"/>
        <v>0</v>
      </c>
      <c r="AL41" s="293">
        <f t="shared" si="21"/>
        <v>0</v>
      </c>
      <c r="AM41" s="293">
        <f t="shared" si="21"/>
        <v>0</v>
      </c>
      <c r="AN41" s="293">
        <f t="shared" si="21"/>
        <v>0</v>
      </c>
      <c r="AO41" s="293">
        <f t="shared" si="21"/>
        <v>0</v>
      </c>
      <c r="AP41" s="293">
        <f t="shared" si="21"/>
        <v>0</v>
      </c>
      <c r="AQ41" s="293">
        <f t="shared" si="21"/>
        <v>0</v>
      </c>
      <c r="AR41" s="293">
        <f t="shared" si="21"/>
        <v>0</v>
      </c>
      <c r="AS41" s="293">
        <f t="shared" si="21"/>
        <v>0</v>
      </c>
      <c r="AT41" s="293">
        <f t="shared" si="21"/>
        <v>0</v>
      </c>
      <c r="AU41" s="293">
        <f t="shared" si="21"/>
        <v>0</v>
      </c>
      <c r="AV41" s="293">
        <f t="shared" si="21"/>
        <v>0</v>
      </c>
      <c r="AW41" s="293">
        <f t="shared" si="21"/>
        <v>0</v>
      </c>
      <c r="AX41" s="293">
        <f t="shared" si="21"/>
        <v>0</v>
      </c>
      <c r="AY41" s="293">
        <f t="shared" si="21"/>
        <v>0</v>
      </c>
      <c r="AZ41" s="293">
        <f t="shared" si="21"/>
        <v>0</v>
      </c>
      <c r="BA41" s="293">
        <f t="shared" si="21"/>
        <v>0</v>
      </c>
      <c r="BB41" s="293">
        <f t="shared" si="21"/>
        <v>0</v>
      </c>
      <c r="BC41" s="293">
        <f t="shared" si="21"/>
        <v>0</v>
      </c>
      <c r="BD41" s="293">
        <f t="shared" si="21"/>
        <v>0</v>
      </c>
      <c r="BE41" s="293">
        <f t="shared" si="21"/>
        <v>0</v>
      </c>
      <c r="BF41" s="293">
        <f t="shared" si="21"/>
        <v>0</v>
      </c>
      <c r="BG41" s="293">
        <f>((BG40/$C$40)*$C$41)</f>
        <v>0</v>
      </c>
      <c r="BH41" s="293">
        <f t="shared" ref="BH41:BN41" si="22">((BH40/$C$40)*$C$41)</f>
        <v>0</v>
      </c>
      <c r="BI41" s="293">
        <f t="shared" si="22"/>
        <v>0</v>
      </c>
      <c r="BJ41" s="293">
        <f t="shared" si="22"/>
        <v>0</v>
      </c>
      <c r="BK41" s="293">
        <f t="shared" si="22"/>
        <v>0</v>
      </c>
      <c r="BL41" s="293">
        <f t="shared" si="22"/>
        <v>0</v>
      </c>
      <c r="BM41" s="293">
        <f t="shared" si="22"/>
        <v>0</v>
      </c>
      <c r="BN41" s="293">
        <f t="shared" si="22"/>
        <v>0</v>
      </c>
      <c r="BO41" s="294"/>
      <c r="BQ41" s="224"/>
      <c r="BS41" s="219"/>
    </row>
    <row r="42" spans="1:75" s="216" customFormat="1">
      <c r="A42" s="215"/>
      <c r="B42" s="226"/>
      <c r="C42" s="224"/>
      <c r="D42" s="224"/>
      <c r="E42" s="224"/>
      <c r="F42" s="224"/>
      <c r="G42" s="224"/>
      <c r="H42" s="224"/>
      <c r="I42" s="224"/>
      <c r="J42" s="224"/>
      <c r="K42" s="224"/>
      <c r="L42" s="224"/>
      <c r="M42" s="224"/>
      <c r="N42" s="224"/>
      <c r="O42" s="224"/>
      <c r="P42" s="224"/>
      <c r="Q42" s="224"/>
      <c r="R42" s="224"/>
      <c r="S42" s="224"/>
      <c r="T42" s="224"/>
      <c r="U42" s="224"/>
      <c r="V42" s="224"/>
      <c r="W42" s="224"/>
      <c r="X42" s="224"/>
      <c r="Y42" s="224"/>
      <c r="Z42" s="224"/>
      <c r="AA42" s="224"/>
      <c r="AB42" s="224"/>
      <c r="AC42" s="224"/>
      <c r="AD42" s="224"/>
      <c r="AE42" s="224"/>
      <c r="AF42" s="224"/>
      <c r="AG42" s="224"/>
      <c r="AH42" s="224"/>
      <c r="AI42" s="224"/>
      <c r="AJ42" s="224"/>
      <c r="AK42" s="224"/>
      <c r="AL42" s="224"/>
      <c r="AM42" s="224"/>
      <c r="AN42" s="224"/>
      <c r="AO42" s="224"/>
      <c r="AP42" s="224"/>
      <c r="AQ42" s="224"/>
      <c r="AR42" s="224"/>
      <c r="AS42" s="224"/>
      <c r="AT42" s="224"/>
      <c r="AU42" s="224"/>
      <c r="AV42" s="224"/>
      <c r="AW42" s="224"/>
      <c r="AX42" s="224"/>
      <c r="AY42" s="224"/>
      <c r="AZ42" s="224"/>
      <c r="BA42" s="224"/>
      <c r="BB42" s="224"/>
      <c r="BC42" s="224"/>
      <c r="BD42" s="224"/>
      <c r="BE42" s="224"/>
      <c r="BF42" s="224"/>
      <c r="BG42" s="224"/>
      <c r="BH42" s="224"/>
      <c r="BI42" s="224"/>
      <c r="BJ42" s="224"/>
      <c r="BK42" s="224"/>
      <c r="BL42" s="224"/>
      <c r="BM42" s="224"/>
      <c r="BN42" s="224"/>
      <c r="BO42" s="276"/>
      <c r="BQ42" s="224"/>
      <c r="BS42" s="219"/>
    </row>
    <row r="43" spans="1:75" s="216" customFormat="1">
      <c r="A43" s="215"/>
      <c r="B43" s="434" t="str">
        <f>BP7</f>
        <v>4th Priority Split (50/50)</v>
      </c>
      <c r="C43" s="435"/>
      <c r="D43" s="435"/>
      <c r="E43" s="435"/>
      <c r="F43" s="435"/>
      <c r="G43" s="435"/>
      <c r="H43" s="435"/>
      <c r="I43" s="435"/>
      <c r="J43" s="435"/>
      <c r="K43" s="435"/>
      <c r="L43" s="435"/>
      <c r="M43" s="435"/>
      <c r="N43" s="435"/>
      <c r="O43" s="435"/>
      <c r="P43" s="435"/>
      <c r="Q43" s="435"/>
      <c r="R43" s="435"/>
      <c r="S43" s="435"/>
      <c r="T43" s="435"/>
      <c r="U43" s="435"/>
      <c r="V43" s="435"/>
      <c r="W43" s="435"/>
      <c r="X43" s="435"/>
      <c r="Y43" s="435"/>
      <c r="Z43" s="435"/>
      <c r="AA43" s="435"/>
      <c r="AB43" s="435"/>
      <c r="AC43" s="435"/>
      <c r="AD43" s="435"/>
      <c r="AE43" s="435"/>
      <c r="AF43" s="435"/>
      <c r="AG43" s="435"/>
      <c r="AH43" s="435"/>
      <c r="AI43" s="435"/>
      <c r="AJ43" s="435"/>
      <c r="AK43" s="435"/>
      <c r="AL43" s="435"/>
      <c r="AM43" s="435"/>
      <c r="AN43" s="435"/>
      <c r="AO43" s="435"/>
      <c r="AP43" s="435"/>
      <c r="AQ43" s="435"/>
      <c r="AR43" s="435"/>
      <c r="AS43" s="435"/>
      <c r="AT43" s="435"/>
      <c r="AU43" s="435"/>
      <c r="AV43" s="435"/>
      <c r="AW43" s="435"/>
      <c r="AX43" s="435"/>
      <c r="AY43" s="435"/>
      <c r="AZ43" s="435"/>
      <c r="BA43" s="435"/>
      <c r="BB43" s="435"/>
      <c r="BC43" s="435"/>
      <c r="BD43" s="435"/>
      <c r="BE43" s="435"/>
      <c r="BF43" s="435"/>
      <c r="BG43" s="435"/>
      <c r="BH43" s="435"/>
      <c r="BI43" s="435"/>
      <c r="BJ43" s="435"/>
      <c r="BK43" s="435"/>
      <c r="BL43" s="435"/>
      <c r="BM43" s="435"/>
      <c r="BN43" s="436"/>
      <c r="BO43" s="226"/>
      <c r="BQ43" s="224"/>
      <c r="BS43" s="219"/>
    </row>
    <row r="44" spans="1:75" s="216" customFormat="1">
      <c r="A44" s="215"/>
      <c r="B44" s="291" t="s">
        <v>181</v>
      </c>
      <c r="C44" s="292"/>
      <c r="D44" s="489">
        <f>+MIN(+$BQ$7*(D32-D40-D41),D45)</f>
        <v>0</v>
      </c>
      <c r="E44" s="489">
        <f t="shared" ref="E44:BN44" si="23">+MIN(+$BQ$7*(E32-E40-E41),E45)</f>
        <v>0</v>
      </c>
      <c r="F44" s="489">
        <f t="shared" si="23"/>
        <v>0</v>
      </c>
      <c r="G44" s="489">
        <f t="shared" si="23"/>
        <v>0</v>
      </c>
      <c r="H44" s="489">
        <f t="shared" si="23"/>
        <v>0</v>
      </c>
      <c r="I44" s="489">
        <f t="shared" si="23"/>
        <v>0</v>
      </c>
      <c r="J44" s="489">
        <f t="shared" si="23"/>
        <v>0</v>
      </c>
      <c r="K44" s="489">
        <f t="shared" si="23"/>
        <v>0</v>
      </c>
      <c r="L44" s="489">
        <f t="shared" si="23"/>
        <v>0</v>
      </c>
      <c r="M44" s="489">
        <f t="shared" si="23"/>
        <v>0</v>
      </c>
      <c r="N44" s="489">
        <f t="shared" si="23"/>
        <v>0</v>
      </c>
      <c r="O44" s="489">
        <f t="shared" si="23"/>
        <v>0</v>
      </c>
      <c r="P44" s="489">
        <f t="shared" si="23"/>
        <v>0</v>
      </c>
      <c r="Q44" s="489">
        <f t="shared" si="23"/>
        <v>0</v>
      </c>
      <c r="R44" s="489">
        <f t="shared" si="23"/>
        <v>0</v>
      </c>
      <c r="S44" s="489">
        <f t="shared" si="23"/>
        <v>0</v>
      </c>
      <c r="T44" s="489">
        <f t="shared" si="23"/>
        <v>0</v>
      </c>
      <c r="U44" s="489">
        <f t="shared" si="23"/>
        <v>0</v>
      </c>
      <c r="V44" s="489">
        <f t="shared" si="23"/>
        <v>0</v>
      </c>
      <c r="W44" s="489">
        <f t="shared" si="23"/>
        <v>0</v>
      </c>
      <c r="X44" s="489">
        <f t="shared" si="23"/>
        <v>0</v>
      </c>
      <c r="Y44" s="489">
        <f t="shared" si="23"/>
        <v>0</v>
      </c>
      <c r="Z44" s="489">
        <f t="shared" si="23"/>
        <v>0</v>
      </c>
      <c r="AA44" s="489">
        <f t="shared" si="23"/>
        <v>0</v>
      </c>
      <c r="AB44" s="489">
        <f t="shared" si="23"/>
        <v>0</v>
      </c>
      <c r="AC44" s="489">
        <f t="shared" si="23"/>
        <v>0</v>
      </c>
      <c r="AD44" s="489">
        <f t="shared" si="23"/>
        <v>126979.00364117953</v>
      </c>
      <c r="AE44" s="489">
        <f t="shared" si="23"/>
        <v>0</v>
      </c>
      <c r="AF44" s="489">
        <f t="shared" si="23"/>
        <v>0</v>
      </c>
      <c r="AG44" s="489">
        <f t="shared" si="23"/>
        <v>0</v>
      </c>
      <c r="AH44" s="489">
        <f t="shared" si="23"/>
        <v>0</v>
      </c>
      <c r="AI44" s="489">
        <f t="shared" si="23"/>
        <v>0</v>
      </c>
      <c r="AJ44" s="489">
        <f t="shared" si="23"/>
        <v>0</v>
      </c>
      <c r="AK44" s="489">
        <f t="shared" si="23"/>
        <v>0</v>
      </c>
      <c r="AL44" s="489">
        <f t="shared" si="23"/>
        <v>0</v>
      </c>
      <c r="AM44" s="489">
        <f t="shared" si="23"/>
        <v>0</v>
      </c>
      <c r="AN44" s="489">
        <f t="shared" si="23"/>
        <v>0</v>
      </c>
      <c r="AO44" s="489">
        <f t="shared" si="23"/>
        <v>0</v>
      </c>
      <c r="AP44" s="489">
        <f t="shared" si="23"/>
        <v>0</v>
      </c>
      <c r="AQ44" s="489">
        <f t="shared" si="23"/>
        <v>0</v>
      </c>
      <c r="AR44" s="489">
        <f t="shared" si="23"/>
        <v>0</v>
      </c>
      <c r="AS44" s="489">
        <f t="shared" si="23"/>
        <v>0</v>
      </c>
      <c r="AT44" s="489">
        <f t="shared" si="23"/>
        <v>0</v>
      </c>
      <c r="AU44" s="489">
        <f t="shared" si="23"/>
        <v>0</v>
      </c>
      <c r="AV44" s="489">
        <f t="shared" si="23"/>
        <v>0</v>
      </c>
      <c r="AW44" s="489">
        <f t="shared" si="23"/>
        <v>0</v>
      </c>
      <c r="AX44" s="578">
        <f t="shared" si="23"/>
        <v>0</v>
      </c>
      <c r="AY44" s="489">
        <f t="shared" si="23"/>
        <v>0</v>
      </c>
      <c r="AZ44" s="489">
        <f t="shared" si="23"/>
        <v>0</v>
      </c>
      <c r="BA44" s="489">
        <f t="shared" si="23"/>
        <v>0</v>
      </c>
      <c r="BB44" s="489">
        <f t="shared" si="23"/>
        <v>0</v>
      </c>
      <c r="BC44" s="489">
        <f t="shared" si="23"/>
        <v>0</v>
      </c>
      <c r="BD44" s="489">
        <f t="shared" si="23"/>
        <v>0</v>
      </c>
      <c r="BE44" s="489">
        <f t="shared" si="23"/>
        <v>0</v>
      </c>
      <c r="BF44" s="489">
        <f t="shared" si="23"/>
        <v>0</v>
      </c>
      <c r="BG44" s="489">
        <f t="shared" si="23"/>
        <v>0</v>
      </c>
      <c r="BH44" s="489">
        <f t="shared" si="23"/>
        <v>0</v>
      </c>
      <c r="BI44" s="489">
        <f t="shared" si="23"/>
        <v>0</v>
      </c>
      <c r="BJ44" s="489">
        <f t="shared" si="23"/>
        <v>0</v>
      </c>
      <c r="BK44" s="489">
        <f t="shared" si="23"/>
        <v>0</v>
      </c>
      <c r="BL44" s="489">
        <f t="shared" si="23"/>
        <v>0</v>
      </c>
      <c r="BM44" s="489">
        <f t="shared" si="23"/>
        <v>0</v>
      </c>
      <c r="BN44" s="489">
        <f t="shared" si="23"/>
        <v>0</v>
      </c>
      <c r="BO44" s="290"/>
      <c r="BS44" s="219"/>
    </row>
    <row r="45" spans="1:75" s="216" customFormat="1">
      <c r="A45" s="215"/>
      <c r="B45" s="291" t="s">
        <v>182</v>
      </c>
      <c r="C45" s="292" t="s">
        <v>171</v>
      </c>
      <c r="D45" s="289">
        <f>-C34*(IF(E6-D6=1,$BW$7,$BV$7))-D24-D27-D40</f>
        <v>24435527.300533608</v>
      </c>
      <c r="E45" s="289">
        <f>(D45-D46)*(IF(E6-D6=1,$BW$7,$BV$7))-E24-E27-E40</f>
        <v>24843819.643419061</v>
      </c>
      <c r="F45" s="289">
        <f t="shared" ref="F45:BN45" si="24">(E45-E46)*(IF(F6-E6=1,$BW$7,$BV$7))-F24-F27-F40</f>
        <v>25258934.128311463</v>
      </c>
      <c r="G45" s="289">
        <f t="shared" si="24"/>
        <v>25680984.746135142</v>
      </c>
      <c r="H45" s="289">
        <f t="shared" si="24"/>
        <v>26110087.392484669</v>
      </c>
      <c r="I45" s="289">
        <f t="shared" si="24"/>
        <v>26546359.899449915</v>
      </c>
      <c r="J45" s="289">
        <f t="shared" si="24"/>
        <v>26989922.06797288</v>
      </c>
      <c r="K45" s="289">
        <f t="shared" si="24"/>
        <v>27440895.700745184</v>
      </c>
      <c r="L45" s="289">
        <f t="shared" si="24"/>
        <v>27899404.635655213</v>
      </c>
      <c r="M45" s="289">
        <f t="shared" si="24"/>
        <v>28365574.77979416</v>
      </c>
      <c r="N45" s="289">
        <f t="shared" si="24"/>
        <v>28839534.144030254</v>
      </c>
      <c r="O45" s="289">
        <f t="shared" si="24"/>
        <v>29321412.8781607</v>
      </c>
      <c r="P45" s="289">
        <f t="shared" si="24"/>
        <v>29811343.306650963</v>
      </c>
      <c r="Q45" s="289">
        <f t="shared" si="24"/>
        <v>30309459.964971215</v>
      </c>
      <c r="R45" s="289">
        <f t="shared" si="24"/>
        <v>30815899.636539944</v>
      </c>
      <c r="S45" s="289">
        <f t="shared" si="24"/>
        <v>31330801.390284833</v>
      </c>
      <c r="T45" s="289">
        <f t="shared" si="24"/>
        <v>31854306.618831255</v>
      </c>
      <c r="U45" s="289">
        <f t="shared" si="24"/>
        <v>32386559.077328853</v>
      </c>
      <c r="V45" s="289">
        <f>(U45-U46)*(IF(V6-U6=1,$BW$7,$BV$7))-V24-V27-V40</f>
        <v>32927704.922926873</v>
      </c>
      <c r="W45" s="289">
        <f t="shared" si="24"/>
        <v>33477892.754909083</v>
      </c>
      <c r="X45" s="289">
        <f t="shared" si="24"/>
        <v>33981407.718428798</v>
      </c>
      <c r="Y45" s="289">
        <f t="shared" si="24"/>
        <v>34493335.895283543</v>
      </c>
      <c r="Z45" s="289">
        <f t="shared" si="24"/>
        <v>35013817.861550994</v>
      </c>
      <c r="AA45" s="289">
        <f t="shared" si="24"/>
        <v>34030996.542189419</v>
      </c>
      <c r="AB45" s="289">
        <f t="shared" si="24"/>
        <v>34543753.296908893</v>
      </c>
      <c r="AC45" s="289">
        <f t="shared" si="24"/>
        <v>35065077.685718678</v>
      </c>
      <c r="AD45" s="289">
        <f t="shared" si="24"/>
        <v>2569918.6581184268</v>
      </c>
      <c r="AE45" s="289">
        <f t="shared" si="24"/>
        <v>2483758.6220321879</v>
      </c>
      <c r="AF45" s="289">
        <f t="shared" si="24"/>
        <v>2525259.6551172943</v>
      </c>
      <c r="AG45" s="289">
        <f t="shared" si="24"/>
        <v>2567454.127464917</v>
      </c>
      <c r="AH45" s="289">
        <f t="shared" si="24"/>
        <v>2610353.6257266421</v>
      </c>
      <c r="AI45" s="289">
        <f t="shared" si="24"/>
        <v>2653969.9301549974</v>
      </c>
      <c r="AJ45" s="289">
        <f t="shared" si="24"/>
        <v>2698315.0178383258</v>
      </c>
      <c r="AK45" s="289">
        <f t="shared" si="24"/>
        <v>2743401.0659897057</v>
      </c>
      <c r="AL45" s="289">
        <f t="shared" si="24"/>
        <v>2789240.4552908288</v>
      </c>
      <c r="AM45" s="289">
        <f t="shared" si="24"/>
        <v>2835845.7732917508</v>
      </c>
      <c r="AN45" s="289">
        <f t="shared" si="24"/>
        <v>2883229.8178674458</v>
      </c>
      <c r="AO45" s="289">
        <f t="shared" si="24"/>
        <v>2931405.6007321188</v>
      </c>
      <c r="AP45" s="289">
        <f t="shared" si="24"/>
        <v>2980386.3510122374</v>
      </c>
      <c r="AQ45" s="289">
        <f t="shared" si="24"/>
        <v>3030185.5188792651</v>
      </c>
      <c r="AR45" s="289">
        <f t="shared" si="24"/>
        <v>3080816.7792430948</v>
      </c>
      <c r="AS45" s="289">
        <f t="shared" si="24"/>
        <v>3132294.0355071947</v>
      </c>
      <c r="AT45" s="289">
        <f t="shared" si="24"/>
        <v>3184631.4233864993</v>
      </c>
      <c r="AU45" s="289">
        <f t="shared" si="24"/>
        <v>3237843.3147890931</v>
      </c>
      <c r="AV45" s="289">
        <f t="shared" si="24"/>
        <v>3291944.3217627537</v>
      </c>
      <c r="AW45" s="289">
        <f t="shared" si="24"/>
        <v>3346949.300507437</v>
      </c>
      <c r="AX45" s="289">
        <f t="shared" si="24"/>
        <v>3402873.3554548072</v>
      </c>
      <c r="AY45" s="289">
        <f t="shared" si="24"/>
        <v>3459731.8434159318</v>
      </c>
      <c r="AZ45" s="289">
        <f t="shared" si="24"/>
        <v>3517540.3777982797</v>
      </c>
      <c r="BA45" s="289">
        <f t="shared" si="24"/>
        <v>3576314.8328931807</v>
      </c>
      <c r="BB45" s="289">
        <f t="shared" si="24"/>
        <v>3636071.348234925</v>
      </c>
      <c r="BC45" s="289">
        <f t="shared" si="24"/>
        <v>3696826.3330326988</v>
      </c>
      <c r="BD45" s="289">
        <f t="shared" si="24"/>
        <v>3758596.4706765711</v>
      </c>
      <c r="BE45" s="289">
        <f t="shared" si="24"/>
        <v>3821398.7233187729</v>
      </c>
      <c r="BF45" s="289">
        <f t="shared" si="24"/>
        <v>3885250.3365315241</v>
      </c>
      <c r="BG45" s="289">
        <f t="shared" si="24"/>
        <v>3950168.8440426881</v>
      </c>
      <c r="BH45" s="289">
        <f t="shared" si="24"/>
        <v>4016172.0725505538</v>
      </c>
      <c r="BI45" s="289">
        <f t="shared" si="24"/>
        <v>4083278.1466190671</v>
      </c>
      <c r="BJ45" s="289">
        <f t="shared" si="24"/>
        <v>4151505.4936548588</v>
      </c>
      <c r="BK45" s="289">
        <f t="shared" si="24"/>
        <v>4220872.8489674311</v>
      </c>
      <c r="BL45" s="289">
        <f t="shared" si="24"/>
        <v>4291399.2609138954</v>
      </c>
      <c r="BM45" s="289">
        <f t="shared" si="24"/>
        <v>4363104.0961296745</v>
      </c>
      <c r="BN45" s="289">
        <f t="shared" si="24"/>
        <v>4436007.0448466027</v>
      </c>
      <c r="BO45" s="290"/>
      <c r="BS45" s="219"/>
    </row>
    <row r="46" spans="1:75" s="216" customFormat="1">
      <c r="A46" s="215"/>
      <c r="B46" s="248" t="s">
        <v>41</v>
      </c>
      <c r="C46" s="214">
        <f>$BQ$7</f>
        <v>0.75</v>
      </c>
      <c r="D46" s="293">
        <f>MIN((D28-D40-D41)*$C$46,D45)</f>
        <v>0</v>
      </c>
      <c r="E46" s="293">
        <f>MIN((E28-E40-E41)*$C$46,E45)</f>
        <v>0</v>
      </c>
      <c r="F46" s="293">
        <f t="shared" ref="F46:BN46" si="25">MIN((F28-F40-F41)*$C$46,F45)</f>
        <v>0</v>
      </c>
      <c r="G46" s="293">
        <f t="shared" si="25"/>
        <v>0</v>
      </c>
      <c r="H46" s="293">
        <f t="shared" si="25"/>
        <v>0</v>
      </c>
      <c r="I46" s="293">
        <f t="shared" si="25"/>
        <v>0</v>
      </c>
      <c r="J46" s="293">
        <f>MIN((J28-J40-J41)*$C$46,J45)</f>
        <v>0</v>
      </c>
      <c r="K46" s="293">
        <f t="shared" si="25"/>
        <v>0</v>
      </c>
      <c r="L46" s="293">
        <f t="shared" si="25"/>
        <v>0</v>
      </c>
      <c r="M46" s="293">
        <f t="shared" si="25"/>
        <v>0</v>
      </c>
      <c r="N46" s="293">
        <f t="shared" si="25"/>
        <v>0</v>
      </c>
      <c r="O46" s="293">
        <f t="shared" si="25"/>
        <v>0</v>
      </c>
      <c r="P46" s="293">
        <f t="shared" si="25"/>
        <v>0</v>
      </c>
      <c r="Q46" s="293">
        <f t="shared" si="25"/>
        <v>0</v>
      </c>
      <c r="R46" s="293">
        <f t="shared" si="25"/>
        <v>0</v>
      </c>
      <c r="S46" s="293">
        <f t="shared" si="25"/>
        <v>0</v>
      </c>
      <c r="T46" s="293">
        <f t="shared" si="25"/>
        <v>0</v>
      </c>
      <c r="U46" s="293">
        <f t="shared" si="25"/>
        <v>0</v>
      </c>
      <c r="V46" s="293">
        <f>MIN((V28-V40-V41)*$C$46,V45)</f>
        <v>0</v>
      </c>
      <c r="W46" s="293">
        <f t="shared" si="25"/>
        <v>0</v>
      </c>
      <c r="X46" s="293">
        <f t="shared" si="25"/>
        <v>0</v>
      </c>
      <c r="Y46" s="293">
        <f t="shared" si="25"/>
        <v>0</v>
      </c>
      <c r="Z46" s="293">
        <f t="shared" si="25"/>
        <v>0</v>
      </c>
      <c r="AA46" s="293">
        <f t="shared" si="25"/>
        <v>0</v>
      </c>
      <c r="AB46" s="293">
        <f t="shared" si="25"/>
        <v>0</v>
      </c>
      <c r="AC46" s="293">
        <f t="shared" si="25"/>
        <v>0</v>
      </c>
      <c r="AD46" s="293">
        <f t="shared" si="25"/>
        <v>126979.02614117973</v>
      </c>
      <c r="AE46" s="293">
        <f t="shared" si="25"/>
        <v>0</v>
      </c>
      <c r="AF46" s="293">
        <f t="shared" si="25"/>
        <v>0</v>
      </c>
      <c r="AG46" s="293">
        <f t="shared" si="25"/>
        <v>0</v>
      </c>
      <c r="AH46" s="293">
        <f t="shared" si="25"/>
        <v>0</v>
      </c>
      <c r="AI46" s="293">
        <f t="shared" si="25"/>
        <v>0</v>
      </c>
      <c r="AJ46" s="293">
        <f t="shared" si="25"/>
        <v>0</v>
      </c>
      <c r="AK46" s="293">
        <f t="shared" si="25"/>
        <v>0</v>
      </c>
      <c r="AL46" s="293">
        <f t="shared" si="25"/>
        <v>0</v>
      </c>
      <c r="AM46" s="293">
        <f t="shared" si="25"/>
        <v>0</v>
      </c>
      <c r="AN46" s="293">
        <f t="shared" si="25"/>
        <v>0</v>
      </c>
      <c r="AO46" s="293">
        <f t="shared" si="25"/>
        <v>0</v>
      </c>
      <c r="AP46" s="293">
        <f t="shared" si="25"/>
        <v>0</v>
      </c>
      <c r="AQ46" s="293">
        <f t="shared" si="25"/>
        <v>0</v>
      </c>
      <c r="AR46" s="293">
        <f t="shared" si="25"/>
        <v>0</v>
      </c>
      <c r="AS46" s="293">
        <f t="shared" si="25"/>
        <v>0</v>
      </c>
      <c r="AT46" s="293">
        <f t="shared" si="25"/>
        <v>0</v>
      </c>
      <c r="AU46" s="293">
        <f t="shared" si="25"/>
        <v>0</v>
      </c>
      <c r="AV46" s="293">
        <f t="shared" si="25"/>
        <v>0</v>
      </c>
      <c r="AW46" s="293">
        <f t="shared" si="25"/>
        <v>0</v>
      </c>
      <c r="AX46" s="579">
        <f t="shared" si="25"/>
        <v>0</v>
      </c>
      <c r="AY46" s="293">
        <f t="shared" si="25"/>
        <v>0</v>
      </c>
      <c r="AZ46" s="293">
        <f t="shared" si="25"/>
        <v>0</v>
      </c>
      <c r="BA46" s="293">
        <f t="shared" si="25"/>
        <v>0</v>
      </c>
      <c r="BB46" s="293">
        <f t="shared" si="25"/>
        <v>0</v>
      </c>
      <c r="BC46" s="293">
        <f t="shared" si="25"/>
        <v>0</v>
      </c>
      <c r="BD46" s="293">
        <f t="shared" si="25"/>
        <v>0</v>
      </c>
      <c r="BE46" s="293">
        <f t="shared" si="25"/>
        <v>0</v>
      </c>
      <c r="BF46" s="293">
        <f t="shared" si="25"/>
        <v>0</v>
      </c>
      <c r="BG46" s="293">
        <f t="shared" si="25"/>
        <v>0</v>
      </c>
      <c r="BH46" s="293">
        <f t="shared" si="25"/>
        <v>0</v>
      </c>
      <c r="BI46" s="293">
        <f t="shared" si="25"/>
        <v>0</v>
      </c>
      <c r="BJ46" s="293">
        <f t="shared" si="25"/>
        <v>0</v>
      </c>
      <c r="BK46" s="293">
        <f t="shared" si="25"/>
        <v>0</v>
      </c>
      <c r="BL46" s="293">
        <f t="shared" si="25"/>
        <v>0</v>
      </c>
      <c r="BM46" s="293">
        <f t="shared" si="25"/>
        <v>0</v>
      </c>
      <c r="BN46" s="293">
        <f t="shared" si="25"/>
        <v>0</v>
      </c>
      <c r="BO46" s="294"/>
      <c r="BS46" s="219"/>
    </row>
    <row r="47" spans="1:75" s="216" customFormat="1">
      <c r="A47" s="215"/>
      <c r="B47" s="248" t="s">
        <v>150</v>
      </c>
      <c r="C47" s="214">
        <f>100%-C46</f>
        <v>0.25</v>
      </c>
      <c r="D47" s="293">
        <f>((D46/$C$46)*$C$47)</f>
        <v>0</v>
      </c>
      <c r="E47" s="293">
        <f t="shared" ref="E47:BN47" si="26">((E46/$C$46)*$C$47)</f>
        <v>0</v>
      </c>
      <c r="F47" s="293">
        <f t="shared" si="26"/>
        <v>0</v>
      </c>
      <c r="G47" s="293">
        <f t="shared" si="26"/>
        <v>0</v>
      </c>
      <c r="H47" s="293">
        <f t="shared" si="26"/>
        <v>0</v>
      </c>
      <c r="I47" s="293">
        <f t="shared" si="26"/>
        <v>0</v>
      </c>
      <c r="J47" s="293">
        <f>((J46/$C$46)*$C$47)</f>
        <v>0</v>
      </c>
      <c r="K47" s="293">
        <f>((K46/$C$46)*$C$47)</f>
        <v>0</v>
      </c>
      <c r="L47" s="293">
        <f t="shared" si="26"/>
        <v>0</v>
      </c>
      <c r="M47" s="293">
        <f t="shared" si="26"/>
        <v>0</v>
      </c>
      <c r="N47" s="293">
        <f t="shared" si="26"/>
        <v>0</v>
      </c>
      <c r="O47" s="293">
        <f t="shared" si="26"/>
        <v>0</v>
      </c>
      <c r="P47" s="293">
        <f t="shared" si="26"/>
        <v>0</v>
      </c>
      <c r="Q47" s="293">
        <f t="shared" si="26"/>
        <v>0</v>
      </c>
      <c r="R47" s="293">
        <f t="shared" si="26"/>
        <v>0</v>
      </c>
      <c r="S47" s="293">
        <f t="shared" si="26"/>
        <v>0</v>
      </c>
      <c r="T47" s="293">
        <f t="shared" si="26"/>
        <v>0</v>
      </c>
      <c r="U47" s="293">
        <f t="shared" si="26"/>
        <v>0</v>
      </c>
      <c r="V47" s="293">
        <f t="shared" si="26"/>
        <v>0</v>
      </c>
      <c r="W47" s="293">
        <f t="shared" si="26"/>
        <v>0</v>
      </c>
      <c r="X47" s="293">
        <f t="shared" si="26"/>
        <v>0</v>
      </c>
      <c r="Y47" s="293">
        <f t="shared" si="26"/>
        <v>0</v>
      </c>
      <c r="Z47" s="293">
        <f t="shared" si="26"/>
        <v>0</v>
      </c>
      <c r="AA47" s="293">
        <f t="shared" si="26"/>
        <v>0</v>
      </c>
      <c r="AB47" s="293">
        <f t="shared" si="26"/>
        <v>0</v>
      </c>
      <c r="AC47" s="293">
        <f t="shared" si="26"/>
        <v>0</v>
      </c>
      <c r="AD47" s="293">
        <f t="shared" si="26"/>
        <v>42326.342047059909</v>
      </c>
      <c r="AE47" s="293">
        <f t="shared" si="26"/>
        <v>0</v>
      </c>
      <c r="AF47" s="293">
        <f t="shared" si="26"/>
        <v>0</v>
      </c>
      <c r="AG47" s="293">
        <f t="shared" si="26"/>
        <v>0</v>
      </c>
      <c r="AH47" s="293">
        <f t="shared" si="26"/>
        <v>0</v>
      </c>
      <c r="AI47" s="293">
        <f t="shared" si="26"/>
        <v>0</v>
      </c>
      <c r="AJ47" s="293">
        <f t="shared" si="26"/>
        <v>0</v>
      </c>
      <c r="AK47" s="293">
        <f t="shared" si="26"/>
        <v>0</v>
      </c>
      <c r="AL47" s="293">
        <f t="shared" si="26"/>
        <v>0</v>
      </c>
      <c r="AM47" s="293">
        <f t="shared" si="26"/>
        <v>0</v>
      </c>
      <c r="AN47" s="293">
        <f t="shared" si="26"/>
        <v>0</v>
      </c>
      <c r="AO47" s="293">
        <f t="shared" si="26"/>
        <v>0</v>
      </c>
      <c r="AP47" s="293">
        <f t="shared" si="26"/>
        <v>0</v>
      </c>
      <c r="AQ47" s="293">
        <f t="shared" si="26"/>
        <v>0</v>
      </c>
      <c r="AR47" s="293">
        <f t="shared" si="26"/>
        <v>0</v>
      </c>
      <c r="AS47" s="293">
        <f t="shared" si="26"/>
        <v>0</v>
      </c>
      <c r="AT47" s="293">
        <f t="shared" si="26"/>
        <v>0</v>
      </c>
      <c r="AU47" s="293">
        <f t="shared" si="26"/>
        <v>0</v>
      </c>
      <c r="AV47" s="293">
        <f t="shared" si="26"/>
        <v>0</v>
      </c>
      <c r="AW47" s="293">
        <f t="shared" si="26"/>
        <v>0</v>
      </c>
      <c r="AX47" s="579">
        <f t="shared" si="26"/>
        <v>0</v>
      </c>
      <c r="AY47" s="293">
        <f t="shared" si="26"/>
        <v>0</v>
      </c>
      <c r="AZ47" s="293">
        <f t="shared" si="26"/>
        <v>0</v>
      </c>
      <c r="BA47" s="293">
        <f t="shared" si="26"/>
        <v>0</v>
      </c>
      <c r="BB47" s="293">
        <f t="shared" si="26"/>
        <v>0</v>
      </c>
      <c r="BC47" s="293">
        <f t="shared" si="26"/>
        <v>0</v>
      </c>
      <c r="BD47" s="293">
        <f t="shared" si="26"/>
        <v>0</v>
      </c>
      <c r="BE47" s="293">
        <f t="shared" si="26"/>
        <v>0</v>
      </c>
      <c r="BF47" s="293">
        <f t="shared" si="26"/>
        <v>0</v>
      </c>
      <c r="BG47" s="293">
        <f t="shared" si="26"/>
        <v>0</v>
      </c>
      <c r="BH47" s="293">
        <f t="shared" si="26"/>
        <v>0</v>
      </c>
      <c r="BI47" s="293">
        <f t="shared" si="26"/>
        <v>0</v>
      </c>
      <c r="BJ47" s="293">
        <f t="shared" si="26"/>
        <v>0</v>
      </c>
      <c r="BK47" s="293">
        <f t="shared" si="26"/>
        <v>0</v>
      </c>
      <c r="BL47" s="293">
        <f t="shared" si="26"/>
        <v>0</v>
      </c>
      <c r="BM47" s="293">
        <f t="shared" si="26"/>
        <v>0</v>
      </c>
      <c r="BN47" s="293">
        <f t="shared" si="26"/>
        <v>0</v>
      </c>
      <c r="BO47" s="294"/>
      <c r="BS47" s="219"/>
    </row>
    <row r="48" spans="1:75" s="216" customFormat="1">
      <c r="A48" s="215"/>
      <c r="B48" s="248"/>
      <c r="C48" s="214"/>
      <c r="D48" s="293"/>
      <c r="E48" s="293"/>
      <c r="F48" s="293"/>
      <c r="G48" s="293"/>
      <c r="H48" s="293"/>
      <c r="I48" s="293"/>
      <c r="J48" s="293"/>
      <c r="K48" s="293"/>
      <c r="L48" s="293"/>
      <c r="M48" s="293"/>
      <c r="N48" s="293"/>
      <c r="O48" s="293"/>
      <c r="P48" s="293"/>
      <c r="Q48" s="293"/>
      <c r="R48" s="293"/>
      <c r="S48" s="293"/>
      <c r="T48" s="293"/>
      <c r="U48" s="293"/>
      <c r="V48" s="293"/>
      <c r="W48" s="293"/>
      <c r="X48" s="293"/>
      <c r="Y48" s="293"/>
      <c r="Z48" s="293"/>
      <c r="AA48" s="293"/>
      <c r="AB48" s="293"/>
      <c r="AC48" s="293"/>
      <c r="AD48" s="293"/>
      <c r="AE48" s="293"/>
      <c r="AF48" s="293"/>
      <c r="AG48" s="293"/>
      <c r="AH48" s="293"/>
      <c r="AI48" s="293"/>
      <c r="AJ48" s="293"/>
      <c r="AK48" s="293"/>
      <c r="AL48" s="293"/>
      <c r="AM48" s="293"/>
      <c r="AN48" s="293"/>
      <c r="AO48" s="293"/>
      <c r="AP48" s="293"/>
      <c r="AQ48" s="293"/>
      <c r="AR48" s="293"/>
      <c r="AS48" s="293"/>
      <c r="AT48" s="293"/>
      <c r="AU48" s="293"/>
      <c r="AV48" s="293"/>
      <c r="AW48" s="293"/>
      <c r="AX48" s="293"/>
      <c r="AY48" s="293"/>
      <c r="AZ48" s="293"/>
      <c r="BA48" s="293"/>
      <c r="BB48" s="293"/>
      <c r="BC48" s="293"/>
      <c r="BD48" s="293"/>
      <c r="BE48" s="293"/>
      <c r="BF48" s="293"/>
      <c r="BG48" s="293"/>
      <c r="BH48" s="293"/>
      <c r="BI48" s="293"/>
      <c r="BJ48" s="293"/>
      <c r="BK48" s="293"/>
      <c r="BL48" s="293"/>
      <c r="BM48" s="293"/>
      <c r="BN48" s="293"/>
      <c r="BO48" s="294"/>
      <c r="BS48" s="219"/>
    </row>
    <row r="49" spans="1:71" s="216" customFormat="1">
      <c r="A49" s="215"/>
      <c r="B49" s="583">
        <f>SUM(D24:BN24,D27:BN27,D40:BN40,D46:BN46)/$C$5</f>
        <v>1.4349888148284846</v>
      </c>
      <c r="C49" s="214"/>
      <c r="D49" s="293"/>
      <c r="E49" s="293"/>
      <c r="F49" s="293"/>
      <c r="G49" s="293"/>
      <c r="H49" s="293"/>
      <c r="I49" s="293"/>
      <c r="J49" s="293"/>
      <c r="K49" s="293"/>
      <c r="L49" s="293"/>
      <c r="M49" s="293"/>
      <c r="N49" s="293"/>
      <c r="O49" s="293"/>
      <c r="P49" s="293"/>
      <c r="Q49" s="293"/>
      <c r="R49" s="293"/>
      <c r="S49" s="293"/>
      <c r="T49" s="293"/>
      <c r="U49" s="293"/>
      <c r="V49" s="293"/>
      <c r="W49" s="293"/>
      <c r="X49" s="293"/>
      <c r="Y49" s="293"/>
      <c r="Z49" s="293"/>
      <c r="AA49" s="293"/>
      <c r="AB49" s="293"/>
      <c r="AC49" s="293"/>
      <c r="AD49" s="293"/>
      <c r="AE49" s="293"/>
      <c r="AF49" s="293"/>
      <c r="AG49" s="293"/>
      <c r="AH49" s="293"/>
      <c r="AI49" s="293"/>
      <c r="AJ49" s="293"/>
      <c r="AK49" s="293"/>
      <c r="AL49" s="293"/>
      <c r="AM49" s="293"/>
      <c r="AN49" s="293"/>
      <c r="AO49" s="293"/>
      <c r="AP49" s="293"/>
      <c r="AQ49" s="293"/>
      <c r="AR49" s="293"/>
      <c r="AS49" s="293"/>
      <c r="AT49" s="293"/>
      <c r="AU49" s="293"/>
      <c r="AV49" s="293"/>
      <c r="AW49" s="293"/>
      <c r="AX49" s="293"/>
      <c r="AY49" s="293"/>
      <c r="AZ49" s="293"/>
      <c r="BA49" s="293"/>
      <c r="BB49" s="293"/>
      <c r="BC49" s="293"/>
      <c r="BD49" s="293"/>
      <c r="BE49" s="293"/>
      <c r="BF49" s="293"/>
      <c r="BG49" s="293"/>
      <c r="BH49" s="293"/>
      <c r="BI49" s="293"/>
      <c r="BJ49" s="293"/>
      <c r="BK49" s="293"/>
      <c r="BL49" s="293"/>
      <c r="BM49" s="293"/>
      <c r="BN49" s="293"/>
      <c r="BO49" s="294"/>
      <c r="BS49" s="219"/>
    </row>
    <row r="50" spans="1:71" s="216" customFormat="1">
      <c r="A50" s="215"/>
      <c r="B50" s="584">
        <f>IF(($C$5*$BT$7)-SUM(D24:BN24,D27:BN27,D40:BN40,D46:BN46)&lt;0,0,($C$5*$BT$7)-SUM(D24:BN24,D27:BN27,D40:BN40,D46:BN46))</f>
        <v>0</v>
      </c>
      <c r="C50" s="585"/>
      <c r="D50" s="271"/>
      <c r="E50" s="271"/>
      <c r="F50" s="271"/>
      <c r="G50" s="271"/>
      <c r="H50" s="271"/>
      <c r="I50" s="271"/>
      <c r="J50" s="271"/>
      <c r="K50" s="271"/>
      <c r="L50" s="271"/>
      <c r="M50" s="271"/>
      <c r="N50" s="271"/>
      <c r="O50" s="271"/>
      <c r="P50" s="271"/>
      <c r="Q50" s="271"/>
      <c r="R50" s="271"/>
      <c r="S50" s="271"/>
      <c r="T50" s="271"/>
      <c r="U50" s="271"/>
      <c r="V50" s="271"/>
      <c r="W50" s="271"/>
      <c r="X50" s="271"/>
      <c r="Y50" s="271"/>
      <c r="Z50" s="271"/>
      <c r="AA50" s="271"/>
      <c r="AB50" s="271"/>
      <c r="AC50" s="271"/>
      <c r="AD50" s="271"/>
      <c r="AE50" s="271"/>
      <c r="AF50" s="271"/>
      <c r="AG50" s="271"/>
      <c r="AH50" s="271"/>
      <c r="AI50" s="271"/>
      <c r="AJ50" s="271"/>
      <c r="AK50" s="271"/>
      <c r="AL50" s="271"/>
      <c r="AM50" s="271"/>
      <c r="AN50" s="271"/>
      <c r="AO50" s="271"/>
      <c r="AP50" s="271"/>
      <c r="AQ50" s="271"/>
      <c r="AR50" s="271"/>
      <c r="AS50" s="271"/>
      <c r="AT50" s="271"/>
      <c r="AU50" s="271"/>
      <c r="AV50" s="271"/>
      <c r="AW50" s="271"/>
      <c r="AX50" s="586"/>
      <c r="AY50" s="271"/>
      <c r="AZ50" s="271"/>
      <c r="BA50" s="271"/>
      <c r="BB50" s="271"/>
      <c r="BC50" s="271"/>
      <c r="BD50" s="271"/>
      <c r="BE50" s="271"/>
      <c r="BF50" s="271"/>
      <c r="BG50" s="271"/>
      <c r="BH50" s="271"/>
      <c r="BI50" s="271"/>
      <c r="BJ50" s="271"/>
      <c r="BK50" s="271"/>
      <c r="BL50" s="271"/>
      <c r="BM50" s="271"/>
      <c r="BN50" s="271"/>
      <c r="BO50" s="294"/>
      <c r="BS50" s="219"/>
    </row>
    <row r="51" spans="1:71" s="216" customFormat="1">
      <c r="A51" s="215"/>
      <c r="B51" s="587"/>
      <c r="C51" s="214"/>
      <c r="D51" s="293"/>
      <c r="E51" s="293"/>
      <c r="F51" s="293"/>
      <c r="G51" s="293"/>
      <c r="H51" s="293"/>
      <c r="I51" s="293"/>
      <c r="J51" s="293"/>
      <c r="K51" s="293"/>
      <c r="L51" s="293"/>
      <c r="M51" s="293"/>
      <c r="N51" s="293"/>
      <c r="O51" s="293"/>
      <c r="P51" s="293"/>
      <c r="Q51" s="293"/>
      <c r="R51" s="293"/>
      <c r="S51" s="293"/>
      <c r="T51" s="293"/>
      <c r="U51" s="293"/>
      <c r="V51" s="293"/>
      <c r="W51" s="293"/>
      <c r="X51" s="293"/>
      <c r="Y51" s="293"/>
      <c r="Z51" s="293"/>
      <c r="AA51" s="293"/>
      <c r="AB51" s="293"/>
      <c r="AC51" s="293"/>
      <c r="AD51" s="293"/>
      <c r="AE51" s="293"/>
      <c r="AF51" s="293"/>
      <c r="AG51" s="293"/>
      <c r="AH51" s="293"/>
      <c r="AI51" s="293"/>
      <c r="AJ51" s="293"/>
      <c r="AK51" s="293"/>
      <c r="AL51" s="293"/>
      <c r="AM51" s="293"/>
      <c r="AN51" s="293"/>
      <c r="AO51" s="293"/>
      <c r="AP51" s="293"/>
      <c r="AQ51" s="293"/>
      <c r="AR51" s="293"/>
      <c r="AS51" s="293"/>
      <c r="AT51" s="293"/>
      <c r="AU51" s="293"/>
      <c r="AV51" s="293"/>
      <c r="AW51" s="293"/>
      <c r="AX51" s="293"/>
      <c r="AY51" s="293"/>
      <c r="AZ51" s="293"/>
      <c r="BA51" s="293"/>
      <c r="BB51" s="293"/>
      <c r="BC51" s="293"/>
      <c r="BD51" s="293"/>
      <c r="BE51" s="293"/>
      <c r="BF51" s="293"/>
      <c r="BG51" s="293"/>
      <c r="BH51" s="293"/>
      <c r="BI51" s="293"/>
      <c r="BJ51" s="293"/>
      <c r="BK51" s="293"/>
      <c r="BL51" s="293"/>
      <c r="BM51" s="293"/>
      <c r="BN51" s="293"/>
      <c r="BO51" s="294"/>
      <c r="BS51" s="219"/>
    </row>
    <row r="52" spans="1:71" s="216" customFormat="1">
      <c r="A52" s="215"/>
      <c r="B52" s="588" t="s">
        <v>213</v>
      </c>
      <c r="C52" s="292" t="s">
        <v>171</v>
      </c>
      <c r="D52" s="293"/>
      <c r="E52" s="293"/>
      <c r="F52" s="293"/>
      <c r="G52" s="293"/>
      <c r="H52" s="293"/>
      <c r="I52" s="293"/>
      <c r="J52" s="293"/>
      <c r="K52" s="293"/>
      <c r="L52" s="293"/>
      <c r="M52" s="293"/>
      <c r="N52" s="293"/>
      <c r="O52" s="293"/>
      <c r="P52" s="293"/>
      <c r="Q52" s="293"/>
      <c r="R52" s="293"/>
      <c r="S52" s="293"/>
      <c r="T52" s="293"/>
      <c r="U52" s="293"/>
      <c r="V52" s="293"/>
      <c r="W52" s="293"/>
      <c r="X52" s="293"/>
      <c r="Y52" s="293"/>
      <c r="Z52" s="293"/>
      <c r="AA52" s="293"/>
      <c r="AB52" s="293"/>
      <c r="AC52" s="293"/>
      <c r="AD52" s="293"/>
      <c r="AE52" s="293"/>
      <c r="AF52" s="293"/>
      <c r="AG52" s="293"/>
      <c r="AH52" s="293"/>
      <c r="AI52" s="293"/>
      <c r="AJ52" s="293"/>
      <c r="AK52" s="293"/>
      <c r="AL52" s="293"/>
      <c r="AM52" s="293"/>
      <c r="AN52" s="293"/>
      <c r="AO52" s="293"/>
      <c r="AP52" s="293"/>
      <c r="AQ52" s="293"/>
      <c r="AR52" s="293"/>
      <c r="AS52" s="293"/>
      <c r="AT52" s="293"/>
      <c r="AU52" s="293"/>
      <c r="AV52" s="293"/>
      <c r="AW52" s="293"/>
      <c r="AX52" s="293"/>
      <c r="AY52" s="293"/>
      <c r="AZ52" s="293"/>
      <c r="BA52" s="293"/>
      <c r="BB52" s="293"/>
      <c r="BC52" s="293"/>
      <c r="BD52" s="293"/>
      <c r="BE52" s="293"/>
      <c r="BF52" s="293"/>
      <c r="BG52" s="293"/>
      <c r="BH52" s="293"/>
      <c r="BI52" s="293"/>
      <c r="BJ52" s="293"/>
      <c r="BK52" s="293"/>
      <c r="BL52" s="293"/>
      <c r="BM52" s="293"/>
      <c r="BN52" s="293"/>
      <c r="BO52" s="294"/>
      <c r="BS52" s="219"/>
    </row>
    <row r="53" spans="1:71" s="216" customFormat="1">
      <c r="A53" s="215"/>
      <c r="B53" s="584" t="str">
        <f>B46</f>
        <v>Equity</v>
      </c>
      <c r="C53" s="214">
        <f>$BQ$7</f>
        <v>0.75</v>
      </c>
      <c r="D53" s="589">
        <f>IF(AND(D6=$C$3,$B$49&lt;$BT$7),(MIN($B$50,(D32-D40-D41-D46-D47)*$C$53))+D46,D46)</f>
        <v>0</v>
      </c>
      <c r="E53" s="589">
        <f t="shared" ref="E53:BN53" si="27">IF(AND(E6=$C$3,$B$49&lt;$BT$7),(MIN($B$50,(E32-E40-E41-E46-E47)*$C$53))+E46,E46)</f>
        <v>0</v>
      </c>
      <c r="F53" s="589">
        <f t="shared" si="27"/>
        <v>0</v>
      </c>
      <c r="G53" s="589">
        <f t="shared" si="27"/>
        <v>0</v>
      </c>
      <c r="H53" s="589">
        <f t="shared" si="27"/>
        <v>0</v>
      </c>
      <c r="I53" s="589">
        <f t="shared" si="27"/>
        <v>0</v>
      </c>
      <c r="J53" s="589">
        <f t="shared" si="27"/>
        <v>0</v>
      </c>
      <c r="K53" s="589">
        <f t="shared" si="27"/>
        <v>0</v>
      </c>
      <c r="L53" s="589">
        <f t="shared" si="27"/>
        <v>0</v>
      </c>
      <c r="M53" s="589">
        <f t="shared" si="27"/>
        <v>0</v>
      </c>
      <c r="N53" s="589">
        <f t="shared" si="27"/>
        <v>0</v>
      </c>
      <c r="O53" s="589">
        <f t="shared" si="27"/>
        <v>0</v>
      </c>
      <c r="P53" s="589">
        <f t="shared" si="27"/>
        <v>0</v>
      </c>
      <c r="Q53" s="589">
        <f t="shared" si="27"/>
        <v>0</v>
      </c>
      <c r="R53" s="589">
        <f t="shared" si="27"/>
        <v>0</v>
      </c>
      <c r="S53" s="589">
        <f t="shared" si="27"/>
        <v>0</v>
      </c>
      <c r="T53" s="589">
        <f t="shared" si="27"/>
        <v>0</v>
      </c>
      <c r="U53" s="589">
        <f t="shared" si="27"/>
        <v>0</v>
      </c>
      <c r="V53" s="589">
        <f t="shared" si="27"/>
        <v>0</v>
      </c>
      <c r="W53" s="589">
        <f t="shared" si="27"/>
        <v>0</v>
      </c>
      <c r="X53" s="589">
        <f t="shared" si="27"/>
        <v>0</v>
      </c>
      <c r="Y53" s="589">
        <f t="shared" si="27"/>
        <v>0</v>
      </c>
      <c r="Z53" s="589">
        <f t="shared" si="27"/>
        <v>0</v>
      </c>
      <c r="AA53" s="589">
        <f t="shared" si="27"/>
        <v>0</v>
      </c>
      <c r="AB53" s="589">
        <f t="shared" si="27"/>
        <v>0</v>
      </c>
      <c r="AC53" s="589">
        <f t="shared" si="27"/>
        <v>0</v>
      </c>
      <c r="AD53" s="589">
        <f t="shared" si="27"/>
        <v>126979.02614117973</v>
      </c>
      <c r="AE53" s="589">
        <f t="shared" si="27"/>
        <v>0</v>
      </c>
      <c r="AF53" s="589">
        <f t="shared" si="27"/>
        <v>0</v>
      </c>
      <c r="AG53" s="589">
        <f t="shared" si="27"/>
        <v>0</v>
      </c>
      <c r="AH53" s="589">
        <f t="shared" si="27"/>
        <v>0</v>
      </c>
      <c r="AI53" s="589">
        <f t="shared" si="27"/>
        <v>0</v>
      </c>
      <c r="AJ53" s="589">
        <f t="shared" si="27"/>
        <v>0</v>
      </c>
      <c r="AK53" s="589">
        <f t="shared" si="27"/>
        <v>0</v>
      </c>
      <c r="AL53" s="589">
        <f t="shared" si="27"/>
        <v>0</v>
      </c>
      <c r="AM53" s="589">
        <f t="shared" si="27"/>
        <v>0</v>
      </c>
      <c r="AN53" s="589">
        <f t="shared" si="27"/>
        <v>0</v>
      </c>
      <c r="AO53" s="589">
        <f t="shared" si="27"/>
        <v>0</v>
      </c>
      <c r="AP53" s="589">
        <f t="shared" si="27"/>
        <v>0</v>
      </c>
      <c r="AQ53" s="589">
        <f t="shared" si="27"/>
        <v>0</v>
      </c>
      <c r="AR53" s="589">
        <f t="shared" si="27"/>
        <v>0</v>
      </c>
      <c r="AS53" s="589">
        <f t="shared" si="27"/>
        <v>0</v>
      </c>
      <c r="AT53" s="589">
        <f t="shared" si="27"/>
        <v>0</v>
      </c>
      <c r="AU53" s="589">
        <f t="shared" si="27"/>
        <v>0</v>
      </c>
      <c r="AV53" s="589">
        <f t="shared" si="27"/>
        <v>0</v>
      </c>
      <c r="AW53" s="589">
        <f t="shared" si="27"/>
        <v>0</v>
      </c>
      <c r="AX53" s="590">
        <f t="shared" si="27"/>
        <v>0</v>
      </c>
      <c r="AY53" s="589">
        <f t="shared" si="27"/>
        <v>0</v>
      </c>
      <c r="AZ53" s="589">
        <f t="shared" si="27"/>
        <v>0</v>
      </c>
      <c r="BA53" s="589">
        <f t="shared" si="27"/>
        <v>0</v>
      </c>
      <c r="BB53" s="589">
        <f t="shared" si="27"/>
        <v>0</v>
      </c>
      <c r="BC53" s="589">
        <f t="shared" si="27"/>
        <v>0</v>
      </c>
      <c r="BD53" s="589">
        <f t="shared" si="27"/>
        <v>0</v>
      </c>
      <c r="BE53" s="589">
        <f t="shared" si="27"/>
        <v>0</v>
      </c>
      <c r="BF53" s="589">
        <f t="shared" si="27"/>
        <v>0</v>
      </c>
      <c r="BG53" s="589">
        <f t="shared" si="27"/>
        <v>0</v>
      </c>
      <c r="BH53" s="589">
        <f t="shared" si="27"/>
        <v>0</v>
      </c>
      <c r="BI53" s="589">
        <f t="shared" si="27"/>
        <v>0</v>
      </c>
      <c r="BJ53" s="589">
        <f t="shared" si="27"/>
        <v>0</v>
      </c>
      <c r="BK53" s="589">
        <f t="shared" si="27"/>
        <v>0</v>
      </c>
      <c r="BL53" s="589">
        <f t="shared" si="27"/>
        <v>0</v>
      </c>
      <c r="BM53" s="589">
        <f t="shared" si="27"/>
        <v>0</v>
      </c>
      <c r="BN53" s="589">
        <f t="shared" si="27"/>
        <v>0</v>
      </c>
      <c r="BO53" s="294"/>
      <c r="BS53" s="219"/>
    </row>
    <row r="54" spans="1:71" s="216" customFormat="1">
      <c r="A54" s="215"/>
      <c r="B54" s="584" t="str">
        <f>B47</f>
        <v>Sponsor</v>
      </c>
      <c r="C54" s="214">
        <f>100%-C53</f>
        <v>0.25</v>
      </c>
      <c r="D54" s="293">
        <f t="shared" ref="D54:U54" si="28">((D53/$C$53)*$C$54)</f>
        <v>0</v>
      </c>
      <c r="E54" s="293">
        <f t="shared" si="28"/>
        <v>0</v>
      </c>
      <c r="F54" s="293">
        <f t="shared" si="28"/>
        <v>0</v>
      </c>
      <c r="G54" s="293">
        <f t="shared" si="28"/>
        <v>0</v>
      </c>
      <c r="H54" s="293">
        <f t="shared" si="28"/>
        <v>0</v>
      </c>
      <c r="I54" s="293">
        <f t="shared" si="28"/>
        <v>0</v>
      </c>
      <c r="J54" s="293">
        <f t="shared" si="28"/>
        <v>0</v>
      </c>
      <c r="K54" s="293">
        <f t="shared" si="28"/>
        <v>0</v>
      </c>
      <c r="L54" s="293">
        <f t="shared" si="28"/>
        <v>0</v>
      </c>
      <c r="M54" s="293">
        <f t="shared" si="28"/>
        <v>0</v>
      </c>
      <c r="N54" s="293">
        <f t="shared" si="28"/>
        <v>0</v>
      </c>
      <c r="O54" s="293">
        <f t="shared" si="28"/>
        <v>0</v>
      </c>
      <c r="P54" s="293">
        <f t="shared" si="28"/>
        <v>0</v>
      </c>
      <c r="Q54" s="293">
        <f t="shared" si="28"/>
        <v>0</v>
      </c>
      <c r="R54" s="293">
        <f t="shared" si="28"/>
        <v>0</v>
      </c>
      <c r="S54" s="293">
        <f t="shared" si="28"/>
        <v>0</v>
      </c>
      <c r="T54" s="293">
        <f t="shared" si="28"/>
        <v>0</v>
      </c>
      <c r="U54" s="293">
        <f t="shared" si="28"/>
        <v>0</v>
      </c>
      <c r="V54" s="293">
        <f>((V53/$C$53)*$C$54)</f>
        <v>0</v>
      </c>
      <c r="W54" s="293">
        <f t="shared" ref="W54:BN54" si="29">((W53/$C$53)*$C$54)</f>
        <v>0</v>
      </c>
      <c r="X54" s="293">
        <f t="shared" si="29"/>
        <v>0</v>
      </c>
      <c r="Y54" s="293">
        <f t="shared" si="29"/>
        <v>0</v>
      </c>
      <c r="Z54" s="293">
        <f t="shared" si="29"/>
        <v>0</v>
      </c>
      <c r="AA54" s="293">
        <f t="shared" si="29"/>
        <v>0</v>
      </c>
      <c r="AB54" s="293">
        <f t="shared" si="29"/>
        <v>0</v>
      </c>
      <c r="AC54" s="293">
        <f t="shared" si="29"/>
        <v>0</v>
      </c>
      <c r="AD54" s="293">
        <f t="shared" si="29"/>
        <v>42326.342047059909</v>
      </c>
      <c r="AE54" s="293">
        <f t="shared" si="29"/>
        <v>0</v>
      </c>
      <c r="AF54" s="293">
        <f t="shared" si="29"/>
        <v>0</v>
      </c>
      <c r="AG54" s="293">
        <f t="shared" si="29"/>
        <v>0</v>
      </c>
      <c r="AH54" s="293">
        <f t="shared" si="29"/>
        <v>0</v>
      </c>
      <c r="AI54" s="293">
        <f t="shared" si="29"/>
        <v>0</v>
      </c>
      <c r="AJ54" s="293">
        <f t="shared" si="29"/>
        <v>0</v>
      </c>
      <c r="AK54" s="293">
        <f t="shared" si="29"/>
        <v>0</v>
      </c>
      <c r="AL54" s="293">
        <f t="shared" si="29"/>
        <v>0</v>
      </c>
      <c r="AM54" s="293">
        <f t="shared" si="29"/>
        <v>0</v>
      </c>
      <c r="AN54" s="293">
        <f t="shared" si="29"/>
        <v>0</v>
      </c>
      <c r="AO54" s="293">
        <f t="shared" si="29"/>
        <v>0</v>
      </c>
      <c r="AP54" s="293">
        <f t="shared" si="29"/>
        <v>0</v>
      </c>
      <c r="AQ54" s="293">
        <f t="shared" si="29"/>
        <v>0</v>
      </c>
      <c r="AR54" s="293">
        <f t="shared" si="29"/>
        <v>0</v>
      </c>
      <c r="AS54" s="293">
        <f t="shared" si="29"/>
        <v>0</v>
      </c>
      <c r="AT54" s="293">
        <f t="shared" si="29"/>
        <v>0</v>
      </c>
      <c r="AU54" s="293">
        <f t="shared" si="29"/>
        <v>0</v>
      </c>
      <c r="AV54" s="293">
        <f t="shared" si="29"/>
        <v>0</v>
      </c>
      <c r="AW54" s="293">
        <f t="shared" si="29"/>
        <v>0</v>
      </c>
      <c r="AX54" s="579">
        <f t="shared" si="29"/>
        <v>0</v>
      </c>
      <c r="AY54" s="293">
        <f t="shared" si="29"/>
        <v>0</v>
      </c>
      <c r="AZ54" s="293">
        <f t="shared" si="29"/>
        <v>0</v>
      </c>
      <c r="BA54" s="293">
        <f t="shared" si="29"/>
        <v>0</v>
      </c>
      <c r="BB54" s="293">
        <f t="shared" si="29"/>
        <v>0</v>
      </c>
      <c r="BC54" s="293">
        <f t="shared" si="29"/>
        <v>0</v>
      </c>
      <c r="BD54" s="293">
        <f t="shared" si="29"/>
        <v>0</v>
      </c>
      <c r="BE54" s="293">
        <f t="shared" si="29"/>
        <v>0</v>
      </c>
      <c r="BF54" s="293">
        <f t="shared" si="29"/>
        <v>0</v>
      </c>
      <c r="BG54" s="293">
        <f t="shared" si="29"/>
        <v>0</v>
      </c>
      <c r="BH54" s="293">
        <f t="shared" si="29"/>
        <v>0</v>
      </c>
      <c r="BI54" s="293">
        <f t="shared" si="29"/>
        <v>0</v>
      </c>
      <c r="BJ54" s="293">
        <f t="shared" si="29"/>
        <v>0</v>
      </c>
      <c r="BK54" s="293">
        <f t="shared" si="29"/>
        <v>0</v>
      </c>
      <c r="BL54" s="293">
        <f t="shared" si="29"/>
        <v>0</v>
      </c>
      <c r="BM54" s="293">
        <f t="shared" si="29"/>
        <v>0</v>
      </c>
      <c r="BN54" s="293">
        <f t="shared" si="29"/>
        <v>0</v>
      </c>
      <c r="BO54" s="294"/>
      <c r="BS54" s="219"/>
    </row>
    <row r="55" spans="1:71" s="216" customFormat="1">
      <c r="A55" s="215"/>
      <c r="B55" s="584"/>
      <c r="C55" s="214"/>
      <c r="D55" s="293"/>
      <c r="E55" s="293"/>
      <c r="F55" s="293"/>
      <c r="G55" s="293"/>
      <c r="H55" s="293"/>
      <c r="I55" s="293"/>
      <c r="J55" s="293"/>
      <c r="K55" s="293"/>
      <c r="L55" s="293"/>
      <c r="M55" s="293"/>
      <c r="N55" s="293"/>
      <c r="O55" s="293"/>
      <c r="P55" s="293"/>
      <c r="Q55" s="293"/>
      <c r="R55" s="293"/>
      <c r="S55" s="293"/>
      <c r="T55" s="293"/>
      <c r="U55" s="293"/>
      <c r="V55" s="293"/>
      <c r="W55" s="293"/>
      <c r="X55" s="293"/>
      <c r="Y55" s="293"/>
      <c r="Z55" s="293"/>
      <c r="AA55" s="293"/>
      <c r="AB55" s="293"/>
      <c r="AC55" s="293"/>
      <c r="AD55" s="293"/>
      <c r="AE55" s="293"/>
      <c r="AF55" s="293"/>
      <c r="AG55" s="293"/>
      <c r="AH55" s="293"/>
      <c r="AI55" s="293"/>
      <c r="AJ55" s="293"/>
      <c r="AK55" s="293"/>
      <c r="AL55" s="293"/>
      <c r="AM55" s="293"/>
      <c r="AN55" s="293"/>
      <c r="AO55" s="293"/>
      <c r="AP55" s="293"/>
      <c r="AQ55" s="293"/>
      <c r="AR55" s="293"/>
      <c r="AS55" s="293"/>
      <c r="AT55" s="293"/>
      <c r="AU55" s="293"/>
      <c r="AV55" s="293"/>
      <c r="AW55" s="293"/>
      <c r="AX55" s="293"/>
      <c r="AY55" s="293"/>
      <c r="AZ55" s="293"/>
      <c r="BA55" s="293"/>
      <c r="BB55" s="293"/>
      <c r="BC55" s="293"/>
      <c r="BD55" s="293"/>
      <c r="BE55" s="293"/>
      <c r="BF55" s="293"/>
      <c r="BG55" s="293"/>
      <c r="BH55" s="293"/>
      <c r="BI55" s="293"/>
      <c r="BJ55" s="293"/>
      <c r="BK55" s="293"/>
      <c r="BL55" s="293"/>
      <c r="BM55" s="293"/>
      <c r="BN55" s="293"/>
      <c r="BO55" s="294"/>
      <c r="BS55" s="219"/>
    </row>
    <row r="56" spans="1:71" s="216" customFormat="1">
      <c r="A56" s="215"/>
      <c r="B56" s="591">
        <f>SUM(D24:BN24,D27:BN27,D40:BN40,D53:BN53)/$C$5</f>
        <v>1.4349888148284846</v>
      </c>
      <c r="BO56" s="294"/>
      <c r="BS56" s="219"/>
    </row>
    <row r="57" spans="1:71" s="216" customFormat="1">
      <c r="A57" s="215"/>
      <c r="B57" s="592">
        <f>XIRR(C57:BN57,C6:BN6)</f>
        <v>0.182702785730362</v>
      </c>
      <c r="C57" s="593">
        <f>C7</f>
        <v>-24033944.982098967</v>
      </c>
      <c r="D57" s="593">
        <f t="shared" ref="D57:BN57" si="30">D7+D24+D27+D40+D53</f>
        <v>0</v>
      </c>
      <c r="E57" s="593">
        <f t="shared" si="30"/>
        <v>0</v>
      </c>
      <c r="F57" s="593">
        <f t="shared" si="30"/>
        <v>0</v>
      </c>
      <c r="G57" s="593">
        <f t="shared" si="30"/>
        <v>0</v>
      </c>
      <c r="H57" s="593">
        <f t="shared" si="30"/>
        <v>0</v>
      </c>
      <c r="I57" s="593">
        <f t="shared" si="30"/>
        <v>0</v>
      </c>
      <c r="J57" s="593">
        <f t="shared" si="30"/>
        <v>0</v>
      </c>
      <c r="K57" s="593">
        <f t="shared" si="30"/>
        <v>0</v>
      </c>
      <c r="L57" s="593">
        <f t="shared" si="30"/>
        <v>0</v>
      </c>
      <c r="M57" s="593">
        <f t="shared" si="30"/>
        <v>0</v>
      </c>
      <c r="N57" s="593">
        <f t="shared" si="30"/>
        <v>0</v>
      </c>
      <c r="O57" s="593">
        <f t="shared" si="30"/>
        <v>0</v>
      </c>
      <c r="P57" s="593">
        <f t="shared" si="30"/>
        <v>0</v>
      </c>
      <c r="Q57" s="593">
        <f t="shared" si="30"/>
        <v>0</v>
      </c>
      <c r="R57" s="593">
        <f t="shared" si="30"/>
        <v>0</v>
      </c>
      <c r="S57" s="593">
        <f t="shared" si="30"/>
        <v>0</v>
      </c>
      <c r="T57" s="593">
        <f t="shared" si="30"/>
        <v>0</v>
      </c>
      <c r="U57" s="593">
        <f t="shared" si="30"/>
        <v>0</v>
      </c>
      <c r="V57" s="593">
        <f t="shared" si="30"/>
        <v>0</v>
      </c>
      <c r="W57" s="593">
        <f t="shared" si="30"/>
        <v>0</v>
      </c>
      <c r="X57" s="593">
        <f t="shared" si="30"/>
        <v>55865.937070519256</v>
      </c>
      <c r="Y57" s="593">
        <f t="shared" si="30"/>
        <v>55865.937070519256</v>
      </c>
      <c r="Z57" s="593">
        <f t="shared" si="30"/>
        <v>55865.937070519256</v>
      </c>
      <c r="AA57" s="593">
        <f t="shared" si="30"/>
        <v>1567865.9370705192</v>
      </c>
      <c r="AB57" s="593">
        <f t="shared" si="30"/>
        <v>55865.937070519256</v>
      </c>
      <c r="AC57" s="593">
        <f t="shared" si="30"/>
        <v>55865.937070519256</v>
      </c>
      <c r="AD57" s="593">
        <f t="shared" si="30"/>
        <v>32641246.603092082</v>
      </c>
      <c r="AE57" s="593">
        <f t="shared" si="30"/>
        <v>0</v>
      </c>
      <c r="AF57" s="593">
        <f t="shared" si="30"/>
        <v>0</v>
      </c>
      <c r="AG57" s="593">
        <f t="shared" si="30"/>
        <v>0</v>
      </c>
      <c r="AH57" s="593">
        <f t="shared" si="30"/>
        <v>0</v>
      </c>
      <c r="AI57" s="593">
        <f t="shared" si="30"/>
        <v>0</v>
      </c>
      <c r="AJ57" s="593">
        <f t="shared" si="30"/>
        <v>0</v>
      </c>
      <c r="AK57" s="593">
        <f t="shared" si="30"/>
        <v>0</v>
      </c>
      <c r="AL57" s="593">
        <f t="shared" si="30"/>
        <v>0</v>
      </c>
      <c r="AM57" s="593">
        <f t="shared" si="30"/>
        <v>0</v>
      </c>
      <c r="AN57" s="593">
        <f t="shared" si="30"/>
        <v>0</v>
      </c>
      <c r="AO57" s="593">
        <f t="shared" si="30"/>
        <v>0</v>
      </c>
      <c r="AP57" s="593">
        <f t="shared" si="30"/>
        <v>0</v>
      </c>
      <c r="AQ57" s="593">
        <f t="shared" si="30"/>
        <v>0</v>
      </c>
      <c r="AR57" s="593">
        <f t="shared" si="30"/>
        <v>0</v>
      </c>
      <c r="AS57" s="593">
        <f t="shared" si="30"/>
        <v>0</v>
      </c>
      <c r="AT57" s="593">
        <f t="shared" si="30"/>
        <v>0</v>
      </c>
      <c r="AU57" s="593">
        <f t="shared" si="30"/>
        <v>0</v>
      </c>
      <c r="AV57" s="593">
        <f t="shared" si="30"/>
        <v>0</v>
      </c>
      <c r="AW57" s="593">
        <f t="shared" si="30"/>
        <v>0</v>
      </c>
      <c r="AX57" s="593">
        <f t="shared" si="30"/>
        <v>0</v>
      </c>
      <c r="AY57" s="593">
        <f t="shared" si="30"/>
        <v>0</v>
      </c>
      <c r="AZ57" s="593">
        <f t="shared" si="30"/>
        <v>0</v>
      </c>
      <c r="BA57" s="593">
        <f t="shared" si="30"/>
        <v>0</v>
      </c>
      <c r="BB57" s="593">
        <f t="shared" si="30"/>
        <v>0</v>
      </c>
      <c r="BC57" s="593">
        <f t="shared" si="30"/>
        <v>0</v>
      </c>
      <c r="BD57" s="593">
        <f t="shared" si="30"/>
        <v>0</v>
      </c>
      <c r="BE57" s="593">
        <f t="shared" si="30"/>
        <v>0</v>
      </c>
      <c r="BF57" s="593">
        <f t="shared" si="30"/>
        <v>0</v>
      </c>
      <c r="BG57" s="593">
        <f t="shared" si="30"/>
        <v>0</v>
      </c>
      <c r="BH57" s="593">
        <f t="shared" si="30"/>
        <v>0</v>
      </c>
      <c r="BI57" s="593">
        <f t="shared" si="30"/>
        <v>0</v>
      </c>
      <c r="BJ57" s="593">
        <f t="shared" si="30"/>
        <v>0</v>
      </c>
      <c r="BK57" s="593">
        <f t="shared" si="30"/>
        <v>0</v>
      </c>
      <c r="BL57" s="593">
        <f t="shared" si="30"/>
        <v>0</v>
      </c>
      <c r="BM57" s="593">
        <f t="shared" si="30"/>
        <v>0</v>
      </c>
      <c r="BN57" s="593">
        <f t="shared" si="30"/>
        <v>0</v>
      </c>
      <c r="BO57" s="294"/>
      <c r="BS57" s="219"/>
    </row>
    <row r="58" spans="1:71" s="216" customFormat="1">
      <c r="A58" s="215"/>
      <c r="B58" s="226"/>
      <c r="C58" s="224"/>
      <c r="D58" s="224"/>
      <c r="E58" s="224"/>
      <c r="F58" s="224"/>
      <c r="G58" s="224"/>
      <c r="H58" s="224"/>
      <c r="I58" s="224"/>
      <c r="J58" s="224"/>
      <c r="K58" s="224"/>
      <c r="L58" s="224"/>
      <c r="M58" s="224"/>
      <c r="N58" s="224"/>
      <c r="O58" s="224"/>
      <c r="P58" s="224"/>
      <c r="Q58" s="224"/>
      <c r="R58" s="224"/>
      <c r="S58" s="224"/>
      <c r="T58" s="224"/>
      <c r="U58" s="224"/>
      <c r="V58" s="224"/>
      <c r="W58" s="224"/>
      <c r="X58" s="224"/>
      <c r="Y58" s="224"/>
      <c r="Z58" s="224"/>
      <c r="AA58" s="224"/>
      <c r="AB58" s="224"/>
      <c r="AC58" s="224"/>
      <c r="AD58" s="224"/>
      <c r="AE58" s="224"/>
      <c r="AF58" s="224"/>
      <c r="AG58" s="224"/>
      <c r="AH58" s="224"/>
      <c r="AI58" s="224"/>
      <c r="AJ58" s="224"/>
      <c r="AK58" s="224"/>
      <c r="AL58" s="224"/>
      <c r="AM58" s="224"/>
      <c r="AN58" s="224"/>
      <c r="AO58" s="224"/>
      <c r="AP58" s="224"/>
      <c r="AQ58" s="224"/>
      <c r="AR58" s="224"/>
      <c r="AS58" s="224"/>
      <c r="AT58" s="224"/>
      <c r="AU58" s="224"/>
      <c r="AV58" s="224"/>
      <c r="AW58" s="224"/>
      <c r="AX58" s="224"/>
      <c r="AY58" s="224"/>
      <c r="AZ58" s="224"/>
      <c r="BA58" s="224"/>
      <c r="BB58" s="224"/>
      <c r="BC58" s="224"/>
      <c r="BD58" s="224"/>
      <c r="BE58" s="224"/>
      <c r="BF58" s="224"/>
      <c r="BG58" s="224"/>
      <c r="BH58" s="224"/>
      <c r="BI58" s="224"/>
      <c r="BJ58" s="224"/>
      <c r="BK58" s="224"/>
      <c r="BL58" s="224"/>
      <c r="BM58" s="224"/>
      <c r="BN58" s="224"/>
      <c r="BO58" s="276"/>
      <c r="BS58" s="219"/>
    </row>
    <row r="59" spans="1:71" s="216" customFormat="1">
      <c r="A59" s="215"/>
      <c r="B59" s="437" t="str">
        <f>BP8</f>
        <v>5th Priority Split (40/60)</v>
      </c>
      <c r="C59" s="438" t="s">
        <v>171</v>
      </c>
      <c r="D59" s="439"/>
      <c r="E59" s="439"/>
      <c r="F59" s="439"/>
      <c r="G59" s="439"/>
      <c r="H59" s="439"/>
      <c r="I59" s="439"/>
      <c r="J59" s="439"/>
      <c r="K59" s="439"/>
      <c r="L59" s="439"/>
      <c r="M59" s="439"/>
      <c r="N59" s="439"/>
      <c r="O59" s="439"/>
      <c r="P59" s="439"/>
      <c r="Q59" s="439"/>
      <c r="R59" s="439"/>
      <c r="S59" s="439"/>
      <c r="T59" s="439"/>
      <c r="U59" s="439"/>
      <c r="V59" s="439"/>
      <c r="W59" s="439"/>
      <c r="X59" s="439"/>
      <c r="Y59" s="439"/>
      <c r="Z59" s="439"/>
      <c r="AA59" s="439"/>
      <c r="AB59" s="439"/>
      <c r="AC59" s="439"/>
      <c r="AD59" s="439"/>
      <c r="AE59" s="439"/>
      <c r="AF59" s="439"/>
      <c r="AG59" s="439"/>
      <c r="AH59" s="439"/>
      <c r="AI59" s="439"/>
      <c r="AJ59" s="439"/>
      <c r="AK59" s="439"/>
      <c r="AL59" s="439"/>
      <c r="AM59" s="439"/>
      <c r="AN59" s="439"/>
      <c r="AO59" s="439"/>
      <c r="AP59" s="439"/>
      <c r="AQ59" s="439"/>
      <c r="AR59" s="439"/>
      <c r="AS59" s="439"/>
      <c r="AT59" s="439"/>
      <c r="AU59" s="439"/>
      <c r="AV59" s="439"/>
      <c r="AW59" s="439"/>
      <c r="AX59" s="439"/>
      <c r="AY59" s="439"/>
      <c r="AZ59" s="439"/>
      <c r="BA59" s="439"/>
      <c r="BB59" s="439"/>
      <c r="BC59" s="439"/>
      <c r="BD59" s="439"/>
      <c r="BE59" s="439"/>
      <c r="BF59" s="439"/>
      <c r="BG59" s="439"/>
      <c r="BH59" s="439"/>
      <c r="BI59" s="439"/>
      <c r="BJ59" s="439"/>
      <c r="BK59" s="439"/>
      <c r="BL59" s="439"/>
      <c r="BM59" s="439"/>
      <c r="BN59" s="440">
        <f>BN28-BN40-BN41-BN46-BN47</f>
        <v>0</v>
      </c>
      <c r="BO59" s="350"/>
      <c r="BS59" s="219"/>
    </row>
    <row r="60" spans="1:71" s="234" customFormat="1">
      <c r="A60" s="215"/>
      <c r="B60" s="564" t="s">
        <v>181</v>
      </c>
      <c r="C60" s="292"/>
      <c r="D60" s="489">
        <f>+$BQ$8*(D32-D40-D41-D53-D54)</f>
        <v>0</v>
      </c>
      <c r="E60" s="489">
        <f t="shared" ref="E60:BN60" si="31">+$BQ$8*(E32-E40-E41-E53-E54)</f>
        <v>0</v>
      </c>
      <c r="F60" s="489">
        <f t="shared" si="31"/>
        <v>0</v>
      </c>
      <c r="G60" s="489">
        <f t="shared" si="31"/>
        <v>0</v>
      </c>
      <c r="H60" s="489">
        <f t="shared" si="31"/>
        <v>0</v>
      </c>
      <c r="I60" s="489">
        <f t="shared" si="31"/>
        <v>0</v>
      </c>
      <c r="J60" s="489">
        <f t="shared" si="31"/>
        <v>0</v>
      </c>
      <c r="K60" s="489">
        <f t="shared" si="31"/>
        <v>0</v>
      </c>
      <c r="L60" s="489">
        <f t="shared" si="31"/>
        <v>0</v>
      </c>
      <c r="M60" s="489">
        <f t="shared" si="31"/>
        <v>0</v>
      </c>
      <c r="N60" s="489">
        <f t="shared" si="31"/>
        <v>0</v>
      </c>
      <c r="O60" s="489">
        <f t="shared" si="31"/>
        <v>0</v>
      </c>
      <c r="P60" s="489">
        <f t="shared" si="31"/>
        <v>0</v>
      </c>
      <c r="Q60" s="489">
        <f t="shared" si="31"/>
        <v>0</v>
      </c>
      <c r="R60" s="489">
        <f t="shared" si="31"/>
        <v>0</v>
      </c>
      <c r="S60" s="489">
        <f t="shared" si="31"/>
        <v>0</v>
      </c>
      <c r="T60" s="489">
        <f t="shared" si="31"/>
        <v>0</v>
      </c>
      <c r="U60" s="489">
        <f t="shared" si="31"/>
        <v>0</v>
      </c>
      <c r="V60" s="489">
        <f t="shared" si="31"/>
        <v>0</v>
      </c>
      <c r="W60" s="489">
        <f t="shared" si="31"/>
        <v>0</v>
      </c>
      <c r="X60" s="489">
        <f t="shared" si="31"/>
        <v>0</v>
      </c>
      <c r="Y60" s="489">
        <f t="shared" si="31"/>
        <v>0</v>
      </c>
      <c r="Z60" s="489">
        <f t="shared" si="31"/>
        <v>0</v>
      </c>
      <c r="AA60" s="489">
        <f t="shared" si="31"/>
        <v>0</v>
      </c>
      <c r="AB60" s="489">
        <f t="shared" si="31"/>
        <v>0</v>
      </c>
      <c r="AC60" s="489">
        <f t="shared" si="31"/>
        <v>0</v>
      </c>
      <c r="AD60" s="489">
        <f t="shared" si="31"/>
        <v>-1.9500000169500709E-2</v>
      </c>
      <c r="AE60" s="489">
        <f t="shared" si="31"/>
        <v>0</v>
      </c>
      <c r="AF60" s="489">
        <f t="shared" si="31"/>
        <v>0</v>
      </c>
      <c r="AG60" s="489">
        <f t="shared" si="31"/>
        <v>0</v>
      </c>
      <c r="AH60" s="489">
        <f t="shared" si="31"/>
        <v>0</v>
      </c>
      <c r="AI60" s="489">
        <f t="shared" si="31"/>
        <v>0</v>
      </c>
      <c r="AJ60" s="489">
        <f t="shared" si="31"/>
        <v>0</v>
      </c>
      <c r="AK60" s="489">
        <f t="shared" si="31"/>
        <v>0</v>
      </c>
      <c r="AL60" s="489">
        <f t="shared" si="31"/>
        <v>0</v>
      </c>
      <c r="AM60" s="489">
        <f t="shared" si="31"/>
        <v>0</v>
      </c>
      <c r="AN60" s="489">
        <f t="shared" si="31"/>
        <v>0</v>
      </c>
      <c r="AO60" s="489">
        <f t="shared" si="31"/>
        <v>0</v>
      </c>
      <c r="AP60" s="489">
        <f t="shared" si="31"/>
        <v>0</v>
      </c>
      <c r="AQ60" s="489">
        <f t="shared" si="31"/>
        <v>0</v>
      </c>
      <c r="AR60" s="489">
        <f t="shared" si="31"/>
        <v>0</v>
      </c>
      <c r="AS60" s="489">
        <f t="shared" si="31"/>
        <v>0</v>
      </c>
      <c r="AT60" s="489">
        <f t="shared" si="31"/>
        <v>0</v>
      </c>
      <c r="AU60" s="489">
        <f t="shared" si="31"/>
        <v>0</v>
      </c>
      <c r="AV60" s="489">
        <f t="shared" si="31"/>
        <v>0</v>
      </c>
      <c r="AW60" s="489">
        <f t="shared" si="31"/>
        <v>0</v>
      </c>
      <c r="AX60" s="489">
        <f t="shared" si="31"/>
        <v>0</v>
      </c>
      <c r="AY60" s="489">
        <f t="shared" si="31"/>
        <v>0</v>
      </c>
      <c r="AZ60" s="489">
        <f t="shared" si="31"/>
        <v>0</v>
      </c>
      <c r="BA60" s="489">
        <f t="shared" si="31"/>
        <v>0</v>
      </c>
      <c r="BB60" s="489">
        <f t="shared" si="31"/>
        <v>0</v>
      </c>
      <c r="BC60" s="489">
        <f t="shared" si="31"/>
        <v>0</v>
      </c>
      <c r="BD60" s="489">
        <f t="shared" si="31"/>
        <v>0</v>
      </c>
      <c r="BE60" s="489">
        <f t="shared" si="31"/>
        <v>0</v>
      </c>
      <c r="BF60" s="489">
        <f t="shared" si="31"/>
        <v>0</v>
      </c>
      <c r="BG60" s="489">
        <f t="shared" si="31"/>
        <v>0</v>
      </c>
      <c r="BH60" s="489">
        <f t="shared" si="31"/>
        <v>0</v>
      </c>
      <c r="BI60" s="489">
        <f t="shared" si="31"/>
        <v>0</v>
      </c>
      <c r="BJ60" s="489">
        <f t="shared" si="31"/>
        <v>0</v>
      </c>
      <c r="BK60" s="489">
        <f t="shared" si="31"/>
        <v>0</v>
      </c>
      <c r="BL60" s="489">
        <f t="shared" si="31"/>
        <v>0</v>
      </c>
      <c r="BM60" s="489">
        <f t="shared" si="31"/>
        <v>0</v>
      </c>
      <c r="BN60" s="489">
        <f t="shared" si="31"/>
        <v>0</v>
      </c>
      <c r="BO60" s="565"/>
      <c r="BS60" s="566"/>
    </row>
    <row r="61" spans="1:71" s="216" customFormat="1">
      <c r="A61" s="215"/>
      <c r="B61" s="248" t="s">
        <v>41</v>
      </c>
      <c r="C61" s="214">
        <f>BQ8</f>
        <v>0.65</v>
      </c>
      <c r="D61" s="293">
        <f>D60</f>
        <v>0</v>
      </c>
      <c r="E61" s="293">
        <f>E60</f>
        <v>0</v>
      </c>
      <c r="F61" s="293">
        <f t="shared" ref="F61" si="32">F60</f>
        <v>0</v>
      </c>
      <c r="G61" s="293">
        <f>G60</f>
        <v>0</v>
      </c>
      <c r="H61" s="293">
        <f t="shared" ref="H61:BN61" si="33">H60</f>
        <v>0</v>
      </c>
      <c r="I61" s="293">
        <f t="shared" si="33"/>
        <v>0</v>
      </c>
      <c r="J61" s="293">
        <f t="shared" si="33"/>
        <v>0</v>
      </c>
      <c r="K61" s="293">
        <f t="shared" si="33"/>
        <v>0</v>
      </c>
      <c r="L61" s="293">
        <f t="shared" si="33"/>
        <v>0</v>
      </c>
      <c r="M61" s="293">
        <f t="shared" si="33"/>
        <v>0</v>
      </c>
      <c r="N61" s="293">
        <f t="shared" si="33"/>
        <v>0</v>
      </c>
      <c r="O61" s="293">
        <f t="shared" si="33"/>
        <v>0</v>
      </c>
      <c r="P61" s="293">
        <f t="shared" si="33"/>
        <v>0</v>
      </c>
      <c r="Q61" s="293">
        <f t="shared" si="33"/>
        <v>0</v>
      </c>
      <c r="R61" s="293">
        <f t="shared" si="33"/>
        <v>0</v>
      </c>
      <c r="S61" s="293">
        <f t="shared" si="33"/>
        <v>0</v>
      </c>
      <c r="T61" s="293">
        <f t="shared" si="33"/>
        <v>0</v>
      </c>
      <c r="U61" s="293">
        <f t="shared" si="33"/>
        <v>0</v>
      </c>
      <c r="V61" s="293">
        <f>V60</f>
        <v>0</v>
      </c>
      <c r="W61" s="293">
        <f t="shared" si="33"/>
        <v>0</v>
      </c>
      <c r="X61" s="293">
        <f t="shared" si="33"/>
        <v>0</v>
      </c>
      <c r="Y61" s="293">
        <f t="shared" si="33"/>
        <v>0</v>
      </c>
      <c r="Z61" s="293">
        <f t="shared" si="33"/>
        <v>0</v>
      </c>
      <c r="AA61" s="293">
        <f t="shared" si="33"/>
        <v>0</v>
      </c>
      <c r="AB61" s="293">
        <f t="shared" si="33"/>
        <v>0</v>
      </c>
      <c r="AC61" s="293">
        <f t="shared" si="33"/>
        <v>0</v>
      </c>
      <c r="AD61" s="293">
        <f t="shared" si="33"/>
        <v>-1.9500000169500709E-2</v>
      </c>
      <c r="AE61" s="293">
        <f t="shared" si="33"/>
        <v>0</v>
      </c>
      <c r="AF61" s="293">
        <f t="shared" si="33"/>
        <v>0</v>
      </c>
      <c r="AG61" s="293">
        <f t="shared" si="33"/>
        <v>0</v>
      </c>
      <c r="AH61" s="293">
        <f t="shared" si="33"/>
        <v>0</v>
      </c>
      <c r="AI61" s="293">
        <f t="shared" si="33"/>
        <v>0</v>
      </c>
      <c r="AJ61" s="293">
        <f t="shared" si="33"/>
        <v>0</v>
      </c>
      <c r="AK61" s="293">
        <f t="shared" si="33"/>
        <v>0</v>
      </c>
      <c r="AL61" s="293">
        <f t="shared" si="33"/>
        <v>0</v>
      </c>
      <c r="AM61" s="293">
        <f t="shared" si="33"/>
        <v>0</v>
      </c>
      <c r="AN61" s="293">
        <f t="shared" si="33"/>
        <v>0</v>
      </c>
      <c r="AO61" s="293">
        <f t="shared" si="33"/>
        <v>0</v>
      </c>
      <c r="AP61" s="293">
        <f t="shared" si="33"/>
        <v>0</v>
      </c>
      <c r="AQ61" s="293">
        <f t="shared" si="33"/>
        <v>0</v>
      </c>
      <c r="AR61" s="293">
        <f t="shared" si="33"/>
        <v>0</v>
      </c>
      <c r="AS61" s="293">
        <f t="shared" si="33"/>
        <v>0</v>
      </c>
      <c r="AT61" s="293">
        <f t="shared" si="33"/>
        <v>0</v>
      </c>
      <c r="AU61" s="293">
        <f t="shared" si="33"/>
        <v>0</v>
      </c>
      <c r="AV61" s="293">
        <f t="shared" si="33"/>
        <v>0</v>
      </c>
      <c r="AW61" s="293">
        <f t="shared" si="33"/>
        <v>0</v>
      </c>
      <c r="AX61" s="293">
        <f t="shared" si="33"/>
        <v>0</v>
      </c>
      <c r="AY61" s="293">
        <f t="shared" si="33"/>
        <v>0</v>
      </c>
      <c r="AZ61" s="293">
        <f t="shared" si="33"/>
        <v>0</v>
      </c>
      <c r="BA61" s="293">
        <f t="shared" si="33"/>
        <v>0</v>
      </c>
      <c r="BB61" s="293">
        <f t="shared" si="33"/>
        <v>0</v>
      </c>
      <c r="BC61" s="293">
        <f t="shared" si="33"/>
        <v>0</v>
      </c>
      <c r="BD61" s="293">
        <f t="shared" si="33"/>
        <v>0</v>
      </c>
      <c r="BE61" s="293">
        <f t="shared" si="33"/>
        <v>0</v>
      </c>
      <c r="BF61" s="293">
        <f t="shared" si="33"/>
        <v>0</v>
      </c>
      <c r="BG61" s="293">
        <f t="shared" si="33"/>
        <v>0</v>
      </c>
      <c r="BH61" s="293">
        <f t="shared" si="33"/>
        <v>0</v>
      </c>
      <c r="BI61" s="293">
        <f t="shared" si="33"/>
        <v>0</v>
      </c>
      <c r="BJ61" s="293">
        <f t="shared" si="33"/>
        <v>0</v>
      </c>
      <c r="BK61" s="293">
        <f t="shared" si="33"/>
        <v>0</v>
      </c>
      <c r="BL61" s="293">
        <f t="shared" si="33"/>
        <v>0</v>
      </c>
      <c r="BM61" s="293">
        <f t="shared" si="33"/>
        <v>0</v>
      </c>
      <c r="BN61" s="293">
        <f t="shared" si="33"/>
        <v>0</v>
      </c>
      <c r="BO61" s="294"/>
      <c r="BS61" s="219"/>
    </row>
    <row r="62" spans="1:71" s="216" customFormat="1" ht="15.75" thickBot="1">
      <c r="A62" s="215"/>
      <c r="B62" s="464" t="s">
        <v>150</v>
      </c>
      <c r="C62" s="465">
        <f>100%-C61</f>
        <v>0.35</v>
      </c>
      <c r="D62" s="293">
        <f>((D61/$C$61)*$C$62)</f>
        <v>0</v>
      </c>
      <c r="E62" s="293">
        <f>((E61/$C$61)*$C$62)</f>
        <v>0</v>
      </c>
      <c r="F62" s="293">
        <f t="shared" ref="F62:BN62" si="34">((F61/$C$61)*$C$62)</f>
        <v>0</v>
      </c>
      <c r="G62" s="293">
        <f t="shared" si="34"/>
        <v>0</v>
      </c>
      <c r="H62" s="293">
        <f t="shared" si="34"/>
        <v>0</v>
      </c>
      <c r="I62" s="293">
        <f t="shared" si="34"/>
        <v>0</v>
      </c>
      <c r="J62" s="293">
        <f t="shared" si="34"/>
        <v>0</v>
      </c>
      <c r="K62" s="293">
        <f t="shared" si="34"/>
        <v>0</v>
      </c>
      <c r="L62" s="293">
        <f t="shared" si="34"/>
        <v>0</v>
      </c>
      <c r="M62" s="293">
        <f t="shared" si="34"/>
        <v>0</v>
      </c>
      <c r="N62" s="293">
        <f t="shared" si="34"/>
        <v>0</v>
      </c>
      <c r="O62" s="293">
        <f t="shared" si="34"/>
        <v>0</v>
      </c>
      <c r="P62" s="293">
        <f t="shared" si="34"/>
        <v>0</v>
      </c>
      <c r="Q62" s="293">
        <f t="shared" si="34"/>
        <v>0</v>
      </c>
      <c r="R62" s="293">
        <f t="shared" si="34"/>
        <v>0</v>
      </c>
      <c r="S62" s="293">
        <f t="shared" si="34"/>
        <v>0</v>
      </c>
      <c r="T62" s="293">
        <f t="shared" si="34"/>
        <v>0</v>
      </c>
      <c r="U62" s="293">
        <f t="shared" si="34"/>
        <v>0</v>
      </c>
      <c r="V62" s="293">
        <f t="shared" si="34"/>
        <v>0</v>
      </c>
      <c r="W62" s="293">
        <f t="shared" si="34"/>
        <v>0</v>
      </c>
      <c r="X62" s="293">
        <f t="shared" si="34"/>
        <v>0</v>
      </c>
      <c r="Y62" s="293">
        <f t="shared" si="34"/>
        <v>0</v>
      </c>
      <c r="Z62" s="293">
        <f t="shared" si="34"/>
        <v>0</v>
      </c>
      <c r="AA62" s="293">
        <f t="shared" si="34"/>
        <v>0</v>
      </c>
      <c r="AB62" s="293">
        <f t="shared" si="34"/>
        <v>0</v>
      </c>
      <c r="AC62" s="293">
        <f t="shared" si="34"/>
        <v>0</v>
      </c>
      <c r="AD62" s="293">
        <f t="shared" si="34"/>
        <v>-1.0500000091269612E-2</v>
      </c>
      <c r="AE62" s="293">
        <f t="shared" si="34"/>
        <v>0</v>
      </c>
      <c r="AF62" s="293">
        <f t="shared" si="34"/>
        <v>0</v>
      </c>
      <c r="AG62" s="293">
        <f t="shared" si="34"/>
        <v>0</v>
      </c>
      <c r="AH62" s="293">
        <f t="shared" si="34"/>
        <v>0</v>
      </c>
      <c r="AI62" s="293">
        <f t="shared" si="34"/>
        <v>0</v>
      </c>
      <c r="AJ62" s="293">
        <f t="shared" si="34"/>
        <v>0</v>
      </c>
      <c r="AK62" s="293">
        <f t="shared" si="34"/>
        <v>0</v>
      </c>
      <c r="AL62" s="293">
        <f t="shared" si="34"/>
        <v>0</v>
      </c>
      <c r="AM62" s="293">
        <f t="shared" si="34"/>
        <v>0</v>
      </c>
      <c r="AN62" s="293">
        <f t="shared" si="34"/>
        <v>0</v>
      </c>
      <c r="AO62" s="293">
        <f t="shared" si="34"/>
        <v>0</v>
      </c>
      <c r="AP62" s="293">
        <f t="shared" si="34"/>
        <v>0</v>
      </c>
      <c r="AQ62" s="293">
        <f t="shared" si="34"/>
        <v>0</v>
      </c>
      <c r="AR62" s="293">
        <f t="shared" si="34"/>
        <v>0</v>
      </c>
      <c r="AS62" s="293">
        <f t="shared" si="34"/>
        <v>0</v>
      </c>
      <c r="AT62" s="293">
        <f t="shared" si="34"/>
        <v>0</v>
      </c>
      <c r="AU62" s="293">
        <f t="shared" si="34"/>
        <v>0</v>
      </c>
      <c r="AV62" s="293">
        <f t="shared" si="34"/>
        <v>0</v>
      </c>
      <c r="AW62" s="293">
        <f t="shared" si="34"/>
        <v>0</v>
      </c>
      <c r="AX62" s="293">
        <f t="shared" si="34"/>
        <v>0</v>
      </c>
      <c r="AY62" s="293">
        <f t="shared" si="34"/>
        <v>0</v>
      </c>
      <c r="AZ62" s="293">
        <f t="shared" si="34"/>
        <v>0</v>
      </c>
      <c r="BA62" s="293">
        <f t="shared" si="34"/>
        <v>0</v>
      </c>
      <c r="BB62" s="293">
        <f t="shared" si="34"/>
        <v>0</v>
      </c>
      <c r="BC62" s="293">
        <f t="shared" si="34"/>
        <v>0</v>
      </c>
      <c r="BD62" s="293">
        <f t="shared" si="34"/>
        <v>0</v>
      </c>
      <c r="BE62" s="293">
        <f t="shared" si="34"/>
        <v>0</v>
      </c>
      <c r="BF62" s="293">
        <f t="shared" si="34"/>
        <v>0</v>
      </c>
      <c r="BG62" s="293">
        <f t="shared" si="34"/>
        <v>0</v>
      </c>
      <c r="BH62" s="293">
        <f t="shared" si="34"/>
        <v>0</v>
      </c>
      <c r="BI62" s="293">
        <f t="shared" si="34"/>
        <v>0</v>
      </c>
      <c r="BJ62" s="293">
        <f t="shared" si="34"/>
        <v>0</v>
      </c>
      <c r="BK62" s="293">
        <f t="shared" si="34"/>
        <v>0</v>
      </c>
      <c r="BL62" s="293">
        <f t="shared" si="34"/>
        <v>0</v>
      </c>
      <c r="BM62" s="293">
        <f t="shared" si="34"/>
        <v>0</v>
      </c>
      <c r="BN62" s="293">
        <f t="shared" si="34"/>
        <v>0</v>
      </c>
      <c r="BO62" s="294"/>
      <c r="BS62" s="219"/>
    </row>
    <row r="63" spans="1:71" s="216" customFormat="1">
      <c r="A63" s="215"/>
      <c r="B63" s="301"/>
      <c r="C63" s="277"/>
      <c r="D63" s="277"/>
      <c r="E63" s="277"/>
      <c r="F63" s="277"/>
      <c r="G63" s="277"/>
      <c r="H63" s="277"/>
      <c r="I63" s="277"/>
      <c r="J63" s="277"/>
      <c r="K63" s="277"/>
      <c r="L63" s="277"/>
      <c r="M63" s="277"/>
      <c r="N63" s="277"/>
      <c r="O63" s="277"/>
      <c r="P63" s="277"/>
      <c r="Q63" s="277"/>
      <c r="R63" s="277"/>
      <c r="S63" s="277"/>
      <c r="T63" s="277"/>
      <c r="U63" s="277"/>
      <c r="V63" s="277"/>
      <c r="W63" s="277"/>
      <c r="X63" s="277"/>
      <c r="Y63" s="277"/>
      <c r="Z63" s="277"/>
      <c r="AA63" s="277"/>
      <c r="AB63" s="277"/>
      <c r="AC63" s="277"/>
      <c r="AD63" s="277"/>
      <c r="AE63" s="277"/>
      <c r="AF63" s="277"/>
      <c r="AG63" s="277"/>
      <c r="AH63" s="277"/>
      <c r="AI63" s="277"/>
      <c r="AJ63" s="277"/>
      <c r="AK63" s="277"/>
      <c r="AL63" s="277"/>
      <c r="AM63" s="277"/>
      <c r="AN63" s="277"/>
      <c r="AO63" s="277"/>
      <c r="AP63" s="277"/>
      <c r="AQ63" s="277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331"/>
      <c r="BO63" s="224"/>
      <c r="BS63" s="219"/>
    </row>
    <row r="64" spans="1:71" s="216" customFormat="1">
      <c r="A64" s="215"/>
      <c r="B64" s="441" t="s">
        <v>183</v>
      </c>
      <c r="C64" s="442"/>
      <c r="D64" s="443"/>
      <c r="E64" s="443"/>
      <c r="F64" s="443"/>
      <c r="G64" s="443"/>
      <c r="H64" s="443"/>
      <c r="I64" s="443"/>
      <c r="J64" s="443"/>
      <c r="K64" s="443"/>
      <c r="L64" s="443"/>
      <c r="M64" s="443"/>
      <c r="N64" s="443"/>
      <c r="O64" s="443"/>
      <c r="P64" s="443"/>
      <c r="Q64" s="443"/>
      <c r="R64" s="443"/>
      <c r="S64" s="443"/>
      <c r="T64" s="443"/>
      <c r="U64" s="443"/>
      <c r="V64" s="443"/>
      <c r="W64" s="443"/>
      <c r="X64" s="443"/>
      <c r="Y64" s="443"/>
      <c r="Z64" s="443"/>
      <c r="AA64" s="443"/>
      <c r="AB64" s="443"/>
      <c r="AC64" s="443"/>
      <c r="AD64" s="443"/>
      <c r="AE64" s="443"/>
      <c r="AF64" s="443"/>
      <c r="AG64" s="443"/>
      <c r="AH64" s="443"/>
      <c r="AI64" s="443"/>
      <c r="AJ64" s="443"/>
      <c r="AK64" s="443"/>
      <c r="AL64" s="443"/>
      <c r="AM64" s="443"/>
      <c r="AN64" s="443"/>
      <c r="AO64" s="443"/>
      <c r="AP64" s="443"/>
      <c r="AQ64" s="443"/>
      <c r="AR64" s="443"/>
      <c r="AS64" s="443"/>
      <c r="AT64" s="443"/>
      <c r="AU64" s="443"/>
      <c r="AV64" s="443"/>
      <c r="AW64" s="443"/>
      <c r="AX64" s="443"/>
      <c r="AY64" s="443"/>
      <c r="AZ64" s="443"/>
      <c r="BA64" s="443"/>
      <c r="BB64" s="443"/>
      <c r="BC64" s="443"/>
      <c r="BD64" s="443"/>
      <c r="BE64" s="443"/>
      <c r="BF64" s="443"/>
      <c r="BG64" s="443"/>
      <c r="BH64" s="443"/>
      <c r="BI64" s="443"/>
      <c r="BJ64" s="443"/>
      <c r="BK64" s="443"/>
      <c r="BL64" s="443"/>
      <c r="BM64" s="443"/>
      <c r="BN64" s="444"/>
      <c r="BO64" s="280"/>
      <c r="BS64" s="219"/>
    </row>
    <row r="65" spans="1:71" s="216" customFormat="1">
      <c r="A65" s="215"/>
      <c r="B65" s="380" t="s">
        <v>375</v>
      </c>
      <c r="C65" s="340"/>
      <c r="D65" s="340">
        <f t="shared" ref="D65:BN65" si="35">((D24+D27)*$C$17)+(D40*$C$17)+(D53*$C$17)+(D61*$C$17)</f>
        <v>0</v>
      </c>
      <c r="E65" s="340">
        <f>((E24+E27)*$C$17)+(E40*$C$17)+(E53*$C$17)+(E61*$C$17)</f>
        <v>0</v>
      </c>
      <c r="F65" s="340">
        <f t="shared" si="35"/>
        <v>0</v>
      </c>
      <c r="G65" s="340">
        <f t="shared" si="35"/>
        <v>0</v>
      </c>
      <c r="H65" s="340">
        <f t="shared" si="35"/>
        <v>0</v>
      </c>
      <c r="I65" s="340">
        <f t="shared" si="35"/>
        <v>0</v>
      </c>
      <c r="J65" s="340">
        <f t="shared" si="35"/>
        <v>0</v>
      </c>
      <c r="K65" s="340">
        <f t="shared" si="35"/>
        <v>0</v>
      </c>
      <c r="L65" s="340">
        <f t="shared" si="35"/>
        <v>0</v>
      </c>
      <c r="M65" s="340">
        <f t="shared" si="35"/>
        <v>0</v>
      </c>
      <c r="N65" s="340">
        <f t="shared" si="35"/>
        <v>0</v>
      </c>
      <c r="O65" s="340">
        <f t="shared" si="35"/>
        <v>0</v>
      </c>
      <c r="P65" s="340">
        <f t="shared" si="35"/>
        <v>0</v>
      </c>
      <c r="Q65" s="340">
        <f t="shared" si="35"/>
        <v>0</v>
      </c>
      <c r="R65" s="340">
        <f t="shared" si="35"/>
        <v>0</v>
      </c>
      <c r="S65" s="340">
        <f t="shared" si="35"/>
        <v>0</v>
      </c>
      <c r="T65" s="340">
        <f t="shared" si="35"/>
        <v>0</v>
      </c>
      <c r="U65" s="340">
        <f t="shared" si="35"/>
        <v>0</v>
      </c>
      <c r="V65" s="340">
        <f t="shared" si="35"/>
        <v>0</v>
      </c>
      <c r="W65" s="340">
        <f t="shared" si="35"/>
        <v>0</v>
      </c>
      <c r="X65" s="340">
        <f t="shared" si="35"/>
        <v>47486.046509941363</v>
      </c>
      <c r="Y65" s="340">
        <f t="shared" si="35"/>
        <v>47486.046509941363</v>
      </c>
      <c r="Z65" s="340">
        <f t="shared" si="35"/>
        <v>47486.046509941363</v>
      </c>
      <c r="AA65" s="340">
        <f t="shared" si="35"/>
        <v>1332686.0465099413</v>
      </c>
      <c r="AB65" s="340">
        <f t="shared" si="35"/>
        <v>47486.046509941363</v>
      </c>
      <c r="AC65" s="340">
        <f t="shared" si="35"/>
        <v>47486.046509941363</v>
      </c>
      <c r="AD65" s="340">
        <f t="shared" si="35"/>
        <v>27745059.596053269</v>
      </c>
      <c r="AE65" s="340">
        <f t="shared" si="35"/>
        <v>0</v>
      </c>
      <c r="AF65" s="340">
        <f t="shared" si="35"/>
        <v>0</v>
      </c>
      <c r="AG65" s="340">
        <f t="shared" si="35"/>
        <v>0</v>
      </c>
      <c r="AH65" s="340">
        <f t="shared" si="35"/>
        <v>0</v>
      </c>
      <c r="AI65" s="340">
        <f t="shared" si="35"/>
        <v>0</v>
      </c>
      <c r="AJ65" s="340">
        <f t="shared" si="35"/>
        <v>0</v>
      </c>
      <c r="AK65" s="340">
        <f t="shared" si="35"/>
        <v>0</v>
      </c>
      <c r="AL65" s="340">
        <f t="shared" si="35"/>
        <v>0</v>
      </c>
      <c r="AM65" s="340">
        <f t="shared" si="35"/>
        <v>0</v>
      </c>
      <c r="AN65" s="340">
        <f t="shared" si="35"/>
        <v>0</v>
      </c>
      <c r="AO65" s="340">
        <f t="shared" si="35"/>
        <v>0</v>
      </c>
      <c r="AP65" s="340">
        <f t="shared" si="35"/>
        <v>0</v>
      </c>
      <c r="AQ65" s="340">
        <f t="shared" si="35"/>
        <v>0</v>
      </c>
      <c r="AR65" s="340">
        <f t="shared" si="35"/>
        <v>0</v>
      </c>
      <c r="AS65" s="340">
        <f t="shared" si="35"/>
        <v>0</v>
      </c>
      <c r="AT65" s="340">
        <f t="shared" si="35"/>
        <v>0</v>
      </c>
      <c r="AU65" s="340">
        <f t="shared" si="35"/>
        <v>0</v>
      </c>
      <c r="AV65" s="340">
        <f t="shared" si="35"/>
        <v>0</v>
      </c>
      <c r="AW65" s="340">
        <f t="shared" si="35"/>
        <v>0</v>
      </c>
      <c r="AX65" s="340">
        <f t="shared" si="35"/>
        <v>0</v>
      </c>
      <c r="AY65" s="340">
        <f t="shared" si="35"/>
        <v>0</v>
      </c>
      <c r="AZ65" s="340">
        <f t="shared" si="35"/>
        <v>0</v>
      </c>
      <c r="BA65" s="340">
        <f t="shared" si="35"/>
        <v>0</v>
      </c>
      <c r="BB65" s="340">
        <f t="shared" si="35"/>
        <v>0</v>
      </c>
      <c r="BC65" s="340">
        <f t="shared" si="35"/>
        <v>0</v>
      </c>
      <c r="BD65" s="340">
        <f t="shared" si="35"/>
        <v>0</v>
      </c>
      <c r="BE65" s="340">
        <f t="shared" si="35"/>
        <v>0</v>
      </c>
      <c r="BF65" s="340">
        <f t="shared" si="35"/>
        <v>0</v>
      </c>
      <c r="BG65" s="340">
        <f t="shared" si="35"/>
        <v>0</v>
      </c>
      <c r="BH65" s="340">
        <f t="shared" si="35"/>
        <v>0</v>
      </c>
      <c r="BI65" s="340">
        <f t="shared" si="35"/>
        <v>0</v>
      </c>
      <c r="BJ65" s="340">
        <f t="shared" si="35"/>
        <v>0</v>
      </c>
      <c r="BK65" s="340">
        <f t="shared" si="35"/>
        <v>0</v>
      </c>
      <c r="BL65" s="340">
        <f t="shared" si="35"/>
        <v>0</v>
      </c>
      <c r="BM65" s="340">
        <f t="shared" si="35"/>
        <v>0</v>
      </c>
      <c r="BN65" s="448">
        <f t="shared" si="35"/>
        <v>0</v>
      </c>
      <c r="BO65" s="340"/>
      <c r="BS65" s="219"/>
    </row>
    <row r="66" spans="1:71" s="216" customFormat="1">
      <c r="A66" s="215"/>
      <c r="B66" s="380" t="s">
        <v>184</v>
      </c>
      <c r="C66" s="340"/>
      <c r="D66" s="340">
        <f>((D24+D27)*$C$18)+(D40*$C$18)+D41+(D53*$C$18)+D54+(D61*$C$18)+D62+D$30</f>
        <v>0</v>
      </c>
      <c r="E66" s="340">
        <f t="shared" ref="E66:X66" si="36">((E24+E27)*$C$18)+(E40*$C$18)+E41+(E53*$C$18)+E54+(E61*$C$18)+E62+E$30</f>
        <v>0</v>
      </c>
      <c r="F66" s="340">
        <f t="shared" si="36"/>
        <v>0</v>
      </c>
      <c r="G66" s="340">
        <f t="shared" si="36"/>
        <v>0</v>
      </c>
      <c r="H66" s="340">
        <f t="shared" si="36"/>
        <v>0</v>
      </c>
      <c r="I66" s="340">
        <f t="shared" si="36"/>
        <v>0</v>
      </c>
      <c r="J66" s="340">
        <f t="shared" si="36"/>
        <v>0</v>
      </c>
      <c r="K66" s="340">
        <f t="shared" si="36"/>
        <v>0</v>
      </c>
      <c r="L66" s="340">
        <f t="shared" si="36"/>
        <v>0</v>
      </c>
      <c r="M66" s="340">
        <f t="shared" si="36"/>
        <v>0</v>
      </c>
      <c r="N66" s="340">
        <f t="shared" si="36"/>
        <v>0</v>
      </c>
      <c r="O66" s="340">
        <f t="shared" si="36"/>
        <v>0</v>
      </c>
      <c r="P66" s="340">
        <f t="shared" si="36"/>
        <v>0</v>
      </c>
      <c r="Q66" s="340">
        <f t="shared" si="36"/>
        <v>0</v>
      </c>
      <c r="R66" s="340">
        <f t="shared" si="36"/>
        <v>0</v>
      </c>
      <c r="S66" s="340">
        <f t="shared" si="36"/>
        <v>0</v>
      </c>
      <c r="T66" s="340">
        <f t="shared" si="36"/>
        <v>0</v>
      </c>
      <c r="U66" s="340">
        <f t="shared" si="36"/>
        <v>0</v>
      </c>
      <c r="V66" s="340">
        <f t="shared" si="36"/>
        <v>0</v>
      </c>
      <c r="W66" s="340">
        <f t="shared" si="36"/>
        <v>0</v>
      </c>
      <c r="X66" s="340">
        <f t="shared" si="36"/>
        <v>8379.8905605778891</v>
      </c>
      <c r="Y66" s="340">
        <f t="shared" ref="Y66:BN66" si="37">((Y24+Y27)*$C$18)+(Y40*$C$18)+Y41+(Y53*$C$18)+Y54+(Y61*$C$18)+Y62</f>
        <v>8379.8905605778891</v>
      </c>
      <c r="Z66" s="340">
        <f t="shared" si="37"/>
        <v>8379.8905605778891</v>
      </c>
      <c r="AA66" s="340">
        <f t="shared" si="37"/>
        <v>235179.89056057791</v>
      </c>
      <c r="AB66" s="340">
        <f t="shared" si="37"/>
        <v>8379.8905605778891</v>
      </c>
      <c r="AC66" s="340">
        <f t="shared" si="37"/>
        <v>8379.8905605778891</v>
      </c>
      <c r="AD66" s="340">
        <f t="shared" si="37"/>
        <v>5806727.541962835</v>
      </c>
      <c r="AE66" s="340">
        <f t="shared" si="37"/>
        <v>0</v>
      </c>
      <c r="AF66" s="340">
        <f t="shared" si="37"/>
        <v>0</v>
      </c>
      <c r="AG66" s="340">
        <f t="shared" si="37"/>
        <v>0</v>
      </c>
      <c r="AH66" s="340">
        <f t="shared" si="37"/>
        <v>0</v>
      </c>
      <c r="AI66" s="340">
        <f t="shared" si="37"/>
        <v>0</v>
      </c>
      <c r="AJ66" s="340">
        <f t="shared" si="37"/>
        <v>0</v>
      </c>
      <c r="AK66" s="340">
        <f t="shared" si="37"/>
        <v>0</v>
      </c>
      <c r="AL66" s="340">
        <f t="shared" si="37"/>
        <v>0</v>
      </c>
      <c r="AM66" s="340">
        <f t="shared" si="37"/>
        <v>0</v>
      </c>
      <c r="AN66" s="340">
        <f t="shared" si="37"/>
        <v>0</v>
      </c>
      <c r="AO66" s="340">
        <f t="shared" si="37"/>
        <v>0</v>
      </c>
      <c r="AP66" s="340">
        <f t="shared" si="37"/>
        <v>0</v>
      </c>
      <c r="AQ66" s="340">
        <f t="shared" si="37"/>
        <v>0</v>
      </c>
      <c r="AR66" s="340">
        <f t="shared" si="37"/>
        <v>0</v>
      </c>
      <c r="AS66" s="340">
        <f t="shared" si="37"/>
        <v>0</v>
      </c>
      <c r="AT66" s="340">
        <f t="shared" si="37"/>
        <v>0</v>
      </c>
      <c r="AU66" s="340">
        <f t="shared" si="37"/>
        <v>0</v>
      </c>
      <c r="AV66" s="340">
        <f t="shared" si="37"/>
        <v>0</v>
      </c>
      <c r="AW66" s="340">
        <f t="shared" si="37"/>
        <v>0</v>
      </c>
      <c r="AX66" s="340">
        <f t="shared" si="37"/>
        <v>0</v>
      </c>
      <c r="AY66" s="340">
        <f t="shared" si="37"/>
        <v>0</v>
      </c>
      <c r="AZ66" s="340">
        <f t="shared" si="37"/>
        <v>0</v>
      </c>
      <c r="BA66" s="340">
        <f t="shared" si="37"/>
        <v>0</v>
      </c>
      <c r="BB66" s="340">
        <f t="shared" si="37"/>
        <v>0</v>
      </c>
      <c r="BC66" s="340">
        <f t="shared" si="37"/>
        <v>0</v>
      </c>
      <c r="BD66" s="340">
        <f t="shared" si="37"/>
        <v>0</v>
      </c>
      <c r="BE66" s="340">
        <f t="shared" si="37"/>
        <v>0</v>
      </c>
      <c r="BF66" s="340">
        <f t="shared" si="37"/>
        <v>0</v>
      </c>
      <c r="BG66" s="340">
        <f t="shared" si="37"/>
        <v>0</v>
      </c>
      <c r="BH66" s="340">
        <f t="shared" si="37"/>
        <v>0</v>
      </c>
      <c r="BI66" s="340">
        <f t="shared" si="37"/>
        <v>0</v>
      </c>
      <c r="BJ66" s="340">
        <f t="shared" si="37"/>
        <v>0</v>
      </c>
      <c r="BK66" s="340">
        <f t="shared" si="37"/>
        <v>0</v>
      </c>
      <c r="BL66" s="340">
        <f t="shared" si="37"/>
        <v>0</v>
      </c>
      <c r="BM66" s="340">
        <f t="shared" si="37"/>
        <v>0</v>
      </c>
      <c r="BN66" s="340">
        <f t="shared" si="37"/>
        <v>0</v>
      </c>
      <c r="BO66" s="594"/>
      <c r="BP66" s="567" t="s">
        <v>91</v>
      </c>
      <c r="BQ66" s="567" t="s">
        <v>185</v>
      </c>
      <c r="BS66" s="219"/>
    </row>
    <row r="67" spans="1:71" s="216" customFormat="1" ht="15.75" thickBot="1">
      <c r="A67" s="215"/>
      <c r="B67" s="445" t="s">
        <v>167</v>
      </c>
      <c r="C67" s="446">
        <f>C11</f>
        <v>-24033944.982098967</v>
      </c>
      <c r="D67" s="446">
        <f>SUM(D65:D66)</f>
        <v>0</v>
      </c>
      <c r="E67" s="446">
        <f>SUM(E65:E66)</f>
        <v>0</v>
      </c>
      <c r="F67" s="446">
        <f t="shared" ref="F67:BN67" si="38">SUM(F65:F66)</f>
        <v>0</v>
      </c>
      <c r="G67" s="446">
        <f t="shared" si="38"/>
        <v>0</v>
      </c>
      <c r="H67" s="446">
        <f t="shared" si="38"/>
        <v>0</v>
      </c>
      <c r="I67" s="446">
        <f t="shared" si="38"/>
        <v>0</v>
      </c>
      <c r="J67" s="446">
        <f t="shared" si="38"/>
        <v>0</v>
      </c>
      <c r="K67" s="446">
        <f t="shared" si="38"/>
        <v>0</v>
      </c>
      <c r="L67" s="446">
        <f t="shared" si="38"/>
        <v>0</v>
      </c>
      <c r="M67" s="446">
        <f t="shared" si="38"/>
        <v>0</v>
      </c>
      <c r="N67" s="446">
        <f t="shared" si="38"/>
        <v>0</v>
      </c>
      <c r="O67" s="446">
        <f t="shared" si="38"/>
        <v>0</v>
      </c>
      <c r="P67" s="446">
        <f t="shared" si="38"/>
        <v>0</v>
      </c>
      <c r="Q67" s="446">
        <v>0</v>
      </c>
      <c r="R67" s="446">
        <f t="shared" si="38"/>
        <v>0</v>
      </c>
      <c r="S67" s="446">
        <f t="shared" si="38"/>
        <v>0</v>
      </c>
      <c r="T67" s="446">
        <f t="shared" si="38"/>
        <v>0</v>
      </c>
      <c r="U67" s="446">
        <f t="shared" si="38"/>
        <v>0</v>
      </c>
      <c r="V67" s="446">
        <f t="shared" si="38"/>
        <v>0</v>
      </c>
      <c r="W67" s="446">
        <f t="shared" si="38"/>
        <v>0</v>
      </c>
      <c r="X67" s="446">
        <f t="shared" si="38"/>
        <v>55865.937070519256</v>
      </c>
      <c r="Y67" s="446">
        <f t="shared" si="38"/>
        <v>55865.937070519256</v>
      </c>
      <c r="Z67" s="446">
        <f t="shared" si="38"/>
        <v>55865.937070519256</v>
      </c>
      <c r="AA67" s="446">
        <f t="shared" si="38"/>
        <v>1567865.9370705192</v>
      </c>
      <c r="AB67" s="446">
        <f t="shared" si="38"/>
        <v>55865.937070519256</v>
      </c>
      <c r="AC67" s="446">
        <f t="shared" si="38"/>
        <v>55865.937070519256</v>
      </c>
      <c r="AD67" s="446">
        <f t="shared" si="38"/>
        <v>33551787.138016105</v>
      </c>
      <c r="AE67" s="446">
        <f t="shared" si="38"/>
        <v>0</v>
      </c>
      <c r="AF67" s="446">
        <f t="shared" si="38"/>
        <v>0</v>
      </c>
      <c r="AG67" s="446">
        <f t="shared" si="38"/>
        <v>0</v>
      </c>
      <c r="AH67" s="446">
        <f t="shared" si="38"/>
        <v>0</v>
      </c>
      <c r="AI67" s="446">
        <f t="shared" si="38"/>
        <v>0</v>
      </c>
      <c r="AJ67" s="446">
        <f t="shared" si="38"/>
        <v>0</v>
      </c>
      <c r="AK67" s="446">
        <f t="shared" si="38"/>
        <v>0</v>
      </c>
      <c r="AL67" s="446">
        <f t="shared" si="38"/>
        <v>0</v>
      </c>
      <c r="AM67" s="446">
        <f t="shared" si="38"/>
        <v>0</v>
      </c>
      <c r="AN67" s="446">
        <f t="shared" si="38"/>
        <v>0</v>
      </c>
      <c r="AO67" s="446">
        <f t="shared" si="38"/>
        <v>0</v>
      </c>
      <c r="AP67" s="446">
        <f t="shared" si="38"/>
        <v>0</v>
      </c>
      <c r="AQ67" s="446">
        <f t="shared" si="38"/>
        <v>0</v>
      </c>
      <c r="AR67" s="446">
        <f t="shared" si="38"/>
        <v>0</v>
      </c>
      <c r="AS67" s="446">
        <f t="shared" si="38"/>
        <v>0</v>
      </c>
      <c r="AT67" s="446">
        <f t="shared" si="38"/>
        <v>0</v>
      </c>
      <c r="AU67" s="446">
        <f t="shared" si="38"/>
        <v>0</v>
      </c>
      <c r="AV67" s="446">
        <f t="shared" si="38"/>
        <v>0</v>
      </c>
      <c r="AW67" s="446">
        <f t="shared" si="38"/>
        <v>0</v>
      </c>
      <c r="AX67" s="446">
        <f t="shared" si="38"/>
        <v>0</v>
      </c>
      <c r="AY67" s="446">
        <f t="shared" si="38"/>
        <v>0</v>
      </c>
      <c r="AZ67" s="446">
        <f t="shared" si="38"/>
        <v>0</v>
      </c>
      <c r="BA67" s="446">
        <f t="shared" si="38"/>
        <v>0</v>
      </c>
      <c r="BB67" s="446">
        <f t="shared" si="38"/>
        <v>0</v>
      </c>
      <c r="BC67" s="446">
        <f t="shared" si="38"/>
        <v>0</v>
      </c>
      <c r="BD67" s="446">
        <f t="shared" si="38"/>
        <v>0</v>
      </c>
      <c r="BE67" s="446">
        <f t="shared" si="38"/>
        <v>0</v>
      </c>
      <c r="BF67" s="446">
        <f>SUM(BF65:BF66)</f>
        <v>0</v>
      </c>
      <c r="BG67" s="446">
        <f t="shared" si="38"/>
        <v>0</v>
      </c>
      <c r="BH67" s="446">
        <f t="shared" si="38"/>
        <v>0</v>
      </c>
      <c r="BI67" s="446">
        <f t="shared" si="38"/>
        <v>0</v>
      </c>
      <c r="BJ67" s="446">
        <f t="shared" si="38"/>
        <v>0</v>
      </c>
      <c r="BK67" s="446">
        <f t="shared" si="38"/>
        <v>0</v>
      </c>
      <c r="BL67" s="446">
        <f t="shared" si="38"/>
        <v>0</v>
      </c>
      <c r="BM67" s="446">
        <f t="shared" si="38"/>
        <v>0</v>
      </c>
      <c r="BN67" s="446">
        <f t="shared" si="38"/>
        <v>0</v>
      </c>
      <c r="BO67" s="595"/>
      <c r="BP67" s="568">
        <f>XIRR(C67:BN67,C6:BN6)</f>
        <v>0.19708642363548279</v>
      </c>
      <c r="BQ67" s="569">
        <f>SUM(D67:BN67)/-C67</f>
        <v>1.4728744193600007</v>
      </c>
      <c r="BS67" s="219"/>
    </row>
    <row r="68" spans="1:71" s="216" customFormat="1" ht="15.75" thickTop="1">
      <c r="A68" s="215"/>
      <c r="B68" s="305"/>
      <c r="C68" s="306"/>
      <c r="D68" s="341"/>
      <c r="E68" s="341"/>
      <c r="F68" s="341"/>
      <c r="G68" s="341"/>
      <c r="H68" s="341"/>
      <c r="I68" s="341"/>
      <c r="J68" s="341"/>
      <c r="K68" s="341"/>
      <c r="L68" s="341"/>
      <c r="M68" s="341"/>
      <c r="N68" s="341"/>
      <c r="O68" s="341"/>
      <c r="P68" s="341"/>
      <c r="Q68" s="341"/>
      <c r="R68" s="341"/>
      <c r="S68" s="341"/>
      <c r="T68" s="341"/>
      <c r="U68" s="341"/>
      <c r="V68" s="341"/>
      <c r="W68" s="341"/>
      <c r="X68" s="341"/>
      <c r="Y68" s="341"/>
      <c r="Z68" s="341"/>
      <c r="AA68" s="341"/>
      <c r="AB68" s="341"/>
      <c r="AC68" s="341"/>
      <c r="AD68" s="341"/>
      <c r="AE68" s="341"/>
      <c r="AF68" s="341"/>
      <c r="AG68" s="341"/>
      <c r="AH68" s="341"/>
      <c r="AI68" s="341"/>
      <c r="AJ68" s="341"/>
      <c r="AK68" s="341"/>
      <c r="AL68" s="341"/>
      <c r="AM68" s="341"/>
      <c r="AN68" s="341"/>
      <c r="AO68" s="341"/>
      <c r="AP68" s="341"/>
      <c r="AQ68" s="341"/>
      <c r="AR68" s="341"/>
      <c r="AS68" s="341"/>
      <c r="AT68" s="341"/>
      <c r="AU68" s="341"/>
      <c r="AV68" s="341"/>
      <c r="AW68" s="341"/>
      <c r="AX68" s="341"/>
      <c r="AY68" s="341"/>
      <c r="AZ68" s="341"/>
      <c r="BA68" s="341"/>
      <c r="BB68" s="341"/>
      <c r="BC68" s="341"/>
      <c r="BD68" s="341"/>
      <c r="BE68" s="341"/>
      <c r="BF68" s="341"/>
      <c r="BG68" s="341"/>
      <c r="BH68" s="341"/>
      <c r="BI68" s="341"/>
      <c r="BJ68" s="341"/>
      <c r="BK68" s="341"/>
      <c r="BL68" s="341"/>
      <c r="BM68" s="341"/>
      <c r="BN68" s="307"/>
      <c r="BP68" s="390"/>
      <c r="BQ68" s="390"/>
      <c r="BS68" s="219"/>
    </row>
    <row r="69" spans="1:71" s="216" customFormat="1">
      <c r="A69" s="215"/>
      <c r="B69" s="305" t="s">
        <v>376</v>
      </c>
      <c r="C69" s="306"/>
      <c r="D69" s="341"/>
      <c r="E69" s="341"/>
      <c r="F69" s="341"/>
      <c r="G69" s="341"/>
      <c r="H69" s="341"/>
      <c r="I69" s="341"/>
      <c r="J69" s="341"/>
      <c r="K69" s="341"/>
      <c r="L69" s="341"/>
      <c r="M69" s="341"/>
      <c r="N69" s="341"/>
      <c r="O69" s="341"/>
      <c r="P69" s="341"/>
      <c r="Q69" s="341"/>
      <c r="R69" s="341"/>
      <c r="S69" s="341"/>
      <c r="T69" s="341"/>
      <c r="U69" s="341"/>
      <c r="V69" s="341"/>
      <c r="W69" s="341"/>
      <c r="X69" s="341"/>
      <c r="Y69" s="341"/>
      <c r="Z69" s="341"/>
      <c r="AA69" s="341"/>
      <c r="AB69" s="341"/>
      <c r="AC69" s="341"/>
      <c r="AD69" s="341"/>
      <c r="AE69" s="341"/>
      <c r="AF69" s="341"/>
      <c r="AG69" s="341"/>
      <c r="AH69" s="341"/>
      <c r="AI69" s="341"/>
      <c r="AJ69" s="341"/>
      <c r="AK69" s="341"/>
      <c r="AL69" s="341"/>
      <c r="AM69" s="341"/>
      <c r="AN69" s="341"/>
      <c r="AO69" s="341"/>
      <c r="AP69" s="341"/>
      <c r="AQ69" s="341"/>
      <c r="AR69" s="341"/>
      <c r="AS69" s="341"/>
      <c r="AT69" s="341"/>
      <c r="AU69" s="341"/>
      <c r="AV69" s="341"/>
      <c r="AW69" s="341"/>
      <c r="AX69" s="341"/>
      <c r="AY69" s="341"/>
      <c r="AZ69" s="341"/>
      <c r="BA69" s="341"/>
      <c r="BB69" s="341"/>
      <c r="BC69" s="341"/>
      <c r="BD69" s="341"/>
      <c r="BE69" s="341"/>
      <c r="BF69" s="341"/>
      <c r="BG69" s="341"/>
      <c r="BH69" s="341"/>
      <c r="BI69" s="341"/>
      <c r="BJ69" s="341"/>
      <c r="BK69" s="341"/>
      <c r="BL69" s="341"/>
      <c r="BM69" s="341"/>
      <c r="BN69" s="307"/>
      <c r="BO69" s="596"/>
      <c r="BP69" s="570" t="s">
        <v>91</v>
      </c>
      <c r="BQ69" s="570" t="s">
        <v>185</v>
      </c>
      <c r="BS69" s="219"/>
    </row>
    <row r="70" spans="1:71" s="216" customFormat="1">
      <c r="A70" s="228"/>
      <c r="B70" s="901">
        <f>C17</f>
        <v>0.85</v>
      </c>
      <c r="C70" s="473">
        <f>-D17</f>
        <v>-20428853.234784123</v>
      </c>
      <c r="D70" s="473">
        <f>D65</f>
        <v>0</v>
      </c>
      <c r="E70" s="473">
        <f>E65</f>
        <v>0</v>
      </c>
      <c r="F70" s="473">
        <f>F65</f>
        <v>0</v>
      </c>
      <c r="G70" s="473">
        <f>G65</f>
        <v>0</v>
      </c>
      <c r="H70" s="473">
        <f t="shared" ref="H70:BN70" si="39">H65</f>
        <v>0</v>
      </c>
      <c r="I70" s="473">
        <f t="shared" si="39"/>
        <v>0</v>
      </c>
      <c r="J70" s="473">
        <f t="shared" si="39"/>
        <v>0</v>
      </c>
      <c r="K70" s="473">
        <f t="shared" si="39"/>
        <v>0</v>
      </c>
      <c r="L70" s="473">
        <f t="shared" si="39"/>
        <v>0</v>
      </c>
      <c r="M70" s="473">
        <f t="shared" si="39"/>
        <v>0</v>
      </c>
      <c r="N70" s="473">
        <f t="shared" si="39"/>
        <v>0</v>
      </c>
      <c r="O70" s="473">
        <f t="shared" si="39"/>
        <v>0</v>
      </c>
      <c r="P70" s="473">
        <f t="shared" si="39"/>
        <v>0</v>
      </c>
      <c r="Q70" s="473">
        <f t="shared" si="39"/>
        <v>0</v>
      </c>
      <c r="R70" s="473">
        <f t="shared" si="39"/>
        <v>0</v>
      </c>
      <c r="S70" s="473">
        <f t="shared" si="39"/>
        <v>0</v>
      </c>
      <c r="T70" s="473">
        <f t="shared" si="39"/>
        <v>0</v>
      </c>
      <c r="U70" s="473">
        <f t="shared" si="39"/>
        <v>0</v>
      </c>
      <c r="V70" s="473">
        <f t="shared" si="39"/>
        <v>0</v>
      </c>
      <c r="W70" s="473">
        <f t="shared" si="39"/>
        <v>0</v>
      </c>
      <c r="X70" s="473">
        <f t="shared" si="39"/>
        <v>47486.046509941363</v>
      </c>
      <c r="Y70" s="473">
        <f t="shared" si="39"/>
        <v>47486.046509941363</v>
      </c>
      <c r="Z70" s="473">
        <f t="shared" si="39"/>
        <v>47486.046509941363</v>
      </c>
      <c r="AA70" s="473">
        <f t="shared" si="39"/>
        <v>1332686.0465099413</v>
      </c>
      <c r="AB70" s="473">
        <f t="shared" si="39"/>
        <v>47486.046509941363</v>
      </c>
      <c r="AC70" s="473">
        <f>AC65</f>
        <v>47486.046509941363</v>
      </c>
      <c r="AD70" s="473">
        <f t="shared" si="39"/>
        <v>27745059.596053269</v>
      </c>
      <c r="AE70" s="473">
        <f t="shared" si="39"/>
        <v>0</v>
      </c>
      <c r="AF70" s="473">
        <f t="shared" si="39"/>
        <v>0</v>
      </c>
      <c r="AG70" s="473">
        <f t="shared" si="39"/>
        <v>0</v>
      </c>
      <c r="AH70" s="473">
        <f t="shared" si="39"/>
        <v>0</v>
      </c>
      <c r="AI70" s="473">
        <f t="shared" si="39"/>
        <v>0</v>
      </c>
      <c r="AJ70" s="473">
        <f t="shared" si="39"/>
        <v>0</v>
      </c>
      <c r="AK70" s="473">
        <f t="shared" si="39"/>
        <v>0</v>
      </c>
      <c r="AL70" s="473">
        <f t="shared" si="39"/>
        <v>0</v>
      </c>
      <c r="AM70" s="473">
        <f t="shared" si="39"/>
        <v>0</v>
      </c>
      <c r="AN70" s="473">
        <f t="shared" si="39"/>
        <v>0</v>
      </c>
      <c r="AO70" s="473">
        <f t="shared" si="39"/>
        <v>0</v>
      </c>
      <c r="AP70" s="473">
        <f t="shared" si="39"/>
        <v>0</v>
      </c>
      <c r="AQ70" s="473">
        <f t="shared" si="39"/>
        <v>0</v>
      </c>
      <c r="AR70" s="473">
        <f t="shared" si="39"/>
        <v>0</v>
      </c>
      <c r="AS70" s="473">
        <f t="shared" si="39"/>
        <v>0</v>
      </c>
      <c r="AT70" s="473">
        <f t="shared" si="39"/>
        <v>0</v>
      </c>
      <c r="AU70" s="473">
        <f t="shared" si="39"/>
        <v>0</v>
      </c>
      <c r="AV70" s="473">
        <f t="shared" si="39"/>
        <v>0</v>
      </c>
      <c r="AW70" s="473">
        <f t="shared" si="39"/>
        <v>0</v>
      </c>
      <c r="AX70" s="473">
        <f t="shared" si="39"/>
        <v>0</v>
      </c>
      <c r="AY70" s="473">
        <f t="shared" si="39"/>
        <v>0</v>
      </c>
      <c r="AZ70" s="473">
        <f t="shared" si="39"/>
        <v>0</v>
      </c>
      <c r="BA70" s="473">
        <f t="shared" si="39"/>
        <v>0</v>
      </c>
      <c r="BB70" s="473">
        <f t="shared" si="39"/>
        <v>0</v>
      </c>
      <c r="BC70" s="473">
        <f t="shared" si="39"/>
        <v>0</v>
      </c>
      <c r="BD70" s="473">
        <f t="shared" si="39"/>
        <v>0</v>
      </c>
      <c r="BE70" s="473">
        <f t="shared" si="39"/>
        <v>0</v>
      </c>
      <c r="BF70" s="473">
        <f t="shared" si="39"/>
        <v>0</v>
      </c>
      <c r="BG70" s="473">
        <f t="shared" si="39"/>
        <v>0</v>
      </c>
      <c r="BH70" s="473">
        <f t="shared" si="39"/>
        <v>0</v>
      </c>
      <c r="BI70" s="473">
        <f t="shared" si="39"/>
        <v>0</v>
      </c>
      <c r="BJ70" s="473">
        <f t="shared" si="39"/>
        <v>0</v>
      </c>
      <c r="BK70" s="473">
        <f t="shared" si="39"/>
        <v>0</v>
      </c>
      <c r="BL70" s="473">
        <f t="shared" si="39"/>
        <v>0</v>
      </c>
      <c r="BM70" s="473">
        <f t="shared" si="39"/>
        <v>0</v>
      </c>
      <c r="BN70" s="473">
        <f t="shared" si="39"/>
        <v>0</v>
      </c>
      <c r="BO70" s="597"/>
      <c r="BP70" s="571">
        <f>XIRR(C70:BN70,C6:BN6)</f>
        <v>0.182702785730362</v>
      </c>
      <c r="BQ70" s="572">
        <f>SUM(D70:BN70)/-C70</f>
        <v>1.4349888140171319</v>
      </c>
      <c r="BS70" s="219"/>
    </row>
    <row r="71" spans="1:71">
      <c r="A71" s="229"/>
      <c r="B71" s="308"/>
      <c r="C71" s="309"/>
      <c r="D71" s="309"/>
      <c r="E71" s="309"/>
      <c r="F71" s="309"/>
      <c r="G71" s="309"/>
      <c r="H71" s="309"/>
      <c r="I71" s="309"/>
      <c r="J71" s="309"/>
      <c r="K71" s="309"/>
      <c r="L71" s="309"/>
      <c r="M71" s="309"/>
      <c r="N71" s="309"/>
      <c r="O71" s="309"/>
      <c r="P71" s="309"/>
      <c r="Q71" s="309"/>
      <c r="R71" s="309"/>
      <c r="S71" s="309"/>
      <c r="T71" s="309"/>
      <c r="U71" s="309"/>
      <c r="V71" s="309"/>
      <c r="W71" s="309"/>
      <c r="X71" s="309"/>
      <c r="Y71" s="309"/>
      <c r="Z71" s="309"/>
      <c r="AA71" s="309"/>
      <c r="AB71" s="309"/>
      <c r="AC71" s="309"/>
      <c r="AD71" s="309"/>
      <c r="AE71" s="309"/>
      <c r="AF71" s="309"/>
      <c r="AG71" s="309"/>
      <c r="AH71" s="309"/>
      <c r="AI71" s="309"/>
      <c r="AJ71" s="309"/>
      <c r="AK71" s="309"/>
      <c r="AL71" s="309"/>
      <c r="AM71" s="309"/>
      <c r="AN71" s="309"/>
      <c r="AO71" s="309"/>
      <c r="AP71" s="309"/>
      <c r="AQ71" s="309"/>
      <c r="AR71" s="309"/>
      <c r="AS71" s="309"/>
      <c r="AT71" s="309"/>
      <c r="AU71" s="309"/>
      <c r="AV71" s="309"/>
      <c r="AW71" s="309"/>
      <c r="AX71" s="309"/>
      <c r="AY71" s="309"/>
      <c r="AZ71" s="309"/>
      <c r="BA71" s="309"/>
      <c r="BB71" s="309"/>
      <c r="BC71" s="309"/>
      <c r="BD71" s="309"/>
      <c r="BE71" s="309"/>
      <c r="BF71" s="309"/>
      <c r="BG71" s="309"/>
      <c r="BH71" s="309"/>
      <c r="BI71" s="309"/>
      <c r="BJ71" s="309"/>
      <c r="BK71" s="309"/>
      <c r="BL71" s="309"/>
      <c r="BM71" s="309"/>
      <c r="BN71" s="310"/>
      <c r="BO71" s="222"/>
      <c r="BP71" s="393"/>
      <c r="BQ71" s="394"/>
    </row>
    <row r="72" spans="1:71">
      <c r="A72" s="229"/>
      <c r="B72" s="305" t="s">
        <v>186</v>
      </c>
      <c r="C72" s="309"/>
      <c r="D72" s="309"/>
      <c r="E72" s="309"/>
      <c r="F72" s="309"/>
      <c r="G72" s="309"/>
      <c r="H72" s="309"/>
      <c r="I72" s="309"/>
      <c r="J72" s="309"/>
      <c r="K72" s="309"/>
      <c r="L72" s="309"/>
      <c r="M72" s="309"/>
      <c r="N72" s="309"/>
      <c r="O72" s="309"/>
      <c r="P72" s="309"/>
      <c r="Q72" s="309"/>
      <c r="R72" s="309"/>
      <c r="S72" s="309"/>
      <c r="T72" s="309"/>
      <c r="U72" s="309"/>
      <c r="V72" s="309"/>
      <c r="W72" s="309"/>
      <c r="X72" s="309"/>
      <c r="Y72" s="309"/>
      <c r="Z72" s="309"/>
      <c r="AA72" s="309"/>
      <c r="AB72" s="309"/>
      <c r="AC72" s="309"/>
      <c r="AD72" s="309"/>
      <c r="AE72" s="309"/>
      <c r="AF72" s="309"/>
      <c r="AG72" s="309"/>
      <c r="AH72" s="309"/>
      <c r="AI72" s="309"/>
      <c r="AJ72" s="309"/>
      <c r="AK72" s="309"/>
      <c r="AL72" s="309"/>
      <c r="AM72" s="309"/>
      <c r="AN72" s="309"/>
      <c r="AO72" s="309"/>
      <c r="AP72" s="309"/>
      <c r="AQ72" s="309"/>
      <c r="AR72" s="309"/>
      <c r="AS72" s="309"/>
      <c r="AT72" s="309"/>
      <c r="AU72" s="309"/>
      <c r="AV72" s="309"/>
      <c r="AW72" s="309"/>
      <c r="AX72" s="309"/>
      <c r="AY72" s="309"/>
      <c r="AZ72" s="309"/>
      <c r="BA72" s="309"/>
      <c r="BB72" s="309"/>
      <c r="BC72" s="309"/>
      <c r="BD72" s="309"/>
      <c r="BE72" s="309"/>
      <c r="BF72" s="309"/>
      <c r="BG72" s="309"/>
      <c r="BH72" s="309"/>
      <c r="BI72" s="309"/>
      <c r="BJ72" s="309"/>
      <c r="BK72" s="309"/>
      <c r="BL72" s="309"/>
      <c r="BM72" s="309"/>
      <c r="BN72" s="310"/>
      <c r="BO72" s="598"/>
      <c r="BP72" s="573" t="s">
        <v>91</v>
      </c>
      <c r="BQ72" s="573" t="s">
        <v>185</v>
      </c>
    </row>
    <row r="73" spans="1:71">
      <c r="A73" s="229"/>
      <c r="B73" s="475">
        <f>100%-B70</f>
        <v>0.15000000000000002</v>
      </c>
      <c r="C73" s="476">
        <f>-D18</f>
        <v>-3605091.7473148457</v>
      </c>
      <c r="D73" s="476">
        <f>D66</f>
        <v>0</v>
      </c>
      <c r="E73" s="476">
        <f>E66</f>
        <v>0</v>
      </c>
      <c r="F73" s="476">
        <f>F66</f>
        <v>0</v>
      </c>
      <c r="G73" s="476">
        <f t="shared" ref="G73:BN73" si="40">G66</f>
        <v>0</v>
      </c>
      <c r="H73" s="476">
        <f t="shared" si="40"/>
        <v>0</v>
      </c>
      <c r="I73" s="476">
        <f t="shared" si="40"/>
        <v>0</v>
      </c>
      <c r="J73" s="476">
        <f t="shared" si="40"/>
        <v>0</v>
      </c>
      <c r="K73" s="476">
        <f t="shared" si="40"/>
        <v>0</v>
      </c>
      <c r="L73" s="476">
        <f t="shared" si="40"/>
        <v>0</v>
      </c>
      <c r="M73" s="476">
        <f t="shared" si="40"/>
        <v>0</v>
      </c>
      <c r="N73" s="476">
        <f t="shared" si="40"/>
        <v>0</v>
      </c>
      <c r="O73" s="476">
        <f t="shared" si="40"/>
        <v>0</v>
      </c>
      <c r="P73" s="476">
        <f t="shared" si="40"/>
        <v>0</v>
      </c>
      <c r="Q73" s="476">
        <f>0</f>
        <v>0</v>
      </c>
      <c r="R73" s="476">
        <f t="shared" si="40"/>
        <v>0</v>
      </c>
      <c r="S73" s="476">
        <f>S66</f>
        <v>0</v>
      </c>
      <c r="T73" s="476">
        <f t="shared" si="40"/>
        <v>0</v>
      </c>
      <c r="U73" s="476">
        <f t="shared" si="40"/>
        <v>0</v>
      </c>
      <c r="V73" s="476">
        <f t="shared" si="40"/>
        <v>0</v>
      </c>
      <c r="W73" s="476">
        <f t="shared" si="40"/>
        <v>0</v>
      </c>
      <c r="X73" s="476">
        <f t="shared" si="40"/>
        <v>8379.8905605778891</v>
      </c>
      <c r="Y73" s="476">
        <f t="shared" si="40"/>
        <v>8379.8905605778891</v>
      </c>
      <c r="Z73" s="476">
        <f t="shared" si="40"/>
        <v>8379.8905605778891</v>
      </c>
      <c r="AA73" s="476">
        <f t="shared" si="40"/>
        <v>235179.89056057791</v>
      </c>
      <c r="AB73" s="476">
        <f t="shared" si="40"/>
        <v>8379.8905605778891</v>
      </c>
      <c r="AC73" s="476">
        <f>AC66</f>
        <v>8379.8905605778891</v>
      </c>
      <c r="AD73" s="476">
        <f t="shared" si="40"/>
        <v>5806727.541962835</v>
      </c>
      <c r="AE73" s="476">
        <f t="shared" si="40"/>
        <v>0</v>
      </c>
      <c r="AF73" s="476">
        <f t="shared" si="40"/>
        <v>0</v>
      </c>
      <c r="AG73" s="476">
        <f t="shared" si="40"/>
        <v>0</v>
      </c>
      <c r="AH73" s="476">
        <f t="shared" si="40"/>
        <v>0</v>
      </c>
      <c r="AI73" s="476">
        <f t="shared" si="40"/>
        <v>0</v>
      </c>
      <c r="AJ73" s="476">
        <f t="shared" si="40"/>
        <v>0</v>
      </c>
      <c r="AK73" s="476">
        <f t="shared" si="40"/>
        <v>0</v>
      </c>
      <c r="AL73" s="476">
        <f t="shared" si="40"/>
        <v>0</v>
      </c>
      <c r="AM73" s="476">
        <f t="shared" si="40"/>
        <v>0</v>
      </c>
      <c r="AN73" s="476">
        <f t="shared" si="40"/>
        <v>0</v>
      </c>
      <c r="AO73" s="476">
        <f t="shared" si="40"/>
        <v>0</v>
      </c>
      <c r="AP73" s="476">
        <f t="shared" si="40"/>
        <v>0</v>
      </c>
      <c r="AQ73" s="476">
        <f t="shared" si="40"/>
        <v>0</v>
      </c>
      <c r="AR73" s="476">
        <f t="shared" si="40"/>
        <v>0</v>
      </c>
      <c r="AS73" s="476">
        <f t="shared" si="40"/>
        <v>0</v>
      </c>
      <c r="AT73" s="476">
        <f t="shared" si="40"/>
        <v>0</v>
      </c>
      <c r="AU73" s="476">
        <f t="shared" si="40"/>
        <v>0</v>
      </c>
      <c r="AV73" s="476">
        <f t="shared" si="40"/>
        <v>0</v>
      </c>
      <c r="AW73" s="476">
        <f t="shared" si="40"/>
        <v>0</v>
      </c>
      <c r="AX73" s="476">
        <f t="shared" si="40"/>
        <v>0</v>
      </c>
      <c r="AY73" s="476">
        <f t="shared" si="40"/>
        <v>0</v>
      </c>
      <c r="AZ73" s="476">
        <f t="shared" si="40"/>
        <v>0</v>
      </c>
      <c r="BA73" s="476">
        <f t="shared" si="40"/>
        <v>0</v>
      </c>
      <c r="BB73" s="476">
        <f t="shared" si="40"/>
        <v>0</v>
      </c>
      <c r="BC73" s="476">
        <f t="shared" si="40"/>
        <v>0</v>
      </c>
      <c r="BD73" s="476">
        <f t="shared" si="40"/>
        <v>0</v>
      </c>
      <c r="BE73" s="476">
        <f t="shared" si="40"/>
        <v>0</v>
      </c>
      <c r="BF73" s="476">
        <f t="shared" si="40"/>
        <v>0</v>
      </c>
      <c r="BG73" s="476">
        <f t="shared" si="40"/>
        <v>0</v>
      </c>
      <c r="BH73" s="476">
        <f t="shared" si="40"/>
        <v>0</v>
      </c>
      <c r="BI73" s="476">
        <f t="shared" si="40"/>
        <v>0</v>
      </c>
      <c r="BJ73" s="476">
        <f t="shared" si="40"/>
        <v>0</v>
      </c>
      <c r="BK73" s="476">
        <f t="shared" si="40"/>
        <v>0</v>
      </c>
      <c r="BL73" s="476">
        <f t="shared" si="40"/>
        <v>0</v>
      </c>
      <c r="BM73" s="476">
        <f t="shared" si="40"/>
        <v>0</v>
      </c>
      <c r="BN73" s="476">
        <f t="shared" si="40"/>
        <v>0</v>
      </c>
      <c r="BO73" s="599"/>
      <c r="BP73" s="574">
        <f>XIRR(C73:BN73,C6:BN6)</f>
        <v>0.27504108548164374</v>
      </c>
      <c r="BQ73" s="575">
        <f>SUM(D73:BN73)/-C73</f>
        <v>1.6875595163029236</v>
      </c>
    </row>
    <row r="74" spans="1:71" s="216" customFormat="1">
      <c r="A74" s="228"/>
      <c r="B74" s="305"/>
      <c r="C74" s="311"/>
      <c r="D74" s="342"/>
      <c r="E74" s="342"/>
      <c r="F74" s="342"/>
      <c r="G74" s="342"/>
      <c r="H74" s="342"/>
      <c r="I74" s="342"/>
      <c r="J74" s="342"/>
      <c r="K74" s="342"/>
      <c r="L74" s="342"/>
      <c r="M74" s="342"/>
      <c r="N74" s="342"/>
      <c r="O74" s="342"/>
      <c r="P74" s="342"/>
      <c r="Q74" s="342"/>
      <c r="R74" s="342"/>
      <c r="S74" s="342"/>
      <c r="T74" s="342"/>
      <c r="U74" s="342"/>
      <c r="V74" s="342"/>
      <c r="W74" s="342"/>
      <c r="X74" s="342"/>
      <c r="Y74" s="342"/>
      <c r="Z74" s="342"/>
      <c r="AA74" s="342"/>
      <c r="AB74" s="342"/>
      <c r="AC74" s="342"/>
      <c r="AD74" s="342"/>
      <c r="AE74" s="342"/>
      <c r="AF74" s="342"/>
      <c r="AG74" s="342"/>
      <c r="AH74" s="342"/>
      <c r="AI74" s="342"/>
      <c r="AJ74" s="342"/>
      <c r="AK74" s="342"/>
      <c r="AL74" s="342"/>
      <c r="AM74" s="342"/>
      <c r="AN74" s="342"/>
      <c r="AO74" s="342"/>
      <c r="AP74" s="342"/>
      <c r="AQ74" s="342"/>
      <c r="AR74" s="342"/>
      <c r="AS74" s="342"/>
      <c r="AT74" s="342"/>
      <c r="AU74" s="342"/>
      <c r="AV74" s="342"/>
      <c r="AW74" s="342"/>
      <c r="AX74" s="342"/>
      <c r="AY74" s="342"/>
      <c r="AZ74" s="342"/>
      <c r="BA74" s="342"/>
      <c r="BB74" s="342"/>
      <c r="BC74" s="342"/>
      <c r="BD74" s="342"/>
      <c r="BE74" s="342"/>
      <c r="BF74" s="342"/>
      <c r="BG74" s="342"/>
      <c r="BH74" s="342"/>
      <c r="BI74" s="342"/>
      <c r="BJ74" s="342"/>
      <c r="BK74" s="342"/>
      <c r="BL74" s="342"/>
      <c r="BM74" s="342"/>
      <c r="BN74" s="312"/>
      <c r="BO74" s="313"/>
      <c r="BS74" s="219"/>
    </row>
    <row r="75" spans="1:71" s="216" customFormat="1" ht="15.75" thickBot="1">
      <c r="A75" s="215"/>
      <c r="B75" s="454" t="s">
        <v>187</v>
      </c>
      <c r="C75" s="576">
        <f>SUM(D65:BN65)+SUM(D66:BN66)</f>
        <v>35398982.760439217</v>
      </c>
      <c r="D75" s="455"/>
      <c r="E75" s="455"/>
      <c r="F75" s="455"/>
      <c r="G75" s="455"/>
      <c r="H75" s="455"/>
      <c r="I75" s="455"/>
      <c r="J75" s="455"/>
      <c r="K75" s="455"/>
      <c r="L75" s="455"/>
      <c r="M75" s="455"/>
      <c r="N75" s="455"/>
      <c r="O75" s="455"/>
      <c r="P75" s="455"/>
      <c r="Q75" s="455"/>
      <c r="R75" s="455"/>
      <c r="S75" s="455"/>
      <c r="T75" s="455"/>
      <c r="U75" s="455"/>
      <c r="V75" s="455"/>
      <c r="W75" s="455"/>
      <c r="X75" s="455"/>
      <c r="Y75" s="455"/>
      <c r="Z75" s="455"/>
      <c r="AA75" s="455"/>
      <c r="AB75" s="455"/>
      <c r="AC75" s="455"/>
      <c r="AD75" s="455"/>
      <c r="AE75" s="455"/>
      <c r="AF75" s="455"/>
      <c r="AG75" s="455"/>
      <c r="AH75" s="455"/>
      <c r="AI75" s="455"/>
      <c r="AJ75" s="455"/>
      <c r="AK75" s="455"/>
      <c r="AL75" s="455"/>
      <c r="AM75" s="455"/>
      <c r="AN75" s="455"/>
      <c r="AO75" s="455"/>
      <c r="AP75" s="455"/>
      <c r="AQ75" s="455"/>
      <c r="AR75" s="455"/>
      <c r="AS75" s="455"/>
      <c r="AT75" s="455"/>
      <c r="AU75" s="455"/>
      <c r="AV75" s="455"/>
      <c r="AW75" s="455"/>
      <c r="AX75" s="455"/>
      <c r="AY75" s="455"/>
      <c r="AZ75" s="455"/>
      <c r="BA75" s="455"/>
      <c r="BB75" s="455"/>
      <c r="BC75" s="455"/>
      <c r="BD75" s="455"/>
      <c r="BE75" s="455"/>
      <c r="BF75" s="455"/>
      <c r="BG75" s="455"/>
      <c r="BH75" s="455"/>
      <c r="BI75" s="455"/>
      <c r="BJ75" s="455"/>
      <c r="BK75" s="455"/>
      <c r="BL75" s="455"/>
      <c r="BM75" s="455"/>
      <c r="BN75" s="577"/>
      <c r="BS75" s="219"/>
    </row>
    <row r="76" spans="1:71" s="216" customFormat="1">
      <c r="A76" s="215"/>
      <c r="B76" s="230"/>
      <c r="C76" s="235"/>
      <c r="D76" s="236"/>
      <c r="E76" s="236"/>
      <c r="F76" s="236"/>
      <c r="G76" s="236"/>
      <c r="H76" s="236"/>
      <c r="I76" s="236"/>
      <c r="J76" s="236"/>
      <c r="K76" s="236"/>
      <c r="L76" s="236"/>
      <c r="M76" s="236"/>
      <c r="N76" s="236"/>
      <c r="O76" s="236"/>
      <c r="P76" s="236"/>
      <c r="Q76" s="236"/>
      <c r="R76" s="236"/>
      <c r="S76" s="236"/>
      <c r="T76" s="236"/>
      <c r="U76" s="236"/>
      <c r="V76" s="236"/>
      <c r="W76" s="236"/>
      <c r="X76" s="236"/>
      <c r="Y76" s="236"/>
      <c r="Z76" s="236"/>
      <c r="AA76" s="236"/>
      <c r="AB76" s="236"/>
      <c r="AC76" s="236"/>
      <c r="AD76" s="236"/>
      <c r="AE76" s="236"/>
      <c r="AF76" s="236"/>
      <c r="AG76" s="236"/>
      <c r="AH76" s="236"/>
      <c r="AI76" s="236"/>
      <c r="AJ76" s="236"/>
      <c r="AK76" s="236"/>
      <c r="AL76" s="236"/>
      <c r="AM76" s="236"/>
      <c r="AN76" s="236"/>
      <c r="AO76" s="236"/>
      <c r="AP76" s="236"/>
      <c r="AQ76" s="236"/>
      <c r="AR76" s="236"/>
      <c r="AS76" s="236"/>
      <c r="AT76" s="236"/>
      <c r="AU76" s="236"/>
      <c r="AV76" s="236"/>
      <c r="AW76" s="236"/>
      <c r="AX76" s="236"/>
      <c r="AY76" s="236"/>
      <c r="AZ76" s="236"/>
      <c r="BA76" s="236"/>
      <c r="BB76" s="236"/>
      <c r="BC76" s="236"/>
      <c r="BD76" s="236"/>
      <c r="BE76" s="236"/>
      <c r="BF76" s="236"/>
      <c r="BG76" s="236"/>
      <c r="BH76" s="236"/>
      <c r="BI76" s="236"/>
      <c r="BJ76" s="236"/>
      <c r="BK76" s="236"/>
      <c r="BL76" s="236"/>
      <c r="BM76" s="236"/>
      <c r="BN76" s="236"/>
      <c r="BO76" s="236"/>
      <c r="BS76" s="219"/>
    </row>
    <row r="77" spans="1:71" s="216" customFormat="1">
      <c r="A77" s="215"/>
      <c r="B77" s="230"/>
      <c r="C77" s="235"/>
      <c r="D77" s="235"/>
      <c r="E77" s="235"/>
      <c r="F77" s="235"/>
      <c r="G77" s="235"/>
      <c r="H77" s="235"/>
      <c r="I77" s="235"/>
      <c r="J77" s="235"/>
      <c r="K77" s="235"/>
      <c r="L77" s="235"/>
      <c r="M77" s="235"/>
      <c r="N77" s="235"/>
      <c r="O77" s="235"/>
      <c r="P77" s="235"/>
      <c r="Q77" s="235"/>
      <c r="R77" s="235"/>
      <c r="S77" s="235"/>
      <c r="T77" s="235"/>
      <c r="U77" s="235"/>
      <c r="V77" s="235"/>
      <c r="W77" s="235"/>
      <c r="X77" s="235"/>
      <c r="Y77" s="235"/>
      <c r="Z77" s="235"/>
      <c r="AA77" s="235"/>
      <c r="AB77" s="235"/>
      <c r="AC77" s="235"/>
      <c r="AD77" s="235"/>
      <c r="AE77" s="235"/>
      <c r="AF77" s="235"/>
      <c r="AG77" s="235"/>
      <c r="AH77" s="235"/>
      <c r="AI77" s="235"/>
      <c r="AJ77" s="235"/>
      <c r="AK77" s="235"/>
      <c r="AL77" s="235"/>
      <c r="AM77" s="235"/>
      <c r="AN77" s="235"/>
      <c r="AO77" s="235"/>
      <c r="AP77" s="235"/>
      <c r="AQ77" s="235"/>
      <c r="AR77" s="235"/>
      <c r="AS77" s="235"/>
      <c r="AT77" s="235"/>
      <c r="AU77" s="235"/>
      <c r="AV77" s="235"/>
      <c r="AW77" s="235"/>
      <c r="AX77" s="235"/>
      <c r="AY77" s="235"/>
      <c r="AZ77" s="235"/>
      <c r="BA77" s="235"/>
      <c r="BB77" s="235"/>
      <c r="BC77" s="235"/>
      <c r="BD77" s="235"/>
      <c r="BE77" s="235"/>
      <c r="BF77" s="235"/>
      <c r="BG77" s="235"/>
      <c r="BH77" s="235"/>
      <c r="BI77" s="235"/>
      <c r="BJ77" s="235"/>
      <c r="BK77" s="235"/>
      <c r="BL77" s="235"/>
      <c r="BM77" s="235"/>
      <c r="BN77" s="235"/>
      <c r="BO77" s="237"/>
      <c r="BS77" s="219"/>
    </row>
    <row r="78" spans="1:71" s="216" customFormat="1">
      <c r="A78" s="215"/>
      <c r="B78" s="238"/>
      <c r="C78" s="218"/>
      <c r="D78" s="218"/>
      <c r="E78" s="218"/>
      <c r="F78" s="218"/>
      <c r="G78" s="218"/>
      <c r="H78" s="218"/>
      <c r="I78" s="218"/>
      <c r="J78" s="218"/>
      <c r="K78" s="218"/>
      <c r="L78" s="218"/>
      <c r="M78" s="218"/>
      <c r="N78" s="218"/>
      <c r="O78" s="218"/>
      <c r="P78" s="218"/>
      <c r="Q78" s="218"/>
      <c r="R78" s="218"/>
      <c r="S78" s="218"/>
      <c r="T78" s="218"/>
      <c r="U78" s="218"/>
      <c r="V78" s="218"/>
      <c r="W78" s="218"/>
      <c r="X78" s="218"/>
      <c r="Y78" s="218"/>
      <c r="Z78" s="218"/>
      <c r="AA78" s="218"/>
      <c r="AB78" s="218"/>
      <c r="AC78" s="218"/>
      <c r="AD78" s="218"/>
      <c r="AE78" s="218"/>
      <c r="AF78" s="218"/>
      <c r="AG78" s="218"/>
      <c r="AH78" s="218"/>
      <c r="AI78" s="218"/>
      <c r="AJ78" s="218"/>
      <c r="AK78" s="218"/>
      <c r="AL78" s="218"/>
      <c r="AM78" s="218"/>
      <c r="AN78" s="218"/>
      <c r="AO78" s="218"/>
      <c r="AP78" s="218"/>
      <c r="AQ78" s="218"/>
      <c r="AR78" s="218"/>
      <c r="AS78" s="218"/>
      <c r="AT78" s="218"/>
      <c r="AU78" s="218"/>
      <c r="AV78" s="218"/>
      <c r="AW78" s="218"/>
      <c r="AX78" s="218"/>
      <c r="AY78" s="218"/>
      <c r="AZ78" s="218"/>
      <c r="BA78" s="218"/>
      <c r="BB78" s="218"/>
      <c r="BC78" s="218"/>
      <c r="BD78" s="218"/>
      <c r="BE78" s="218"/>
      <c r="BF78" s="218"/>
      <c r="BG78" s="218"/>
      <c r="BH78" s="218"/>
      <c r="BI78" s="218"/>
      <c r="BJ78" s="218"/>
      <c r="BK78" s="218"/>
      <c r="BL78" s="218"/>
      <c r="BM78" s="218"/>
      <c r="BN78" s="218"/>
      <c r="BO78" s="227"/>
      <c r="BS78" s="219"/>
    </row>
    <row r="79" spans="1:71" s="216" customFormat="1">
      <c r="A79" s="215"/>
      <c r="E79" s="218"/>
      <c r="F79" s="218"/>
      <c r="G79" s="218"/>
      <c r="H79" s="218"/>
      <c r="I79" s="218"/>
      <c r="J79" s="218"/>
      <c r="K79" s="218"/>
      <c r="L79" s="218"/>
      <c r="M79" s="218"/>
      <c r="N79" s="218"/>
      <c r="O79" s="218"/>
      <c r="P79" s="218"/>
      <c r="Q79" s="218"/>
      <c r="R79" s="218"/>
      <c r="S79" s="218"/>
      <c r="T79" s="218"/>
      <c r="U79" s="218"/>
      <c r="V79" s="218"/>
      <c r="W79" s="218"/>
      <c r="X79" s="218"/>
      <c r="Y79" s="218"/>
      <c r="Z79" s="218"/>
      <c r="AA79" s="218"/>
      <c r="AB79" s="218"/>
      <c r="AC79" s="218"/>
      <c r="AD79" s="218"/>
      <c r="AE79" s="218"/>
      <c r="AF79" s="218"/>
      <c r="AG79" s="218"/>
      <c r="AH79" s="218"/>
      <c r="AI79" s="218"/>
      <c r="AJ79" s="218"/>
      <c r="AK79" s="218"/>
      <c r="AL79" s="218"/>
      <c r="AM79" s="218"/>
      <c r="AN79" s="218"/>
      <c r="AO79" s="218"/>
      <c r="AP79" s="218"/>
      <c r="AQ79" s="218"/>
      <c r="AR79" s="218"/>
      <c r="AS79" s="218"/>
      <c r="AT79" s="218"/>
      <c r="AU79" s="218"/>
      <c r="AV79" s="218"/>
      <c r="AW79" s="218"/>
      <c r="AX79" s="218"/>
      <c r="AY79" s="218"/>
      <c r="AZ79" s="218"/>
      <c r="BA79" s="218"/>
      <c r="BB79" s="218"/>
      <c r="BC79" s="218"/>
      <c r="BD79" s="218"/>
      <c r="BE79" s="218"/>
      <c r="BF79" s="218"/>
      <c r="BG79" s="218"/>
      <c r="BH79" s="218"/>
      <c r="BI79" s="218"/>
      <c r="BJ79" s="218"/>
      <c r="BK79" s="218"/>
      <c r="BL79" s="218"/>
      <c r="BM79" s="218"/>
      <c r="BN79" s="218"/>
      <c r="BO79" s="218"/>
      <c r="BS79" s="219"/>
    </row>
    <row r="80" spans="1:71" s="216" customFormat="1">
      <c r="A80" s="215"/>
      <c r="E80" s="218"/>
      <c r="F80" s="218"/>
      <c r="G80" s="218"/>
      <c r="H80" s="218"/>
      <c r="I80" s="218"/>
      <c r="J80" s="218"/>
      <c r="K80" s="218"/>
      <c r="L80" s="218"/>
      <c r="M80" s="218"/>
      <c r="N80" s="218"/>
      <c r="O80" s="218"/>
      <c r="P80" s="218"/>
      <c r="Q80" s="218"/>
      <c r="R80" s="218"/>
      <c r="S80" s="218"/>
      <c r="T80" s="218"/>
      <c r="U80" s="218"/>
      <c r="V80" s="218"/>
      <c r="W80" s="218"/>
      <c r="X80" s="218"/>
      <c r="Y80" s="218"/>
      <c r="Z80" s="218"/>
      <c r="AA80" s="218"/>
      <c r="AB80" s="218"/>
      <c r="AC80" s="218"/>
      <c r="AD80" s="218"/>
      <c r="AE80" s="218"/>
      <c r="AF80" s="218"/>
      <c r="AG80" s="218"/>
      <c r="AH80" s="218"/>
      <c r="AI80" s="218"/>
      <c r="AJ80" s="218"/>
      <c r="AK80" s="218"/>
      <c r="AL80" s="218"/>
      <c r="AM80" s="218"/>
      <c r="AN80" s="218"/>
      <c r="AO80" s="218"/>
      <c r="AP80" s="218"/>
      <c r="AQ80" s="218"/>
      <c r="AR80" s="218"/>
      <c r="AS80" s="218"/>
      <c r="AT80" s="218"/>
      <c r="AU80" s="218"/>
      <c r="AV80" s="218"/>
      <c r="AW80" s="218"/>
      <c r="AX80" s="218"/>
      <c r="AY80" s="218"/>
      <c r="AZ80" s="218"/>
      <c r="BA80" s="218"/>
      <c r="BB80" s="218"/>
      <c r="BC80" s="218"/>
      <c r="BD80" s="218"/>
      <c r="BE80" s="218"/>
      <c r="BF80" s="218"/>
      <c r="BG80" s="218"/>
      <c r="BH80" s="218"/>
      <c r="BI80" s="218"/>
      <c r="BJ80" s="218"/>
      <c r="BK80" s="218"/>
      <c r="BL80" s="218"/>
      <c r="BM80" s="218"/>
      <c r="BN80" s="218"/>
      <c r="BO80" s="218"/>
      <c r="BS80" s="219"/>
    </row>
    <row r="81" spans="1:71" s="216" customFormat="1">
      <c r="A81" s="215"/>
      <c r="E81" s="218"/>
      <c r="F81" s="218"/>
      <c r="G81" s="218"/>
      <c r="H81" s="218"/>
      <c r="I81" s="218"/>
      <c r="J81" s="218"/>
      <c r="K81" s="218"/>
      <c r="L81" s="218"/>
      <c r="M81" s="218"/>
      <c r="N81" s="218"/>
      <c r="O81" s="218"/>
      <c r="P81" s="218"/>
      <c r="Q81" s="218"/>
      <c r="R81" s="218"/>
      <c r="S81" s="218"/>
      <c r="T81" s="218"/>
      <c r="U81" s="218"/>
      <c r="V81" s="218"/>
      <c r="W81" s="218"/>
      <c r="X81" s="218"/>
      <c r="Y81" s="218"/>
      <c r="Z81" s="218"/>
      <c r="AA81" s="218"/>
      <c r="AB81" s="218"/>
      <c r="AC81" s="218"/>
      <c r="AD81" s="218"/>
      <c r="AE81" s="218"/>
      <c r="AF81" s="218"/>
      <c r="AG81" s="218"/>
      <c r="AH81" s="218"/>
      <c r="AI81" s="218"/>
      <c r="AJ81" s="218"/>
      <c r="AK81" s="218"/>
      <c r="AL81" s="218"/>
      <c r="AM81" s="218"/>
      <c r="AN81" s="218"/>
      <c r="AO81" s="218"/>
      <c r="AP81" s="218"/>
      <c r="AQ81" s="218"/>
      <c r="AR81" s="218"/>
      <c r="AS81" s="218"/>
      <c r="AT81" s="218"/>
      <c r="AU81" s="218"/>
      <c r="AV81" s="218"/>
      <c r="AW81" s="218"/>
      <c r="AX81" s="218"/>
      <c r="AY81" s="218"/>
      <c r="AZ81" s="218"/>
      <c r="BA81" s="218"/>
      <c r="BB81" s="218"/>
      <c r="BC81" s="218"/>
      <c r="BD81" s="218"/>
      <c r="BE81" s="218"/>
      <c r="BF81" s="218"/>
      <c r="BG81" s="218"/>
      <c r="BH81" s="218"/>
      <c r="BI81" s="218"/>
      <c r="BJ81" s="218"/>
      <c r="BK81" s="218"/>
      <c r="BL81" s="218"/>
      <c r="BM81" s="218"/>
      <c r="BN81" s="218"/>
      <c r="BO81" s="218"/>
      <c r="BS81" s="219"/>
    </row>
    <row r="82" spans="1:71" s="216" customFormat="1">
      <c r="A82" s="215"/>
      <c r="E82" s="218"/>
      <c r="F82" s="218"/>
      <c r="G82" s="218"/>
      <c r="H82" s="218"/>
      <c r="I82" s="218"/>
      <c r="J82" s="218"/>
      <c r="K82" s="218"/>
      <c r="L82" s="218"/>
      <c r="M82" s="218"/>
      <c r="N82" s="218"/>
      <c r="O82" s="218"/>
      <c r="P82" s="218"/>
      <c r="Q82" s="218"/>
      <c r="R82" s="218"/>
      <c r="S82" s="218"/>
      <c r="T82" s="218"/>
      <c r="U82" s="218"/>
      <c r="V82" s="218"/>
      <c r="W82" s="218"/>
      <c r="X82" s="218"/>
      <c r="Y82" s="218"/>
      <c r="Z82" s="218"/>
      <c r="AA82" s="218"/>
      <c r="AB82" s="218"/>
      <c r="AC82" s="218"/>
      <c r="AD82" s="218"/>
      <c r="AE82" s="218"/>
      <c r="AF82" s="218"/>
      <c r="AG82" s="218"/>
      <c r="AH82" s="218"/>
      <c r="AI82" s="218"/>
      <c r="AJ82" s="218"/>
      <c r="AK82" s="218"/>
      <c r="AL82" s="218"/>
      <c r="AM82" s="218"/>
      <c r="AN82" s="218"/>
      <c r="AO82" s="218"/>
      <c r="AP82" s="218"/>
      <c r="AQ82" s="218"/>
      <c r="AR82" s="218"/>
      <c r="AS82" s="218"/>
      <c r="AT82" s="218"/>
      <c r="AU82" s="218"/>
      <c r="AV82" s="218"/>
      <c r="AW82" s="218"/>
      <c r="AX82" s="218"/>
      <c r="AY82" s="218"/>
      <c r="AZ82" s="218"/>
      <c r="BA82" s="218"/>
      <c r="BB82" s="218"/>
      <c r="BC82" s="218"/>
      <c r="BD82" s="218"/>
      <c r="BE82" s="218"/>
      <c r="BF82" s="218"/>
      <c r="BG82" s="218"/>
      <c r="BH82" s="218"/>
      <c r="BI82" s="218"/>
      <c r="BJ82" s="218"/>
      <c r="BK82" s="218"/>
      <c r="BL82" s="218"/>
      <c r="BM82" s="218"/>
      <c r="BN82" s="218"/>
      <c r="BO82" s="218"/>
      <c r="BS82" s="219"/>
    </row>
    <row r="83" spans="1:71" s="216" customFormat="1">
      <c r="A83" s="215"/>
      <c r="E83" s="218"/>
      <c r="F83" s="218"/>
      <c r="G83" s="218"/>
      <c r="H83" s="218"/>
      <c r="I83" s="218"/>
      <c r="J83" s="218"/>
      <c r="K83" s="218"/>
      <c r="L83" s="218"/>
      <c r="M83" s="218"/>
      <c r="N83" s="218"/>
      <c r="O83" s="218"/>
      <c r="P83" s="218"/>
      <c r="Q83" s="218"/>
      <c r="R83" s="218"/>
      <c r="S83" s="218"/>
      <c r="T83" s="218"/>
      <c r="U83" s="218"/>
      <c r="V83" s="218"/>
      <c r="W83" s="218"/>
      <c r="X83" s="218"/>
      <c r="Y83" s="218"/>
      <c r="Z83" s="218"/>
      <c r="AA83" s="218"/>
      <c r="AB83" s="218"/>
      <c r="AC83" s="218"/>
      <c r="AD83" s="218"/>
      <c r="AE83" s="218"/>
      <c r="AF83" s="218"/>
      <c r="AG83" s="218"/>
      <c r="AH83" s="218"/>
      <c r="AI83" s="218"/>
      <c r="AJ83" s="218"/>
      <c r="AK83" s="218"/>
      <c r="AL83" s="218"/>
      <c r="AM83" s="218"/>
      <c r="AN83" s="218"/>
      <c r="AO83" s="218"/>
      <c r="AP83" s="218"/>
      <c r="AQ83" s="218"/>
      <c r="AR83" s="218"/>
      <c r="AS83" s="218"/>
      <c r="AT83" s="218"/>
      <c r="AU83" s="218"/>
      <c r="AV83" s="218"/>
      <c r="AW83" s="218"/>
      <c r="AX83" s="218"/>
      <c r="AY83" s="218"/>
      <c r="AZ83" s="218"/>
      <c r="BA83" s="218"/>
      <c r="BB83" s="218"/>
      <c r="BC83" s="218"/>
      <c r="BD83" s="218"/>
      <c r="BE83" s="218"/>
      <c r="BF83" s="218"/>
      <c r="BG83" s="218"/>
      <c r="BH83" s="218"/>
      <c r="BI83" s="218"/>
      <c r="BJ83" s="218"/>
      <c r="BK83" s="218"/>
      <c r="BL83" s="218"/>
      <c r="BM83" s="218"/>
      <c r="BN83" s="218"/>
      <c r="BO83" s="218"/>
      <c r="BS83" s="219"/>
    </row>
    <row r="84" spans="1:71" s="216" customFormat="1">
      <c r="A84" s="215"/>
      <c r="E84" s="218"/>
      <c r="F84" s="218"/>
      <c r="G84" s="218"/>
      <c r="H84" s="218"/>
      <c r="I84" s="218"/>
      <c r="J84" s="218"/>
      <c r="K84" s="218"/>
      <c r="L84" s="218"/>
      <c r="M84" s="218"/>
      <c r="N84" s="218"/>
      <c r="O84" s="218"/>
      <c r="P84" s="218"/>
      <c r="Q84" s="218"/>
      <c r="R84" s="218"/>
      <c r="S84" s="218"/>
      <c r="T84" s="218"/>
      <c r="U84" s="218"/>
      <c r="V84" s="218"/>
      <c r="W84" s="218"/>
      <c r="X84" s="218"/>
      <c r="Y84" s="218"/>
      <c r="Z84" s="218"/>
      <c r="AA84" s="218"/>
      <c r="AB84" s="218"/>
      <c r="AC84" s="218"/>
      <c r="AD84" s="218"/>
      <c r="AE84" s="218"/>
      <c r="AF84" s="218"/>
      <c r="AG84" s="218"/>
      <c r="AH84" s="218"/>
      <c r="AI84" s="218"/>
      <c r="AJ84" s="218"/>
      <c r="AK84" s="218"/>
      <c r="AL84" s="218"/>
      <c r="AM84" s="218"/>
      <c r="AN84" s="218"/>
      <c r="AO84" s="218"/>
      <c r="AP84" s="218"/>
      <c r="AQ84" s="218"/>
      <c r="AR84" s="218"/>
      <c r="AS84" s="218"/>
      <c r="AT84" s="218"/>
      <c r="AU84" s="218"/>
      <c r="AV84" s="218"/>
      <c r="AW84" s="218"/>
      <c r="AX84" s="218"/>
      <c r="AY84" s="218"/>
      <c r="AZ84" s="218"/>
      <c r="BA84" s="218"/>
      <c r="BB84" s="218"/>
      <c r="BC84" s="218"/>
      <c r="BD84" s="218"/>
      <c r="BE84" s="218"/>
      <c r="BF84" s="218"/>
      <c r="BG84" s="218"/>
      <c r="BH84" s="218"/>
      <c r="BI84" s="218"/>
      <c r="BJ84" s="218"/>
      <c r="BK84" s="218"/>
      <c r="BL84" s="218"/>
      <c r="BM84" s="218"/>
      <c r="BN84" s="218"/>
      <c r="BO84" s="218"/>
      <c r="BS84" s="219"/>
    </row>
    <row r="85" spans="1:71" s="216" customFormat="1">
      <c r="A85" s="215"/>
      <c r="E85" s="218"/>
      <c r="F85" s="218"/>
      <c r="G85" s="218"/>
      <c r="H85" s="218"/>
      <c r="I85" s="218"/>
      <c r="J85" s="218"/>
      <c r="K85" s="218"/>
      <c r="L85" s="218"/>
      <c r="M85" s="218"/>
      <c r="N85" s="218"/>
      <c r="O85" s="218"/>
      <c r="P85" s="218"/>
      <c r="Q85" s="218"/>
      <c r="R85" s="218"/>
      <c r="S85" s="218"/>
      <c r="T85" s="218"/>
      <c r="U85" s="218"/>
      <c r="V85" s="218"/>
      <c r="W85" s="218"/>
      <c r="X85" s="218"/>
      <c r="Y85" s="218"/>
      <c r="Z85" s="218"/>
      <c r="AA85" s="218"/>
      <c r="AB85" s="218"/>
      <c r="AC85" s="218"/>
      <c r="AD85" s="218"/>
      <c r="AE85" s="218"/>
      <c r="AF85" s="218"/>
      <c r="AG85" s="218"/>
      <c r="AH85" s="218"/>
      <c r="AI85" s="218"/>
      <c r="AJ85" s="218"/>
      <c r="AK85" s="218"/>
      <c r="AL85" s="218"/>
      <c r="AM85" s="218"/>
      <c r="AN85" s="218"/>
      <c r="AO85" s="218"/>
      <c r="AP85" s="218"/>
      <c r="AQ85" s="218"/>
      <c r="AR85" s="218"/>
      <c r="AS85" s="218"/>
      <c r="AT85" s="218"/>
      <c r="AU85" s="218"/>
      <c r="AV85" s="218"/>
      <c r="AW85" s="218"/>
      <c r="AX85" s="218"/>
      <c r="AY85" s="218"/>
      <c r="AZ85" s="218"/>
      <c r="BA85" s="218"/>
      <c r="BB85" s="218"/>
      <c r="BC85" s="218"/>
      <c r="BD85" s="218"/>
      <c r="BE85" s="218"/>
      <c r="BF85" s="218"/>
      <c r="BG85" s="218"/>
      <c r="BH85" s="218"/>
      <c r="BI85" s="218"/>
      <c r="BJ85" s="218"/>
      <c r="BK85" s="218"/>
      <c r="BL85" s="218"/>
      <c r="BM85" s="218"/>
      <c r="BN85" s="218"/>
      <c r="BO85" s="218"/>
      <c r="BS85" s="219"/>
    </row>
    <row r="86" spans="1:71" s="216" customFormat="1">
      <c r="A86" s="215"/>
      <c r="E86" s="218"/>
      <c r="F86" s="218"/>
      <c r="G86" s="218"/>
      <c r="H86" s="218"/>
      <c r="I86" s="218"/>
      <c r="J86" s="218"/>
      <c r="K86" s="218"/>
      <c r="L86" s="218"/>
      <c r="M86" s="218"/>
      <c r="N86" s="218"/>
      <c r="O86" s="218"/>
      <c r="P86" s="218"/>
      <c r="Q86" s="218"/>
      <c r="R86" s="218"/>
      <c r="S86" s="218"/>
      <c r="T86" s="218"/>
      <c r="U86" s="218"/>
      <c r="V86" s="218"/>
      <c r="W86" s="218"/>
      <c r="X86" s="218"/>
      <c r="Y86" s="218"/>
      <c r="Z86" s="218"/>
      <c r="AA86" s="218"/>
      <c r="AB86" s="218"/>
      <c r="AC86" s="218"/>
      <c r="AD86" s="218"/>
      <c r="AE86" s="218"/>
      <c r="AF86" s="218"/>
      <c r="AG86" s="218"/>
      <c r="AH86" s="218"/>
      <c r="AI86" s="218"/>
      <c r="AJ86" s="218"/>
      <c r="AK86" s="218"/>
      <c r="AL86" s="218"/>
      <c r="AM86" s="218"/>
      <c r="AN86" s="218"/>
      <c r="AO86" s="218"/>
      <c r="AP86" s="218"/>
      <c r="AQ86" s="218"/>
      <c r="AR86" s="218"/>
      <c r="AS86" s="218"/>
      <c r="AT86" s="218"/>
      <c r="AU86" s="218"/>
      <c r="AV86" s="218"/>
      <c r="AW86" s="218"/>
      <c r="AX86" s="218"/>
      <c r="AY86" s="218"/>
      <c r="AZ86" s="218"/>
      <c r="BA86" s="218"/>
      <c r="BB86" s="218"/>
      <c r="BC86" s="218"/>
      <c r="BD86" s="218"/>
      <c r="BE86" s="218"/>
      <c r="BF86" s="218"/>
      <c r="BG86" s="218"/>
      <c r="BH86" s="218"/>
      <c r="BI86" s="218"/>
      <c r="BJ86" s="218"/>
      <c r="BK86" s="218"/>
      <c r="BL86" s="218"/>
      <c r="BM86" s="218"/>
      <c r="BN86" s="218"/>
      <c r="BO86" s="218"/>
      <c r="BS86" s="219"/>
    </row>
    <row r="87" spans="1:71" s="216" customFormat="1">
      <c r="A87" s="215"/>
      <c r="E87" s="218"/>
      <c r="F87" s="218"/>
      <c r="G87" s="218"/>
      <c r="H87" s="218"/>
      <c r="I87" s="218"/>
      <c r="J87" s="218"/>
      <c r="K87" s="218"/>
      <c r="L87" s="218"/>
      <c r="M87" s="218"/>
      <c r="N87" s="218"/>
      <c r="O87" s="218"/>
      <c r="P87" s="218"/>
      <c r="Q87" s="218"/>
      <c r="R87" s="218"/>
      <c r="S87" s="218"/>
      <c r="T87" s="218"/>
      <c r="U87" s="218"/>
      <c r="V87" s="218"/>
      <c r="W87" s="218"/>
      <c r="X87" s="218"/>
      <c r="Y87" s="218"/>
      <c r="Z87" s="218"/>
      <c r="AA87" s="218"/>
      <c r="AB87" s="218"/>
      <c r="AC87" s="218"/>
      <c r="AD87" s="218"/>
      <c r="AE87" s="218"/>
      <c r="AF87" s="218"/>
      <c r="AG87" s="218"/>
      <c r="AH87" s="218"/>
      <c r="AI87" s="218"/>
      <c r="AJ87" s="218"/>
      <c r="AK87" s="218"/>
      <c r="AL87" s="218"/>
      <c r="AM87" s="218"/>
      <c r="AN87" s="218"/>
      <c r="AO87" s="218"/>
      <c r="AP87" s="218"/>
      <c r="AQ87" s="218"/>
      <c r="AR87" s="218"/>
      <c r="AS87" s="218"/>
      <c r="AT87" s="218"/>
      <c r="AU87" s="218"/>
      <c r="AV87" s="218"/>
      <c r="AW87" s="218"/>
      <c r="AX87" s="218"/>
      <c r="AY87" s="218"/>
      <c r="AZ87" s="218"/>
      <c r="BA87" s="218"/>
      <c r="BB87" s="218"/>
      <c r="BC87" s="218"/>
      <c r="BD87" s="218"/>
      <c r="BE87" s="218"/>
      <c r="BF87" s="218"/>
      <c r="BG87" s="218"/>
      <c r="BH87" s="218"/>
      <c r="BI87" s="218"/>
      <c r="BJ87" s="218"/>
      <c r="BK87" s="218"/>
      <c r="BL87" s="218"/>
      <c r="BM87" s="218"/>
      <c r="BN87" s="218"/>
      <c r="BO87" s="218"/>
      <c r="BS87" s="219"/>
    </row>
    <row r="88" spans="1:71" s="216" customFormat="1">
      <c r="A88" s="215"/>
      <c r="E88" s="218"/>
      <c r="F88" s="218"/>
      <c r="G88" s="218"/>
      <c r="H88" s="218"/>
      <c r="I88" s="218"/>
      <c r="J88" s="218"/>
      <c r="K88" s="218"/>
      <c r="L88" s="218"/>
      <c r="M88" s="218"/>
      <c r="N88" s="218"/>
      <c r="O88" s="218"/>
      <c r="P88" s="218"/>
      <c r="Q88" s="218"/>
      <c r="R88" s="218"/>
      <c r="S88" s="218"/>
      <c r="T88" s="218"/>
      <c r="U88" s="218"/>
      <c r="V88" s="218"/>
      <c r="W88" s="218"/>
      <c r="X88" s="218"/>
      <c r="Y88" s="218"/>
      <c r="Z88" s="218"/>
      <c r="AA88" s="218"/>
      <c r="AB88" s="218"/>
      <c r="AC88" s="218"/>
      <c r="AD88" s="218"/>
      <c r="AE88" s="218"/>
      <c r="AF88" s="218"/>
      <c r="AG88" s="218"/>
      <c r="AH88" s="218"/>
      <c r="AI88" s="218"/>
      <c r="AJ88" s="218"/>
      <c r="AK88" s="218"/>
      <c r="AL88" s="218"/>
      <c r="AM88" s="218"/>
      <c r="AN88" s="218"/>
      <c r="AO88" s="218"/>
      <c r="AP88" s="218"/>
      <c r="AQ88" s="218"/>
      <c r="AR88" s="218"/>
      <c r="AS88" s="218"/>
      <c r="AT88" s="218"/>
      <c r="AU88" s="218"/>
      <c r="AV88" s="218"/>
      <c r="AW88" s="218"/>
      <c r="AX88" s="218"/>
      <c r="AY88" s="218"/>
      <c r="AZ88" s="218"/>
      <c r="BA88" s="218"/>
      <c r="BB88" s="218"/>
      <c r="BC88" s="218"/>
      <c r="BD88" s="218"/>
      <c r="BE88" s="218"/>
      <c r="BF88" s="218"/>
      <c r="BG88" s="218"/>
      <c r="BH88" s="218"/>
      <c r="BI88" s="218"/>
      <c r="BJ88" s="218"/>
      <c r="BK88" s="218"/>
      <c r="BL88" s="218"/>
      <c r="BM88" s="218"/>
      <c r="BN88" s="218"/>
      <c r="BO88" s="218"/>
      <c r="BS88" s="219"/>
    </row>
    <row r="89" spans="1:71" s="216" customFormat="1">
      <c r="A89" s="215"/>
      <c r="E89" s="218"/>
      <c r="F89" s="218"/>
      <c r="G89" s="218"/>
      <c r="H89" s="218"/>
      <c r="I89" s="218"/>
      <c r="J89" s="218"/>
      <c r="K89" s="218"/>
      <c r="L89" s="218"/>
      <c r="M89" s="218"/>
      <c r="N89" s="218"/>
      <c r="O89" s="218"/>
      <c r="P89" s="218"/>
      <c r="Q89" s="218"/>
      <c r="R89" s="218"/>
      <c r="S89" s="218"/>
      <c r="T89" s="218"/>
      <c r="U89" s="218"/>
      <c r="V89" s="218"/>
      <c r="W89" s="218"/>
      <c r="X89" s="218"/>
      <c r="Y89" s="218"/>
      <c r="Z89" s="218"/>
      <c r="AA89" s="218"/>
      <c r="AB89" s="218"/>
      <c r="AC89" s="218"/>
      <c r="AD89" s="218"/>
      <c r="AE89" s="218"/>
      <c r="AF89" s="218"/>
      <c r="AG89" s="218"/>
      <c r="AH89" s="218"/>
      <c r="AI89" s="218"/>
      <c r="AJ89" s="218"/>
      <c r="AK89" s="218"/>
      <c r="AL89" s="218"/>
      <c r="AM89" s="218"/>
      <c r="AN89" s="218"/>
      <c r="AO89" s="218"/>
      <c r="AP89" s="218"/>
      <c r="AQ89" s="218"/>
      <c r="AR89" s="218"/>
      <c r="AS89" s="218"/>
      <c r="AT89" s="218"/>
      <c r="AU89" s="218"/>
      <c r="AV89" s="218"/>
      <c r="AW89" s="218"/>
      <c r="AX89" s="218"/>
      <c r="AY89" s="218"/>
      <c r="AZ89" s="218"/>
      <c r="BA89" s="218"/>
      <c r="BB89" s="218"/>
      <c r="BC89" s="218"/>
      <c r="BD89" s="218"/>
      <c r="BE89" s="218"/>
      <c r="BF89" s="218"/>
      <c r="BG89" s="218"/>
      <c r="BH89" s="218"/>
      <c r="BI89" s="218"/>
      <c r="BJ89" s="218"/>
      <c r="BK89" s="218"/>
      <c r="BL89" s="218"/>
      <c r="BM89" s="218"/>
      <c r="BN89" s="218"/>
      <c r="BO89" s="218"/>
      <c r="BS89" s="219"/>
    </row>
    <row r="90" spans="1:71" s="216" customFormat="1">
      <c r="A90" s="215"/>
      <c r="E90" s="218"/>
      <c r="F90" s="218"/>
      <c r="G90" s="218"/>
      <c r="H90" s="218"/>
      <c r="I90" s="218"/>
      <c r="J90" s="218"/>
      <c r="K90" s="218"/>
      <c r="L90" s="218"/>
      <c r="M90" s="218"/>
      <c r="N90" s="218"/>
      <c r="O90" s="218"/>
      <c r="P90" s="218"/>
      <c r="Q90" s="218"/>
      <c r="R90" s="218"/>
      <c r="S90" s="218"/>
      <c r="T90" s="218"/>
      <c r="U90" s="218"/>
      <c r="V90" s="218"/>
      <c r="W90" s="218"/>
      <c r="X90" s="218"/>
      <c r="Y90" s="218"/>
      <c r="Z90" s="218"/>
      <c r="AA90" s="218"/>
      <c r="AB90" s="218"/>
      <c r="AC90" s="218"/>
      <c r="AD90" s="218"/>
      <c r="AE90" s="218"/>
      <c r="AF90" s="218"/>
      <c r="AG90" s="218"/>
      <c r="AH90" s="218"/>
      <c r="AI90" s="218"/>
      <c r="AJ90" s="218"/>
      <c r="AK90" s="218"/>
      <c r="AL90" s="218"/>
      <c r="AM90" s="218"/>
      <c r="AN90" s="218"/>
      <c r="AO90" s="218"/>
      <c r="AP90" s="218"/>
      <c r="AQ90" s="218"/>
      <c r="AR90" s="218"/>
      <c r="AS90" s="218"/>
      <c r="AT90" s="218"/>
      <c r="AU90" s="218"/>
      <c r="AV90" s="218"/>
      <c r="AW90" s="218"/>
      <c r="AX90" s="218"/>
      <c r="AY90" s="218"/>
      <c r="AZ90" s="218"/>
      <c r="BA90" s="218"/>
      <c r="BB90" s="218"/>
      <c r="BC90" s="218"/>
      <c r="BD90" s="218"/>
      <c r="BE90" s="218"/>
      <c r="BF90" s="218"/>
      <c r="BG90" s="218"/>
      <c r="BH90" s="218"/>
      <c r="BI90" s="218"/>
      <c r="BJ90" s="218"/>
      <c r="BK90" s="218"/>
      <c r="BL90" s="218"/>
      <c r="BM90" s="218"/>
      <c r="BN90" s="218"/>
      <c r="BO90" s="218"/>
      <c r="BS90" s="219"/>
    </row>
    <row r="91" spans="1:71" s="216" customFormat="1">
      <c r="A91" s="215"/>
      <c r="E91" s="218"/>
      <c r="F91" s="218"/>
      <c r="G91" s="218"/>
      <c r="H91" s="218"/>
      <c r="I91" s="218"/>
      <c r="J91" s="218"/>
      <c r="K91" s="218"/>
      <c r="L91" s="218"/>
      <c r="M91" s="218"/>
      <c r="N91" s="218"/>
      <c r="O91" s="218"/>
      <c r="P91" s="218"/>
      <c r="Q91" s="218"/>
      <c r="R91" s="218"/>
      <c r="S91" s="218"/>
      <c r="T91" s="218"/>
      <c r="U91" s="218"/>
      <c r="V91" s="218"/>
      <c r="W91" s="218"/>
      <c r="X91" s="218"/>
      <c r="Y91" s="218"/>
      <c r="Z91" s="218"/>
      <c r="AA91" s="218"/>
      <c r="AB91" s="218"/>
      <c r="AC91" s="218"/>
      <c r="AD91" s="218"/>
      <c r="AE91" s="218"/>
      <c r="AF91" s="218"/>
      <c r="AG91" s="218"/>
      <c r="AH91" s="218"/>
      <c r="AI91" s="218"/>
      <c r="AJ91" s="218"/>
      <c r="AK91" s="218"/>
      <c r="AL91" s="218"/>
      <c r="AM91" s="218"/>
      <c r="AN91" s="218"/>
      <c r="AO91" s="218"/>
      <c r="AP91" s="218"/>
      <c r="AQ91" s="218"/>
      <c r="AR91" s="218"/>
      <c r="AS91" s="218"/>
      <c r="AT91" s="218"/>
      <c r="AU91" s="218"/>
      <c r="AV91" s="218"/>
      <c r="AW91" s="218"/>
      <c r="AX91" s="218"/>
      <c r="AY91" s="218"/>
      <c r="AZ91" s="218"/>
      <c r="BA91" s="218"/>
      <c r="BB91" s="218"/>
      <c r="BC91" s="218"/>
      <c r="BD91" s="218"/>
      <c r="BE91" s="218"/>
      <c r="BF91" s="218"/>
      <c r="BG91" s="218"/>
      <c r="BH91" s="218"/>
      <c r="BI91" s="218"/>
      <c r="BJ91" s="218"/>
      <c r="BK91" s="218"/>
      <c r="BL91" s="218"/>
      <c r="BM91" s="218"/>
      <c r="BN91" s="218"/>
      <c r="BO91" s="218"/>
      <c r="BS91" s="219"/>
    </row>
    <row r="92" spans="1:71" s="216" customFormat="1">
      <c r="A92" s="215"/>
      <c r="B92" s="238"/>
      <c r="C92" s="218"/>
      <c r="D92" s="218"/>
      <c r="E92" s="218"/>
      <c r="F92" s="218"/>
      <c r="G92" s="218"/>
      <c r="H92" s="218"/>
      <c r="I92" s="218"/>
      <c r="J92" s="218"/>
      <c r="K92" s="218"/>
      <c r="L92" s="218"/>
      <c r="M92" s="218"/>
      <c r="N92" s="218"/>
      <c r="O92" s="218"/>
      <c r="P92" s="218"/>
      <c r="Q92" s="218"/>
      <c r="R92" s="218"/>
      <c r="S92" s="218"/>
      <c r="T92" s="218"/>
      <c r="U92" s="218"/>
      <c r="V92" s="218"/>
      <c r="W92" s="218"/>
      <c r="X92" s="218"/>
      <c r="Y92" s="218"/>
      <c r="Z92" s="218"/>
      <c r="AA92" s="218"/>
      <c r="AB92" s="218"/>
      <c r="AC92" s="218"/>
      <c r="AD92" s="218"/>
      <c r="AE92" s="218"/>
      <c r="AF92" s="218"/>
      <c r="AG92" s="218"/>
      <c r="AH92" s="218"/>
      <c r="AI92" s="218"/>
      <c r="AJ92" s="218"/>
      <c r="AK92" s="218"/>
      <c r="AL92" s="218"/>
      <c r="AM92" s="218"/>
      <c r="AN92" s="218"/>
      <c r="AO92" s="218"/>
      <c r="AP92" s="218"/>
      <c r="AQ92" s="218"/>
      <c r="AR92" s="218"/>
      <c r="AS92" s="218"/>
      <c r="AT92" s="218"/>
      <c r="AU92" s="218"/>
      <c r="AV92" s="218"/>
      <c r="AW92" s="218"/>
      <c r="AX92" s="218"/>
      <c r="AY92" s="218"/>
      <c r="AZ92" s="218"/>
      <c r="BA92" s="218"/>
      <c r="BB92" s="218"/>
      <c r="BC92" s="218"/>
      <c r="BD92" s="218"/>
      <c r="BE92" s="218"/>
      <c r="BF92" s="218"/>
      <c r="BG92" s="218"/>
      <c r="BH92" s="218"/>
      <c r="BI92" s="218"/>
      <c r="BJ92" s="218"/>
      <c r="BK92" s="218"/>
      <c r="BL92" s="218"/>
      <c r="BM92" s="218"/>
      <c r="BN92" s="218"/>
      <c r="BO92" s="218"/>
      <c r="BS92" s="219"/>
    </row>
    <row r="93" spans="1:71">
      <c r="C93" s="239"/>
      <c r="BO93" s="240"/>
    </row>
    <row r="94" spans="1:71">
      <c r="B94" s="238"/>
    </row>
  </sheetData>
  <mergeCells count="3">
    <mergeCell ref="D16:E16"/>
    <mergeCell ref="D17:E17"/>
    <mergeCell ref="D18:E18"/>
  </mergeCells>
  <conditionalFormatting sqref="C7:BN10">
    <cfRule type="cellIs" dxfId="78" priority="6" operator="equal">
      <formula>0</formula>
    </cfRule>
  </conditionalFormatting>
  <conditionalFormatting sqref="B49">
    <cfRule type="cellIs" dxfId="77" priority="3" operator="equal">
      <formula>$BT$7</formula>
    </cfRule>
    <cfRule type="cellIs" dxfId="76" priority="4" operator="greaterThan">
      <formula>$BT$7</formula>
    </cfRule>
    <cfRule type="cellIs" dxfId="75" priority="5" operator="lessThan">
      <formula>$BT$7</formula>
    </cfRule>
  </conditionalFormatting>
  <conditionalFormatting sqref="B56">
    <cfRule type="cellIs" dxfId="74" priority="1" operator="greaterThan">
      <formula>$BT$7</formula>
    </cfRule>
    <cfRule type="cellIs" dxfId="73" priority="2" operator="equal">
      <formula>$BT$7</formula>
    </cfRule>
  </conditionalFormatting>
  <pageMargins left="0.7" right="0.7" top="0.75" bottom="0.75" header="0.3" footer="0.3"/>
  <pageSetup scale="41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1">
    <tabColor rgb="FF00B050"/>
  </sheetPr>
  <dimension ref="A1:BW79"/>
  <sheetViews>
    <sheetView showGridLines="0" zoomScale="85" zoomScaleNormal="85" workbookViewId="0">
      <pane xSplit="2" ySplit="6" topLeftCell="C7" activePane="bottomRight" state="frozen"/>
      <selection activeCell="B32" sqref="B32"/>
      <selection pane="topRight" activeCell="B32" sqref="B32"/>
      <selection pane="bottomLeft" activeCell="B32" sqref="B32"/>
      <selection pane="bottomRight" activeCell="C7" sqref="C7"/>
    </sheetView>
  </sheetViews>
  <sheetFormatPr defaultColWidth="9.140625" defaultRowHeight="15"/>
  <cols>
    <col min="1" max="1" width="6.28515625" style="210" customWidth="1"/>
    <col min="2" max="2" width="64.28515625" style="211" customWidth="1"/>
    <col min="3" max="3" width="13.85546875" style="211" bestFit="1" customWidth="1"/>
    <col min="4" max="27" width="12.7109375" style="211" customWidth="1"/>
    <col min="28" max="28" width="13.28515625" style="211" customWidth="1"/>
    <col min="29" max="34" width="12.7109375" style="211" customWidth="1"/>
    <col min="35" max="36" width="13.28515625" style="211" bestFit="1" customWidth="1"/>
    <col min="37" max="65" width="12.7109375" style="211" customWidth="1"/>
    <col min="66" max="66" width="15.42578125" style="211" customWidth="1"/>
    <col min="67" max="67" width="3.85546875" style="211" customWidth="1"/>
    <col min="68" max="68" width="30.140625" style="212" customWidth="1"/>
    <col min="69" max="69" width="14.5703125" style="212" customWidth="1"/>
    <col min="70" max="70" width="13.85546875" style="212" customWidth="1"/>
    <col min="71" max="71" width="15.42578125" style="213" customWidth="1"/>
    <col min="72" max="72" width="14.28515625" style="212" customWidth="1"/>
    <col min="73" max="73" width="13.5703125" style="212" customWidth="1"/>
    <col min="74" max="74" width="14.42578125" style="212" customWidth="1"/>
    <col min="75" max="16384" width="9.140625" style="212"/>
  </cols>
  <sheetData>
    <row r="1" spans="1:75" ht="15.75" thickBot="1"/>
    <row r="2" spans="1:75" ht="15.75" thickBot="1">
      <c r="B2" s="315" t="s">
        <v>188</v>
      </c>
      <c r="C2" s="314"/>
      <c r="D2" s="314"/>
      <c r="E2" s="314"/>
      <c r="F2" s="314"/>
      <c r="G2" s="314"/>
      <c r="H2" s="314"/>
      <c r="I2" s="314"/>
      <c r="J2" s="314"/>
      <c r="K2" s="314"/>
      <c r="L2" s="314"/>
      <c r="M2" s="314"/>
      <c r="N2" s="314"/>
      <c r="O2" s="314"/>
      <c r="P2" s="314"/>
      <c r="Q2" s="314"/>
      <c r="R2" s="314"/>
      <c r="S2" s="314"/>
      <c r="T2" s="314"/>
      <c r="U2" s="314"/>
      <c r="V2" s="314"/>
      <c r="W2" s="314"/>
      <c r="X2" s="314"/>
      <c r="Y2" s="314"/>
      <c r="Z2" s="314"/>
      <c r="AA2" s="314"/>
      <c r="AB2" s="314"/>
      <c r="AC2" s="314"/>
      <c r="AD2" s="314"/>
      <c r="AE2" s="314"/>
      <c r="AF2" s="314"/>
      <c r="AG2" s="314"/>
      <c r="AH2" s="314"/>
      <c r="AI2" s="314"/>
      <c r="AJ2" s="314"/>
      <c r="AK2" s="314"/>
      <c r="AL2" s="314"/>
      <c r="AM2" s="314"/>
      <c r="AN2" s="314"/>
      <c r="AO2" s="314"/>
      <c r="AP2" s="314"/>
      <c r="AQ2" s="314"/>
      <c r="AR2" s="314"/>
      <c r="AS2" s="314"/>
      <c r="AT2" s="314"/>
      <c r="AU2" s="314"/>
      <c r="AV2" s="314"/>
      <c r="AW2" s="314"/>
      <c r="AX2" s="314"/>
      <c r="AY2" s="314"/>
      <c r="AZ2" s="314"/>
      <c r="BA2" s="314"/>
      <c r="BB2" s="314"/>
      <c r="BC2" s="314"/>
      <c r="BD2" s="314"/>
      <c r="BE2" s="314"/>
      <c r="BF2" s="314"/>
      <c r="BG2" s="314"/>
      <c r="BH2" s="314"/>
      <c r="BI2" s="314"/>
      <c r="BJ2" s="314"/>
      <c r="BK2" s="314"/>
      <c r="BL2" s="314"/>
      <c r="BM2" s="314"/>
      <c r="BN2" s="314"/>
      <c r="BO2" s="242"/>
      <c r="BP2" s="359" t="s">
        <v>189</v>
      </c>
      <c r="BQ2" s="360"/>
      <c r="BR2" s="360"/>
      <c r="BS2" s="547"/>
      <c r="BT2" s="361"/>
    </row>
    <row r="3" spans="1:75">
      <c r="B3" s="226" t="s">
        <v>89</v>
      </c>
      <c r="C3" s="548">
        <f>+'Property Level Return Calcs'!C18</f>
        <v>46813</v>
      </c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  <c r="AF3" s="241"/>
      <c r="AG3" s="241"/>
      <c r="AH3" s="241"/>
      <c r="AI3" s="241"/>
      <c r="AJ3" s="241"/>
      <c r="AK3" s="241"/>
      <c r="AL3" s="241"/>
      <c r="AM3" s="241"/>
      <c r="AN3" s="241"/>
      <c r="AO3" s="241"/>
      <c r="AP3" s="241"/>
      <c r="AQ3" s="241"/>
      <c r="AR3" s="241"/>
      <c r="AS3" s="241"/>
      <c r="AT3" s="241"/>
      <c r="AU3" s="241"/>
      <c r="AV3" s="241"/>
      <c r="AW3" s="241"/>
      <c r="AX3" s="241"/>
      <c r="AY3" s="241"/>
      <c r="AZ3" s="241"/>
      <c r="BA3" s="241"/>
      <c r="BB3" s="241"/>
      <c r="BC3" s="241"/>
      <c r="BD3" s="241"/>
      <c r="BE3" s="241"/>
      <c r="BF3" s="241"/>
      <c r="BG3" s="241"/>
      <c r="BH3" s="241"/>
      <c r="BI3" s="241"/>
      <c r="BJ3" s="241"/>
      <c r="BK3" s="241"/>
      <c r="BL3" s="241"/>
      <c r="BO3" s="242"/>
      <c r="BP3" s="362"/>
      <c r="BQ3" s="356" t="s">
        <v>190</v>
      </c>
      <c r="BR3" s="356" t="s">
        <v>191</v>
      </c>
      <c r="BS3" s="549" t="s">
        <v>47</v>
      </c>
      <c r="BT3" s="363" t="s">
        <v>206</v>
      </c>
      <c r="BV3" s="216" t="s">
        <v>203</v>
      </c>
      <c r="BW3" s="216" t="s">
        <v>207</v>
      </c>
    </row>
    <row r="4" spans="1:75">
      <c r="B4" s="316" t="s">
        <v>81</v>
      </c>
      <c r="C4" s="550">
        <f>+'Property Level Return Calcs'!C3</f>
        <v>2.1666666666666665</v>
      </c>
      <c r="D4" s="244"/>
      <c r="E4" s="244"/>
      <c r="F4" s="244"/>
      <c r="G4" s="244"/>
      <c r="H4" s="244"/>
      <c r="I4" s="244"/>
      <c r="J4" s="244"/>
      <c r="K4" s="244"/>
      <c r="L4" s="244"/>
      <c r="M4" s="244"/>
      <c r="N4" s="244"/>
      <c r="O4" s="244"/>
      <c r="P4" s="244"/>
      <c r="Q4" s="244"/>
      <c r="R4" s="244"/>
      <c r="S4" s="244"/>
      <c r="T4" s="244"/>
      <c r="U4" s="244"/>
      <c r="V4" s="244"/>
      <c r="W4" s="244"/>
      <c r="X4" s="244"/>
      <c r="Y4" s="244"/>
      <c r="Z4" s="244"/>
      <c r="AA4" s="244"/>
      <c r="AB4" s="244"/>
      <c r="AC4" s="244"/>
      <c r="AD4" s="244"/>
      <c r="AE4" s="244"/>
      <c r="AF4" s="244"/>
      <c r="AG4" s="244"/>
      <c r="AH4" s="244"/>
      <c r="AI4" s="244"/>
      <c r="AJ4" s="244"/>
      <c r="AK4" s="244"/>
      <c r="AL4" s="244"/>
      <c r="AM4" s="244"/>
      <c r="AN4" s="244"/>
      <c r="AO4" s="244"/>
      <c r="AP4" s="244"/>
      <c r="AQ4" s="244"/>
      <c r="AR4" s="244"/>
      <c r="AS4" s="244"/>
      <c r="AT4" s="244"/>
      <c r="AU4" s="244"/>
      <c r="AV4" s="244"/>
      <c r="AW4" s="244"/>
      <c r="AX4" s="244"/>
      <c r="AY4" s="244"/>
      <c r="AZ4" s="244"/>
      <c r="BA4" s="244"/>
      <c r="BB4" s="244"/>
      <c r="BC4" s="244"/>
      <c r="BD4" s="244"/>
      <c r="BE4" s="244"/>
      <c r="BF4" s="244"/>
      <c r="BG4" s="244"/>
      <c r="BH4" s="244"/>
      <c r="BI4" s="244"/>
      <c r="BJ4" s="244"/>
      <c r="BK4" s="244"/>
      <c r="BL4" s="244"/>
      <c r="BN4" s="580"/>
      <c r="BO4" s="248"/>
      <c r="BP4" s="251" t="s">
        <v>45</v>
      </c>
      <c r="BQ4" s="357">
        <f>+Dashboard!E14</f>
        <v>1</v>
      </c>
      <c r="BR4" s="357">
        <f>1-BQ4</f>
        <v>0</v>
      </c>
      <c r="BS4" s="357">
        <f>+Dashboard!F14</f>
        <v>0.1</v>
      </c>
      <c r="BT4" s="666" t="str">
        <f>+'Waterfall 2.0 Years'!BT4</f>
        <v>N/Ap</v>
      </c>
      <c r="BV4" s="487"/>
    </row>
    <row r="5" spans="1:75">
      <c r="B5" s="466" t="s">
        <v>41</v>
      </c>
      <c r="C5" s="551">
        <f>-SUM(C7:BN7)</f>
        <v>24033944.982098967</v>
      </c>
      <c r="D5" s="468"/>
      <c r="E5" s="468"/>
      <c r="F5" s="468"/>
      <c r="G5" s="468"/>
      <c r="H5" s="468"/>
      <c r="I5" s="468"/>
      <c r="J5" s="468"/>
      <c r="K5" s="468"/>
      <c r="L5" s="468"/>
      <c r="M5" s="468"/>
      <c r="N5" s="468"/>
      <c r="O5" s="468"/>
      <c r="P5" s="468"/>
      <c r="Q5" s="468"/>
      <c r="R5" s="468"/>
      <c r="S5" s="468"/>
      <c r="T5" s="468"/>
      <c r="U5" s="468"/>
      <c r="V5" s="468"/>
      <c r="W5" s="468"/>
      <c r="X5" s="468"/>
      <c r="Y5" s="468"/>
      <c r="Z5" s="468"/>
      <c r="AA5" s="468"/>
      <c r="AB5" s="468"/>
      <c r="AC5" s="468"/>
      <c r="AD5" s="468"/>
      <c r="AE5" s="468"/>
      <c r="AF5" s="468"/>
      <c r="AG5" s="468"/>
      <c r="AH5" s="468"/>
      <c r="AI5" s="468"/>
      <c r="AJ5" s="468"/>
      <c r="AK5" s="468"/>
      <c r="AL5" s="468"/>
      <c r="AM5" s="468"/>
      <c r="AN5" s="468"/>
      <c r="AO5" s="468"/>
      <c r="AP5" s="468"/>
      <c r="AQ5" s="468"/>
      <c r="AR5" s="468"/>
      <c r="AS5" s="468"/>
      <c r="AT5" s="468"/>
      <c r="AU5" s="468"/>
      <c r="AV5" s="468"/>
      <c r="AW5" s="468"/>
      <c r="AX5" s="468"/>
      <c r="AY5" s="468"/>
      <c r="AZ5" s="468"/>
      <c r="BA5" s="468"/>
      <c r="BB5" s="468"/>
      <c r="BC5" s="468"/>
      <c r="BD5" s="468"/>
      <c r="BE5" s="468"/>
      <c r="BF5" s="468"/>
      <c r="BG5" s="468"/>
      <c r="BH5" s="468"/>
      <c r="BI5" s="468"/>
      <c r="BJ5" s="468"/>
      <c r="BK5" s="468"/>
      <c r="BL5" s="468"/>
      <c r="BM5" s="468"/>
      <c r="BN5" s="468"/>
      <c r="BO5" s="248"/>
      <c r="BP5" s="364" t="s">
        <v>46</v>
      </c>
      <c r="BQ5" s="664"/>
      <c r="BR5" s="368"/>
      <c r="BS5" s="665"/>
      <c r="BT5" s="581"/>
      <c r="BV5" s="213"/>
    </row>
    <row r="6" spans="1:75">
      <c r="B6" s="245" t="s">
        <v>158</v>
      </c>
      <c r="C6" s="246">
        <f>+'Property Level Return Calcs'!D4</f>
        <v>45658</v>
      </c>
      <c r="D6" s="246">
        <f>EOMONTH(C6,0)</f>
        <v>45688</v>
      </c>
      <c r="E6" s="246">
        <f>IF(D6+1&gt;$C$3,EOMONTH(D6,1),IF(EOMONTH(D6,1)&lt;$C$3,EOMONTH('Waterfall 3.0 Years'!D6,1),$C$3))</f>
        <v>45716</v>
      </c>
      <c r="F6" s="246">
        <f>IF(E6+1&gt;$C$3,EOMONTH(E6,1),IF(EOMONTH(E6,1)&lt;$C$3,EOMONTH('Waterfall 3.0 Years'!E6,1),$C$3))</f>
        <v>45747</v>
      </c>
      <c r="G6" s="246">
        <f>IF(F6+1&gt;$C$3,EOMONTH(F6,1),IF(EOMONTH(F6,1)&lt;$C$3,EOMONTH('Waterfall 3.0 Years'!F6,1),$C$3))</f>
        <v>45777</v>
      </c>
      <c r="H6" s="246">
        <f>IF(G6+1&gt;$C$3,EOMONTH(G6,1),IF(EOMONTH(G6,1)&lt;$C$3,EOMONTH('Waterfall 3.0 Years'!G6,1),$C$3))</f>
        <v>45808</v>
      </c>
      <c r="I6" s="246">
        <f>IF(H6+1&gt;$C$3,EOMONTH(H6,1),IF(EOMONTH(H6,1)&lt;$C$3,EOMONTH('Waterfall 3.0 Years'!H6,1),$C$3))</f>
        <v>45838</v>
      </c>
      <c r="J6" s="246">
        <f>IF(I6+1&gt;$C$3,EOMONTH(I6,1),IF(EOMONTH(I6,1)&lt;$C$3,EOMONTH('Waterfall 3.0 Years'!I6,1),$C$3))</f>
        <v>45869</v>
      </c>
      <c r="K6" s="246">
        <f>IF(J6+1&gt;$C$3,EOMONTH(J6,1),IF(EOMONTH(J6,1)&lt;$C$3,EOMONTH('Waterfall 3.0 Years'!J6,1),$C$3))</f>
        <v>45900</v>
      </c>
      <c r="L6" s="246">
        <f>IF(K6+1&gt;$C$3,EOMONTH(K6,1),IF(EOMONTH(K6,1)&lt;$C$3,EOMONTH('Waterfall 3.0 Years'!K6,1),$C$3))</f>
        <v>45930</v>
      </c>
      <c r="M6" s="246">
        <f>IF(L6+1&gt;$C$3,EOMONTH(L6,1),IF(EOMONTH(L6,1)&lt;$C$3,EOMONTH('Waterfall 3.0 Years'!L6,1),$C$3))</f>
        <v>45961</v>
      </c>
      <c r="N6" s="246">
        <f>IF(M6+1&gt;$C$3,EOMONTH(M6,1),IF(EOMONTH(M6,1)&lt;$C$3,EOMONTH('Waterfall 3.0 Years'!M6,1),$C$3))</f>
        <v>45991</v>
      </c>
      <c r="O6" s="246">
        <f>IF(N6+1&gt;$C$3,EOMONTH(N6,1),IF(EOMONTH(N6,1)&lt;$C$3,EOMONTH('Waterfall 3.0 Years'!N6,1),$C$3))</f>
        <v>46022</v>
      </c>
      <c r="P6" s="246">
        <f>IF(O6+1&gt;$C$3,EOMONTH(O6,1),IF(EOMONTH(O6,1)&lt;$C$3,EOMONTH('Waterfall 3.0 Years'!O6,1),$C$3))</f>
        <v>46053</v>
      </c>
      <c r="Q6" s="246">
        <f>IF(P6+1&gt;$C$3,EOMONTH(P6,1),IF(EOMONTH(P6,1)&lt;$C$3,EOMONTH('Waterfall 3.0 Years'!P6,1),$C$3))</f>
        <v>46081</v>
      </c>
      <c r="R6" s="246">
        <f>IF(Q6+1&gt;$C$3,EOMONTH(Q6,1),IF(EOMONTH(Q6,1)&lt;$C$3,EOMONTH('Waterfall 3.0 Years'!Q6,1),$C$3))</f>
        <v>46112</v>
      </c>
      <c r="S6" s="246">
        <f>IF(R6+1&gt;$C$3,EOMONTH(R6,1),IF(EOMONTH(R6,1)&lt;$C$3,EOMONTH('Waterfall 3.0 Years'!R6,1),$C$3))</f>
        <v>46142</v>
      </c>
      <c r="T6" s="246">
        <f>IF(S6+1&gt;$C$3,EOMONTH(S6,1),IF(EOMONTH(S6,1)&lt;$C$3,EOMONTH('Waterfall 3.0 Years'!S6,1),$C$3))</f>
        <v>46173</v>
      </c>
      <c r="U6" s="246">
        <f>IF(T6+1&gt;$C$3,EOMONTH(T6,1),IF(EOMONTH(T6,1)&lt;$C$3,EOMONTH('Waterfall 3.0 Years'!T6,1),$C$3))</f>
        <v>46203</v>
      </c>
      <c r="V6" s="246">
        <f>IF(U6+1&gt;$C$3,EOMONTH(U6,1),IF(EOMONTH(U6,1)&lt;$C$3,EOMONTH('Waterfall 3.0 Years'!U6,1),$C$3))</f>
        <v>46234</v>
      </c>
      <c r="W6" s="246">
        <f>IF(V6+1&gt;$C$3,EOMONTH(V6,1),IF(EOMONTH(V6,1)&lt;$C$3,EOMONTH('Waterfall 3.0 Years'!V6,1),$C$3))</f>
        <v>46265</v>
      </c>
      <c r="X6" s="246">
        <f>IF(W6+1&gt;$C$3,EOMONTH(W6,1),IF(EOMONTH(W6,1)&lt;$C$3,EOMONTH('Waterfall 3.0 Years'!W6,1),$C$3))</f>
        <v>46295</v>
      </c>
      <c r="Y6" s="246">
        <f>IF(X6+1&gt;$C$3,EOMONTH(X6,1),IF(EOMONTH(X6,1)&lt;$C$3,EOMONTH('Waterfall 3.0 Years'!X6,1),$C$3))</f>
        <v>46326</v>
      </c>
      <c r="Z6" s="246">
        <f>IF(Y6+1&gt;$C$3,EOMONTH(Y6,1),IF(EOMONTH(Y6,1)&lt;$C$3,EOMONTH('Waterfall 3.0 Years'!Y6,1),$C$3))</f>
        <v>46356</v>
      </c>
      <c r="AA6" s="246">
        <f>IF(Z6+1&gt;$C$3,EOMONTH(Z6,1),IF(EOMONTH(Z6,1)&lt;$C$3,EOMONTH('Waterfall 3.0 Years'!Z6,1),$C$3))</f>
        <v>46387</v>
      </c>
      <c r="AB6" s="246">
        <f>IF(AA6+1&gt;$C$3,EOMONTH(AA6,1),IF(EOMONTH(AA6,1)&lt;$C$3,EOMONTH('Waterfall 3.0 Years'!AA6,1),$C$3))</f>
        <v>46418</v>
      </c>
      <c r="AC6" s="246">
        <f>IF(AB6+1&gt;$C$3,EOMONTH(AB6,1),IF(EOMONTH(AB6,1)&lt;$C$3,EOMONTH('Waterfall 3.0 Years'!AB6,1),$C$3))</f>
        <v>46446</v>
      </c>
      <c r="AD6" s="246">
        <f>IF(AC6+1&gt;$C$3,EOMONTH(AC6,1),IF(EOMONTH(AC6,1)&lt;$C$3,EOMONTH('Waterfall 3.0 Years'!AC6,1),$C$3))</f>
        <v>46477</v>
      </c>
      <c r="AE6" s="246">
        <f>IF(AD6+1&gt;$C$3,EOMONTH(AD6,1),IF(EOMONTH(AD6,1)&lt;$C$3,EOMONTH('Waterfall 3.0 Years'!AD6,1),$C$3))</f>
        <v>46507</v>
      </c>
      <c r="AF6" s="246">
        <f>IF(AE6+1&gt;$C$3,EOMONTH(AE6,1),IF(EOMONTH(AE6,1)&lt;$C$3,EOMONTH('Waterfall 3.0 Years'!AE6,1),$C$3))</f>
        <v>46538</v>
      </c>
      <c r="AG6" s="246">
        <f>IF(AF6+1&gt;$C$3,EOMONTH(AF6,1),IF(EOMONTH(AF6,1)&lt;$C$3,EOMONTH('Waterfall 3.0 Years'!AF6,1),$C$3))</f>
        <v>46568</v>
      </c>
      <c r="AH6" s="246">
        <f>IF(AG6+1&gt;$C$3,EOMONTH(AG6,1),IF(EOMONTH(AG6,1)&lt;$C$3,EOMONTH('Waterfall 3.0 Years'!AG6,1),$C$3))</f>
        <v>46599</v>
      </c>
      <c r="AI6" s="246">
        <f>IF(AH6+1&gt;$C$3,EOMONTH(AH6,1),IF(EOMONTH(AH6,1)&lt;$C$3,EOMONTH('Waterfall 3.0 Years'!AH6,1),$C$3))</f>
        <v>46630</v>
      </c>
      <c r="AJ6" s="246">
        <f>IF(AI6+1&gt;$C$3,EOMONTH(AI6,1),IF(EOMONTH(AI6,1)&lt;$C$3,EOMONTH('Waterfall 3.0 Years'!AI6,1),$C$3))</f>
        <v>46660</v>
      </c>
      <c r="AK6" s="246">
        <f>IF(AJ6+1&gt;$C$3,EOMONTH(AJ6,1),IF(EOMONTH(AJ6,1)&lt;$C$3,EOMONTH('Waterfall 3.0 Years'!AJ6,1),$C$3))</f>
        <v>46691</v>
      </c>
      <c r="AL6" s="246">
        <f>IF(AK6+1&gt;$C$3,EOMONTH(AK6,1),IF(EOMONTH(AK6,1)&lt;$C$3,EOMONTH('Waterfall 3.0 Years'!AK6,1),$C$3))</f>
        <v>46721</v>
      </c>
      <c r="AM6" s="246">
        <f>IF(AL6+1&gt;$C$3,EOMONTH(AL6,1),IF(EOMONTH(AL6,1)&lt;$C$3,EOMONTH('Waterfall 3.0 Years'!AL6,1),$C$3))</f>
        <v>46752</v>
      </c>
      <c r="AN6" s="246">
        <f>IF(AM6+1&gt;$C$3,EOMONTH(AM6,1),IF(EOMONTH(AM6,1)&lt;$C$3,EOMONTH('Waterfall 3.0 Years'!AM6,1),$C$3))</f>
        <v>46783</v>
      </c>
      <c r="AO6" s="246">
        <f>IF(AN6+1&gt;$C$3,EOMONTH(AN6,1),IF(EOMONTH(AN6,1)&lt;$C$3,EOMONTH('Waterfall 3.0 Years'!AN6,1),$C$3))</f>
        <v>46812</v>
      </c>
      <c r="AP6" s="246">
        <f>IF(AO6+1&gt;$C$3,EOMONTH(AO6,1),IF(EOMONTH(AO6,1)&lt;$C$3,EOMONTH('Waterfall 3.0 Years'!AO6,1),$C$3))</f>
        <v>46813</v>
      </c>
      <c r="AQ6" s="246">
        <f>IF(AP6+1&gt;$C$3,EOMONTH(AP6,1),IF(EOMONTH(AP6,1)&lt;$C$3,EOMONTH('Waterfall 3.0 Years'!AP6,1),$C$3))</f>
        <v>46873</v>
      </c>
      <c r="AR6" s="246">
        <f>IF(AQ6+1&gt;$C$3,EOMONTH(AQ6,1),IF(EOMONTH(AQ6,1)&lt;$C$3,EOMONTH('Waterfall 3.0 Years'!AQ6,1),$C$3))</f>
        <v>46904</v>
      </c>
      <c r="AS6" s="246">
        <f>IF(AR6+1&gt;$C$3,EOMONTH(AR6,1),IF(EOMONTH(AR6,1)&lt;$C$3,EOMONTH('Waterfall 3.0 Years'!AR6,1),$C$3))</f>
        <v>46934</v>
      </c>
      <c r="AT6" s="246">
        <f>IF(AS6+1&gt;$C$3,EOMONTH(AS6,1),IF(EOMONTH(AS6,1)&lt;$C$3,EOMONTH('Waterfall 3.0 Years'!AS6,1),$C$3))</f>
        <v>46965</v>
      </c>
      <c r="AU6" s="246">
        <f>IF(AT6+1&gt;$C$3,EOMONTH(AT6,1),IF(EOMONTH(AT6,1)&lt;$C$3,EOMONTH('Waterfall 3.0 Years'!AT6,1),$C$3))</f>
        <v>46996</v>
      </c>
      <c r="AV6" s="246">
        <f>IF(AU6+1&gt;$C$3,EOMONTH(AU6,1),IF(EOMONTH(AU6,1)&lt;$C$3,EOMONTH('Waterfall 3.0 Years'!AU6,1),$C$3))</f>
        <v>47026</v>
      </c>
      <c r="AW6" s="246">
        <f>IF(AV6+1&gt;$C$3,EOMONTH(AV6,1),IF(EOMONTH(AV6,1)&lt;$C$3,EOMONTH('Waterfall 3.0 Years'!AV6,1),$C$3))</f>
        <v>47057</v>
      </c>
      <c r="AX6" s="246">
        <f>IF(AW6+1&gt;$C$3,EOMONTH(AW6,1),IF(EOMONTH(AW6,1)&lt;$C$3,EOMONTH('Waterfall 3.0 Years'!AW6,1),$C$3))</f>
        <v>47087</v>
      </c>
      <c r="AY6" s="246">
        <f>IF(AX6+1&gt;$C$3,EOMONTH(AX6,1),IF(EOMONTH(AX6,1)&lt;$C$3,EOMONTH('Waterfall 3.0 Years'!AX6,1),$C$3))</f>
        <v>47118</v>
      </c>
      <c r="AZ6" s="246">
        <f>IF(AY6+1&gt;$C$3,EOMONTH(AY6,1),IF(EOMONTH(AY6,1)&lt;$C$3,EOMONTH('Waterfall 3.0 Years'!AY6,1),$C$3))</f>
        <v>47149</v>
      </c>
      <c r="BA6" s="246">
        <f>IF(AZ6+1&gt;$C$3,EOMONTH(AZ6,1),IF(EOMONTH(AZ6,1)&lt;$C$3,EOMONTH('Waterfall 3.0 Years'!AZ6,1),$C$3))</f>
        <v>47177</v>
      </c>
      <c r="BB6" s="246">
        <f>IF(BA6+1&gt;$C$3,EOMONTH(BA6,1),IF(EOMONTH(BA6,1)&lt;$C$3,EOMONTH('Waterfall 3.0 Years'!BA6,1),$C$3))</f>
        <v>47208</v>
      </c>
      <c r="BC6" s="246">
        <f>IF(BB6+1&gt;$C$3,EOMONTH(BB6,1),IF(EOMONTH(BB6,1)&lt;$C$3,EOMONTH('Waterfall 3.0 Years'!BB6,1),$C$3))</f>
        <v>47238</v>
      </c>
      <c r="BD6" s="246">
        <f>IF(BC6+1&gt;$C$3,EOMONTH(BC6,1),IF(EOMONTH(BC6,1)&lt;$C$3,EOMONTH('Waterfall 3.0 Years'!BC6,1),$C$3))</f>
        <v>47269</v>
      </c>
      <c r="BE6" s="246">
        <f>IF(BD6+1&gt;$C$3,EOMONTH(BD6,1),IF(EOMONTH(BD6,1)&lt;$C$3,EOMONTH('Waterfall 3.0 Years'!BD6,1),$C$3))</f>
        <v>47299</v>
      </c>
      <c r="BF6" s="246">
        <f>IF(BE6+1&gt;$C$3,EOMONTH(BE6,1),IF(EOMONTH(BE6,1)&lt;$C$3,EOMONTH('Waterfall 3.0 Years'!BE6,1),$C$3))</f>
        <v>47330</v>
      </c>
      <c r="BG6" s="246">
        <f>IF(BF6+1&gt;$C$3,EOMONTH(BF6,1),IF(EOMONTH(BF6,1)&lt;$C$3,EOMONTH('Waterfall 3.0 Years'!BF6,1),$C$3))</f>
        <v>47361</v>
      </c>
      <c r="BH6" s="246">
        <f>IF(BG6+1&gt;$C$3,EOMONTH(BG6,1),IF(EOMONTH(BG6,1)&lt;$C$3,EOMONTH('Waterfall 3.0 Years'!BG6,1),$C$3))</f>
        <v>47391</v>
      </c>
      <c r="BI6" s="246">
        <f>IF(BH6+1&gt;$C$3,EOMONTH(BH6,1),IF(EOMONTH(BH6,1)&lt;$C$3,EOMONTH('Waterfall 3.0 Years'!BH6,1),$C$3))</f>
        <v>47422</v>
      </c>
      <c r="BJ6" s="246">
        <f>IF(BI6+1&gt;$C$3,EOMONTH(BI6,1),IF(EOMONTH(BI6,1)&lt;$C$3,EOMONTH('Waterfall 3.0 Years'!BI6,1),$C$3))</f>
        <v>47452</v>
      </c>
      <c r="BK6" s="246">
        <f>IF(BJ6+1&gt;$C$3,EOMONTH(BJ6,1),IF(EOMONTH(BJ6,1)&lt;$C$3,EOMONTH('Waterfall 3.0 Years'!BJ6,1),$C$3))</f>
        <v>47483</v>
      </c>
      <c r="BL6" s="246">
        <f>IF(BK6+1&gt;$C$3,EOMONTH(BK6,1),IF(EOMONTH(BK6,1)&lt;$C$3,EOMONTH('Waterfall 3.0 Years'!BK6,1),$C$3))</f>
        <v>47514</v>
      </c>
      <c r="BM6" s="246">
        <f>IF(BL6+1&gt;$C$3,EOMONTH(BL6,1),IF(EOMONTH(BL6,1)&lt;$C$3,EOMONTH('Waterfall 3.0 Years'!BL6,1),$C$3))</f>
        <v>47542</v>
      </c>
      <c r="BN6" s="246">
        <f>IF(BM6+1&gt;$C$3,EOMONTH(BM6,1),IF(EOMONTH(BM6,1)&lt;$C$3,EOMONTH('Waterfall 3.0 Years'!BM6,1),$C$3))</f>
        <v>47573</v>
      </c>
      <c r="BO6" s="345"/>
      <c r="BP6" s="251" t="s">
        <v>214</v>
      </c>
      <c r="BQ6" s="357">
        <f>+Dashboard!E16</f>
        <v>0.85</v>
      </c>
      <c r="BR6" s="357">
        <f>1-BQ6</f>
        <v>0.15000000000000002</v>
      </c>
      <c r="BS6" s="357">
        <f>+Dashboard!F16</f>
        <v>0.18</v>
      </c>
      <c r="BT6" s="666" t="str">
        <f>+'Waterfall 2.0 Years'!BT6</f>
        <v>N/Ap</v>
      </c>
      <c r="BU6" s="214"/>
      <c r="BV6" s="552">
        <f>(1+BS6)^(1/12)</f>
        <v>1.0138884303484099</v>
      </c>
      <c r="BW6" s="212">
        <f>(1+BS6)^(1/365)</f>
        <v>1.0004535670454469</v>
      </c>
    </row>
    <row r="7" spans="1:75">
      <c r="B7" s="248" t="s">
        <v>164</v>
      </c>
      <c r="C7" s="553">
        <f>IFERROR(HLOOKUP(C$6,'Property Level Return Calcs'!$D$20:$BO$27,'Property Level Return Calcs'!$A$6,FALSE),0)</f>
        <v>-24033944.982098967</v>
      </c>
      <c r="D7" s="553">
        <f>IFERROR(HLOOKUP(D$6,'Property Level Return Calcs'!$D$20:$BO$27,'Property Level Return Calcs'!$A$6,FALSE),0)</f>
        <v>0</v>
      </c>
      <c r="E7" s="553">
        <f>IFERROR(HLOOKUP(E$6,'Property Level Return Calcs'!$D$20:$BO$27,'Property Level Return Calcs'!$A$6,FALSE),0)</f>
        <v>0</v>
      </c>
      <c r="F7" s="553">
        <f>IFERROR(HLOOKUP(F$6,'Property Level Return Calcs'!$D$20:$BO$27,'Property Level Return Calcs'!$A$6,FALSE),0)</f>
        <v>0</v>
      </c>
      <c r="G7" s="553">
        <f>IFERROR(HLOOKUP(G$6,'Property Level Return Calcs'!$D$20:$BO$27,'Property Level Return Calcs'!$A$6,FALSE),0)</f>
        <v>0</v>
      </c>
      <c r="H7" s="553">
        <f>IFERROR(HLOOKUP(H$6,'Property Level Return Calcs'!$D$20:$BO$27,'Property Level Return Calcs'!$A$6,FALSE),0)</f>
        <v>0</v>
      </c>
      <c r="I7" s="553">
        <f>IFERROR(HLOOKUP(I$6,'Property Level Return Calcs'!$D$20:$BO$27,'Property Level Return Calcs'!$A$6,FALSE),0)</f>
        <v>0</v>
      </c>
      <c r="J7" s="553">
        <f>IFERROR(HLOOKUP(J$6,'Property Level Return Calcs'!$D$20:$BO$27,'Property Level Return Calcs'!$A$6,FALSE),0)</f>
        <v>0</v>
      </c>
      <c r="K7" s="553">
        <f>IFERROR(HLOOKUP(K$6,'Property Level Return Calcs'!$D$20:$BO$27,'Property Level Return Calcs'!$A$6,FALSE),0)</f>
        <v>0</v>
      </c>
      <c r="L7" s="553">
        <f>IFERROR(HLOOKUP(L$6,'Property Level Return Calcs'!$D$20:$BO$27,'Property Level Return Calcs'!$A$6,FALSE),0)</f>
        <v>0</v>
      </c>
      <c r="M7" s="553">
        <f>IFERROR(HLOOKUP(M$6,'Property Level Return Calcs'!$D$20:$BO$27,'Property Level Return Calcs'!$A$6,FALSE),0)</f>
        <v>0</v>
      </c>
      <c r="N7" s="553">
        <f>IFERROR(HLOOKUP(N$6,'Property Level Return Calcs'!$D$20:$BO$27,'Property Level Return Calcs'!$A$6,FALSE),0)</f>
        <v>0</v>
      </c>
      <c r="O7" s="553">
        <f>IFERROR(HLOOKUP(O$6,'Property Level Return Calcs'!$D$20:$BO$27,'Property Level Return Calcs'!$A$6,FALSE),0)</f>
        <v>0</v>
      </c>
      <c r="P7" s="553">
        <f>IFERROR(HLOOKUP(P$6,'Property Level Return Calcs'!$D$20:$BO$27,'Property Level Return Calcs'!$A$6,FALSE),0)</f>
        <v>0</v>
      </c>
      <c r="Q7" s="553">
        <f>IFERROR(HLOOKUP(Q$6,'Property Level Return Calcs'!$D$20:$BO$27,'Property Level Return Calcs'!$A$6,FALSE),0)</f>
        <v>0</v>
      </c>
      <c r="R7" s="553">
        <f>IFERROR(HLOOKUP(R$6,'Property Level Return Calcs'!$D$20:$BO$27,'Property Level Return Calcs'!$A$6,FALSE),0)</f>
        <v>0</v>
      </c>
      <c r="S7" s="553">
        <f>IFERROR(HLOOKUP(S$6,'Property Level Return Calcs'!$D$20:$BO$27,'Property Level Return Calcs'!$A$6,FALSE),0)</f>
        <v>0</v>
      </c>
      <c r="T7" s="553">
        <f>IFERROR(HLOOKUP(T$6,'Property Level Return Calcs'!$D$20:$BO$27,'Property Level Return Calcs'!$A$6,FALSE),0)</f>
        <v>0</v>
      </c>
      <c r="U7" s="553">
        <f>IFERROR(HLOOKUP(U$6,'Property Level Return Calcs'!$D$20:$BO$27,'Property Level Return Calcs'!$A$6,FALSE),0)</f>
        <v>0</v>
      </c>
      <c r="V7" s="553">
        <f>IFERROR(HLOOKUP(V$6,'Property Level Return Calcs'!$D$20:$BO$27,'Property Level Return Calcs'!$A$6,FALSE),0)</f>
        <v>0</v>
      </c>
      <c r="W7" s="553">
        <f>IFERROR(HLOOKUP(W$6,'Property Level Return Calcs'!$D$20:$BO$27,'Property Level Return Calcs'!$A$6,FALSE),0)</f>
        <v>0</v>
      </c>
      <c r="X7" s="553">
        <f>IFERROR(HLOOKUP(X$6,'Property Level Return Calcs'!$D$20:$BO$27,'Property Level Return Calcs'!$A$6,FALSE),0)</f>
        <v>0</v>
      </c>
      <c r="Y7" s="553">
        <f>IFERROR(HLOOKUP(Y$6,'Property Level Return Calcs'!$D$20:$BO$27,'Property Level Return Calcs'!$A$6,FALSE),0)</f>
        <v>0</v>
      </c>
      <c r="Z7" s="553">
        <f>IFERROR(HLOOKUP(Z$6,'Property Level Return Calcs'!$D$20:$BO$27,'Property Level Return Calcs'!$A$6,FALSE),0)</f>
        <v>0</v>
      </c>
      <c r="AA7" s="553">
        <f>IFERROR(HLOOKUP(AA$6,'Property Level Return Calcs'!$D$20:$BO$27,'Property Level Return Calcs'!$A$6,FALSE),0)</f>
        <v>0</v>
      </c>
      <c r="AB7" s="553">
        <f>IFERROR(HLOOKUP(AB$6,'Property Level Return Calcs'!$D$20:$BO$27,'Property Level Return Calcs'!$A$6,FALSE),0)</f>
        <v>0</v>
      </c>
      <c r="AC7" s="553">
        <f>IFERROR(HLOOKUP(AC$6,'Property Level Return Calcs'!$D$20:$BO$27,'Property Level Return Calcs'!$A$6,FALSE),0)</f>
        <v>0</v>
      </c>
      <c r="AD7" s="553">
        <f>IFERROR(HLOOKUP(AD$6,'Property Level Return Calcs'!$D$20:$BO$27,'Property Level Return Calcs'!$A$6,FALSE),0)</f>
        <v>0</v>
      </c>
      <c r="AE7" s="553">
        <f>IFERROR(HLOOKUP(AE$6,'Property Level Return Calcs'!$D$20:$BO$27,'Property Level Return Calcs'!$A$6,FALSE),0)</f>
        <v>0</v>
      </c>
      <c r="AF7" s="553">
        <f>IFERROR(HLOOKUP(AF$6,'Property Level Return Calcs'!$D$20:$BO$27,'Property Level Return Calcs'!$A$6,FALSE),0)</f>
        <v>0</v>
      </c>
      <c r="AG7" s="553">
        <f>IFERROR(HLOOKUP(AG$6,'Property Level Return Calcs'!$D$20:$BO$27,'Property Level Return Calcs'!$A$6,FALSE),0)</f>
        <v>0</v>
      </c>
      <c r="AH7" s="553">
        <f>IFERROR(HLOOKUP(AH$6,'Property Level Return Calcs'!$D$20:$BO$27,'Property Level Return Calcs'!$A$6,FALSE),0)</f>
        <v>0</v>
      </c>
      <c r="AI7" s="553">
        <f>IFERROR(HLOOKUP(AI$6,'Property Level Return Calcs'!$D$20:$BO$27,'Property Level Return Calcs'!$A$6,FALSE),0)</f>
        <v>0</v>
      </c>
      <c r="AJ7" s="553">
        <f>IFERROR(HLOOKUP(AJ$6,'Property Level Return Calcs'!$D$20:$BO$27,'Property Level Return Calcs'!$A$6,FALSE),0)</f>
        <v>0</v>
      </c>
      <c r="AK7" s="553">
        <f>IFERROR(HLOOKUP(AK$6,'Property Level Return Calcs'!$D$20:$BO$27,'Property Level Return Calcs'!$A$6,FALSE),0)</f>
        <v>0</v>
      </c>
      <c r="AL7" s="553">
        <f>IFERROR(HLOOKUP(AL$6,'Property Level Return Calcs'!$D$20:$BO$27,'Property Level Return Calcs'!$A$6,FALSE),0)</f>
        <v>0</v>
      </c>
      <c r="AM7" s="553">
        <f>IFERROR(HLOOKUP(AM$6,'Property Level Return Calcs'!$D$20:$BO$27,'Property Level Return Calcs'!$A$6,FALSE),0)</f>
        <v>0</v>
      </c>
      <c r="AN7" s="553">
        <f>IFERROR(HLOOKUP(AN$6,'Property Level Return Calcs'!$D$20:$BO$27,'Property Level Return Calcs'!$A$6,FALSE),0)</f>
        <v>0</v>
      </c>
      <c r="AO7" s="553">
        <f>IFERROR(HLOOKUP(AO$6,'Property Level Return Calcs'!$D$20:$BO$27,'Property Level Return Calcs'!$A$6,FALSE),0)</f>
        <v>0</v>
      </c>
      <c r="AP7" s="553">
        <f>IFERROR(HLOOKUP(AP$6,'Property Level Return Calcs'!$D$20:$BO$27,'Property Level Return Calcs'!$A$6,FALSE),0)</f>
        <v>0</v>
      </c>
      <c r="AQ7" s="553">
        <f>IFERROR(HLOOKUP(AQ$6,'Property Level Return Calcs'!$D$20:$BO$27,'Property Level Return Calcs'!$A$6,FALSE),0)</f>
        <v>0</v>
      </c>
      <c r="AR7" s="553">
        <f>IFERROR(HLOOKUP(AR$6,'Property Level Return Calcs'!$D$20:$BO$27,'Property Level Return Calcs'!$A$6,FALSE),0)</f>
        <v>0</v>
      </c>
      <c r="AS7" s="553">
        <f>IFERROR(HLOOKUP(AS$6,'Property Level Return Calcs'!$D$20:$BO$27,'Property Level Return Calcs'!$A$6,FALSE),0)</f>
        <v>0</v>
      </c>
      <c r="AT7" s="553">
        <f>IFERROR(HLOOKUP(AT$6,'Property Level Return Calcs'!$D$20:$BO$27,'Property Level Return Calcs'!$A$6,FALSE),0)</f>
        <v>0</v>
      </c>
      <c r="AU7" s="553">
        <f>IFERROR(HLOOKUP(AU$6,'Property Level Return Calcs'!$D$20:$BO$27,'Property Level Return Calcs'!$A$6,FALSE),0)</f>
        <v>0</v>
      </c>
      <c r="AV7" s="553">
        <f>IFERROR(HLOOKUP(AV$6,'Property Level Return Calcs'!$D$20:$BO$27,'Property Level Return Calcs'!$A$6,FALSE),0)</f>
        <v>0</v>
      </c>
      <c r="AW7" s="553">
        <f>IFERROR(HLOOKUP(AW$6,'Property Level Return Calcs'!$D$20:$BO$27,'Property Level Return Calcs'!$A$6,FALSE),0)</f>
        <v>0</v>
      </c>
      <c r="AX7" s="553">
        <f>IFERROR(HLOOKUP(AX$6,'Property Level Return Calcs'!$D$20:$BO$27,'Property Level Return Calcs'!$A$6,FALSE),0)</f>
        <v>0</v>
      </c>
      <c r="AY7" s="553">
        <f>IFERROR(HLOOKUP(AY$6,'Property Level Return Calcs'!$D$20:$BO$27,'Property Level Return Calcs'!$A$6,FALSE),0)</f>
        <v>0</v>
      </c>
      <c r="AZ7" s="553">
        <f>IFERROR(HLOOKUP(AZ$6,'Property Level Return Calcs'!$D$20:$BO$27,'Property Level Return Calcs'!$A$6,FALSE),0)</f>
        <v>0</v>
      </c>
      <c r="BA7" s="553">
        <f>IFERROR(HLOOKUP(BA$6,'Property Level Return Calcs'!$D$20:$BO$27,'Property Level Return Calcs'!$A$6,FALSE),0)</f>
        <v>0</v>
      </c>
      <c r="BB7" s="553">
        <f>IFERROR(HLOOKUP(BB$6,'Property Level Return Calcs'!$D$20:$BO$27,'Property Level Return Calcs'!$A$6,FALSE),0)</f>
        <v>0</v>
      </c>
      <c r="BC7" s="553">
        <f>IFERROR(HLOOKUP(BC$6,'Property Level Return Calcs'!$D$20:$BO$27,'Property Level Return Calcs'!$A$6,FALSE),0)</f>
        <v>0</v>
      </c>
      <c r="BD7" s="553">
        <f>IFERROR(HLOOKUP(BD$6,'Property Level Return Calcs'!$D$20:$BO$27,'Property Level Return Calcs'!$A$6,FALSE),0)</f>
        <v>0</v>
      </c>
      <c r="BE7" s="553">
        <f>IFERROR(HLOOKUP(BE$6,'Property Level Return Calcs'!$D$20:$BO$27,'Property Level Return Calcs'!$A$6,FALSE),0)</f>
        <v>0</v>
      </c>
      <c r="BF7" s="553">
        <f>IFERROR(HLOOKUP(BF$6,'Property Level Return Calcs'!$D$20:$BO$27,'Property Level Return Calcs'!$A$6,FALSE),0)</f>
        <v>0</v>
      </c>
      <c r="BG7" s="553">
        <f>IFERROR(HLOOKUP(BG$6,'Property Level Return Calcs'!$D$20:$BO$27,'Property Level Return Calcs'!$A$6,FALSE),0)</f>
        <v>0</v>
      </c>
      <c r="BH7" s="553">
        <f>IFERROR(HLOOKUP(BH$6,'Property Level Return Calcs'!$D$20:$BO$27,'Property Level Return Calcs'!$A$6,FALSE),0)</f>
        <v>0</v>
      </c>
      <c r="BI7" s="553">
        <f>IFERROR(HLOOKUP(BI$6,'Property Level Return Calcs'!$D$20:$BO$27,'Property Level Return Calcs'!$A$6,FALSE),0)</f>
        <v>0</v>
      </c>
      <c r="BJ7" s="553">
        <f>IFERROR(HLOOKUP(BJ$6,'Property Level Return Calcs'!$D$20:$BO$27,'Property Level Return Calcs'!$A$6,FALSE),0)</f>
        <v>0</v>
      </c>
      <c r="BK7" s="553">
        <f>IFERROR(HLOOKUP(BK$6,'Property Level Return Calcs'!$D$20:$BO$27,'Property Level Return Calcs'!$A$6,FALSE),0)</f>
        <v>0</v>
      </c>
      <c r="BL7" s="553">
        <f>IFERROR(HLOOKUP(BL$6,'Property Level Return Calcs'!$D$20:$BO$27,'Property Level Return Calcs'!$A$6,FALSE),0)</f>
        <v>0</v>
      </c>
      <c r="BM7" s="553">
        <f>IFERROR(HLOOKUP(BM$6,'Property Level Return Calcs'!$D$20:$BO$27,'Property Level Return Calcs'!$A$6,FALSE),0)</f>
        <v>0</v>
      </c>
      <c r="BN7" s="553">
        <f>IFERROR(HLOOKUP(BN$6,'Property Level Return Calcs'!$D$20:$BO$27,'Property Level Return Calcs'!$A$6,FALSE),0)</f>
        <v>0</v>
      </c>
      <c r="BO7" s="346"/>
      <c r="BP7" s="251" t="s">
        <v>215</v>
      </c>
      <c r="BQ7" s="357">
        <f>+Dashboard!E18</f>
        <v>0.75</v>
      </c>
      <c r="BR7" s="357">
        <f t="shared" ref="BR7:BR8" si="0">1-BQ7</f>
        <v>0.25</v>
      </c>
      <c r="BS7" s="357">
        <f>+Dashboard!F18</f>
        <v>0.22</v>
      </c>
      <c r="BT7" s="666">
        <f>+'Waterfall 2.0 Years'!BT7</f>
        <v>0</v>
      </c>
      <c r="BV7" s="552">
        <f>(1+BS7)^(1/12)</f>
        <v>1.0167089638731281</v>
      </c>
      <c r="BW7" s="554">
        <f>(1+BS7)^(1/365)</f>
        <v>1.0005449453020443</v>
      </c>
    </row>
    <row r="8" spans="1:75" ht="15.75" thickBot="1">
      <c r="B8" s="248" t="s">
        <v>165</v>
      </c>
      <c r="C8" s="553">
        <f>IFERROR(HLOOKUP(C$6,'Property Level Return Calcs'!$D$20:$BO$27,'Property Level Return Calcs'!$A$9,FALSE),0)</f>
        <v>0</v>
      </c>
      <c r="D8" s="553">
        <f>IFERROR(HLOOKUP(D$6,'Property Level Return Calcs'!$D$20:$BO$27,'Property Level Return Calcs'!$A$9,FALSE),0)</f>
        <v>0</v>
      </c>
      <c r="E8" s="553">
        <f>IFERROR(HLOOKUP(E$6,'Property Level Return Calcs'!$D$20:$BO$27,'Property Level Return Calcs'!$A$9,FALSE),0)</f>
        <v>0</v>
      </c>
      <c r="F8" s="553">
        <f>IFERROR(HLOOKUP(F$6,'Property Level Return Calcs'!$D$20:$BO$27,'Property Level Return Calcs'!$A$9,FALSE),0)</f>
        <v>0</v>
      </c>
      <c r="G8" s="553">
        <f>IFERROR(HLOOKUP(G$6,'Property Level Return Calcs'!$D$20:$BO$27,'Property Level Return Calcs'!$A$9,FALSE),0)</f>
        <v>0</v>
      </c>
      <c r="H8" s="553">
        <f>IFERROR(HLOOKUP(H$6,'Property Level Return Calcs'!$D$20:$BO$27,'Property Level Return Calcs'!$A$9,FALSE),0)</f>
        <v>0</v>
      </c>
      <c r="I8" s="553">
        <f>IFERROR(HLOOKUP(I$6,'Property Level Return Calcs'!$D$20:$BO$27,'Property Level Return Calcs'!$A$9,FALSE),0)</f>
        <v>0</v>
      </c>
      <c r="J8" s="553">
        <f>IFERROR(HLOOKUP(J$6,'Property Level Return Calcs'!$D$20:$BO$27,'Property Level Return Calcs'!$A$9,FALSE),0)</f>
        <v>0</v>
      </c>
      <c r="K8" s="553">
        <f>IFERROR(HLOOKUP(K$6,'Property Level Return Calcs'!$D$20:$BO$27,'Property Level Return Calcs'!$A$9,FALSE),0)</f>
        <v>0</v>
      </c>
      <c r="L8" s="553">
        <f>IFERROR(HLOOKUP(L$6,'Property Level Return Calcs'!$D$20:$BO$27,'Property Level Return Calcs'!$A$9,FALSE),0)</f>
        <v>0</v>
      </c>
      <c r="M8" s="553">
        <f>IFERROR(HLOOKUP(M$6,'Property Level Return Calcs'!$D$20:$BO$27,'Property Level Return Calcs'!$A$9,FALSE),0)</f>
        <v>0</v>
      </c>
      <c r="N8" s="553">
        <f>IFERROR(HLOOKUP(N$6,'Property Level Return Calcs'!$D$20:$BO$27,'Property Level Return Calcs'!$A$9,FALSE),0)</f>
        <v>0</v>
      </c>
      <c r="O8" s="553">
        <f>IFERROR(HLOOKUP(O$6,'Property Level Return Calcs'!$D$20:$BO$27,'Property Level Return Calcs'!$A$9,FALSE),0)</f>
        <v>0</v>
      </c>
      <c r="P8" s="553">
        <f>IFERROR(HLOOKUP(P$6,'Property Level Return Calcs'!$D$20:$BO$27,'Property Level Return Calcs'!$A$9,FALSE),0)</f>
        <v>0</v>
      </c>
      <c r="Q8" s="553">
        <f>IFERROR(HLOOKUP(Q$6,'Property Level Return Calcs'!$D$20:$BO$27,'Property Level Return Calcs'!$A$9,FALSE),0)</f>
        <v>0</v>
      </c>
      <c r="R8" s="553">
        <f>IFERROR(HLOOKUP(R$6,'Property Level Return Calcs'!$D$20:$BO$27,'Property Level Return Calcs'!$A$9,FALSE),0)</f>
        <v>0</v>
      </c>
      <c r="S8" s="553">
        <f>IFERROR(HLOOKUP(S$6,'Property Level Return Calcs'!$D$20:$BO$27,'Property Level Return Calcs'!$A$9,FALSE),0)</f>
        <v>0</v>
      </c>
      <c r="T8" s="553">
        <f>IFERROR(HLOOKUP(T$6,'Property Level Return Calcs'!$D$20:$BO$27,'Property Level Return Calcs'!$A$9,FALSE),0)</f>
        <v>0</v>
      </c>
      <c r="U8" s="553">
        <f>IFERROR(HLOOKUP(U$6,'Property Level Return Calcs'!$D$20:$BO$27,'Property Level Return Calcs'!$A$9,FALSE),0)</f>
        <v>0</v>
      </c>
      <c r="V8" s="553">
        <f>IFERROR(HLOOKUP(V$6,'Property Level Return Calcs'!$D$20:$BO$27,'Property Level Return Calcs'!$A$9,FALSE),0)</f>
        <v>0</v>
      </c>
      <c r="W8" s="553">
        <f>IFERROR(HLOOKUP(W$6,'Property Level Return Calcs'!$D$20:$BO$27,'Property Level Return Calcs'!$A$9,FALSE),0)</f>
        <v>0</v>
      </c>
      <c r="X8" s="553">
        <f>IFERROR(HLOOKUP(X$6,'Property Level Return Calcs'!$D$20:$BO$27,'Property Level Return Calcs'!$A$9,FALSE),0)</f>
        <v>55865.937070519256</v>
      </c>
      <c r="Y8" s="553">
        <f>IFERROR(HLOOKUP(Y$6,'Property Level Return Calcs'!$D$20:$BO$27,'Property Level Return Calcs'!$A$9,FALSE),0)</f>
        <v>55865.937070519256</v>
      </c>
      <c r="Z8" s="553">
        <f>IFERROR(HLOOKUP(Z$6,'Property Level Return Calcs'!$D$20:$BO$27,'Property Level Return Calcs'!$A$9,FALSE),0)</f>
        <v>55865.937070519256</v>
      </c>
      <c r="AA8" s="553">
        <f>IFERROR(HLOOKUP(AA$6,'Property Level Return Calcs'!$D$20:$BO$27,'Property Level Return Calcs'!$A$9,FALSE),0)</f>
        <v>1567865.9370705192</v>
      </c>
      <c r="AB8" s="553">
        <f>IFERROR(HLOOKUP(AB$6,'Property Level Return Calcs'!$D$20:$BO$27,'Property Level Return Calcs'!$A$9,FALSE),0)</f>
        <v>55865.937070519256</v>
      </c>
      <c r="AC8" s="553">
        <f>IFERROR(HLOOKUP(AC$6,'Property Level Return Calcs'!$D$20:$BO$27,'Property Level Return Calcs'!$A$9,FALSE),0)</f>
        <v>55865.937070519256</v>
      </c>
      <c r="AD8" s="553">
        <f>IFERROR(HLOOKUP(AD$6,'Property Level Return Calcs'!$D$20:$BO$27,'Property Level Return Calcs'!$A$9,FALSE),0)</f>
        <v>160402.43820649723</v>
      </c>
      <c r="AE8" s="553">
        <f>IFERROR(HLOOKUP(AE$6,'Property Level Return Calcs'!$D$20:$BO$27,'Property Level Return Calcs'!$A$9,FALSE),0)</f>
        <v>160402.43820649723</v>
      </c>
      <c r="AF8" s="553">
        <f>IFERROR(HLOOKUP(AF$6,'Property Level Return Calcs'!$D$20:$BO$27,'Property Level Return Calcs'!$A$9,FALSE),0)</f>
        <v>160402.43820649723</v>
      </c>
      <c r="AG8" s="553">
        <f>IFERROR(HLOOKUP(AG$6,'Property Level Return Calcs'!$D$20:$BO$27,'Property Level Return Calcs'!$A$9,FALSE),0)</f>
        <v>160402.43820649723</v>
      </c>
      <c r="AH8" s="553">
        <f>IFERROR(HLOOKUP(AH$6,'Property Level Return Calcs'!$D$20:$BO$27,'Property Level Return Calcs'!$A$9,FALSE),0)</f>
        <v>160402.43820649723</v>
      </c>
      <c r="AI8" s="553">
        <f>IFERROR(HLOOKUP(AI$6,'Property Level Return Calcs'!$D$20:$BO$27,'Property Level Return Calcs'!$A$9,FALSE),0)</f>
        <v>160402.43820649723</v>
      </c>
      <c r="AJ8" s="553">
        <f>IFERROR(HLOOKUP(AJ$6,'Property Level Return Calcs'!$D$20:$BO$27,'Property Level Return Calcs'!$A$9,FALSE),0)</f>
        <v>174756.336958414</v>
      </c>
      <c r="AK8" s="553">
        <f>IFERROR(HLOOKUP(AK$6,'Property Level Return Calcs'!$D$20:$BO$27,'Property Level Return Calcs'!$A$9,FALSE),0)</f>
        <v>174756.336958414</v>
      </c>
      <c r="AL8" s="553">
        <f>IFERROR(HLOOKUP(AL$6,'Property Level Return Calcs'!$D$20:$BO$27,'Property Level Return Calcs'!$A$9,FALSE),0)</f>
        <v>174756.336958414</v>
      </c>
      <c r="AM8" s="553">
        <f>IFERROR(HLOOKUP(AM$6,'Property Level Return Calcs'!$D$20:$BO$27,'Property Level Return Calcs'!$A$9,FALSE),0)</f>
        <v>174756.336958414</v>
      </c>
      <c r="AN8" s="553">
        <f>IFERROR(HLOOKUP(AN$6,'Property Level Return Calcs'!$D$20:$BO$27,'Property Level Return Calcs'!$A$9,FALSE),0)</f>
        <v>174756.336958414</v>
      </c>
      <c r="AO8" s="553">
        <f>IFERROR(HLOOKUP(AO$6,'Property Level Return Calcs'!$D$20:$BO$27,'Property Level Return Calcs'!$A$9,FALSE),0)</f>
        <v>174756.336958414</v>
      </c>
      <c r="AP8" s="553">
        <f>IFERROR(HLOOKUP(AP$6,'Property Level Return Calcs'!$D$20:$BO$27,'Property Level Return Calcs'!$A$9,FALSE),0)</f>
        <v>0</v>
      </c>
      <c r="AQ8" s="553">
        <f>IFERROR(HLOOKUP(AQ$6,'Property Level Return Calcs'!$D$20:$BO$27,'Property Level Return Calcs'!$A$9,FALSE),0)</f>
        <v>0</v>
      </c>
      <c r="AR8" s="553">
        <f>IFERROR(HLOOKUP(AR$6,'Property Level Return Calcs'!$D$20:$BO$27,'Property Level Return Calcs'!$A$9,FALSE),0)</f>
        <v>0</v>
      </c>
      <c r="AS8" s="553">
        <f>IFERROR(HLOOKUP(AS$6,'Property Level Return Calcs'!$D$20:$BO$27,'Property Level Return Calcs'!$A$9,FALSE),0)</f>
        <v>0</v>
      </c>
      <c r="AT8" s="553">
        <f>IFERROR(HLOOKUP(AT$6,'Property Level Return Calcs'!$D$20:$BO$27,'Property Level Return Calcs'!$A$9,FALSE),0)</f>
        <v>0</v>
      </c>
      <c r="AU8" s="553">
        <f>IFERROR(HLOOKUP(AU$6,'Property Level Return Calcs'!$D$20:$BO$27,'Property Level Return Calcs'!$A$9,FALSE),0)</f>
        <v>0</v>
      </c>
      <c r="AV8" s="553">
        <f>IFERROR(HLOOKUP(AV$6,'Property Level Return Calcs'!$D$20:$BO$27,'Property Level Return Calcs'!$A$9,FALSE),0)</f>
        <v>0</v>
      </c>
      <c r="AW8" s="553">
        <f>IFERROR(HLOOKUP(AW$6,'Property Level Return Calcs'!$D$20:$BO$27,'Property Level Return Calcs'!$A$9,FALSE),0)</f>
        <v>0</v>
      </c>
      <c r="AX8" s="553">
        <f>IFERROR(HLOOKUP(AX$6,'Property Level Return Calcs'!$D$20:$BO$27,'Property Level Return Calcs'!$A$9,FALSE),0)</f>
        <v>0</v>
      </c>
      <c r="AY8" s="553">
        <f>IFERROR(HLOOKUP(AY$6,'Property Level Return Calcs'!$D$20:$BO$27,'Property Level Return Calcs'!$A$9,FALSE),0)</f>
        <v>0</v>
      </c>
      <c r="AZ8" s="553">
        <f>IFERROR(HLOOKUP(AZ$6,'Property Level Return Calcs'!$D$20:$BO$27,'Property Level Return Calcs'!$A$9,FALSE),0)</f>
        <v>0</v>
      </c>
      <c r="BA8" s="553">
        <f>IFERROR(HLOOKUP(BA$6,'Property Level Return Calcs'!$D$20:$BO$27,'Property Level Return Calcs'!$A$9,FALSE),0)</f>
        <v>0</v>
      </c>
      <c r="BB8" s="553">
        <f>IFERROR(HLOOKUP(BB$6,'Property Level Return Calcs'!$D$20:$BO$27,'Property Level Return Calcs'!$A$9,FALSE),0)</f>
        <v>0</v>
      </c>
      <c r="BC8" s="553">
        <f>IFERROR(HLOOKUP(BC$6,'Property Level Return Calcs'!$D$20:$BO$27,'Property Level Return Calcs'!$A$9,FALSE),0)</f>
        <v>0</v>
      </c>
      <c r="BD8" s="553">
        <f>IFERROR(HLOOKUP(BD$6,'Property Level Return Calcs'!$D$20:$BO$27,'Property Level Return Calcs'!$A$9,FALSE),0)</f>
        <v>0</v>
      </c>
      <c r="BE8" s="553">
        <f>IFERROR(HLOOKUP(BE$6,'Property Level Return Calcs'!$D$20:$BO$27,'Property Level Return Calcs'!$A$9,FALSE),0)</f>
        <v>0</v>
      </c>
      <c r="BF8" s="553">
        <f>IFERROR(HLOOKUP(BF$6,'Property Level Return Calcs'!$D$20:$BO$27,'Property Level Return Calcs'!$A$9,FALSE),0)</f>
        <v>0</v>
      </c>
      <c r="BG8" s="553">
        <f>IFERROR(HLOOKUP(BG$6,'Property Level Return Calcs'!$D$20:$BO$27,'Property Level Return Calcs'!$A$9,FALSE),0)</f>
        <v>0</v>
      </c>
      <c r="BH8" s="553">
        <f>IFERROR(HLOOKUP(BH$6,'Property Level Return Calcs'!$D$20:$BO$27,'Property Level Return Calcs'!$A$9,FALSE),0)</f>
        <v>0</v>
      </c>
      <c r="BI8" s="553">
        <f>IFERROR(HLOOKUP(BI$6,'Property Level Return Calcs'!$D$20:$BO$27,'Property Level Return Calcs'!$A$9,FALSE),0)</f>
        <v>0</v>
      </c>
      <c r="BJ8" s="553">
        <f>IFERROR(HLOOKUP(BJ$6,'Property Level Return Calcs'!$D$20:$BO$27,'Property Level Return Calcs'!$A$9,FALSE),0)</f>
        <v>0</v>
      </c>
      <c r="BK8" s="553">
        <f>IFERROR(HLOOKUP(BK$6,'Property Level Return Calcs'!$D$20:$BO$27,'Property Level Return Calcs'!$A$9,FALSE),0)</f>
        <v>0</v>
      </c>
      <c r="BL8" s="553">
        <f>IFERROR(HLOOKUP(BL$6,'Property Level Return Calcs'!$D$20:$BO$27,'Property Level Return Calcs'!$A$9,FALSE),0)</f>
        <v>0</v>
      </c>
      <c r="BM8" s="553">
        <f>IFERROR(HLOOKUP(BM$6,'Property Level Return Calcs'!$D$20:$BO$27,'Property Level Return Calcs'!$A$9,FALSE),0)</f>
        <v>0</v>
      </c>
      <c r="BN8" s="553">
        <f>IFERROR(HLOOKUP(BN$6,'Property Level Return Calcs'!$D$20:$BO$27,'Property Level Return Calcs'!$A$9,FALSE),0)</f>
        <v>0</v>
      </c>
      <c r="BO8" s="322"/>
      <c r="BP8" s="555" t="s">
        <v>216</v>
      </c>
      <c r="BQ8" s="556">
        <f>+Dashboard!E20</f>
        <v>0.65</v>
      </c>
      <c r="BR8" s="556">
        <f t="shared" si="0"/>
        <v>0.35</v>
      </c>
      <c r="BS8" s="556">
        <f>+Dashboard!F20</f>
        <v>2</v>
      </c>
      <c r="BT8" s="667" t="str">
        <f>+'Waterfall 2.0 Years'!BT8</f>
        <v>N/Ap</v>
      </c>
      <c r="BV8" s="487"/>
    </row>
    <row r="9" spans="1:75">
      <c r="B9" s="248" t="s">
        <v>156</v>
      </c>
      <c r="C9" s="553">
        <f>IFERROR(HLOOKUP(C$6,'Property Level Return Calcs'!$D$20:$BO$27,'Property Level Return Calcs'!$A$10,FALSE),0)</f>
        <v>0</v>
      </c>
      <c r="D9" s="553">
        <f>IFERROR(HLOOKUP(D$6,'Property Level Return Calcs'!$D$20:$BO$27,'Property Level Return Calcs'!$A$10,FALSE),0)</f>
        <v>0</v>
      </c>
      <c r="E9" s="553">
        <f>IFERROR(HLOOKUP(E$6,'Property Level Return Calcs'!$D$20:$BO$27,'Property Level Return Calcs'!$A$10,FALSE),0)</f>
        <v>0</v>
      </c>
      <c r="F9" s="553">
        <f>IFERROR(HLOOKUP(F$6,'Property Level Return Calcs'!$D$20:$BO$27,'Property Level Return Calcs'!$A$10,FALSE),0)</f>
        <v>0</v>
      </c>
      <c r="G9" s="553">
        <f>IFERROR(HLOOKUP(G$6,'Property Level Return Calcs'!$D$20:$BO$27,'Property Level Return Calcs'!$A$10,FALSE),0)</f>
        <v>0</v>
      </c>
      <c r="H9" s="553">
        <f>IFERROR(HLOOKUP(H$6,'Property Level Return Calcs'!$D$20:$BO$27,'Property Level Return Calcs'!$A$10,FALSE),0)</f>
        <v>0</v>
      </c>
      <c r="I9" s="553">
        <f>IFERROR(HLOOKUP(I$6,'Property Level Return Calcs'!$D$20:$BO$27,'Property Level Return Calcs'!$A$10,FALSE),0)</f>
        <v>0</v>
      </c>
      <c r="J9" s="553">
        <f>IFERROR(HLOOKUP(J$6,'Property Level Return Calcs'!$D$20:$BO$27,'Property Level Return Calcs'!$A$10,FALSE),0)</f>
        <v>0</v>
      </c>
      <c r="K9" s="553">
        <f>IFERROR(HLOOKUP(K$6,'Property Level Return Calcs'!$D$20:$BO$27,'Property Level Return Calcs'!$A$10,FALSE),0)</f>
        <v>0</v>
      </c>
      <c r="L9" s="553">
        <f>IFERROR(HLOOKUP(L$6,'Property Level Return Calcs'!$D$20:$BO$27,'Property Level Return Calcs'!$A$10,FALSE),0)</f>
        <v>0</v>
      </c>
      <c r="M9" s="553">
        <f>IFERROR(HLOOKUP(M$6,'Property Level Return Calcs'!$D$20:$BO$27,'Property Level Return Calcs'!$A$10,FALSE),0)</f>
        <v>0</v>
      </c>
      <c r="N9" s="553">
        <f>IFERROR(HLOOKUP(N$6,'Property Level Return Calcs'!$D$20:$BO$27,'Property Level Return Calcs'!$A$10,FALSE),0)</f>
        <v>0</v>
      </c>
      <c r="O9" s="553">
        <f>IFERROR(HLOOKUP(O$6,'Property Level Return Calcs'!$D$20:$BO$27,'Property Level Return Calcs'!$A$10,FALSE),0)</f>
        <v>0</v>
      </c>
      <c r="P9" s="553">
        <f>IFERROR(HLOOKUP(P$6,'Property Level Return Calcs'!$D$20:$BO$27,'Property Level Return Calcs'!$A$10,FALSE),0)</f>
        <v>0</v>
      </c>
      <c r="Q9" s="553">
        <f>IFERROR(HLOOKUP(Q$6,'Property Level Return Calcs'!$D$20:$BO$27,'Property Level Return Calcs'!$A$10,FALSE),0)</f>
        <v>0</v>
      </c>
      <c r="R9" s="553">
        <f>IFERROR(HLOOKUP(R$6,'Property Level Return Calcs'!$D$20:$BO$27,'Property Level Return Calcs'!$A$10,FALSE),0)</f>
        <v>0</v>
      </c>
      <c r="S9" s="553">
        <f>IFERROR(HLOOKUP(S$6,'Property Level Return Calcs'!$D$20:$BO$27,'Property Level Return Calcs'!$A$10,FALSE),0)</f>
        <v>0</v>
      </c>
      <c r="T9" s="553">
        <f>IFERROR(HLOOKUP(T$6,'Property Level Return Calcs'!$D$20:$BO$27,'Property Level Return Calcs'!$A$10,FALSE),0)</f>
        <v>0</v>
      </c>
      <c r="U9" s="553">
        <f>IFERROR(HLOOKUP(U$6,'Property Level Return Calcs'!$D$20:$BO$27,'Property Level Return Calcs'!$A$10,FALSE),0)</f>
        <v>0</v>
      </c>
      <c r="V9" s="553">
        <f>IFERROR(HLOOKUP(V$6,'Property Level Return Calcs'!$D$20:$BO$27,'Property Level Return Calcs'!$A$10,FALSE),0)</f>
        <v>0</v>
      </c>
      <c r="W9" s="553">
        <f>IFERROR(HLOOKUP(W$6,'Property Level Return Calcs'!$D$20:$BO$27,'Property Level Return Calcs'!$A$10,FALSE),0)</f>
        <v>0</v>
      </c>
      <c r="X9" s="553">
        <f>IFERROR(HLOOKUP(X$6,'Property Level Return Calcs'!$D$20:$BO$27,'Property Level Return Calcs'!$A$10,FALSE),0)</f>
        <v>0</v>
      </c>
      <c r="Y9" s="553">
        <f>IFERROR(HLOOKUP(Y$6,'Property Level Return Calcs'!$D$20:$BO$27,'Property Level Return Calcs'!$A$10,FALSE),0)</f>
        <v>0</v>
      </c>
      <c r="Z9" s="553">
        <f>IFERROR(HLOOKUP(Z$6,'Property Level Return Calcs'!$D$20:$BO$27,'Property Level Return Calcs'!$A$10,FALSE),0)</f>
        <v>0</v>
      </c>
      <c r="AA9" s="553">
        <f>IFERROR(HLOOKUP(AA$6,'Property Level Return Calcs'!$D$20:$BO$27,'Property Level Return Calcs'!$A$10,FALSE),0)</f>
        <v>0</v>
      </c>
      <c r="AB9" s="553">
        <f>IFERROR(HLOOKUP(AB$6,'Property Level Return Calcs'!$D$20:$BO$27,'Property Level Return Calcs'!$A$10,FALSE),0)</f>
        <v>0</v>
      </c>
      <c r="AC9" s="553">
        <f>IFERROR(HLOOKUP(AC$6,'Property Level Return Calcs'!$D$20:$BO$27,'Property Level Return Calcs'!$A$10,FALSE),0)</f>
        <v>0</v>
      </c>
      <c r="AD9" s="553">
        <f>IFERROR(HLOOKUP(AD$6,'Property Level Return Calcs'!$D$20:$BO$27,'Property Level Return Calcs'!$A$10,FALSE),0)</f>
        <v>-1381023.3589114696</v>
      </c>
      <c r="AE9" s="553">
        <f>IFERROR(HLOOKUP(AE$6,'Property Level Return Calcs'!$D$20:$BO$27,'Property Level Return Calcs'!$A$10,FALSE),0)</f>
        <v>0</v>
      </c>
      <c r="AF9" s="553">
        <f>IFERROR(HLOOKUP(AF$6,'Property Level Return Calcs'!$D$20:$BO$27,'Property Level Return Calcs'!$A$10,FALSE),0)</f>
        <v>0</v>
      </c>
      <c r="AG9" s="553">
        <f>IFERROR(HLOOKUP(AG$6,'Property Level Return Calcs'!$D$20:$BO$27,'Property Level Return Calcs'!$A$10,FALSE),0)</f>
        <v>0</v>
      </c>
      <c r="AH9" s="553">
        <f>IFERROR(HLOOKUP(AH$6,'Property Level Return Calcs'!$D$20:$BO$27,'Property Level Return Calcs'!$A$10,FALSE),0)</f>
        <v>0</v>
      </c>
      <c r="AI9" s="553">
        <f>IFERROR(HLOOKUP(AI$6,'Property Level Return Calcs'!$D$20:$BO$27,'Property Level Return Calcs'!$A$10,FALSE),0)</f>
        <v>0</v>
      </c>
      <c r="AJ9" s="553">
        <f>IFERROR(HLOOKUP(AJ$6,'Property Level Return Calcs'!$D$20:$BO$27,'Property Level Return Calcs'!$A$10,FALSE),0)</f>
        <v>0</v>
      </c>
      <c r="AK9" s="553">
        <f>IFERROR(HLOOKUP(AK$6,'Property Level Return Calcs'!$D$20:$BO$27,'Property Level Return Calcs'!$A$10,FALSE),0)</f>
        <v>0</v>
      </c>
      <c r="AL9" s="553">
        <f>IFERROR(HLOOKUP(AL$6,'Property Level Return Calcs'!$D$20:$BO$27,'Property Level Return Calcs'!$A$10,FALSE),0)</f>
        <v>0</v>
      </c>
      <c r="AM9" s="553">
        <f>IFERROR(HLOOKUP(AM$6,'Property Level Return Calcs'!$D$20:$BO$27,'Property Level Return Calcs'!$A$10,FALSE),0)</f>
        <v>0</v>
      </c>
      <c r="AN9" s="553">
        <f>IFERROR(HLOOKUP(AN$6,'Property Level Return Calcs'!$D$20:$BO$27,'Property Level Return Calcs'!$A$10,FALSE),0)</f>
        <v>0</v>
      </c>
      <c r="AO9" s="553">
        <f>IFERROR(HLOOKUP(AO$6,'Property Level Return Calcs'!$D$20:$BO$27,'Property Level Return Calcs'!$A$10,FALSE),0)</f>
        <v>0</v>
      </c>
      <c r="AP9" s="553">
        <f>IFERROR(HLOOKUP(AP$6,'Property Level Return Calcs'!$D$20:$BO$27,'Property Level Return Calcs'!$A$10,FALSE),0)</f>
        <v>0</v>
      </c>
      <c r="AQ9" s="553">
        <f>IFERROR(HLOOKUP(AQ$6,'Property Level Return Calcs'!$D$20:$BO$27,'Property Level Return Calcs'!$A$10,FALSE),0)</f>
        <v>0</v>
      </c>
      <c r="AR9" s="553">
        <f>IFERROR(HLOOKUP(AR$6,'Property Level Return Calcs'!$D$20:$BO$27,'Property Level Return Calcs'!$A$10,FALSE),0)</f>
        <v>0</v>
      </c>
      <c r="AS9" s="553">
        <f>IFERROR(HLOOKUP(AS$6,'Property Level Return Calcs'!$D$20:$BO$27,'Property Level Return Calcs'!$A$10,FALSE),0)</f>
        <v>0</v>
      </c>
      <c r="AT9" s="553">
        <f>IFERROR(HLOOKUP(AT$6,'Property Level Return Calcs'!$D$20:$BO$27,'Property Level Return Calcs'!$A$10,FALSE),0)</f>
        <v>0</v>
      </c>
      <c r="AU9" s="553">
        <f>IFERROR(HLOOKUP(AU$6,'Property Level Return Calcs'!$D$20:$BO$27,'Property Level Return Calcs'!$A$10,FALSE),0)</f>
        <v>0</v>
      </c>
      <c r="AV9" s="553">
        <f>IFERROR(HLOOKUP(AV$6,'Property Level Return Calcs'!$D$20:$BO$27,'Property Level Return Calcs'!$A$10,FALSE),0)</f>
        <v>0</v>
      </c>
      <c r="AW9" s="553">
        <f>IFERROR(HLOOKUP(AW$6,'Property Level Return Calcs'!$D$20:$BO$27,'Property Level Return Calcs'!$A$10,FALSE),0)</f>
        <v>0</v>
      </c>
      <c r="AX9" s="553">
        <f>IFERROR(HLOOKUP(AX$6,'Property Level Return Calcs'!$D$20:$BO$27,'Property Level Return Calcs'!$A$10,FALSE),0)</f>
        <v>0</v>
      </c>
      <c r="AY9" s="553">
        <f>IFERROR(HLOOKUP(AY$6,'Property Level Return Calcs'!$D$20:$BO$27,'Property Level Return Calcs'!$A$10,FALSE),0)</f>
        <v>0</v>
      </c>
      <c r="AZ9" s="553">
        <f>IFERROR(HLOOKUP(AZ$6,'Property Level Return Calcs'!$D$20:$BO$27,'Property Level Return Calcs'!$A$10,FALSE),0)</f>
        <v>0</v>
      </c>
      <c r="BA9" s="553">
        <f>IFERROR(HLOOKUP(BA$6,'Property Level Return Calcs'!$D$20:$BO$27,'Property Level Return Calcs'!$A$10,FALSE),0)</f>
        <v>0</v>
      </c>
      <c r="BB9" s="553">
        <f>IFERROR(HLOOKUP(BB$6,'Property Level Return Calcs'!$D$20:$BO$27,'Property Level Return Calcs'!$A$10,FALSE),0)</f>
        <v>0</v>
      </c>
      <c r="BC9" s="553">
        <f>IFERROR(HLOOKUP(BC$6,'Property Level Return Calcs'!$D$20:$BO$27,'Property Level Return Calcs'!$A$10,FALSE),0)</f>
        <v>0</v>
      </c>
      <c r="BD9" s="553">
        <f>IFERROR(HLOOKUP(BD$6,'Property Level Return Calcs'!$D$20:$BO$27,'Property Level Return Calcs'!$A$10,FALSE),0)</f>
        <v>0</v>
      </c>
      <c r="BE9" s="553">
        <f>IFERROR(HLOOKUP(BE$6,'Property Level Return Calcs'!$D$20:$BO$27,'Property Level Return Calcs'!$A$10,FALSE),0)</f>
        <v>0</v>
      </c>
      <c r="BF9" s="553">
        <f>IFERROR(HLOOKUP(BF$6,'Property Level Return Calcs'!$D$20:$BO$27,'Property Level Return Calcs'!$A$10,FALSE),0)</f>
        <v>0</v>
      </c>
      <c r="BG9" s="553">
        <f>IFERROR(HLOOKUP(BG$6,'Property Level Return Calcs'!$D$20:$BO$27,'Property Level Return Calcs'!$A$10,FALSE),0)</f>
        <v>0</v>
      </c>
      <c r="BH9" s="553">
        <f>IFERROR(HLOOKUP(BH$6,'Property Level Return Calcs'!$D$20:$BO$27,'Property Level Return Calcs'!$A$10,FALSE),0)</f>
        <v>0</v>
      </c>
      <c r="BI9" s="553">
        <f>IFERROR(HLOOKUP(BI$6,'Property Level Return Calcs'!$D$20:$BO$27,'Property Level Return Calcs'!$A$10,FALSE),0)</f>
        <v>0</v>
      </c>
      <c r="BJ9" s="553">
        <f>IFERROR(HLOOKUP(BJ$6,'Property Level Return Calcs'!$D$20:$BO$27,'Property Level Return Calcs'!$A$10,FALSE),0)</f>
        <v>0</v>
      </c>
      <c r="BK9" s="553">
        <f>IFERROR(HLOOKUP(BK$6,'Property Level Return Calcs'!$D$20:$BO$27,'Property Level Return Calcs'!$A$10,FALSE),0)</f>
        <v>0</v>
      </c>
      <c r="BL9" s="553">
        <f>IFERROR(HLOOKUP(BL$6,'Property Level Return Calcs'!$D$20:$BO$27,'Property Level Return Calcs'!$A$10,FALSE),0)</f>
        <v>0</v>
      </c>
      <c r="BM9" s="553">
        <f>IFERROR(HLOOKUP(BM$6,'Property Level Return Calcs'!$D$20:$BO$27,'Property Level Return Calcs'!$A$10,FALSE),0)</f>
        <v>0</v>
      </c>
      <c r="BN9" s="553">
        <f>IFERROR(HLOOKUP(BN$6,'Property Level Return Calcs'!$D$20:$BO$27,'Property Level Return Calcs'!$A$10,FALSE),0)</f>
        <v>0</v>
      </c>
      <c r="BO9" s="347"/>
    </row>
    <row r="10" spans="1:75" s="216" customFormat="1">
      <c r="A10" s="215"/>
      <c r="B10" s="255" t="s">
        <v>166</v>
      </c>
      <c r="C10" s="553">
        <f>IFERROR(HLOOKUP(C$6,'Property Level Return Calcs'!$D$20:$BO$27,'Property Level Return Calcs'!$A$11,FALSE),0)</f>
        <v>0</v>
      </c>
      <c r="D10" s="553">
        <f>IFERROR(HLOOKUP(D$6,'Property Level Return Calcs'!$D$20:$BO$27,'Property Level Return Calcs'!$A$11,FALSE),0)</f>
        <v>0</v>
      </c>
      <c r="E10" s="553">
        <f>IFERROR(HLOOKUP(E$6,'Property Level Return Calcs'!$D$20:$BO$27,'Property Level Return Calcs'!$A$11,FALSE),0)</f>
        <v>0</v>
      </c>
      <c r="F10" s="553">
        <f>IFERROR(HLOOKUP(F$6,'Property Level Return Calcs'!$D$20:$BO$27,'Property Level Return Calcs'!$A$11,FALSE),0)</f>
        <v>0</v>
      </c>
      <c r="G10" s="553">
        <f>IFERROR(HLOOKUP(G$6,'Property Level Return Calcs'!$D$20:$BO$27,'Property Level Return Calcs'!$A$11,FALSE),0)</f>
        <v>0</v>
      </c>
      <c r="H10" s="553">
        <f>IFERROR(HLOOKUP(H$6,'Property Level Return Calcs'!$D$20:$BO$27,'Property Level Return Calcs'!$A$11,FALSE),0)</f>
        <v>0</v>
      </c>
      <c r="I10" s="553">
        <f>IFERROR(HLOOKUP(I$6,'Property Level Return Calcs'!$D$20:$BO$27,'Property Level Return Calcs'!$A$11,FALSE),0)</f>
        <v>0</v>
      </c>
      <c r="J10" s="553">
        <f>IFERROR(HLOOKUP(J$6,'Property Level Return Calcs'!$D$20:$BO$27,'Property Level Return Calcs'!$A$11,FALSE),0)</f>
        <v>0</v>
      </c>
      <c r="K10" s="553">
        <f>IFERROR(HLOOKUP(K$6,'Property Level Return Calcs'!$D$20:$BO$27,'Property Level Return Calcs'!$A$11,FALSE),0)</f>
        <v>0</v>
      </c>
      <c r="L10" s="553">
        <f>IFERROR(HLOOKUP(L$6,'Property Level Return Calcs'!$D$20:$BO$27,'Property Level Return Calcs'!$A$11,FALSE),0)</f>
        <v>0</v>
      </c>
      <c r="M10" s="553">
        <f>IFERROR(HLOOKUP(M$6,'Property Level Return Calcs'!$D$20:$BO$27,'Property Level Return Calcs'!$A$11,FALSE),0)</f>
        <v>0</v>
      </c>
      <c r="N10" s="553">
        <f>IFERROR(HLOOKUP(N$6,'Property Level Return Calcs'!$D$20:$BO$27,'Property Level Return Calcs'!$A$11,FALSE),0)</f>
        <v>0</v>
      </c>
      <c r="O10" s="553">
        <f>IFERROR(HLOOKUP(O$6,'Property Level Return Calcs'!$D$20:$BO$27,'Property Level Return Calcs'!$A$11,FALSE),0)</f>
        <v>0</v>
      </c>
      <c r="P10" s="553">
        <f>IFERROR(HLOOKUP(P$6,'Property Level Return Calcs'!$D$20:$BO$27,'Property Level Return Calcs'!$A$11,FALSE),0)</f>
        <v>0</v>
      </c>
      <c r="Q10" s="553">
        <f>IFERROR(HLOOKUP(Q$6,'Property Level Return Calcs'!$D$20:$BO$27,'Property Level Return Calcs'!$A$11,FALSE),0)</f>
        <v>0</v>
      </c>
      <c r="R10" s="553">
        <f>IFERROR(HLOOKUP(R$6,'Property Level Return Calcs'!$D$20:$BO$27,'Property Level Return Calcs'!$A$11,FALSE),0)</f>
        <v>0</v>
      </c>
      <c r="S10" s="553">
        <f>IFERROR(HLOOKUP(S$6,'Property Level Return Calcs'!$D$20:$BO$27,'Property Level Return Calcs'!$A$11,FALSE),0)</f>
        <v>0</v>
      </c>
      <c r="T10" s="553">
        <f>IFERROR(HLOOKUP(T$6,'Property Level Return Calcs'!$D$20:$BO$27,'Property Level Return Calcs'!$A$11,FALSE),0)</f>
        <v>0</v>
      </c>
      <c r="U10" s="553">
        <f>IFERROR(HLOOKUP(U$6,'Property Level Return Calcs'!$D$20:$BO$27,'Property Level Return Calcs'!$A$11,FALSE),0)</f>
        <v>0</v>
      </c>
      <c r="V10" s="553">
        <f>IFERROR(HLOOKUP(V$6,'Property Level Return Calcs'!$D$20:$BO$27,'Property Level Return Calcs'!$A$11,FALSE),0)</f>
        <v>0</v>
      </c>
      <c r="W10" s="553">
        <f>IFERROR(HLOOKUP(W$6,'Property Level Return Calcs'!$D$20:$BO$27,'Property Level Return Calcs'!$A$11,FALSE),0)</f>
        <v>0</v>
      </c>
      <c r="X10" s="553">
        <f>IFERROR(HLOOKUP(X$6,'Property Level Return Calcs'!$D$20:$BO$27,'Property Level Return Calcs'!$A$11,FALSE),0)</f>
        <v>0</v>
      </c>
      <c r="Y10" s="553">
        <f>IFERROR(HLOOKUP(Y$6,'Property Level Return Calcs'!$D$20:$BO$27,'Property Level Return Calcs'!$A$11,FALSE),0)</f>
        <v>0</v>
      </c>
      <c r="Z10" s="553">
        <f>IFERROR(HLOOKUP(Z$6,'Property Level Return Calcs'!$D$20:$BO$27,'Property Level Return Calcs'!$A$11,FALSE),0)</f>
        <v>0</v>
      </c>
      <c r="AA10" s="553">
        <f>IFERROR(HLOOKUP(AA$6,'Property Level Return Calcs'!$D$20:$BO$27,'Property Level Return Calcs'!$A$11,FALSE),0)</f>
        <v>0</v>
      </c>
      <c r="AB10" s="553">
        <f>IFERROR(HLOOKUP(AB$6,'Property Level Return Calcs'!$D$20:$BO$27,'Property Level Return Calcs'!$A$11,FALSE),0)</f>
        <v>0</v>
      </c>
      <c r="AC10" s="553">
        <f>IFERROR(HLOOKUP(AC$6,'Property Level Return Calcs'!$D$20:$BO$27,'Property Level Return Calcs'!$A$11,FALSE),0)</f>
        <v>0</v>
      </c>
      <c r="AD10" s="553">
        <f>IFERROR(HLOOKUP(AD$6,'Property Level Return Calcs'!$D$20:$BO$27,'Property Level Return Calcs'!$A$11,FALSE),0)</f>
        <v>0</v>
      </c>
      <c r="AE10" s="553">
        <f>IFERROR(HLOOKUP(AE$6,'Property Level Return Calcs'!$D$20:$BO$27,'Property Level Return Calcs'!$A$11,FALSE),0)</f>
        <v>0</v>
      </c>
      <c r="AF10" s="553">
        <f>IFERROR(HLOOKUP(AF$6,'Property Level Return Calcs'!$D$20:$BO$27,'Property Level Return Calcs'!$A$11,FALSE),0)</f>
        <v>0</v>
      </c>
      <c r="AG10" s="553">
        <f>IFERROR(HLOOKUP(AG$6,'Property Level Return Calcs'!$D$20:$BO$27,'Property Level Return Calcs'!$A$11,FALSE),0)</f>
        <v>0</v>
      </c>
      <c r="AH10" s="553">
        <f>IFERROR(HLOOKUP(AH$6,'Property Level Return Calcs'!$D$20:$BO$27,'Property Level Return Calcs'!$A$11,FALSE),0)</f>
        <v>0</v>
      </c>
      <c r="AI10" s="553">
        <f>IFERROR(HLOOKUP(AI$6,'Property Level Return Calcs'!$D$20:$BO$27,'Property Level Return Calcs'!$A$11,FALSE),0)</f>
        <v>0</v>
      </c>
      <c r="AJ10" s="553">
        <f>IFERROR(HLOOKUP(AJ$6,'Property Level Return Calcs'!$D$20:$BO$27,'Property Level Return Calcs'!$A$11,FALSE),0)</f>
        <v>0</v>
      </c>
      <c r="AK10" s="553">
        <f>IFERROR(HLOOKUP(AK$6,'Property Level Return Calcs'!$D$20:$BO$27,'Property Level Return Calcs'!$A$11,FALSE),0)</f>
        <v>0</v>
      </c>
      <c r="AL10" s="553">
        <f>IFERROR(HLOOKUP(AL$6,'Property Level Return Calcs'!$D$20:$BO$27,'Property Level Return Calcs'!$A$11,FALSE),0)</f>
        <v>0</v>
      </c>
      <c r="AM10" s="553">
        <f>IFERROR(HLOOKUP(AM$6,'Property Level Return Calcs'!$D$20:$BO$27,'Property Level Return Calcs'!$A$11,FALSE),0)</f>
        <v>0</v>
      </c>
      <c r="AN10" s="553">
        <f>IFERROR(HLOOKUP(AN$6,'Property Level Return Calcs'!$D$20:$BO$27,'Property Level Return Calcs'!$A$11,FALSE),0)</f>
        <v>0</v>
      </c>
      <c r="AO10" s="553">
        <f>IFERROR(HLOOKUP(AO$6,'Property Level Return Calcs'!$D$20:$BO$27,'Property Level Return Calcs'!$A$11,FALSE),0)</f>
        <v>0</v>
      </c>
      <c r="AP10" s="553">
        <f>IFERROR(HLOOKUP(AP$6,'Property Level Return Calcs'!$D$20:$BO$27,'Property Level Return Calcs'!$A$11,FALSE),0)</f>
        <v>39959331.37553376</v>
      </c>
      <c r="AQ10" s="553">
        <f>IFERROR(HLOOKUP(AQ$6,'Property Level Return Calcs'!$D$20:$BO$27,'Property Level Return Calcs'!$A$11,FALSE),0)</f>
        <v>0</v>
      </c>
      <c r="AR10" s="553">
        <f>IFERROR(HLOOKUP(AR$6,'Property Level Return Calcs'!$D$20:$BO$27,'Property Level Return Calcs'!$A$11,FALSE),0)</f>
        <v>0</v>
      </c>
      <c r="AS10" s="553">
        <f>IFERROR(HLOOKUP(AS$6,'Property Level Return Calcs'!$D$20:$BO$27,'Property Level Return Calcs'!$A$11,FALSE),0)</f>
        <v>0</v>
      </c>
      <c r="AT10" s="553">
        <f>IFERROR(HLOOKUP(AT$6,'Property Level Return Calcs'!$D$20:$BO$27,'Property Level Return Calcs'!$A$11,FALSE),0)</f>
        <v>0</v>
      </c>
      <c r="AU10" s="553">
        <f>IFERROR(HLOOKUP(AU$6,'Property Level Return Calcs'!$D$20:$BO$27,'Property Level Return Calcs'!$A$11,FALSE),0)</f>
        <v>0</v>
      </c>
      <c r="AV10" s="553">
        <f>IFERROR(HLOOKUP(AV$6,'Property Level Return Calcs'!$D$20:$BO$27,'Property Level Return Calcs'!$A$11,FALSE),0)</f>
        <v>0</v>
      </c>
      <c r="AW10" s="553">
        <f>IFERROR(HLOOKUP(AW$6,'Property Level Return Calcs'!$D$20:$BO$27,'Property Level Return Calcs'!$A$11,FALSE),0)</f>
        <v>0</v>
      </c>
      <c r="AX10" s="553">
        <f>IFERROR(HLOOKUP(AX$6,'Property Level Return Calcs'!$D$20:$BO$27,'Property Level Return Calcs'!$A$11,FALSE),0)</f>
        <v>0</v>
      </c>
      <c r="AY10" s="553">
        <f>IFERROR(HLOOKUP(AY$6,'Property Level Return Calcs'!$D$20:$BO$27,'Property Level Return Calcs'!$A$11,FALSE),0)</f>
        <v>0</v>
      </c>
      <c r="AZ10" s="553">
        <f>IFERROR(HLOOKUP(AZ$6,'Property Level Return Calcs'!$D$20:$BO$27,'Property Level Return Calcs'!$A$11,FALSE),0)</f>
        <v>0</v>
      </c>
      <c r="BA10" s="553">
        <f>IFERROR(HLOOKUP(BA$6,'Property Level Return Calcs'!$D$20:$BO$27,'Property Level Return Calcs'!$A$11,FALSE),0)</f>
        <v>0</v>
      </c>
      <c r="BB10" s="553">
        <f>IFERROR(HLOOKUP(BB$6,'Property Level Return Calcs'!$D$20:$BO$27,'Property Level Return Calcs'!$A$11,FALSE),0)</f>
        <v>0</v>
      </c>
      <c r="BC10" s="553">
        <f>IFERROR(HLOOKUP(BC$6,'Property Level Return Calcs'!$D$20:$BO$27,'Property Level Return Calcs'!$A$11,FALSE),0)</f>
        <v>0</v>
      </c>
      <c r="BD10" s="553">
        <f>IFERROR(HLOOKUP(BD$6,'Property Level Return Calcs'!$D$20:$BO$27,'Property Level Return Calcs'!$A$11,FALSE),0)</f>
        <v>0</v>
      </c>
      <c r="BE10" s="553">
        <f>IFERROR(HLOOKUP(BE$6,'Property Level Return Calcs'!$D$20:$BO$27,'Property Level Return Calcs'!$A$11,FALSE),0)</f>
        <v>0</v>
      </c>
      <c r="BF10" s="553">
        <f>IFERROR(HLOOKUP(BF$6,'Property Level Return Calcs'!$D$20:$BO$27,'Property Level Return Calcs'!$A$11,FALSE),0)</f>
        <v>0</v>
      </c>
      <c r="BG10" s="553">
        <f>IFERROR(HLOOKUP(BG$6,'Property Level Return Calcs'!$D$20:$BO$27,'Property Level Return Calcs'!$A$11,FALSE),0)</f>
        <v>0</v>
      </c>
      <c r="BH10" s="553">
        <f>IFERROR(HLOOKUP(BH$6,'Property Level Return Calcs'!$D$20:$BO$27,'Property Level Return Calcs'!$A$11,FALSE),0)</f>
        <v>0</v>
      </c>
      <c r="BI10" s="553">
        <f>IFERROR(HLOOKUP(BI$6,'Property Level Return Calcs'!$D$20:$BO$27,'Property Level Return Calcs'!$A$11,FALSE),0)</f>
        <v>0</v>
      </c>
      <c r="BJ10" s="553">
        <f>IFERROR(HLOOKUP(BJ$6,'Property Level Return Calcs'!$D$20:$BO$27,'Property Level Return Calcs'!$A$11,FALSE),0)</f>
        <v>0</v>
      </c>
      <c r="BK10" s="553">
        <f>IFERROR(HLOOKUP(BK$6,'Property Level Return Calcs'!$D$20:$BO$27,'Property Level Return Calcs'!$A$11,FALSE),0)</f>
        <v>0</v>
      </c>
      <c r="BL10" s="553">
        <f>IFERROR(HLOOKUP(BL$6,'Property Level Return Calcs'!$D$20:$BO$27,'Property Level Return Calcs'!$A$11,FALSE),0)</f>
        <v>0</v>
      </c>
      <c r="BM10" s="553">
        <f>IFERROR(HLOOKUP(BM$6,'Property Level Return Calcs'!$D$20:$BO$27,'Property Level Return Calcs'!$A$11,FALSE),0)</f>
        <v>0</v>
      </c>
      <c r="BN10" s="553">
        <f>IFERROR(HLOOKUP(BN$6,'Property Level Return Calcs'!$D$20:$BO$27,'Property Level Return Calcs'!$A$11,FALSE),0)</f>
        <v>0</v>
      </c>
      <c r="BO10" s="348"/>
    </row>
    <row r="11" spans="1:75" s="216" customFormat="1">
      <c r="A11" s="215"/>
      <c r="B11" s="226" t="s">
        <v>167</v>
      </c>
      <c r="C11" s="557">
        <f>SUM(C7:C10)</f>
        <v>-24033944.982098967</v>
      </c>
      <c r="D11" s="557">
        <f>SUM(D7:D10)</f>
        <v>0</v>
      </c>
      <c r="E11" s="557">
        <f t="shared" ref="E11:BM11" si="1">SUM(E7:E10)</f>
        <v>0</v>
      </c>
      <c r="F11" s="557">
        <f t="shared" si="1"/>
        <v>0</v>
      </c>
      <c r="G11" s="557">
        <f t="shared" si="1"/>
        <v>0</v>
      </c>
      <c r="H11" s="557">
        <f t="shared" si="1"/>
        <v>0</v>
      </c>
      <c r="I11" s="557">
        <f t="shared" si="1"/>
        <v>0</v>
      </c>
      <c r="J11" s="557">
        <f t="shared" si="1"/>
        <v>0</v>
      </c>
      <c r="K11" s="557">
        <f t="shared" si="1"/>
        <v>0</v>
      </c>
      <c r="L11" s="557">
        <f t="shared" si="1"/>
        <v>0</v>
      </c>
      <c r="M11" s="557">
        <f t="shared" si="1"/>
        <v>0</v>
      </c>
      <c r="N11" s="557">
        <f t="shared" si="1"/>
        <v>0</v>
      </c>
      <c r="O11" s="557">
        <f t="shared" si="1"/>
        <v>0</v>
      </c>
      <c r="P11" s="557">
        <f t="shared" si="1"/>
        <v>0</v>
      </c>
      <c r="Q11" s="557">
        <f t="shared" si="1"/>
        <v>0</v>
      </c>
      <c r="R11" s="557">
        <f t="shared" si="1"/>
        <v>0</v>
      </c>
      <c r="S11" s="557">
        <f t="shared" si="1"/>
        <v>0</v>
      </c>
      <c r="T11" s="557">
        <f t="shared" si="1"/>
        <v>0</v>
      </c>
      <c r="U11" s="557">
        <f t="shared" si="1"/>
        <v>0</v>
      </c>
      <c r="V11" s="557">
        <f t="shared" si="1"/>
        <v>0</v>
      </c>
      <c r="W11" s="557">
        <f t="shared" si="1"/>
        <v>0</v>
      </c>
      <c r="X11" s="557">
        <f t="shared" si="1"/>
        <v>55865.937070519256</v>
      </c>
      <c r="Y11" s="557">
        <f t="shared" si="1"/>
        <v>55865.937070519256</v>
      </c>
      <c r="Z11" s="557">
        <f t="shared" si="1"/>
        <v>55865.937070519256</v>
      </c>
      <c r="AA11" s="557">
        <f t="shared" si="1"/>
        <v>1567865.9370705192</v>
      </c>
      <c r="AB11" s="557">
        <f t="shared" si="1"/>
        <v>55865.937070519256</v>
      </c>
      <c r="AC11" s="557">
        <f t="shared" si="1"/>
        <v>55865.937070519256</v>
      </c>
      <c r="AD11" s="557">
        <f t="shared" si="1"/>
        <v>-1220620.9207049725</v>
      </c>
      <c r="AE11" s="557">
        <f t="shared" si="1"/>
        <v>160402.43820649723</v>
      </c>
      <c r="AF11" s="557">
        <f t="shared" si="1"/>
        <v>160402.43820649723</v>
      </c>
      <c r="AG11" s="557">
        <f t="shared" si="1"/>
        <v>160402.43820649723</v>
      </c>
      <c r="AH11" s="557">
        <f t="shared" si="1"/>
        <v>160402.43820649723</v>
      </c>
      <c r="AI11" s="557">
        <f t="shared" si="1"/>
        <v>160402.43820649723</v>
      </c>
      <c r="AJ11" s="557">
        <f t="shared" si="1"/>
        <v>174756.336958414</v>
      </c>
      <c r="AK11" s="557">
        <f t="shared" si="1"/>
        <v>174756.336958414</v>
      </c>
      <c r="AL11" s="557">
        <f t="shared" si="1"/>
        <v>174756.336958414</v>
      </c>
      <c r="AM11" s="557">
        <f t="shared" si="1"/>
        <v>174756.336958414</v>
      </c>
      <c r="AN11" s="557">
        <f t="shared" si="1"/>
        <v>174756.336958414</v>
      </c>
      <c r="AO11" s="557">
        <f t="shared" si="1"/>
        <v>174756.336958414</v>
      </c>
      <c r="AP11" s="557">
        <f t="shared" si="1"/>
        <v>39959331.37553376</v>
      </c>
      <c r="AQ11" s="557">
        <f t="shared" si="1"/>
        <v>0</v>
      </c>
      <c r="AR11" s="557">
        <f t="shared" si="1"/>
        <v>0</v>
      </c>
      <c r="AS11" s="557">
        <f t="shared" si="1"/>
        <v>0</v>
      </c>
      <c r="AT11" s="557">
        <f t="shared" si="1"/>
        <v>0</v>
      </c>
      <c r="AU11" s="557">
        <f t="shared" si="1"/>
        <v>0</v>
      </c>
      <c r="AV11" s="557">
        <f t="shared" si="1"/>
        <v>0</v>
      </c>
      <c r="AW11" s="557">
        <f t="shared" si="1"/>
        <v>0</v>
      </c>
      <c r="AX11" s="557">
        <f t="shared" si="1"/>
        <v>0</v>
      </c>
      <c r="AY11" s="557">
        <f t="shared" si="1"/>
        <v>0</v>
      </c>
      <c r="AZ11" s="557">
        <f t="shared" si="1"/>
        <v>0</v>
      </c>
      <c r="BA11" s="557">
        <f t="shared" si="1"/>
        <v>0</v>
      </c>
      <c r="BB11" s="557">
        <f t="shared" si="1"/>
        <v>0</v>
      </c>
      <c r="BC11" s="557">
        <f t="shared" si="1"/>
        <v>0</v>
      </c>
      <c r="BD11" s="557">
        <f t="shared" si="1"/>
        <v>0</v>
      </c>
      <c r="BE11" s="557">
        <f t="shared" si="1"/>
        <v>0</v>
      </c>
      <c r="BF11" s="557">
        <f t="shared" si="1"/>
        <v>0</v>
      </c>
      <c r="BG11" s="557">
        <f t="shared" si="1"/>
        <v>0</v>
      </c>
      <c r="BH11" s="557">
        <f t="shared" si="1"/>
        <v>0</v>
      </c>
      <c r="BI11" s="557">
        <f t="shared" si="1"/>
        <v>0</v>
      </c>
      <c r="BJ11" s="557">
        <f t="shared" si="1"/>
        <v>0</v>
      </c>
      <c r="BK11" s="557">
        <f t="shared" si="1"/>
        <v>0</v>
      </c>
      <c r="BL11" s="557">
        <f t="shared" si="1"/>
        <v>0</v>
      </c>
      <c r="BM11" s="557">
        <f t="shared" si="1"/>
        <v>0</v>
      </c>
      <c r="BN11" s="557">
        <f>SUM(BN7:BN10)</f>
        <v>0</v>
      </c>
      <c r="BO11" s="349"/>
    </row>
    <row r="12" spans="1:75">
      <c r="B12" s="248"/>
      <c r="C12" s="213"/>
      <c r="D12" s="324"/>
      <c r="E12" s="324"/>
      <c r="F12" s="324"/>
      <c r="G12" s="324"/>
      <c r="H12" s="324"/>
      <c r="I12" s="324"/>
      <c r="J12" s="324"/>
      <c r="K12" s="324"/>
      <c r="L12" s="324"/>
      <c r="M12" s="324"/>
      <c r="N12" s="324"/>
      <c r="O12" s="324"/>
      <c r="P12" s="324"/>
      <c r="Q12" s="324"/>
      <c r="R12" s="324"/>
      <c r="S12" s="324"/>
      <c r="T12" s="324"/>
      <c r="U12" s="324"/>
      <c r="V12" s="324"/>
      <c r="W12" s="324"/>
      <c r="X12" s="324"/>
      <c r="Y12" s="324"/>
      <c r="Z12" s="324"/>
      <c r="AA12" s="324"/>
      <c r="AB12" s="324"/>
      <c r="AC12" s="324"/>
      <c r="AD12" s="324"/>
      <c r="AE12" s="324"/>
      <c r="AF12" s="324"/>
      <c r="AG12" s="324"/>
      <c r="AH12" s="324"/>
      <c r="AI12" s="324"/>
      <c r="AJ12" s="324"/>
      <c r="AK12" s="324"/>
      <c r="AL12" s="324"/>
      <c r="AM12" s="324"/>
      <c r="AN12" s="324"/>
      <c r="AO12" s="324"/>
      <c r="AP12" s="324"/>
      <c r="AQ12" s="324"/>
      <c r="AR12" s="324"/>
      <c r="AS12" s="324"/>
      <c r="AT12" s="324"/>
      <c r="AU12" s="324"/>
      <c r="AV12" s="324"/>
      <c r="AW12" s="324"/>
      <c r="AX12" s="324"/>
      <c r="AY12" s="324"/>
      <c r="AZ12" s="324"/>
      <c r="BA12" s="324"/>
      <c r="BB12" s="324"/>
      <c r="BC12" s="324"/>
      <c r="BD12" s="324"/>
      <c r="BE12" s="324"/>
      <c r="BF12" s="324"/>
      <c r="BG12" s="324"/>
      <c r="BH12" s="324"/>
      <c r="BI12" s="324"/>
      <c r="BJ12" s="324"/>
      <c r="BK12" s="324"/>
      <c r="BL12" s="324"/>
      <c r="BM12" s="324"/>
      <c r="BN12" s="324"/>
      <c r="BO12" s="248"/>
    </row>
    <row r="13" spans="1:75" s="216" customFormat="1">
      <c r="A13" s="215"/>
      <c r="B13" s="226" t="s">
        <v>91</v>
      </c>
      <c r="C13" s="327">
        <f>XIRR(C11:BN11,C6:BN6)</f>
        <v>0.20005646347999576</v>
      </c>
      <c r="D13" s="326"/>
      <c r="E13" s="326"/>
      <c r="F13" s="326"/>
      <c r="G13" s="326"/>
      <c r="H13" s="326"/>
      <c r="I13" s="326"/>
      <c r="J13" s="326"/>
      <c r="K13" s="326"/>
      <c r="L13" s="326"/>
      <c r="M13" s="326"/>
      <c r="N13" s="326"/>
      <c r="O13" s="326"/>
      <c r="P13" s="326"/>
      <c r="Q13" s="326"/>
      <c r="R13" s="326"/>
      <c r="S13" s="326"/>
      <c r="T13" s="326"/>
      <c r="U13" s="326"/>
      <c r="V13" s="326"/>
      <c r="W13" s="326"/>
      <c r="X13" s="326"/>
      <c r="Y13" s="326"/>
      <c r="Z13" s="326"/>
      <c r="AA13" s="326"/>
      <c r="AB13" s="326"/>
      <c r="AC13" s="326"/>
      <c r="AD13" s="326"/>
      <c r="AE13" s="326"/>
      <c r="AF13" s="326"/>
      <c r="AG13" s="326"/>
      <c r="AH13" s="326"/>
      <c r="AI13" s="326"/>
      <c r="AJ13" s="326"/>
      <c r="AK13" s="326"/>
      <c r="AL13" s="326"/>
      <c r="AM13" s="326"/>
      <c r="AN13" s="326"/>
      <c r="AO13" s="326"/>
      <c r="AP13" s="326"/>
      <c r="AQ13" s="326"/>
      <c r="AR13" s="326"/>
      <c r="AS13" s="326"/>
      <c r="AT13" s="326"/>
      <c r="AU13" s="326"/>
      <c r="AV13" s="326"/>
      <c r="AW13" s="326"/>
      <c r="AX13" s="326"/>
      <c r="AY13" s="326"/>
      <c r="AZ13" s="326"/>
      <c r="BA13" s="326"/>
      <c r="BB13" s="326"/>
      <c r="BC13" s="326"/>
      <c r="BD13" s="326"/>
      <c r="BE13" s="326"/>
      <c r="BF13" s="326"/>
      <c r="BG13" s="326"/>
      <c r="BH13" s="326"/>
      <c r="BI13" s="326"/>
      <c r="BJ13" s="326"/>
      <c r="BK13" s="326"/>
      <c r="BL13" s="326"/>
      <c r="BM13" s="326"/>
      <c r="BO13" s="226"/>
    </row>
    <row r="14" spans="1:75">
      <c r="B14" s="226" t="s">
        <v>168</v>
      </c>
      <c r="C14" s="329">
        <f>SUM(D11:BN11)/-C11</f>
        <v>1.7656883346301457</v>
      </c>
      <c r="D14" s="224"/>
      <c r="E14" s="224"/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  <c r="R14" s="224"/>
      <c r="S14" s="224"/>
      <c r="T14" s="224"/>
      <c r="U14" s="224"/>
      <c r="V14" s="224"/>
      <c r="W14" s="224"/>
      <c r="X14" s="224"/>
      <c r="Y14" s="224"/>
      <c r="Z14" s="224"/>
      <c r="AA14" s="224"/>
      <c r="AB14" s="224"/>
      <c r="AC14" s="224"/>
      <c r="AD14" s="224"/>
      <c r="AE14" s="224"/>
      <c r="AF14" s="224"/>
      <c r="AG14" s="224"/>
      <c r="AH14" s="224"/>
      <c r="AI14" s="224"/>
      <c r="AJ14" s="224"/>
      <c r="AK14" s="224"/>
      <c r="AL14" s="224"/>
      <c r="AM14" s="224"/>
      <c r="AN14" s="224"/>
      <c r="AO14" s="224"/>
      <c r="AP14" s="224"/>
      <c r="AQ14" s="224"/>
      <c r="AR14" s="224"/>
      <c r="AS14" s="224"/>
      <c r="AT14" s="224"/>
      <c r="AU14" s="224"/>
      <c r="AV14" s="224"/>
      <c r="AW14" s="224"/>
      <c r="AX14" s="224"/>
      <c r="AY14" s="224"/>
      <c r="AZ14" s="224"/>
      <c r="BA14" s="224"/>
      <c r="BB14" s="224"/>
      <c r="BC14" s="224"/>
      <c r="BD14" s="224"/>
      <c r="BE14" s="224"/>
      <c r="BF14" s="224"/>
      <c r="BG14" s="224"/>
      <c r="BH14" s="224"/>
      <c r="BI14" s="224"/>
      <c r="BJ14" s="224"/>
      <c r="BK14" s="224"/>
      <c r="BL14" s="224"/>
      <c r="BM14" s="224"/>
      <c r="BO14" s="276"/>
    </row>
    <row r="15" spans="1:75" ht="15.75" thickBot="1">
      <c r="B15" s="470" t="s">
        <v>169</v>
      </c>
      <c r="C15" s="558">
        <f>SUM(D11:BN11)</f>
        <v>42436456.290034875</v>
      </c>
      <c r="D15" s="471"/>
      <c r="E15" s="471"/>
      <c r="F15" s="471"/>
      <c r="G15" s="471"/>
      <c r="H15" s="471"/>
      <c r="I15" s="471"/>
      <c r="J15" s="471"/>
      <c r="K15" s="471"/>
      <c r="L15" s="471"/>
      <c r="M15" s="471"/>
      <c r="N15" s="471"/>
      <c r="O15" s="471"/>
      <c r="P15" s="471"/>
      <c r="Q15" s="471"/>
      <c r="R15" s="471"/>
      <c r="S15" s="471"/>
      <c r="T15" s="471"/>
      <c r="U15" s="471"/>
      <c r="V15" s="471"/>
      <c r="W15" s="471"/>
      <c r="X15" s="471"/>
      <c r="Y15" s="471"/>
      <c r="Z15" s="471"/>
      <c r="AA15" s="471"/>
      <c r="AB15" s="471"/>
      <c r="AC15" s="471"/>
      <c r="AD15" s="471"/>
      <c r="AE15" s="471"/>
      <c r="AF15" s="471"/>
      <c r="AG15" s="471"/>
      <c r="AH15" s="471"/>
      <c r="AI15" s="471"/>
      <c r="AJ15" s="471"/>
      <c r="AK15" s="471"/>
      <c r="AL15" s="471"/>
      <c r="AM15" s="471"/>
      <c r="AN15" s="471"/>
      <c r="AO15" s="471"/>
      <c r="AP15" s="471"/>
      <c r="AQ15" s="471"/>
      <c r="AR15" s="471"/>
      <c r="AS15" s="471"/>
      <c r="AT15" s="471"/>
      <c r="AU15" s="471"/>
      <c r="AV15" s="471"/>
      <c r="AW15" s="471"/>
      <c r="AX15" s="471"/>
      <c r="AY15" s="471"/>
      <c r="AZ15" s="471"/>
      <c r="BA15" s="471"/>
      <c r="BB15" s="471"/>
      <c r="BC15" s="471"/>
      <c r="BD15" s="471"/>
      <c r="BE15" s="471"/>
      <c r="BF15" s="471"/>
      <c r="BG15" s="471"/>
      <c r="BH15" s="471"/>
      <c r="BI15" s="471"/>
      <c r="BJ15" s="471"/>
      <c r="BK15" s="471"/>
      <c r="BL15" s="471"/>
      <c r="BM15" s="471"/>
      <c r="BN15" s="471"/>
      <c r="BO15" s="248"/>
      <c r="BP15" s="266"/>
      <c r="BQ15" s="254"/>
      <c r="BR15" s="461"/>
    </row>
    <row r="16" spans="1:75" ht="15.75" thickTop="1">
      <c r="B16" s="242" t="s">
        <v>170</v>
      </c>
      <c r="C16" s="292" t="s">
        <v>171</v>
      </c>
      <c r="D16" s="1149">
        <f>C5</f>
        <v>24033944.982098967</v>
      </c>
      <c r="E16" s="1149"/>
      <c r="F16" s="293"/>
      <c r="G16" s="293"/>
      <c r="H16" s="293"/>
      <c r="I16" s="293"/>
      <c r="J16" s="293"/>
      <c r="K16" s="293"/>
      <c r="L16" s="293"/>
      <c r="M16" s="293"/>
      <c r="N16" s="293"/>
      <c r="O16" s="293"/>
      <c r="P16" s="293"/>
      <c r="Q16" s="293"/>
      <c r="R16" s="293"/>
      <c r="S16" s="293"/>
      <c r="T16" s="293"/>
      <c r="U16" s="293"/>
      <c r="V16" s="293"/>
      <c r="W16" s="293"/>
      <c r="X16" s="293"/>
      <c r="Y16" s="293"/>
      <c r="Z16" s="293"/>
      <c r="AA16" s="293"/>
      <c r="AB16" s="293"/>
      <c r="AC16" s="293"/>
      <c r="AD16" s="293"/>
      <c r="AE16" s="293"/>
      <c r="AF16" s="293"/>
      <c r="AG16" s="293"/>
      <c r="AH16" s="293"/>
      <c r="AI16" s="293"/>
      <c r="AJ16" s="293"/>
      <c r="AK16" s="293"/>
      <c r="AL16" s="293"/>
      <c r="AM16" s="293"/>
      <c r="AN16" s="293"/>
      <c r="AO16" s="293"/>
      <c r="AP16" s="293"/>
      <c r="AQ16" s="293"/>
      <c r="AR16" s="293"/>
      <c r="AS16" s="293"/>
      <c r="AT16" s="293"/>
      <c r="AU16" s="293"/>
      <c r="AV16" s="293"/>
      <c r="AW16" s="293"/>
      <c r="AX16" s="293"/>
      <c r="AY16" s="293"/>
      <c r="AZ16" s="293"/>
      <c r="BA16" s="293"/>
      <c r="BB16" s="293"/>
      <c r="BC16" s="293"/>
      <c r="BD16" s="293"/>
      <c r="BE16" s="293"/>
      <c r="BF16" s="293"/>
      <c r="BG16" s="293"/>
      <c r="BH16" s="293"/>
      <c r="BI16" s="293"/>
      <c r="BJ16" s="293"/>
      <c r="BK16" s="293"/>
      <c r="BL16" s="293"/>
      <c r="BM16" s="293"/>
      <c r="BO16" s="248"/>
      <c r="BP16" s="266"/>
      <c r="BR16" s="461"/>
      <c r="BS16" s="220"/>
    </row>
    <row r="17" spans="1:74">
      <c r="B17" s="248" t="s">
        <v>373</v>
      </c>
      <c r="C17" s="559">
        <f>Dashboard!$E$9</f>
        <v>0.85</v>
      </c>
      <c r="D17" s="1150">
        <f>D16*C17</f>
        <v>20428853.234784123</v>
      </c>
      <c r="E17" s="1150"/>
      <c r="F17" s="293"/>
      <c r="G17" s="293"/>
      <c r="H17" s="293"/>
      <c r="I17" s="293"/>
      <c r="J17" s="293"/>
      <c r="K17" s="293"/>
      <c r="L17" s="293"/>
      <c r="M17" s="293"/>
      <c r="N17" s="293"/>
      <c r="O17" s="293"/>
      <c r="P17" s="293"/>
      <c r="Q17" s="293"/>
      <c r="R17" s="293"/>
      <c r="S17" s="293"/>
      <c r="T17" s="293"/>
      <c r="U17" s="293"/>
      <c r="V17" s="293"/>
      <c r="W17" s="293"/>
      <c r="X17" s="293"/>
      <c r="Y17" s="293"/>
      <c r="Z17" s="293"/>
      <c r="AA17" s="293"/>
      <c r="AB17" s="293"/>
      <c r="AC17" s="293"/>
      <c r="AD17" s="293"/>
      <c r="AE17" s="293"/>
      <c r="AF17" s="293"/>
      <c r="AG17" s="293"/>
      <c r="AH17" s="293"/>
      <c r="AI17" s="293"/>
      <c r="AJ17" s="293"/>
      <c r="AK17" s="293"/>
      <c r="AL17" s="293"/>
      <c r="AM17" s="293"/>
      <c r="AN17" s="293"/>
      <c r="AO17" s="293"/>
      <c r="AP17" s="293"/>
      <c r="AQ17" s="293"/>
      <c r="AR17" s="293"/>
      <c r="AS17" s="293"/>
      <c r="AT17" s="293"/>
      <c r="AU17" s="293"/>
      <c r="AV17" s="293"/>
      <c r="AW17" s="293"/>
      <c r="AX17" s="293"/>
      <c r="AY17" s="293"/>
      <c r="AZ17" s="293"/>
      <c r="BA17" s="293"/>
      <c r="BB17" s="293"/>
      <c r="BC17" s="293"/>
      <c r="BD17" s="293"/>
      <c r="BE17" s="293"/>
      <c r="BF17" s="293"/>
      <c r="BG17" s="293"/>
      <c r="BH17" s="293"/>
      <c r="BI17" s="293"/>
      <c r="BJ17" s="293"/>
      <c r="BK17" s="293"/>
      <c r="BL17" s="293"/>
      <c r="BM17" s="293"/>
      <c r="BO17" s="248"/>
      <c r="BP17" s="266"/>
      <c r="BQ17" s="254"/>
      <c r="BR17" s="254"/>
    </row>
    <row r="18" spans="1:74">
      <c r="B18" s="248" t="s">
        <v>172</v>
      </c>
      <c r="C18" s="560">
        <f>1-C17</f>
        <v>0.15000000000000002</v>
      </c>
      <c r="D18" s="1150">
        <f>D16*C18</f>
        <v>3605091.7473148457</v>
      </c>
      <c r="E18" s="1150"/>
      <c r="F18" s="293"/>
      <c r="G18" s="293"/>
      <c r="H18" s="293"/>
      <c r="I18" s="293"/>
      <c r="J18" s="293"/>
      <c r="K18" s="293"/>
      <c r="L18" s="293"/>
      <c r="M18" s="293"/>
      <c r="N18" s="293"/>
      <c r="O18" s="293"/>
      <c r="P18" s="293"/>
      <c r="Q18" s="293"/>
      <c r="R18" s="293"/>
      <c r="S18" s="293"/>
      <c r="T18" s="293"/>
      <c r="U18" s="293"/>
      <c r="V18" s="293"/>
      <c r="W18" s="293"/>
      <c r="X18" s="293"/>
      <c r="Y18" s="293"/>
      <c r="Z18" s="293"/>
      <c r="AA18" s="293"/>
      <c r="AB18" s="293"/>
      <c r="AC18" s="293"/>
      <c r="AD18" s="293"/>
      <c r="AE18" s="293"/>
      <c r="AF18" s="293"/>
      <c r="AG18" s="293"/>
      <c r="AH18" s="293"/>
      <c r="AI18" s="293"/>
      <c r="AJ18" s="293"/>
      <c r="AK18" s="293"/>
      <c r="AL18" s="293"/>
      <c r="AM18" s="293"/>
      <c r="AN18" s="293"/>
      <c r="AO18" s="293"/>
      <c r="AP18" s="293"/>
      <c r="AQ18" s="293"/>
      <c r="AR18" s="293"/>
      <c r="AS18" s="293"/>
      <c r="AT18" s="293"/>
      <c r="AU18" s="293"/>
      <c r="AV18" s="293"/>
      <c r="AW18" s="293"/>
      <c r="AX18" s="293"/>
      <c r="AY18" s="293"/>
      <c r="AZ18" s="293"/>
      <c r="BA18" s="293"/>
      <c r="BB18" s="293"/>
      <c r="BC18" s="293"/>
      <c r="BD18" s="293"/>
      <c r="BE18" s="293"/>
      <c r="BF18" s="293"/>
      <c r="BG18" s="293"/>
      <c r="BH18" s="293"/>
      <c r="BI18" s="293"/>
      <c r="BJ18" s="293"/>
      <c r="BK18" s="293"/>
      <c r="BL18" s="293"/>
      <c r="BM18" s="293"/>
      <c r="BO18" s="248"/>
      <c r="BP18" s="266"/>
    </row>
    <row r="19" spans="1:74" s="216" customFormat="1" ht="15.75" thickBot="1">
      <c r="A19" s="215"/>
      <c r="B19" s="462"/>
      <c r="C19" s="407"/>
      <c r="D19" s="407"/>
      <c r="E19" s="407"/>
      <c r="F19" s="407"/>
      <c r="G19" s="407"/>
      <c r="H19" s="407"/>
      <c r="I19" s="407"/>
      <c r="J19" s="407"/>
      <c r="K19" s="407"/>
      <c r="L19" s="407"/>
      <c r="M19" s="407"/>
      <c r="N19" s="407"/>
      <c r="O19" s="407"/>
      <c r="P19" s="407"/>
      <c r="Q19" s="407"/>
      <c r="R19" s="407"/>
      <c r="S19" s="407"/>
      <c r="T19" s="407"/>
      <c r="U19" s="407"/>
      <c r="V19" s="407"/>
      <c r="W19" s="407"/>
      <c r="X19" s="407"/>
      <c r="Y19" s="407"/>
      <c r="Z19" s="407"/>
      <c r="AA19" s="407"/>
      <c r="AB19" s="407"/>
      <c r="AC19" s="407"/>
      <c r="AD19" s="407"/>
      <c r="AE19" s="407"/>
      <c r="AF19" s="407"/>
      <c r="AG19" s="407"/>
      <c r="AH19" s="407"/>
      <c r="AI19" s="407"/>
      <c r="AJ19" s="407"/>
      <c r="AK19" s="407"/>
      <c r="AL19" s="407"/>
      <c r="AM19" s="407"/>
      <c r="AN19" s="407"/>
      <c r="AO19" s="407"/>
      <c r="AP19" s="407"/>
      <c r="AQ19" s="407"/>
      <c r="AR19" s="407"/>
      <c r="AS19" s="407"/>
      <c r="AT19" s="407"/>
      <c r="AU19" s="407"/>
      <c r="AV19" s="407"/>
      <c r="AW19" s="407"/>
      <c r="AX19" s="407"/>
      <c r="AY19" s="407"/>
      <c r="AZ19" s="407"/>
      <c r="BA19" s="407"/>
      <c r="BB19" s="407"/>
      <c r="BC19" s="407"/>
      <c r="BD19" s="407"/>
      <c r="BE19" s="407"/>
      <c r="BF19" s="407"/>
      <c r="BG19" s="407"/>
      <c r="BH19" s="407"/>
      <c r="BI19" s="407"/>
      <c r="BJ19" s="407"/>
      <c r="BK19" s="407"/>
      <c r="BL19" s="407"/>
      <c r="BM19" s="407"/>
      <c r="BN19" s="463"/>
      <c r="BO19" s="226"/>
      <c r="BP19" s="266"/>
      <c r="BS19" s="219"/>
    </row>
    <row r="20" spans="1:74" s="216" customFormat="1">
      <c r="A20" s="215"/>
      <c r="B20" s="315" t="s">
        <v>173</v>
      </c>
      <c r="C20" s="373"/>
      <c r="D20" s="373"/>
      <c r="E20" s="373"/>
      <c r="F20" s="373"/>
      <c r="G20" s="373"/>
      <c r="H20" s="373"/>
      <c r="I20" s="373"/>
      <c r="J20" s="373"/>
      <c r="K20" s="373"/>
      <c r="L20" s="373"/>
      <c r="M20" s="373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373"/>
      <c r="AE20" s="373"/>
      <c r="AF20" s="373"/>
      <c r="AG20" s="373"/>
      <c r="AH20" s="373"/>
      <c r="AI20" s="373"/>
      <c r="AJ20" s="373"/>
      <c r="AK20" s="373"/>
      <c r="AL20" s="373"/>
      <c r="AM20" s="373"/>
      <c r="AN20" s="373"/>
      <c r="AO20" s="373"/>
      <c r="AP20" s="373"/>
      <c r="AQ20" s="373"/>
      <c r="AR20" s="373"/>
      <c r="AS20" s="373"/>
      <c r="AT20" s="373"/>
      <c r="AU20" s="373"/>
      <c r="AV20" s="373"/>
      <c r="AW20" s="373"/>
      <c r="AX20" s="373"/>
      <c r="AY20" s="373"/>
      <c r="AZ20" s="373"/>
      <c r="BA20" s="373"/>
      <c r="BB20" s="373"/>
      <c r="BC20" s="373"/>
      <c r="BD20" s="373"/>
      <c r="BE20" s="373"/>
      <c r="BF20" s="373"/>
      <c r="BG20" s="373"/>
      <c r="BH20" s="373"/>
      <c r="BI20" s="373"/>
      <c r="BJ20" s="373"/>
      <c r="BK20" s="373"/>
      <c r="BL20" s="373"/>
      <c r="BM20" s="373"/>
      <c r="BN20" s="373"/>
      <c r="BO20" s="276"/>
      <c r="BP20" s="266"/>
      <c r="BS20" s="219"/>
    </row>
    <row r="21" spans="1:74" s="216" customFormat="1">
      <c r="A21" s="215"/>
      <c r="B21" s="434" t="s">
        <v>174</v>
      </c>
      <c r="C21" s="435"/>
      <c r="D21" s="435"/>
      <c r="E21" s="435"/>
      <c r="F21" s="435"/>
      <c r="G21" s="435"/>
      <c r="H21" s="435"/>
      <c r="I21" s="435"/>
      <c r="J21" s="435"/>
      <c r="K21" s="435"/>
      <c r="L21" s="435"/>
      <c r="M21" s="435"/>
      <c r="N21" s="435"/>
      <c r="O21" s="435"/>
      <c r="P21" s="435"/>
      <c r="Q21" s="435"/>
      <c r="R21" s="435"/>
      <c r="S21" s="435"/>
      <c r="T21" s="435"/>
      <c r="U21" s="435"/>
      <c r="V21" s="435"/>
      <c r="W21" s="435"/>
      <c r="X21" s="435"/>
      <c r="Y21" s="435"/>
      <c r="Z21" s="435"/>
      <c r="AA21" s="435"/>
      <c r="AB21" s="435"/>
      <c r="AC21" s="435"/>
      <c r="AD21" s="435"/>
      <c r="AE21" s="435"/>
      <c r="AF21" s="435"/>
      <c r="AG21" s="435"/>
      <c r="AH21" s="435"/>
      <c r="AI21" s="435"/>
      <c r="AJ21" s="435"/>
      <c r="AK21" s="435"/>
      <c r="AL21" s="435"/>
      <c r="AM21" s="435"/>
      <c r="AN21" s="435"/>
      <c r="AO21" s="435"/>
      <c r="AP21" s="435"/>
      <c r="AQ21" s="435"/>
      <c r="AR21" s="435"/>
      <c r="AS21" s="435"/>
      <c r="AT21" s="435"/>
      <c r="AU21" s="435"/>
      <c r="AV21" s="435"/>
      <c r="AW21" s="435"/>
      <c r="AX21" s="435"/>
      <c r="AY21" s="435"/>
      <c r="AZ21" s="435"/>
      <c r="BA21" s="435"/>
      <c r="BB21" s="435"/>
      <c r="BC21" s="435"/>
      <c r="BD21" s="435"/>
      <c r="BE21" s="435"/>
      <c r="BF21" s="435"/>
      <c r="BG21" s="435"/>
      <c r="BH21" s="435"/>
      <c r="BI21" s="435"/>
      <c r="BJ21" s="435"/>
      <c r="BK21" s="435"/>
      <c r="BL21" s="435"/>
      <c r="BM21" s="435"/>
      <c r="BN21" s="436"/>
      <c r="BO21" s="279"/>
      <c r="BP21" s="561"/>
      <c r="BS21" s="219"/>
    </row>
    <row r="22" spans="1:74" s="216" customFormat="1">
      <c r="A22" s="215"/>
      <c r="B22" s="281" t="s">
        <v>208</v>
      </c>
      <c r="C22" s="282"/>
      <c r="D22" s="488">
        <f t="shared" ref="D22:BN22" si="2">+MIN(D11,(-C34*($BS$4/12)))</f>
        <v>0</v>
      </c>
      <c r="E22" s="488">
        <f>+MIN(E11,(-D34*($BS$4/12)))</f>
        <v>0</v>
      </c>
      <c r="F22" s="488">
        <f t="shared" si="2"/>
        <v>0</v>
      </c>
      <c r="G22" s="488">
        <f t="shared" si="2"/>
        <v>0</v>
      </c>
      <c r="H22" s="488">
        <f t="shared" si="2"/>
        <v>0</v>
      </c>
      <c r="I22" s="488">
        <f t="shared" si="2"/>
        <v>0</v>
      </c>
      <c r="J22" s="488">
        <f t="shared" si="2"/>
        <v>0</v>
      </c>
      <c r="K22" s="488">
        <f t="shared" si="2"/>
        <v>0</v>
      </c>
      <c r="L22" s="488">
        <f t="shared" si="2"/>
        <v>0</v>
      </c>
      <c r="M22" s="488">
        <f t="shared" si="2"/>
        <v>0</v>
      </c>
      <c r="N22" s="488">
        <f t="shared" si="2"/>
        <v>0</v>
      </c>
      <c r="O22" s="488">
        <f t="shared" si="2"/>
        <v>0</v>
      </c>
      <c r="P22" s="488">
        <f t="shared" si="2"/>
        <v>0</v>
      </c>
      <c r="Q22" s="488">
        <f t="shared" si="2"/>
        <v>0</v>
      </c>
      <c r="R22" s="488">
        <f t="shared" si="2"/>
        <v>0</v>
      </c>
      <c r="S22" s="488">
        <f>+MIN(S11,(-R34*($BS$4/12)))</f>
        <v>0</v>
      </c>
      <c r="T22" s="488">
        <f t="shared" si="2"/>
        <v>0</v>
      </c>
      <c r="U22" s="488">
        <f t="shared" si="2"/>
        <v>0</v>
      </c>
      <c r="V22" s="488">
        <f t="shared" si="2"/>
        <v>0</v>
      </c>
      <c r="W22" s="488">
        <f t="shared" si="2"/>
        <v>0</v>
      </c>
      <c r="X22" s="488">
        <f t="shared" si="2"/>
        <v>55865.937070519256</v>
      </c>
      <c r="Y22" s="488">
        <f t="shared" si="2"/>
        <v>55865.937070519256</v>
      </c>
      <c r="Z22" s="488">
        <f t="shared" si="2"/>
        <v>55865.937070519256</v>
      </c>
      <c r="AA22" s="488">
        <f t="shared" si="2"/>
        <v>200282.87485082471</v>
      </c>
      <c r="AB22" s="488">
        <f t="shared" si="2"/>
        <v>55865.937070519256</v>
      </c>
      <c r="AC22" s="488">
        <f t="shared" si="2"/>
        <v>55865.937070519256</v>
      </c>
      <c r="AD22" s="488">
        <f t="shared" si="2"/>
        <v>-1220620.9207049725</v>
      </c>
      <c r="AE22" s="488">
        <f t="shared" si="2"/>
        <v>160402.43820649723</v>
      </c>
      <c r="AF22" s="488">
        <f t="shared" si="2"/>
        <v>160402.43820649723</v>
      </c>
      <c r="AG22" s="488">
        <f t="shared" si="2"/>
        <v>160402.43820649723</v>
      </c>
      <c r="AH22" s="488">
        <f t="shared" si="2"/>
        <v>160402.43820649723</v>
      </c>
      <c r="AI22" s="488">
        <f t="shared" si="2"/>
        <v>160402.43820649723</v>
      </c>
      <c r="AJ22" s="488">
        <f t="shared" si="2"/>
        <v>174756.336958414</v>
      </c>
      <c r="AK22" s="488">
        <f t="shared" si="2"/>
        <v>174756.336958414</v>
      </c>
      <c r="AL22" s="488">
        <f t="shared" si="2"/>
        <v>174756.336958414</v>
      </c>
      <c r="AM22" s="488">
        <f t="shared" si="2"/>
        <v>174756.336958414</v>
      </c>
      <c r="AN22" s="488">
        <f t="shared" si="2"/>
        <v>174756.336958414</v>
      </c>
      <c r="AO22" s="488">
        <f t="shared" si="2"/>
        <v>174756.336958414</v>
      </c>
      <c r="AP22" s="488">
        <f t="shared" si="2"/>
        <v>200282.87485082471</v>
      </c>
      <c r="AQ22" s="488">
        <f t="shared" si="2"/>
        <v>0</v>
      </c>
      <c r="AR22" s="488">
        <f t="shared" si="2"/>
        <v>0</v>
      </c>
      <c r="AS22" s="488">
        <f t="shared" si="2"/>
        <v>0</v>
      </c>
      <c r="AT22" s="488">
        <f t="shared" si="2"/>
        <v>0</v>
      </c>
      <c r="AU22" s="488">
        <f t="shared" si="2"/>
        <v>0</v>
      </c>
      <c r="AV22" s="488">
        <f t="shared" si="2"/>
        <v>0</v>
      </c>
      <c r="AW22" s="488">
        <f t="shared" si="2"/>
        <v>0</v>
      </c>
      <c r="AX22" s="488">
        <f t="shared" si="2"/>
        <v>0</v>
      </c>
      <c r="AY22" s="488">
        <f t="shared" si="2"/>
        <v>0</v>
      </c>
      <c r="AZ22" s="488">
        <f t="shared" si="2"/>
        <v>0</v>
      </c>
      <c r="BA22" s="488">
        <f t="shared" si="2"/>
        <v>0</v>
      </c>
      <c r="BB22" s="488">
        <f t="shared" si="2"/>
        <v>0</v>
      </c>
      <c r="BC22" s="488">
        <f t="shared" si="2"/>
        <v>0</v>
      </c>
      <c r="BD22" s="488">
        <f t="shared" si="2"/>
        <v>0</v>
      </c>
      <c r="BE22" s="488">
        <f t="shared" si="2"/>
        <v>0</v>
      </c>
      <c r="BF22" s="488">
        <f>+MIN(BF11,(-BE34*($BS$4/12)))</f>
        <v>0</v>
      </c>
      <c r="BG22" s="488">
        <f t="shared" si="2"/>
        <v>0</v>
      </c>
      <c r="BH22" s="488">
        <f t="shared" si="2"/>
        <v>0</v>
      </c>
      <c r="BI22" s="488">
        <f t="shared" si="2"/>
        <v>0</v>
      </c>
      <c r="BJ22" s="488">
        <f t="shared" si="2"/>
        <v>0</v>
      </c>
      <c r="BK22" s="488">
        <f t="shared" si="2"/>
        <v>0</v>
      </c>
      <c r="BL22" s="488">
        <f t="shared" si="2"/>
        <v>0</v>
      </c>
      <c r="BM22" s="488">
        <f t="shared" si="2"/>
        <v>0</v>
      </c>
      <c r="BN22" s="488">
        <f t="shared" si="2"/>
        <v>0</v>
      </c>
      <c r="BO22" s="283"/>
      <c r="BS22" s="219"/>
    </row>
    <row r="23" spans="1:74" s="216" customFormat="1">
      <c r="A23" s="215"/>
      <c r="B23" s="281" t="s">
        <v>209</v>
      </c>
      <c r="C23" s="282"/>
      <c r="D23" s="562">
        <f t="shared" ref="D23:R23" si="3">MIN(D11-D22,C35)</f>
        <v>0</v>
      </c>
      <c r="E23" s="562">
        <f t="shared" si="3"/>
        <v>0</v>
      </c>
      <c r="F23" s="562">
        <f t="shared" si="3"/>
        <v>0</v>
      </c>
      <c r="G23" s="562">
        <f t="shared" si="3"/>
        <v>0</v>
      </c>
      <c r="H23" s="562">
        <f t="shared" si="3"/>
        <v>0</v>
      </c>
      <c r="I23" s="562">
        <f t="shared" si="3"/>
        <v>0</v>
      </c>
      <c r="J23" s="562">
        <f t="shared" si="3"/>
        <v>0</v>
      </c>
      <c r="K23" s="562">
        <f t="shared" si="3"/>
        <v>0</v>
      </c>
      <c r="L23" s="562">
        <f t="shared" si="3"/>
        <v>0</v>
      </c>
      <c r="M23" s="562">
        <f t="shared" si="3"/>
        <v>0</v>
      </c>
      <c r="N23" s="562">
        <f t="shared" si="3"/>
        <v>0</v>
      </c>
      <c r="O23" s="562">
        <f t="shared" si="3"/>
        <v>0</v>
      </c>
      <c r="P23" s="562">
        <f t="shared" si="3"/>
        <v>0</v>
      </c>
      <c r="Q23" s="562">
        <f t="shared" si="3"/>
        <v>0</v>
      </c>
      <c r="R23" s="562">
        <f t="shared" si="3"/>
        <v>0</v>
      </c>
      <c r="S23" s="562">
        <f>MIN(S11-S22,R35)</f>
        <v>0</v>
      </c>
      <c r="T23" s="562">
        <f t="shared" ref="T23:BN23" si="4">MIN(T11-T22,S35)</f>
        <v>0</v>
      </c>
      <c r="U23" s="562">
        <f t="shared" si="4"/>
        <v>0</v>
      </c>
      <c r="V23" s="562">
        <f t="shared" si="4"/>
        <v>0</v>
      </c>
      <c r="W23" s="562">
        <f t="shared" si="4"/>
        <v>0</v>
      </c>
      <c r="X23" s="562">
        <f t="shared" si="4"/>
        <v>0</v>
      </c>
      <c r="Y23" s="562">
        <f t="shared" si="4"/>
        <v>0</v>
      </c>
      <c r="Z23" s="562">
        <f t="shared" si="4"/>
        <v>0</v>
      </c>
      <c r="AA23" s="562">
        <f t="shared" si="4"/>
        <v>1367583.0622196945</v>
      </c>
      <c r="AB23" s="562">
        <f t="shared" si="4"/>
        <v>0</v>
      </c>
      <c r="AC23" s="562">
        <f t="shared" si="4"/>
        <v>0</v>
      </c>
      <c r="AD23" s="562">
        <f t="shared" si="4"/>
        <v>0</v>
      </c>
      <c r="AE23" s="562">
        <f t="shared" si="4"/>
        <v>0</v>
      </c>
      <c r="AF23" s="562">
        <f t="shared" si="4"/>
        <v>0</v>
      </c>
      <c r="AG23" s="562">
        <f t="shared" si="4"/>
        <v>0</v>
      </c>
      <c r="AH23" s="562">
        <f t="shared" si="4"/>
        <v>0</v>
      </c>
      <c r="AI23" s="562">
        <f t="shared" si="4"/>
        <v>0</v>
      </c>
      <c r="AJ23" s="562">
        <f t="shared" si="4"/>
        <v>0</v>
      </c>
      <c r="AK23" s="562">
        <f t="shared" si="4"/>
        <v>0</v>
      </c>
      <c r="AL23" s="562">
        <f t="shared" si="4"/>
        <v>0</v>
      </c>
      <c r="AM23" s="562">
        <f t="shared" si="4"/>
        <v>0</v>
      </c>
      <c r="AN23" s="562">
        <f t="shared" si="4"/>
        <v>0</v>
      </c>
      <c r="AO23" s="562">
        <f t="shared" si="4"/>
        <v>0</v>
      </c>
      <c r="AP23" s="562">
        <f t="shared" si="4"/>
        <v>5133624.3298302246</v>
      </c>
      <c r="AQ23" s="562">
        <f t="shared" si="4"/>
        <v>0</v>
      </c>
      <c r="AR23" s="562">
        <f t="shared" si="4"/>
        <v>0</v>
      </c>
      <c r="AS23" s="562">
        <f t="shared" si="4"/>
        <v>0</v>
      </c>
      <c r="AT23" s="562">
        <f t="shared" si="4"/>
        <v>0</v>
      </c>
      <c r="AU23" s="562">
        <f t="shared" si="4"/>
        <v>0</v>
      </c>
      <c r="AV23" s="562">
        <f t="shared" si="4"/>
        <v>0</v>
      </c>
      <c r="AW23" s="562">
        <f t="shared" si="4"/>
        <v>0</v>
      </c>
      <c r="AX23" s="562">
        <f t="shared" si="4"/>
        <v>0</v>
      </c>
      <c r="AY23" s="562">
        <f t="shared" si="4"/>
        <v>0</v>
      </c>
      <c r="AZ23" s="562">
        <f t="shared" si="4"/>
        <v>0</v>
      </c>
      <c r="BA23" s="562">
        <f t="shared" si="4"/>
        <v>0</v>
      </c>
      <c r="BB23" s="562">
        <f t="shared" si="4"/>
        <v>0</v>
      </c>
      <c r="BC23" s="562">
        <f t="shared" si="4"/>
        <v>0</v>
      </c>
      <c r="BD23" s="562">
        <f t="shared" si="4"/>
        <v>0</v>
      </c>
      <c r="BE23" s="562">
        <f t="shared" si="4"/>
        <v>0</v>
      </c>
      <c r="BF23" s="562">
        <f t="shared" si="4"/>
        <v>0</v>
      </c>
      <c r="BG23" s="562">
        <f t="shared" si="4"/>
        <v>0</v>
      </c>
      <c r="BH23" s="562">
        <f t="shared" si="4"/>
        <v>0</v>
      </c>
      <c r="BI23" s="562">
        <f t="shared" si="4"/>
        <v>0</v>
      </c>
      <c r="BJ23" s="562">
        <f t="shared" si="4"/>
        <v>0</v>
      </c>
      <c r="BK23" s="562">
        <f t="shared" si="4"/>
        <v>0</v>
      </c>
      <c r="BL23" s="562">
        <f t="shared" si="4"/>
        <v>0</v>
      </c>
      <c r="BM23" s="562">
        <f t="shared" si="4"/>
        <v>0</v>
      </c>
      <c r="BN23" s="562">
        <f t="shared" si="4"/>
        <v>0</v>
      </c>
      <c r="BO23" s="283"/>
      <c r="BS23" s="219"/>
    </row>
    <row r="24" spans="1:74" s="216" customFormat="1">
      <c r="A24" s="215"/>
      <c r="B24" s="582" t="s">
        <v>210</v>
      </c>
      <c r="C24" s="282"/>
      <c r="D24" s="563">
        <f>SUM(D22:D23)</f>
        <v>0</v>
      </c>
      <c r="E24" s="563">
        <f t="shared" ref="E24:R24" si="5">SUM(E22:E23)</f>
        <v>0</v>
      </c>
      <c r="F24" s="563">
        <f t="shared" si="5"/>
        <v>0</v>
      </c>
      <c r="G24" s="563">
        <f t="shared" si="5"/>
        <v>0</v>
      </c>
      <c r="H24" s="563">
        <f t="shared" si="5"/>
        <v>0</v>
      </c>
      <c r="I24" s="563">
        <f t="shared" si="5"/>
        <v>0</v>
      </c>
      <c r="J24" s="563">
        <f t="shared" si="5"/>
        <v>0</v>
      </c>
      <c r="K24" s="563">
        <f t="shared" si="5"/>
        <v>0</v>
      </c>
      <c r="L24" s="563">
        <f t="shared" si="5"/>
        <v>0</v>
      </c>
      <c r="M24" s="563">
        <f t="shared" si="5"/>
        <v>0</v>
      </c>
      <c r="N24" s="563">
        <f t="shared" si="5"/>
        <v>0</v>
      </c>
      <c r="O24" s="563">
        <f t="shared" si="5"/>
        <v>0</v>
      </c>
      <c r="P24" s="563">
        <f t="shared" si="5"/>
        <v>0</v>
      </c>
      <c r="Q24" s="563">
        <f t="shared" si="5"/>
        <v>0</v>
      </c>
      <c r="R24" s="563">
        <f t="shared" si="5"/>
        <v>0</v>
      </c>
      <c r="S24" s="563">
        <f>SUM(S22:S23)</f>
        <v>0</v>
      </c>
      <c r="T24" s="563">
        <f t="shared" ref="T24:BN24" si="6">SUM(T22:T23)</f>
        <v>0</v>
      </c>
      <c r="U24" s="563">
        <f t="shared" si="6"/>
        <v>0</v>
      </c>
      <c r="V24" s="563">
        <f>SUM(V22:V23)</f>
        <v>0</v>
      </c>
      <c r="W24" s="563">
        <f t="shared" si="6"/>
        <v>0</v>
      </c>
      <c r="X24" s="563">
        <f t="shared" si="6"/>
        <v>55865.937070519256</v>
      </c>
      <c r="Y24" s="563">
        <f t="shared" si="6"/>
        <v>55865.937070519256</v>
      </c>
      <c r="Z24" s="563">
        <f t="shared" si="6"/>
        <v>55865.937070519256</v>
      </c>
      <c r="AA24" s="563">
        <f t="shared" si="6"/>
        <v>1567865.9370705192</v>
      </c>
      <c r="AB24" s="563">
        <f t="shared" si="6"/>
        <v>55865.937070519256</v>
      </c>
      <c r="AC24" s="563">
        <f t="shared" si="6"/>
        <v>55865.937070519256</v>
      </c>
      <c r="AD24" s="563">
        <f t="shared" si="6"/>
        <v>-1220620.9207049725</v>
      </c>
      <c r="AE24" s="563">
        <f t="shared" si="6"/>
        <v>160402.43820649723</v>
      </c>
      <c r="AF24" s="563">
        <f t="shared" si="6"/>
        <v>160402.43820649723</v>
      </c>
      <c r="AG24" s="563">
        <f t="shared" si="6"/>
        <v>160402.43820649723</v>
      </c>
      <c r="AH24" s="563">
        <f t="shared" si="6"/>
        <v>160402.43820649723</v>
      </c>
      <c r="AI24" s="563">
        <f t="shared" si="6"/>
        <v>160402.43820649723</v>
      </c>
      <c r="AJ24" s="563">
        <f t="shared" si="6"/>
        <v>174756.336958414</v>
      </c>
      <c r="AK24" s="563">
        <f t="shared" si="6"/>
        <v>174756.336958414</v>
      </c>
      <c r="AL24" s="563">
        <f t="shared" si="6"/>
        <v>174756.336958414</v>
      </c>
      <c r="AM24" s="563">
        <f t="shared" si="6"/>
        <v>174756.336958414</v>
      </c>
      <c r="AN24" s="563">
        <f t="shared" si="6"/>
        <v>174756.336958414</v>
      </c>
      <c r="AO24" s="563">
        <f t="shared" si="6"/>
        <v>174756.336958414</v>
      </c>
      <c r="AP24" s="563">
        <f t="shared" si="6"/>
        <v>5333907.2046810491</v>
      </c>
      <c r="AQ24" s="563">
        <f t="shared" si="6"/>
        <v>0</v>
      </c>
      <c r="AR24" s="563">
        <f t="shared" si="6"/>
        <v>0</v>
      </c>
      <c r="AS24" s="563">
        <f t="shared" si="6"/>
        <v>0</v>
      </c>
      <c r="AT24" s="563">
        <f t="shared" si="6"/>
        <v>0</v>
      </c>
      <c r="AU24" s="563">
        <f t="shared" si="6"/>
        <v>0</v>
      </c>
      <c r="AV24" s="563">
        <f t="shared" si="6"/>
        <v>0</v>
      </c>
      <c r="AW24" s="563">
        <f t="shared" si="6"/>
        <v>0</v>
      </c>
      <c r="AX24" s="563">
        <f t="shared" si="6"/>
        <v>0</v>
      </c>
      <c r="AY24" s="563">
        <f t="shared" si="6"/>
        <v>0</v>
      </c>
      <c r="AZ24" s="563">
        <f t="shared" si="6"/>
        <v>0</v>
      </c>
      <c r="BA24" s="563">
        <f t="shared" si="6"/>
        <v>0</v>
      </c>
      <c r="BB24" s="563">
        <f t="shared" si="6"/>
        <v>0</v>
      </c>
      <c r="BC24" s="563">
        <f t="shared" si="6"/>
        <v>0</v>
      </c>
      <c r="BD24" s="563">
        <f t="shared" si="6"/>
        <v>0</v>
      </c>
      <c r="BE24" s="563">
        <f t="shared" si="6"/>
        <v>0</v>
      </c>
      <c r="BF24" s="563">
        <f>SUM(BF22:BF23)</f>
        <v>0</v>
      </c>
      <c r="BG24" s="563">
        <f t="shared" si="6"/>
        <v>0</v>
      </c>
      <c r="BH24" s="563">
        <f t="shared" si="6"/>
        <v>0</v>
      </c>
      <c r="BI24" s="563">
        <f t="shared" si="6"/>
        <v>0</v>
      </c>
      <c r="BJ24" s="563">
        <f t="shared" si="6"/>
        <v>0</v>
      </c>
      <c r="BK24" s="563">
        <f t="shared" si="6"/>
        <v>0</v>
      </c>
      <c r="BL24" s="563">
        <f t="shared" si="6"/>
        <v>0</v>
      </c>
      <c r="BM24" s="563">
        <f t="shared" si="6"/>
        <v>0</v>
      </c>
      <c r="BN24" s="563">
        <f t="shared" si="6"/>
        <v>0</v>
      </c>
      <c r="BO24" s="283"/>
      <c r="BS24" s="219"/>
    </row>
    <row r="25" spans="1:74" s="216" customFormat="1">
      <c r="A25" s="215"/>
      <c r="B25" s="281"/>
      <c r="C25" s="282"/>
      <c r="D25" s="488"/>
      <c r="E25" s="488"/>
      <c r="F25" s="488"/>
      <c r="G25" s="488"/>
      <c r="H25" s="488"/>
      <c r="I25" s="488"/>
      <c r="J25" s="488"/>
      <c r="K25" s="488"/>
      <c r="L25" s="488"/>
      <c r="M25" s="488"/>
      <c r="N25" s="488"/>
      <c r="O25" s="488"/>
      <c r="P25" s="488"/>
      <c r="Q25" s="488"/>
      <c r="R25" s="488"/>
      <c r="S25" s="488"/>
      <c r="T25" s="488"/>
      <c r="U25" s="488"/>
      <c r="V25" s="488"/>
      <c r="W25" s="488"/>
      <c r="X25" s="488"/>
      <c r="Y25" s="488"/>
      <c r="Z25" s="488"/>
      <c r="AA25" s="488"/>
      <c r="AB25" s="488"/>
      <c r="AC25" s="488"/>
      <c r="AD25" s="488"/>
      <c r="AE25" s="488"/>
      <c r="AF25" s="488"/>
      <c r="AG25" s="488"/>
      <c r="AH25" s="488"/>
      <c r="AI25" s="488"/>
      <c r="AJ25" s="488"/>
      <c r="AK25" s="488"/>
      <c r="AL25" s="488"/>
      <c r="AM25" s="488"/>
      <c r="AN25" s="488"/>
      <c r="AO25" s="488"/>
      <c r="AP25" s="488"/>
      <c r="AQ25" s="488"/>
      <c r="AR25" s="488"/>
      <c r="AS25" s="488"/>
      <c r="AT25" s="488"/>
      <c r="AU25" s="488"/>
      <c r="AV25" s="488"/>
      <c r="AW25" s="488"/>
      <c r="AX25" s="488"/>
      <c r="AY25" s="488"/>
      <c r="AZ25" s="488"/>
      <c r="BA25" s="488"/>
      <c r="BB25" s="488"/>
      <c r="BC25" s="488"/>
      <c r="BD25" s="488"/>
      <c r="BE25" s="488"/>
      <c r="BF25" s="488"/>
      <c r="BG25" s="488"/>
      <c r="BH25" s="488"/>
      <c r="BI25" s="488"/>
      <c r="BJ25" s="488"/>
      <c r="BK25" s="488"/>
      <c r="BL25" s="488"/>
      <c r="BM25" s="488"/>
      <c r="BN25" s="488"/>
      <c r="BO25" s="283"/>
      <c r="BS25" s="219"/>
    </row>
    <row r="26" spans="1:74" s="216" customFormat="1">
      <c r="A26" s="215"/>
      <c r="B26" s="281" t="s">
        <v>204</v>
      </c>
      <c r="C26" s="282"/>
      <c r="D26" s="488">
        <f t="shared" ref="D26:BN26" si="7">IF(-((+C34*($BS$4/12))+D22)&lt;0,0,-((+C34*($BS$4/12))+D22))</f>
        <v>200282.87485082471</v>
      </c>
      <c r="E26" s="488">
        <f t="shared" si="7"/>
        <v>200282.87485082471</v>
      </c>
      <c r="F26" s="488">
        <f t="shared" si="7"/>
        <v>200282.87485082471</v>
      </c>
      <c r="G26" s="488">
        <f t="shared" si="7"/>
        <v>200282.87485082471</v>
      </c>
      <c r="H26" s="488">
        <f t="shared" si="7"/>
        <v>200282.87485082471</v>
      </c>
      <c r="I26" s="488">
        <f t="shared" si="7"/>
        <v>200282.87485082471</v>
      </c>
      <c r="J26" s="488">
        <f t="shared" si="7"/>
        <v>200282.87485082471</v>
      </c>
      <c r="K26" s="488">
        <f t="shared" si="7"/>
        <v>200282.87485082471</v>
      </c>
      <c r="L26" s="488">
        <f t="shared" si="7"/>
        <v>200282.87485082471</v>
      </c>
      <c r="M26" s="488">
        <f t="shared" si="7"/>
        <v>200282.87485082471</v>
      </c>
      <c r="N26" s="488">
        <f t="shared" si="7"/>
        <v>200282.87485082471</v>
      </c>
      <c r="O26" s="488">
        <f t="shared" si="7"/>
        <v>200282.87485082471</v>
      </c>
      <c r="P26" s="488">
        <f t="shared" si="7"/>
        <v>200282.87485082471</v>
      </c>
      <c r="Q26" s="488">
        <f t="shared" si="7"/>
        <v>200282.87485082471</v>
      </c>
      <c r="R26" s="488">
        <f t="shared" si="7"/>
        <v>200282.87485082471</v>
      </c>
      <c r="S26" s="488">
        <f>IF(-((+R34*($BS$4/12))+S22)&lt;0,0,-((+R34*($BS$4/12))+S22))</f>
        <v>200282.87485082471</v>
      </c>
      <c r="T26" s="488">
        <f t="shared" si="7"/>
        <v>200282.87485082471</v>
      </c>
      <c r="U26" s="488">
        <f t="shared" si="7"/>
        <v>200282.87485082471</v>
      </c>
      <c r="V26" s="488">
        <f t="shared" si="7"/>
        <v>200282.87485082471</v>
      </c>
      <c r="W26" s="488">
        <f t="shared" si="7"/>
        <v>200282.87485082471</v>
      </c>
      <c r="X26" s="488">
        <f t="shared" si="7"/>
        <v>144416.93778030545</v>
      </c>
      <c r="Y26" s="488">
        <f t="shared" si="7"/>
        <v>144416.93778030545</v>
      </c>
      <c r="Z26" s="488">
        <f t="shared" si="7"/>
        <v>144416.93778030545</v>
      </c>
      <c r="AA26" s="488">
        <f t="shared" si="7"/>
        <v>0</v>
      </c>
      <c r="AB26" s="488">
        <f t="shared" si="7"/>
        <v>144416.93778030545</v>
      </c>
      <c r="AC26" s="488">
        <f t="shared" si="7"/>
        <v>144416.93778030545</v>
      </c>
      <c r="AD26" s="488">
        <f t="shared" si="7"/>
        <v>1420903.7955557972</v>
      </c>
      <c r="AE26" s="488">
        <f t="shared" si="7"/>
        <v>39880.436644327478</v>
      </c>
      <c r="AF26" s="488">
        <f t="shared" si="7"/>
        <v>39880.436644327478</v>
      </c>
      <c r="AG26" s="488">
        <f t="shared" si="7"/>
        <v>39880.436644327478</v>
      </c>
      <c r="AH26" s="488">
        <f t="shared" si="7"/>
        <v>39880.436644327478</v>
      </c>
      <c r="AI26" s="488">
        <f t="shared" si="7"/>
        <v>39880.436644327478</v>
      </c>
      <c r="AJ26" s="488">
        <f t="shared" si="7"/>
        <v>25526.537892410706</v>
      </c>
      <c r="AK26" s="488">
        <f t="shared" si="7"/>
        <v>25526.537892410706</v>
      </c>
      <c r="AL26" s="488">
        <f t="shared" si="7"/>
        <v>25526.537892410706</v>
      </c>
      <c r="AM26" s="488">
        <f t="shared" si="7"/>
        <v>25526.537892410706</v>
      </c>
      <c r="AN26" s="488">
        <f t="shared" si="7"/>
        <v>25526.537892410706</v>
      </c>
      <c r="AO26" s="488">
        <f t="shared" si="7"/>
        <v>25526.537892410706</v>
      </c>
      <c r="AP26" s="488">
        <f t="shared" si="7"/>
        <v>0</v>
      </c>
      <c r="AQ26" s="488">
        <f t="shared" si="7"/>
        <v>0</v>
      </c>
      <c r="AR26" s="488">
        <f t="shared" si="7"/>
        <v>0</v>
      </c>
      <c r="AS26" s="488">
        <f t="shared" si="7"/>
        <v>0</v>
      </c>
      <c r="AT26" s="488">
        <f t="shared" si="7"/>
        <v>0</v>
      </c>
      <c r="AU26" s="488">
        <f t="shared" si="7"/>
        <v>0</v>
      </c>
      <c r="AV26" s="488">
        <f t="shared" si="7"/>
        <v>0</v>
      </c>
      <c r="AW26" s="488">
        <f t="shared" si="7"/>
        <v>0</v>
      </c>
      <c r="AX26" s="488">
        <f t="shared" si="7"/>
        <v>0</v>
      </c>
      <c r="AY26" s="488">
        <f t="shared" si="7"/>
        <v>0</v>
      </c>
      <c r="AZ26" s="488">
        <f t="shared" si="7"/>
        <v>0</v>
      </c>
      <c r="BA26" s="488">
        <f t="shared" si="7"/>
        <v>0</v>
      </c>
      <c r="BB26" s="488">
        <f t="shared" si="7"/>
        <v>0</v>
      </c>
      <c r="BC26" s="488">
        <f t="shared" si="7"/>
        <v>0</v>
      </c>
      <c r="BD26" s="488">
        <f t="shared" si="7"/>
        <v>0</v>
      </c>
      <c r="BE26" s="488">
        <f t="shared" si="7"/>
        <v>0</v>
      </c>
      <c r="BF26" s="488">
        <f>IF(-((+BE34*($BS$4/12))+BF22)&lt;0,0,-((+BE34*($BS$4/12))+BF22))</f>
        <v>0</v>
      </c>
      <c r="BG26" s="488">
        <f t="shared" si="7"/>
        <v>0</v>
      </c>
      <c r="BH26" s="488">
        <f t="shared" si="7"/>
        <v>0</v>
      </c>
      <c r="BI26" s="488">
        <f t="shared" si="7"/>
        <v>0</v>
      </c>
      <c r="BJ26" s="488">
        <f t="shared" si="7"/>
        <v>0</v>
      </c>
      <c r="BK26" s="488">
        <f t="shared" si="7"/>
        <v>0</v>
      </c>
      <c r="BL26" s="488">
        <f t="shared" si="7"/>
        <v>0</v>
      </c>
      <c r="BM26" s="488">
        <f t="shared" si="7"/>
        <v>0</v>
      </c>
      <c r="BN26" s="488">
        <f t="shared" si="7"/>
        <v>0</v>
      </c>
      <c r="BO26" s="283"/>
      <c r="BR26" s="223"/>
      <c r="BS26" s="223"/>
      <c r="BT26" s="223"/>
      <c r="BU26" s="223"/>
      <c r="BV26" s="223"/>
    </row>
    <row r="27" spans="1:74" s="216" customFormat="1">
      <c r="A27" s="215"/>
      <c r="B27" s="284" t="s">
        <v>177</v>
      </c>
      <c r="C27" s="562"/>
      <c r="D27" s="562">
        <f t="shared" ref="D27:R27" si="8">IF(D11&gt;D24,+MIN(-C34,D11-D24),0)</f>
        <v>0</v>
      </c>
      <c r="E27" s="562">
        <f t="shared" si="8"/>
        <v>0</v>
      </c>
      <c r="F27" s="562">
        <f t="shared" si="8"/>
        <v>0</v>
      </c>
      <c r="G27" s="562">
        <f t="shared" si="8"/>
        <v>0</v>
      </c>
      <c r="H27" s="562">
        <f t="shared" si="8"/>
        <v>0</v>
      </c>
      <c r="I27" s="562">
        <f t="shared" si="8"/>
        <v>0</v>
      </c>
      <c r="J27" s="562">
        <f t="shared" si="8"/>
        <v>0</v>
      </c>
      <c r="K27" s="562">
        <f t="shared" si="8"/>
        <v>0</v>
      </c>
      <c r="L27" s="562">
        <f t="shared" si="8"/>
        <v>0</v>
      </c>
      <c r="M27" s="562">
        <f t="shared" si="8"/>
        <v>0</v>
      </c>
      <c r="N27" s="562">
        <f t="shared" si="8"/>
        <v>0</v>
      </c>
      <c r="O27" s="562">
        <f t="shared" si="8"/>
        <v>0</v>
      </c>
      <c r="P27" s="562">
        <f t="shared" si="8"/>
        <v>0</v>
      </c>
      <c r="Q27" s="562">
        <f t="shared" si="8"/>
        <v>0</v>
      </c>
      <c r="R27" s="562">
        <f t="shared" si="8"/>
        <v>0</v>
      </c>
      <c r="S27" s="562">
        <f>IF(S11&gt;S24,+MIN(-R34,S11-S24),0)</f>
        <v>0</v>
      </c>
      <c r="T27" s="562">
        <f t="shared" ref="T27:BN27" si="9">IF(T11&gt;T24,+MIN(-S34,T11-T24),0)</f>
        <v>0</v>
      </c>
      <c r="U27" s="562">
        <f t="shared" si="9"/>
        <v>0</v>
      </c>
      <c r="V27" s="562">
        <f>IF(V11&gt;V24,+MIN(-U34,V11-V24),0)</f>
        <v>0</v>
      </c>
      <c r="W27" s="562">
        <f t="shared" si="9"/>
        <v>0</v>
      </c>
      <c r="X27" s="562">
        <f t="shared" si="9"/>
        <v>0</v>
      </c>
      <c r="Y27" s="562">
        <f t="shared" si="9"/>
        <v>0</v>
      </c>
      <c r="Z27" s="562">
        <f t="shared" si="9"/>
        <v>0</v>
      </c>
      <c r="AA27" s="562">
        <f t="shared" si="9"/>
        <v>0</v>
      </c>
      <c r="AB27" s="562">
        <f t="shared" si="9"/>
        <v>0</v>
      </c>
      <c r="AC27" s="562">
        <f t="shared" si="9"/>
        <v>0</v>
      </c>
      <c r="AD27" s="562">
        <f t="shared" si="9"/>
        <v>0</v>
      </c>
      <c r="AE27" s="562">
        <f t="shared" si="9"/>
        <v>0</v>
      </c>
      <c r="AF27" s="562">
        <f t="shared" si="9"/>
        <v>0</v>
      </c>
      <c r="AG27" s="562">
        <f t="shared" si="9"/>
        <v>0</v>
      </c>
      <c r="AH27" s="562">
        <f t="shared" si="9"/>
        <v>0</v>
      </c>
      <c r="AI27" s="562">
        <f t="shared" si="9"/>
        <v>0</v>
      </c>
      <c r="AJ27" s="562">
        <f t="shared" si="9"/>
        <v>0</v>
      </c>
      <c r="AK27" s="562">
        <f t="shared" si="9"/>
        <v>0</v>
      </c>
      <c r="AL27" s="562">
        <f t="shared" si="9"/>
        <v>0</v>
      </c>
      <c r="AM27" s="562">
        <f t="shared" si="9"/>
        <v>0</v>
      </c>
      <c r="AN27" s="562">
        <f t="shared" si="9"/>
        <v>0</v>
      </c>
      <c r="AO27" s="562">
        <f t="shared" si="9"/>
        <v>0</v>
      </c>
      <c r="AP27" s="562">
        <f t="shared" si="9"/>
        <v>24033944.982098967</v>
      </c>
      <c r="AQ27" s="562">
        <f t="shared" si="9"/>
        <v>0</v>
      </c>
      <c r="AR27" s="562">
        <f t="shared" si="9"/>
        <v>0</v>
      </c>
      <c r="AS27" s="562">
        <f t="shared" si="9"/>
        <v>0</v>
      </c>
      <c r="AT27" s="562">
        <f t="shared" si="9"/>
        <v>0</v>
      </c>
      <c r="AU27" s="562">
        <f t="shared" si="9"/>
        <v>0</v>
      </c>
      <c r="AV27" s="562">
        <f t="shared" si="9"/>
        <v>0</v>
      </c>
      <c r="AW27" s="562">
        <f t="shared" si="9"/>
        <v>0</v>
      </c>
      <c r="AX27" s="562">
        <f t="shared" si="9"/>
        <v>0</v>
      </c>
      <c r="AY27" s="562">
        <f t="shared" si="9"/>
        <v>0</v>
      </c>
      <c r="AZ27" s="562">
        <f t="shared" si="9"/>
        <v>0</v>
      </c>
      <c r="BA27" s="562">
        <f t="shared" si="9"/>
        <v>0</v>
      </c>
      <c r="BB27" s="562">
        <f t="shared" si="9"/>
        <v>0</v>
      </c>
      <c r="BC27" s="562">
        <f t="shared" si="9"/>
        <v>0</v>
      </c>
      <c r="BD27" s="562">
        <f t="shared" si="9"/>
        <v>0</v>
      </c>
      <c r="BE27" s="562">
        <f t="shared" si="9"/>
        <v>0</v>
      </c>
      <c r="BF27" s="562">
        <f>IF(BF11&gt;BF24,+MIN(-BE34,BF11-BF24),0)</f>
        <v>0</v>
      </c>
      <c r="BG27" s="562">
        <f t="shared" si="9"/>
        <v>0</v>
      </c>
      <c r="BH27" s="562">
        <f t="shared" si="9"/>
        <v>0</v>
      </c>
      <c r="BI27" s="562">
        <f t="shared" si="9"/>
        <v>0</v>
      </c>
      <c r="BJ27" s="562">
        <f t="shared" si="9"/>
        <v>0</v>
      </c>
      <c r="BK27" s="562">
        <f t="shared" si="9"/>
        <v>0</v>
      </c>
      <c r="BL27" s="562">
        <f t="shared" si="9"/>
        <v>0</v>
      </c>
      <c r="BM27" s="562">
        <f t="shared" si="9"/>
        <v>0</v>
      </c>
      <c r="BN27" s="562">
        <f t="shared" si="9"/>
        <v>0</v>
      </c>
      <c r="BO27" s="286"/>
      <c r="BR27" s="223"/>
      <c r="BS27" s="223"/>
      <c r="BT27" s="223"/>
      <c r="BU27" s="223"/>
      <c r="BV27" s="223"/>
    </row>
    <row r="28" spans="1:74" s="216" customFormat="1">
      <c r="A28" s="215"/>
      <c r="B28" s="279" t="s">
        <v>205</v>
      </c>
      <c r="C28" s="223"/>
      <c r="D28" s="563">
        <f t="shared" ref="D28:R28" si="10">D11-D24-D27</f>
        <v>0</v>
      </c>
      <c r="E28" s="563">
        <f t="shared" si="10"/>
        <v>0</v>
      </c>
      <c r="F28" s="563">
        <f t="shared" si="10"/>
        <v>0</v>
      </c>
      <c r="G28" s="563">
        <f t="shared" si="10"/>
        <v>0</v>
      </c>
      <c r="H28" s="563">
        <f t="shared" si="10"/>
        <v>0</v>
      </c>
      <c r="I28" s="563">
        <f t="shared" si="10"/>
        <v>0</v>
      </c>
      <c r="J28" s="563">
        <f t="shared" si="10"/>
        <v>0</v>
      </c>
      <c r="K28" s="563">
        <f t="shared" si="10"/>
        <v>0</v>
      </c>
      <c r="L28" s="563">
        <f t="shared" si="10"/>
        <v>0</v>
      </c>
      <c r="M28" s="563">
        <f t="shared" si="10"/>
        <v>0</v>
      </c>
      <c r="N28" s="563">
        <f t="shared" si="10"/>
        <v>0</v>
      </c>
      <c r="O28" s="563">
        <f t="shared" si="10"/>
        <v>0</v>
      </c>
      <c r="P28" s="563">
        <f t="shared" si="10"/>
        <v>0</v>
      </c>
      <c r="Q28" s="563">
        <f t="shared" si="10"/>
        <v>0</v>
      </c>
      <c r="R28" s="563">
        <f t="shared" si="10"/>
        <v>0</v>
      </c>
      <c r="S28" s="563">
        <f>S11-S24-S27</f>
        <v>0</v>
      </c>
      <c r="T28" s="563">
        <f>T11-T24-T27</f>
        <v>0</v>
      </c>
      <c r="U28" s="563">
        <f t="shared" ref="U28:BM28" si="11">U11-U24-U27</f>
        <v>0</v>
      </c>
      <c r="V28" s="563">
        <f t="shared" si="11"/>
        <v>0</v>
      </c>
      <c r="W28" s="563">
        <f t="shared" si="11"/>
        <v>0</v>
      </c>
      <c r="X28" s="563">
        <f t="shared" si="11"/>
        <v>0</v>
      </c>
      <c r="Y28" s="563">
        <f t="shared" si="11"/>
        <v>0</v>
      </c>
      <c r="Z28" s="563">
        <f t="shared" si="11"/>
        <v>0</v>
      </c>
      <c r="AA28" s="563">
        <f t="shared" si="11"/>
        <v>0</v>
      </c>
      <c r="AB28" s="563">
        <f t="shared" si="11"/>
        <v>0</v>
      </c>
      <c r="AC28" s="563">
        <f t="shared" si="11"/>
        <v>0</v>
      </c>
      <c r="AD28" s="563">
        <f t="shared" si="11"/>
        <v>0</v>
      </c>
      <c r="AE28" s="563">
        <f t="shared" si="11"/>
        <v>0</v>
      </c>
      <c r="AF28" s="563">
        <f t="shared" si="11"/>
        <v>0</v>
      </c>
      <c r="AG28" s="563">
        <f t="shared" si="11"/>
        <v>0</v>
      </c>
      <c r="AH28" s="563">
        <f t="shared" si="11"/>
        <v>0</v>
      </c>
      <c r="AI28" s="563">
        <f t="shared" si="11"/>
        <v>0</v>
      </c>
      <c r="AJ28" s="563">
        <f t="shared" si="11"/>
        <v>0</v>
      </c>
      <c r="AK28" s="563">
        <f t="shared" si="11"/>
        <v>0</v>
      </c>
      <c r="AL28" s="563">
        <f t="shared" si="11"/>
        <v>0</v>
      </c>
      <c r="AM28" s="563">
        <f t="shared" si="11"/>
        <v>0</v>
      </c>
      <c r="AN28" s="563">
        <f t="shared" si="11"/>
        <v>0</v>
      </c>
      <c r="AO28" s="563">
        <f t="shared" si="11"/>
        <v>0</v>
      </c>
      <c r="AP28" s="563">
        <f t="shared" si="11"/>
        <v>10591479.188753746</v>
      </c>
      <c r="AQ28" s="563">
        <f t="shared" si="11"/>
        <v>0</v>
      </c>
      <c r="AR28" s="563">
        <f t="shared" si="11"/>
        <v>0</v>
      </c>
      <c r="AS28" s="563">
        <f t="shared" si="11"/>
        <v>0</v>
      </c>
      <c r="AT28" s="563">
        <f t="shared" si="11"/>
        <v>0</v>
      </c>
      <c r="AU28" s="563">
        <f t="shared" si="11"/>
        <v>0</v>
      </c>
      <c r="AV28" s="563">
        <f>AV11-AV24-AV27</f>
        <v>0</v>
      </c>
      <c r="AW28" s="563">
        <f t="shared" si="11"/>
        <v>0</v>
      </c>
      <c r="AX28" s="563">
        <f t="shared" si="11"/>
        <v>0</v>
      </c>
      <c r="AY28" s="563">
        <f>AY11-AY24-AY27</f>
        <v>0</v>
      </c>
      <c r="AZ28" s="563">
        <f t="shared" si="11"/>
        <v>0</v>
      </c>
      <c r="BA28" s="563">
        <f>BA11-BA24-BA27</f>
        <v>0</v>
      </c>
      <c r="BB28" s="563">
        <f t="shared" si="11"/>
        <v>0</v>
      </c>
      <c r="BC28" s="563">
        <f t="shared" si="11"/>
        <v>0</v>
      </c>
      <c r="BD28" s="563">
        <f t="shared" si="11"/>
        <v>0</v>
      </c>
      <c r="BE28" s="563">
        <f t="shared" si="11"/>
        <v>0</v>
      </c>
      <c r="BF28" s="563">
        <f>BF11-BF24-BF27</f>
        <v>0</v>
      </c>
      <c r="BG28" s="563">
        <f t="shared" si="11"/>
        <v>0</v>
      </c>
      <c r="BH28" s="563">
        <f t="shared" si="11"/>
        <v>0</v>
      </c>
      <c r="BI28" s="563">
        <f t="shared" si="11"/>
        <v>0</v>
      </c>
      <c r="BJ28" s="563">
        <f t="shared" si="11"/>
        <v>0</v>
      </c>
      <c r="BK28" s="563">
        <f t="shared" si="11"/>
        <v>0</v>
      </c>
      <c r="BL28" s="563">
        <f t="shared" si="11"/>
        <v>0</v>
      </c>
      <c r="BM28" s="563">
        <f t="shared" si="11"/>
        <v>0</v>
      </c>
      <c r="BN28" s="563">
        <f>BN11-BN24-BN27</f>
        <v>0</v>
      </c>
      <c r="BO28" s="287"/>
      <c r="BR28" s="223"/>
      <c r="BS28" s="219"/>
      <c r="BV28" s="224"/>
    </row>
    <row r="29" spans="1:74" s="216" customFormat="1">
      <c r="A29" s="215"/>
      <c r="B29" s="279"/>
      <c r="C29" s="223"/>
      <c r="D29" s="563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3"/>
      <c r="BE29" s="563"/>
      <c r="BF29" s="563"/>
      <c r="BG29" s="563"/>
      <c r="BH29" s="563"/>
      <c r="BI29" s="563"/>
      <c r="BJ29" s="563"/>
      <c r="BK29" s="563"/>
      <c r="BL29" s="563"/>
      <c r="BM29" s="563"/>
      <c r="BN29" s="563"/>
      <c r="BO29" s="287"/>
      <c r="BR29" s="223"/>
      <c r="BS29" s="219"/>
      <c r="BV29" s="224"/>
    </row>
    <row r="30" spans="1:74" s="216" customFormat="1">
      <c r="A30" s="215"/>
      <c r="B30" s="902">
        <f>Dashboard!C54</f>
        <v>0.03</v>
      </c>
      <c r="C30" s="223"/>
      <c r="D30" s="563">
        <f>+IF(D28&lt;0,0,MIN($B$30,D$28))</f>
        <v>0</v>
      </c>
      <c r="E30" s="563">
        <f>IF(SUM($D30:D30)&lt;$B$30,MIN(E28,$B$30-SUM($D30:D30)),0)</f>
        <v>0</v>
      </c>
      <c r="F30" s="563">
        <f>IF(SUM($D30:E30)&lt;$B$30,MIN(F28,$B$30-SUM($D30:E30)),0)</f>
        <v>0</v>
      </c>
      <c r="G30" s="563">
        <f>IF(SUM($D30:F30)&lt;$B$30,MIN(G28,$B$30-SUM($D30:F30)),0)</f>
        <v>0</v>
      </c>
      <c r="H30" s="563">
        <f>IF(SUM($D30:G30)&lt;$B$30,MIN(H28,$B$30-SUM($D30:G30)),0)</f>
        <v>0</v>
      </c>
      <c r="I30" s="563">
        <f>IF(SUM($D30:H30)&lt;$B$30,MIN(I28,$B$30-SUM($D30:H30)),0)</f>
        <v>0</v>
      </c>
      <c r="J30" s="563">
        <f>IF(SUM($D30:I30)&lt;$B$30,MIN(J28,$B$30-SUM($D30:I30)),0)</f>
        <v>0</v>
      </c>
      <c r="K30" s="563">
        <f>IF(SUM($D30:J30)&lt;$B$30,MIN(K28,$B$30-SUM($D30:J30)),0)</f>
        <v>0</v>
      </c>
      <c r="L30" s="563">
        <f>IF(SUM($D30:K30)&lt;$B$30,MIN(L28,$B$30-SUM($D30:K30)),0)</f>
        <v>0</v>
      </c>
      <c r="M30" s="563">
        <f>IF(SUM($D30:L30)&lt;$B$30,MIN(M28,$B$30-SUM($D30:L30)),0)</f>
        <v>0</v>
      </c>
      <c r="N30" s="563">
        <f>IF(SUM($D30:M30)&lt;$B$30,MIN(N28,$B$30-SUM($D30:M30)),0)</f>
        <v>0</v>
      </c>
      <c r="O30" s="563">
        <f>IF(SUM($D30:N30)&lt;$B$30,MIN(O28,$B$30-SUM($D30:N30)),0)</f>
        <v>0</v>
      </c>
      <c r="P30" s="563">
        <f>IF(SUM($D30:O30)&lt;$B$30,MIN(P28,$B$30-SUM($D30:O30)),0)</f>
        <v>0</v>
      </c>
      <c r="Q30" s="563">
        <f>IF(SUM($D30:P30)&lt;$B$30,MIN(Q28,$B$30-SUM($D30:P30)),0)</f>
        <v>0</v>
      </c>
      <c r="R30" s="563">
        <f>IF(SUM($D30:Q30)&lt;$B$30,MIN(R28,$B$30-SUM($D30:Q30)),0)</f>
        <v>0</v>
      </c>
      <c r="S30" s="563">
        <f>IF(SUM($D30:R30)&lt;$B$30,MIN(S28,$B$30-SUM($D30:R30)),0)</f>
        <v>0</v>
      </c>
      <c r="T30" s="563">
        <f>IF(SUM($D30:S30)&lt;$B$30,MIN(T28,$B$30-SUM($D30:S30)),0)</f>
        <v>0</v>
      </c>
      <c r="U30" s="563">
        <f>IF(SUM($D30:T30)&lt;$B$30,MIN(U28,$B$30-SUM($D30:T30)),0)</f>
        <v>0</v>
      </c>
      <c r="V30" s="563">
        <f>IF(SUM($D30:U30)&lt;$B$30,MIN(V28,$B$30-SUM($D30:U30)),0)</f>
        <v>0</v>
      </c>
      <c r="W30" s="563">
        <f>IF(SUM($D30:V30)&lt;$B$30,MIN(W28,$B$30-SUM($D30:V30)),0)</f>
        <v>0</v>
      </c>
      <c r="X30" s="563">
        <f>IF(SUM($D30:W30)&lt;$B$30,MIN(X28,$B$30-SUM($D30:W30)),0)</f>
        <v>0</v>
      </c>
      <c r="Y30" s="563">
        <f>IF(SUM($D30:X30)&lt;$B$30,MIN(Y28,$B$30-SUM($D30:X30)),0)</f>
        <v>0</v>
      </c>
      <c r="Z30" s="563">
        <f>IF(SUM($D30:Y30)&lt;$B$30,MIN(Z28,$B$30-SUM($D30:Y30)),0)</f>
        <v>0</v>
      </c>
      <c r="AA30" s="563">
        <f>IF(SUM($D30:Z30)&lt;$B$30,MIN(AA28,$B$30-SUM($D30:Z30)),0)</f>
        <v>0</v>
      </c>
      <c r="AB30" s="563">
        <f>IF(SUM($D30:AA30)&lt;$B$30,MIN(AB28,$B$30-SUM($D30:AA30)),0)</f>
        <v>0</v>
      </c>
      <c r="AC30" s="563">
        <f>IF(SUM($D30:AB30)&lt;$B$30,MIN(AC28,$B$30-SUM($D30:AB30)),0)</f>
        <v>0</v>
      </c>
      <c r="AD30" s="563">
        <f>IF(SUM($D30:AC30)&lt;$B$30,MIN(AD28,$B$30-SUM($D30:AC30)),0)</f>
        <v>0</v>
      </c>
      <c r="AE30" s="563">
        <f>IF(SUM($D30:AD30)&lt;$B$30,MIN(AE28,$B$30-SUM($D30:AD30)),0)</f>
        <v>0</v>
      </c>
      <c r="AF30" s="563">
        <f>IF(SUM($D30:AE30)&lt;$B$30,MIN(AF28,$B$30-SUM($D30:AE30)),0)</f>
        <v>0</v>
      </c>
      <c r="AG30" s="563">
        <f>IF(SUM($D30:AF30)&lt;$B$30,MIN(AG28,$B$30-SUM($D30:AF30)),0)</f>
        <v>0</v>
      </c>
      <c r="AH30" s="563">
        <f>IF(SUM($D30:AG30)&lt;$B$30,MIN(AH28,$B$30-SUM($D30:AG30)),0)</f>
        <v>0</v>
      </c>
      <c r="AI30" s="563">
        <f>IF(SUM($D30:AH30)&lt;$B$30,MIN(AI28,$B$30-SUM($D30:AH30)),0)</f>
        <v>0</v>
      </c>
      <c r="AJ30" s="563">
        <f>IF(SUM($D30:AI30)&lt;$B$30,MIN(AJ28,$B$30-SUM($D30:AI30)),0)</f>
        <v>0</v>
      </c>
      <c r="AK30" s="563">
        <f>IF(SUM($D30:AJ30)&lt;$B$30,MIN(AK28,$B$30-SUM($D30:AJ30)),0)</f>
        <v>0</v>
      </c>
      <c r="AL30" s="563">
        <f>IF(SUM($D30:AK30)&lt;$B$30,MIN(AL28,$B$30-SUM($D30:AK30)),0)</f>
        <v>0</v>
      </c>
      <c r="AM30" s="563">
        <f>IF(SUM($D30:AL30)&lt;$B$30,MIN(AM28,$B$30-SUM($D30:AL30)),0)</f>
        <v>0</v>
      </c>
      <c r="AN30" s="563">
        <f>IF(SUM($D30:AM30)&lt;$B$30,MIN(AN28,$B$30-SUM($D30:AM30)),0)</f>
        <v>0</v>
      </c>
      <c r="AO30" s="563">
        <f>IF(SUM($D30:AN30)&lt;$B$30,MIN(AO28,$B$30-SUM($D30:AN30)),0)</f>
        <v>0</v>
      </c>
      <c r="AP30" s="563">
        <f>IF(SUM($D30:AO30)&lt;$B$30,MIN(AP28,$B$30-SUM($D30:AO30)),0)</f>
        <v>0.03</v>
      </c>
      <c r="AQ30" s="563">
        <f>IF(SUM($D30:AP30)&lt;$B$30,MIN(AQ28,$B$30-SUM($D30:AP30)),0)</f>
        <v>0</v>
      </c>
      <c r="AR30" s="563">
        <f>IF(SUM($D30:AQ30)&lt;$B$30,MIN(AR28,$B$30-SUM($D30:AQ30)),0)</f>
        <v>0</v>
      </c>
      <c r="AS30" s="563">
        <f>IF(SUM($D30:AR30)&lt;$B$30,MIN(AS28,$B$30-SUM($D30:AR30)),0)</f>
        <v>0</v>
      </c>
      <c r="AT30" s="563">
        <f>IF(SUM($D30:AS30)&lt;$B$30,MIN(AT28,$B$30-SUM($D30:AS30)),0)</f>
        <v>0</v>
      </c>
      <c r="AU30" s="563">
        <f>IF(SUM($D30:AT30)&lt;$B$30,MIN(AU28,$B$30-SUM($D30:AT30)),0)</f>
        <v>0</v>
      </c>
      <c r="AV30" s="563">
        <f>IF(SUM($D30:AU30)&lt;$B$30,MIN(AV28,$B$30-SUM($D30:AU30)),0)</f>
        <v>0</v>
      </c>
      <c r="AW30" s="563">
        <f>IF(SUM($D30:AV30)&lt;$B$30,MIN(AW28,$B$30-SUM($D30:AV30)),0)</f>
        <v>0</v>
      </c>
      <c r="AX30" s="563">
        <f>IF(SUM($D30:AW30)&lt;$B$30,MIN(AX28,$B$30-SUM($D30:AW30)),0)</f>
        <v>0</v>
      </c>
      <c r="AY30" s="563">
        <f>IF(SUM($D30:AX30)&lt;$B$30,MIN(AY28,$B$30-SUM($D30:AX30)),0)</f>
        <v>0</v>
      </c>
      <c r="AZ30" s="563">
        <f>IF(SUM($D30:AY30)&lt;$B$30,MIN(AZ28,$B$30-SUM($D30:AY30)),0)</f>
        <v>0</v>
      </c>
      <c r="BA30" s="563">
        <f>IF(SUM($D30:AZ30)&lt;$B$30,MIN(BA28,$B$30-SUM($D30:AZ30)),0)</f>
        <v>0</v>
      </c>
      <c r="BB30" s="563">
        <f>IF(SUM($D30:BA30)&lt;$B$30,MIN(BB28,$B$30-SUM($D30:BA30)),0)</f>
        <v>0</v>
      </c>
      <c r="BC30" s="563">
        <f>IF(SUM($D30:BB30)&lt;$B$30,MIN(BC28,$B$30-SUM($D30:BB30)),0)</f>
        <v>0</v>
      </c>
      <c r="BD30" s="563">
        <f>IF(SUM($D30:BC30)&lt;$B$30,MIN(BD28,$B$30-SUM($D30:BC30)),0)</f>
        <v>0</v>
      </c>
      <c r="BE30" s="563">
        <f>IF(SUM($D30:BD30)&lt;$B$30,MIN(BE28,$B$30-SUM($D30:BD30)),0)</f>
        <v>0</v>
      </c>
      <c r="BF30" s="563">
        <f>IF(SUM($D30:BE30)&lt;$B$30,MIN(BF28,$B$30-SUM($D30:BE30)),0)</f>
        <v>0</v>
      </c>
      <c r="BG30" s="563">
        <f>IF(SUM($D30:BF30)&lt;$B$30,MIN(BG28,$B$30-SUM($D30:BF30)),0)</f>
        <v>0</v>
      </c>
      <c r="BH30" s="563">
        <f>IF(SUM($D30:BG30)&lt;$B$30,MIN(BH28,$B$30-SUM($D30:BG30)),0)</f>
        <v>0</v>
      </c>
      <c r="BI30" s="563">
        <f>IF(SUM($D30:BH30)&lt;$B$30,MIN(BI28,$B$30-SUM($D30:BH30)),0)</f>
        <v>0</v>
      </c>
      <c r="BJ30" s="563">
        <f>IF(SUM($D30:BI30)&lt;$B$30,MIN(BJ28,$B$30-SUM($D30:BI30)),0)</f>
        <v>0</v>
      </c>
      <c r="BK30" s="563">
        <f>IF(SUM($D30:BJ30)&lt;$B$30,MIN(BK28,$B$30-SUM($D30:BJ30)),0)</f>
        <v>0</v>
      </c>
      <c r="BL30" s="563">
        <f>IF(SUM($D30:BK30)&lt;$B$30,MIN(BL28,$B$30-SUM($D30:BK30)),0)</f>
        <v>0</v>
      </c>
      <c r="BM30" s="563">
        <f>IF(SUM($D30:BL30)&lt;$B$30,MIN(BM28,$B$30-SUM($D30:BL30)),0)</f>
        <v>0</v>
      </c>
      <c r="BN30" s="563">
        <f>IF(SUM($D30:BM30)&lt;$B$30,MIN(BN28,$B$30-SUM($D30:BM30)),0)</f>
        <v>0</v>
      </c>
      <c r="BO30" s="287"/>
      <c r="BR30" s="223"/>
      <c r="BS30" s="219"/>
      <c r="BV30" s="224"/>
    </row>
    <row r="31" spans="1:74" s="216" customFormat="1">
      <c r="A31" s="215"/>
      <c r="B31" s="288" t="s">
        <v>377</v>
      </c>
      <c r="C31" s="489">
        <f>+-B30</f>
        <v>-0.03</v>
      </c>
      <c r="D31" s="489">
        <f>+C31+D30</f>
        <v>-0.03</v>
      </c>
      <c r="E31" s="489">
        <f t="shared" ref="E31:BN31" si="12">+D31+E30</f>
        <v>-0.03</v>
      </c>
      <c r="F31" s="489">
        <f t="shared" si="12"/>
        <v>-0.03</v>
      </c>
      <c r="G31" s="489">
        <f t="shared" si="12"/>
        <v>-0.03</v>
      </c>
      <c r="H31" s="489">
        <f t="shared" si="12"/>
        <v>-0.03</v>
      </c>
      <c r="I31" s="489">
        <f t="shared" si="12"/>
        <v>-0.03</v>
      </c>
      <c r="J31" s="489">
        <f t="shared" si="12"/>
        <v>-0.03</v>
      </c>
      <c r="K31" s="489">
        <f t="shared" si="12"/>
        <v>-0.03</v>
      </c>
      <c r="L31" s="489">
        <f t="shared" si="12"/>
        <v>-0.03</v>
      </c>
      <c r="M31" s="489">
        <f t="shared" si="12"/>
        <v>-0.03</v>
      </c>
      <c r="N31" s="489">
        <f t="shared" si="12"/>
        <v>-0.03</v>
      </c>
      <c r="O31" s="489">
        <f t="shared" si="12"/>
        <v>-0.03</v>
      </c>
      <c r="P31" s="489">
        <f t="shared" si="12"/>
        <v>-0.03</v>
      </c>
      <c r="Q31" s="489">
        <f t="shared" si="12"/>
        <v>-0.03</v>
      </c>
      <c r="R31" s="489">
        <f t="shared" si="12"/>
        <v>-0.03</v>
      </c>
      <c r="S31" s="489">
        <f t="shared" si="12"/>
        <v>-0.03</v>
      </c>
      <c r="T31" s="489">
        <f t="shared" si="12"/>
        <v>-0.03</v>
      </c>
      <c r="U31" s="489">
        <f t="shared" si="12"/>
        <v>-0.03</v>
      </c>
      <c r="V31" s="489">
        <f t="shared" si="12"/>
        <v>-0.03</v>
      </c>
      <c r="W31" s="489">
        <f t="shared" si="12"/>
        <v>-0.03</v>
      </c>
      <c r="X31" s="489">
        <f t="shared" si="12"/>
        <v>-0.03</v>
      </c>
      <c r="Y31" s="489">
        <f t="shared" si="12"/>
        <v>-0.03</v>
      </c>
      <c r="Z31" s="489">
        <f t="shared" si="12"/>
        <v>-0.03</v>
      </c>
      <c r="AA31" s="489">
        <f t="shared" si="12"/>
        <v>-0.03</v>
      </c>
      <c r="AB31" s="489">
        <f t="shared" si="12"/>
        <v>-0.03</v>
      </c>
      <c r="AC31" s="489">
        <f t="shared" si="12"/>
        <v>-0.03</v>
      </c>
      <c r="AD31" s="489">
        <f t="shared" si="12"/>
        <v>-0.03</v>
      </c>
      <c r="AE31" s="489">
        <f t="shared" si="12"/>
        <v>-0.03</v>
      </c>
      <c r="AF31" s="489">
        <f t="shared" si="12"/>
        <v>-0.03</v>
      </c>
      <c r="AG31" s="489">
        <f t="shared" si="12"/>
        <v>-0.03</v>
      </c>
      <c r="AH31" s="489">
        <f t="shared" si="12"/>
        <v>-0.03</v>
      </c>
      <c r="AI31" s="489">
        <f t="shared" si="12"/>
        <v>-0.03</v>
      </c>
      <c r="AJ31" s="489">
        <f t="shared" si="12"/>
        <v>-0.03</v>
      </c>
      <c r="AK31" s="489">
        <f t="shared" si="12"/>
        <v>-0.03</v>
      </c>
      <c r="AL31" s="489">
        <f t="shared" si="12"/>
        <v>-0.03</v>
      </c>
      <c r="AM31" s="489">
        <f t="shared" si="12"/>
        <v>-0.03</v>
      </c>
      <c r="AN31" s="489">
        <f t="shared" si="12"/>
        <v>-0.03</v>
      </c>
      <c r="AO31" s="489">
        <f t="shared" si="12"/>
        <v>-0.03</v>
      </c>
      <c r="AP31" s="489">
        <f t="shared" si="12"/>
        <v>0</v>
      </c>
      <c r="AQ31" s="489">
        <f t="shared" si="12"/>
        <v>0</v>
      </c>
      <c r="AR31" s="489">
        <f t="shared" si="12"/>
        <v>0</v>
      </c>
      <c r="AS31" s="489">
        <f t="shared" si="12"/>
        <v>0</v>
      </c>
      <c r="AT31" s="489">
        <f t="shared" si="12"/>
        <v>0</v>
      </c>
      <c r="AU31" s="489">
        <f t="shared" si="12"/>
        <v>0</v>
      </c>
      <c r="AV31" s="489">
        <f t="shared" si="12"/>
        <v>0</v>
      </c>
      <c r="AW31" s="489">
        <f t="shared" si="12"/>
        <v>0</v>
      </c>
      <c r="AX31" s="489">
        <f t="shared" si="12"/>
        <v>0</v>
      </c>
      <c r="AY31" s="489">
        <f t="shared" si="12"/>
        <v>0</v>
      </c>
      <c r="AZ31" s="489">
        <f t="shared" si="12"/>
        <v>0</v>
      </c>
      <c r="BA31" s="489">
        <f t="shared" si="12"/>
        <v>0</v>
      </c>
      <c r="BB31" s="489">
        <f t="shared" si="12"/>
        <v>0</v>
      </c>
      <c r="BC31" s="489">
        <f t="shared" si="12"/>
        <v>0</v>
      </c>
      <c r="BD31" s="489">
        <f t="shared" si="12"/>
        <v>0</v>
      </c>
      <c r="BE31" s="489">
        <f t="shared" si="12"/>
        <v>0</v>
      </c>
      <c r="BF31" s="489">
        <f t="shared" si="12"/>
        <v>0</v>
      </c>
      <c r="BG31" s="489">
        <f t="shared" si="12"/>
        <v>0</v>
      </c>
      <c r="BH31" s="489">
        <f t="shared" si="12"/>
        <v>0</v>
      </c>
      <c r="BI31" s="489">
        <f t="shared" si="12"/>
        <v>0</v>
      </c>
      <c r="BJ31" s="489">
        <f t="shared" si="12"/>
        <v>0</v>
      </c>
      <c r="BK31" s="489">
        <f t="shared" si="12"/>
        <v>0</v>
      </c>
      <c r="BL31" s="489">
        <f t="shared" si="12"/>
        <v>0</v>
      </c>
      <c r="BM31" s="489">
        <f t="shared" si="12"/>
        <v>0</v>
      </c>
      <c r="BN31" s="489">
        <f t="shared" si="12"/>
        <v>0</v>
      </c>
      <c r="BO31" s="287"/>
      <c r="BR31" s="223"/>
      <c r="BS31" s="219"/>
      <c r="BV31" s="224"/>
    </row>
    <row r="32" spans="1:74" s="216" customFormat="1">
      <c r="A32" s="215"/>
      <c r="B32" s="657" t="s">
        <v>237</v>
      </c>
      <c r="C32" s="658"/>
      <c r="D32" s="659">
        <f>+D28-D30</f>
        <v>0</v>
      </c>
      <c r="E32" s="659">
        <f t="shared" ref="E32:BN32" si="13">+E28-E30</f>
        <v>0</v>
      </c>
      <c r="F32" s="659">
        <f t="shared" si="13"/>
        <v>0</v>
      </c>
      <c r="G32" s="659">
        <f t="shared" si="13"/>
        <v>0</v>
      </c>
      <c r="H32" s="659">
        <f t="shared" si="13"/>
        <v>0</v>
      </c>
      <c r="I32" s="659">
        <f t="shared" si="13"/>
        <v>0</v>
      </c>
      <c r="J32" s="659">
        <f t="shared" si="13"/>
        <v>0</v>
      </c>
      <c r="K32" s="659">
        <f t="shared" si="13"/>
        <v>0</v>
      </c>
      <c r="L32" s="659">
        <f t="shared" si="13"/>
        <v>0</v>
      </c>
      <c r="M32" s="659">
        <f t="shared" si="13"/>
        <v>0</v>
      </c>
      <c r="N32" s="659">
        <f t="shared" si="13"/>
        <v>0</v>
      </c>
      <c r="O32" s="659">
        <f t="shared" si="13"/>
        <v>0</v>
      </c>
      <c r="P32" s="659">
        <f t="shared" si="13"/>
        <v>0</v>
      </c>
      <c r="Q32" s="659">
        <f t="shared" si="13"/>
        <v>0</v>
      </c>
      <c r="R32" s="659">
        <f t="shared" si="13"/>
        <v>0</v>
      </c>
      <c r="S32" s="659">
        <f t="shared" si="13"/>
        <v>0</v>
      </c>
      <c r="T32" s="659">
        <f t="shared" si="13"/>
        <v>0</v>
      </c>
      <c r="U32" s="659">
        <f t="shared" si="13"/>
        <v>0</v>
      </c>
      <c r="V32" s="659">
        <f t="shared" si="13"/>
        <v>0</v>
      </c>
      <c r="W32" s="659">
        <f t="shared" si="13"/>
        <v>0</v>
      </c>
      <c r="X32" s="659">
        <f t="shared" si="13"/>
        <v>0</v>
      </c>
      <c r="Y32" s="659">
        <f t="shared" si="13"/>
        <v>0</v>
      </c>
      <c r="Z32" s="659">
        <f t="shared" si="13"/>
        <v>0</v>
      </c>
      <c r="AA32" s="659">
        <f t="shared" si="13"/>
        <v>0</v>
      </c>
      <c r="AB32" s="659">
        <f t="shared" si="13"/>
        <v>0</v>
      </c>
      <c r="AC32" s="659">
        <f t="shared" si="13"/>
        <v>0</v>
      </c>
      <c r="AD32" s="659">
        <f t="shared" si="13"/>
        <v>0</v>
      </c>
      <c r="AE32" s="659">
        <f t="shared" si="13"/>
        <v>0</v>
      </c>
      <c r="AF32" s="659">
        <f t="shared" si="13"/>
        <v>0</v>
      </c>
      <c r="AG32" s="659">
        <f t="shared" si="13"/>
        <v>0</v>
      </c>
      <c r="AH32" s="659">
        <f t="shared" si="13"/>
        <v>0</v>
      </c>
      <c r="AI32" s="659">
        <f t="shared" si="13"/>
        <v>0</v>
      </c>
      <c r="AJ32" s="659">
        <f t="shared" si="13"/>
        <v>0</v>
      </c>
      <c r="AK32" s="659">
        <f t="shared" si="13"/>
        <v>0</v>
      </c>
      <c r="AL32" s="659">
        <f t="shared" si="13"/>
        <v>0</v>
      </c>
      <c r="AM32" s="659">
        <f t="shared" si="13"/>
        <v>0</v>
      </c>
      <c r="AN32" s="659">
        <f t="shared" si="13"/>
        <v>0</v>
      </c>
      <c r="AO32" s="659">
        <f t="shared" si="13"/>
        <v>0</v>
      </c>
      <c r="AP32" s="659">
        <f t="shared" si="13"/>
        <v>10591479.158753747</v>
      </c>
      <c r="AQ32" s="659">
        <f t="shared" si="13"/>
        <v>0</v>
      </c>
      <c r="AR32" s="659">
        <f t="shared" si="13"/>
        <v>0</v>
      </c>
      <c r="AS32" s="659">
        <f t="shared" si="13"/>
        <v>0</v>
      </c>
      <c r="AT32" s="659">
        <f t="shared" si="13"/>
        <v>0</v>
      </c>
      <c r="AU32" s="659">
        <f t="shared" si="13"/>
        <v>0</v>
      </c>
      <c r="AV32" s="659">
        <f t="shared" si="13"/>
        <v>0</v>
      </c>
      <c r="AW32" s="659">
        <f t="shared" si="13"/>
        <v>0</v>
      </c>
      <c r="AX32" s="659">
        <f t="shared" si="13"/>
        <v>0</v>
      </c>
      <c r="AY32" s="659">
        <f t="shared" si="13"/>
        <v>0</v>
      </c>
      <c r="AZ32" s="659">
        <f t="shared" si="13"/>
        <v>0</v>
      </c>
      <c r="BA32" s="659">
        <f t="shared" si="13"/>
        <v>0</v>
      </c>
      <c r="BB32" s="659">
        <f t="shared" si="13"/>
        <v>0</v>
      </c>
      <c r="BC32" s="659">
        <f t="shared" si="13"/>
        <v>0</v>
      </c>
      <c r="BD32" s="659">
        <f t="shared" si="13"/>
        <v>0</v>
      </c>
      <c r="BE32" s="659">
        <f t="shared" si="13"/>
        <v>0</v>
      </c>
      <c r="BF32" s="659">
        <f t="shared" si="13"/>
        <v>0</v>
      </c>
      <c r="BG32" s="659">
        <f t="shared" si="13"/>
        <v>0</v>
      </c>
      <c r="BH32" s="659">
        <f t="shared" si="13"/>
        <v>0</v>
      </c>
      <c r="BI32" s="659">
        <f t="shared" si="13"/>
        <v>0</v>
      </c>
      <c r="BJ32" s="659">
        <f t="shared" si="13"/>
        <v>0</v>
      </c>
      <c r="BK32" s="659">
        <f t="shared" si="13"/>
        <v>0</v>
      </c>
      <c r="BL32" s="659">
        <f t="shared" si="13"/>
        <v>0</v>
      </c>
      <c r="BM32" s="659">
        <f t="shared" si="13"/>
        <v>0</v>
      </c>
      <c r="BN32" s="659">
        <f t="shared" si="13"/>
        <v>0</v>
      </c>
      <c r="BO32" s="287"/>
      <c r="BR32" s="223"/>
      <c r="BS32" s="219"/>
      <c r="BV32" s="224"/>
    </row>
    <row r="33" spans="1:75" s="216" customFormat="1">
      <c r="A33" s="215"/>
      <c r="B33" s="279"/>
      <c r="C33" s="223"/>
      <c r="D33" s="563"/>
      <c r="E33" s="563"/>
      <c r="F33" s="563"/>
      <c r="G33" s="563"/>
      <c r="H33" s="563"/>
      <c r="I33" s="563"/>
      <c r="J33" s="563"/>
      <c r="K33" s="563"/>
      <c r="L33" s="563"/>
      <c r="M33" s="563"/>
      <c r="N33" s="563"/>
      <c r="O33" s="563"/>
      <c r="P33" s="563"/>
      <c r="Q33" s="563"/>
      <c r="R33" s="563"/>
      <c r="S33" s="563"/>
      <c r="T33" s="563"/>
      <c r="U33" s="563"/>
      <c r="V33" s="563"/>
      <c r="W33" s="563"/>
      <c r="X33" s="563"/>
      <c r="Y33" s="563"/>
      <c r="Z33" s="563"/>
      <c r="AA33" s="563"/>
      <c r="AB33" s="563"/>
      <c r="AC33" s="563"/>
      <c r="AD33" s="563"/>
      <c r="AE33" s="563"/>
      <c r="AF33" s="563"/>
      <c r="AG33" s="563"/>
      <c r="AH33" s="563"/>
      <c r="AI33" s="563"/>
      <c r="AJ33" s="563"/>
      <c r="AK33" s="563"/>
      <c r="AL33" s="563"/>
      <c r="AM33" s="563"/>
      <c r="AN33" s="563"/>
      <c r="AO33" s="563"/>
      <c r="AP33" s="563"/>
      <c r="AQ33" s="563"/>
      <c r="AR33" s="563"/>
      <c r="AS33" s="563"/>
      <c r="AT33" s="563"/>
      <c r="AU33" s="563"/>
      <c r="AV33" s="563"/>
      <c r="AW33" s="563"/>
      <c r="AX33" s="563"/>
      <c r="AY33" s="563"/>
      <c r="AZ33" s="563"/>
      <c r="BA33" s="563"/>
      <c r="BB33" s="563"/>
      <c r="BC33" s="563"/>
      <c r="BD33" s="563"/>
      <c r="BE33" s="563"/>
      <c r="BF33" s="563"/>
      <c r="BG33" s="563"/>
      <c r="BH33" s="563"/>
      <c r="BI33" s="563"/>
      <c r="BJ33" s="563"/>
      <c r="BK33" s="563"/>
      <c r="BL33" s="563"/>
      <c r="BM33" s="563"/>
      <c r="BN33" s="563"/>
      <c r="BO33" s="287"/>
      <c r="BR33" s="223"/>
      <c r="BS33" s="219"/>
      <c r="BV33" s="224"/>
    </row>
    <row r="34" spans="1:75" s="216" customFormat="1">
      <c r="A34" s="215"/>
      <c r="B34" s="288" t="s">
        <v>179</v>
      </c>
      <c r="C34" s="289">
        <f>-D16</f>
        <v>-24033944.982098967</v>
      </c>
      <c r="D34" s="489">
        <f t="shared" ref="D34:BN34" si="14">C34+D27</f>
        <v>-24033944.982098967</v>
      </c>
      <c r="E34" s="489">
        <f t="shared" si="14"/>
        <v>-24033944.982098967</v>
      </c>
      <c r="F34" s="489">
        <f t="shared" si="14"/>
        <v>-24033944.982098967</v>
      </c>
      <c r="G34" s="489">
        <f t="shared" si="14"/>
        <v>-24033944.982098967</v>
      </c>
      <c r="H34" s="489">
        <f t="shared" si="14"/>
        <v>-24033944.982098967</v>
      </c>
      <c r="I34" s="489">
        <f t="shared" si="14"/>
        <v>-24033944.982098967</v>
      </c>
      <c r="J34" s="489">
        <f t="shared" si="14"/>
        <v>-24033944.982098967</v>
      </c>
      <c r="K34" s="489">
        <f t="shared" si="14"/>
        <v>-24033944.982098967</v>
      </c>
      <c r="L34" s="489">
        <f t="shared" si="14"/>
        <v>-24033944.982098967</v>
      </c>
      <c r="M34" s="489">
        <f t="shared" si="14"/>
        <v>-24033944.982098967</v>
      </c>
      <c r="N34" s="489">
        <f t="shared" si="14"/>
        <v>-24033944.982098967</v>
      </c>
      <c r="O34" s="489">
        <f t="shared" si="14"/>
        <v>-24033944.982098967</v>
      </c>
      <c r="P34" s="489">
        <f t="shared" si="14"/>
        <v>-24033944.982098967</v>
      </c>
      <c r="Q34" s="489">
        <f t="shared" si="14"/>
        <v>-24033944.982098967</v>
      </c>
      <c r="R34" s="489">
        <f t="shared" si="14"/>
        <v>-24033944.982098967</v>
      </c>
      <c r="S34" s="489">
        <f t="shared" si="14"/>
        <v>-24033944.982098967</v>
      </c>
      <c r="T34" s="489">
        <f t="shared" si="14"/>
        <v>-24033944.982098967</v>
      </c>
      <c r="U34" s="489">
        <f t="shared" si="14"/>
        <v>-24033944.982098967</v>
      </c>
      <c r="V34" s="489">
        <f t="shared" si="14"/>
        <v>-24033944.982098967</v>
      </c>
      <c r="W34" s="489">
        <f t="shared" si="14"/>
        <v>-24033944.982098967</v>
      </c>
      <c r="X34" s="489">
        <f t="shared" si="14"/>
        <v>-24033944.982098967</v>
      </c>
      <c r="Y34" s="489">
        <f t="shared" si="14"/>
        <v>-24033944.982098967</v>
      </c>
      <c r="Z34" s="489">
        <f t="shared" si="14"/>
        <v>-24033944.982098967</v>
      </c>
      <c r="AA34" s="489">
        <f t="shared" si="14"/>
        <v>-24033944.982098967</v>
      </c>
      <c r="AB34" s="489">
        <f t="shared" si="14"/>
        <v>-24033944.982098967</v>
      </c>
      <c r="AC34" s="489">
        <f t="shared" si="14"/>
        <v>-24033944.982098967</v>
      </c>
      <c r="AD34" s="489">
        <f t="shared" si="14"/>
        <v>-24033944.982098967</v>
      </c>
      <c r="AE34" s="489">
        <f t="shared" si="14"/>
        <v>-24033944.982098967</v>
      </c>
      <c r="AF34" s="489">
        <f t="shared" si="14"/>
        <v>-24033944.982098967</v>
      </c>
      <c r="AG34" s="489">
        <f t="shared" si="14"/>
        <v>-24033944.982098967</v>
      </c>
      <c r="AH34" s="489">
        <f t="shared" si="14"/>
        <v>-24033944.982098967</v>
      </c>
      <c r="AI34" s="489">
        <f t="shared" si="14"/>
        <v>-24033944.982098967</v>
      </c>
      <c r="AJ34" s="489">
        <f t="shared" si="14"/>
        <v>-24033944.982098967</v>
      </c>
      <c r="AK34" s="489">
        <f t="shared" si="14"/>
        <v>-24033944.982098967</v>
      </c>
      <c r="AL34" s="489">
        <f t="shared" si="14"/>
        <v>-24033944.982098967</v>
      </c>
      <c r="AM34" s="489">
        <f t="shared" si="14"/>
        <v>-24033944.982098967</v>
      </c>
      <c r="AN34" s="489">
        <f t="shared" si="14"/>
        <v>-24033944.982098967</v>
      </c>
      <c r="AO34" s="489">
        <f t="shared" si="14"/>
        <v>-24033944.982098967</v>
      </c>
      <c r="AP34" s="489">
        <f t="shared" si="14"/>
        <v>0</v>
      </c>
      <c r="AQ34" s="489">
        <f t="shared" si="14"/>
        <v>0</v>
      </c>
      <c r="AR34" s="489">
        <f t="shared" si="14"/>
        <v>0</v>
      </c>
      <c r="AS34" s="489">
        <f t="shared" si="14"/>
        <v>0</v>
      </c>
      <c r="AT34" s="489">
        <f t="shared" si="14"/>
        <v>0</v>
      </c>
      <c r="AU34" s="489">
        <f t="shared" si="14"/>
        <v>0</v>
      </c>
      <c r="AV34" s="489">
        <f t="shared" si="14"/>
        <v>0</v>
      </c>
      <c r="AW34" s="489">
        <f t="shared" si="14"/>
        <v>0</v>
      </c>
      <c r="AX34" s="489">
        <f t="shared" si="14"/>
        <v>0</v>
      </c>
      <c r="AY34" s="489">
        <f t="shared" si="14"/>
        <v>0</v>
      </c>
      <c r="AZ34" s="489">
        <f t="shared" si="14"/>
        <v>0</v>
      </c>
      <c r="BA34" s="489">
        <f t="shared" si="14"/>
        <v>0</v>
      </c>
      <c r="BB34" s="489">
        <f t="shared" si="14"/>
        <v>0</v>
      </c>
      <c r="BC34" s="489">
        <f t="shared" si="14"/>
        <v>0</v>
      </c>
      <c r="BD34" s="489">
        <f t="shared" si="14"/>
        <v>0</v>
      </c>
      <c r="BE34" s="489">
        <f t="shared" si="14"/>
        <v>0</v>
      </c>
      <c r="BF34" s="489">
        <f t="shared" si="14"/>
        <v>0</v>
      </c>
      <c r="BG34" s="489">
        <f t="shared" si="14"/>
        <v>0</v>
      </c>
      <c r="BH34" s="489">
        <f t="shared" si="14"/>
        <v>0</v>
      </c>
      <c r="BI34" s="489">
        <f t="shared" si="14"/>
        <v>0</v>
      </c>
      <c r="BJ34" s="489">
        <f t="shared" si="14"/>
        <v>0</v>
      </c>
      <c r="BK34" s="489">
        <f t="shared" si="14"/>
        <v>0</v>
      </c>
      <c r="BL34" s="489">
        <f t="shared" si="14"/>
        <v>0</v>
      </c>
      <c r="BM34" s="489">
        <f t="shared" si="14"/>
        <v>0</v>
      </c>
      <c r="BN34" s="489">
        <f t="shared" si="14"/>
        <v>0</v>
      </c>
      <c r="BO34" s="290"/>
      <c r="BQ34" s="223"/>
      <c r="BR34" s="223"/>
      <c r="BS34" s="223"/>
      <c r="BT34" s="223"/>
      <c r="BU34" s="223"/>
      <c r="BV34" s="223"/>
      <c r="BW34" s="225"/>
    </row>
    <row r="35" spans="1:75" s="216" customFormat="1">
      <c r="A35" s="215"/>
      <c r="B35" s="288" t="s">
        <v>211</v>
      </c>
      <c r="C35" s="289"/>
      <c r="D35" s="489">
        <f>-((+C34*($BS$4/12))+D24)</f>
        <v>200282.87485082471</v>
      </c>
      <c r="E35" s="489">
        <f>D35+-((+D34*($BS$4/12))+E24)</f>
        <v>400565.74970164942</v>
      </c>
      <c r="F35" s="489">
        <f>E35+-((+E34*($BS$4/12))+F24)</f>
        <v>600848.62455247412</v>
      </c>
      <c r="G35" s="489">
        <f t="shared" ref="G35:R35" si="15">F35+-((+F34*($BS$4/12))+G24)</f>
        <v>801131.49940329883</v>
      </c>
      <c r="H35" s="489">
        <f t="shared" si="15"/>
        <v>1001414.3742541235</v>
      </c>
      <c r="I35" s="489">
        <f t="shared" si="15"/>
        <v>1201697.2491049482</v>
      </c>
      <c r="J35" s="489">
        <f t="shared" si="15"/>
        <v>1401980.123955773</v>
      </c>
      <c r="K35" s="489">
        <f t="shared" si="15"/>
        <v>1602262.9988065977</v>
      </c>
      <c r="L35" s="489">
        <f t="shared" si="15"/>
        <v>1802545.8736574224</v>
      </c>
      <c r="M35" s="489">
        <f t="shared" si="15"/>
        <v>2002828.7485082471</v>
      </c>
      <c r="N35" s="489">
        <f t="shared" si="15"/>
        <v>2203111.623359072</v>
      </c>
      <c r="O35" s="489">
        <f t="shared" si="15"/>
        <v>2403394.4982098965</v>
      </c>
      <c r="P35" s="489">
        <f t="shared" si="15"/>
        <v>2603677.373060721</v>
      </c>
      <c r="Q35" s="489">
        <f t="shared" si="15"/>
        <v>2803960.2479115454</v>
      </c>
      <c r="R35" s="489">
        <f t="shared" si="15"/>
        <v>3004243.1227623699</v>
      </c>
      <c r="S35" s="489">
        <f>R35+-((+R34*($BS$4/12))+S24)</f>
        <v>3204525.9976131944</v>
      </c>
      <c r="T35" s="489">
        <f t="shared" ref="T35:BN35" si="16">S35+-((+S34*($BS$4/12))+T24)</f>
        <v>3404808.8724640189</v>
      </c>
      <c r="U35" s="489">
        <f t="shared" si="16"/>
        <v>3605091.7473148433</v>
      </c>
      <c r="V35" s="489">
        <f t="shared" si="16"/>
        <v>3805374.6221656678</v>
      </c>
      <c r="W35" s="489">
        <f t="shared" si="16"/>
        <v>4005657.4970164923</v>
      </c>
      <c r="X35" s="489">
        <f t="shared" si="16"/>
        <v>4150074.4347967976</v>
      </c>
      <c r="Y35" s="489">
        <f t="shared" si="16"/>
        <v>4294491.3725771029</v>
      </c>
      <c r="Z35" s="489">
        <f t="shared" si="16"/>
        <v>4438908.3103574086</v>
      </c>
      <c r="AA35" s="489">
        <f t="shared" si="16"/>
        <v>3071325.2481377143</v>
      </c>
      <c r="AB35" s="489">
        <f t="shared" si="16"/>
        <v>3215742.1859180196</v>
      </c>
      <c r="AC35" s="489">
        <f t="shared" si="16"/>
        <v>3360159.1236983249</v>
      </c>
      <c r="AD35" s="489">
        <f t="shared" si="16"/>
        <v>4781062.9192541223</v>
      </c>
      <c r="AE35" s="489">
        <f t="shared" si="16"/>
        <v>4820943.3558984501</v>
      </c>
      <c r="AF35" s="489">
        <f t="shared" si="16"/>
        <v>4860823.792542778</v>
      </c>
      <c r="AG35" s="489">
        <f t="shared" si="16"/>
        <v>4900704.2291871058</v>
      </c>
      <c r="AH35" s="489">
        <f t="shared" si="16"/>
        <v>4940584.6658314336</v>
      </c>
      <c r="AI35" s="489">
        <f t="shared" si="16"/>
        <v>4980465.1024757614</v>
      </c>
      <c r="AJ35" s="489">
        <f t="shared" si="16"/>
        <v>5005991.640368172</v>
      </c>
      <c r="AK35" s="489">
        <f t="shared" si="16"/>
        <v>5031518.1782605825</v>
      </c>
      <c r="AL35" s="489">
        <f t="shared" si="16"/>
        <v>5057044.716152993</v>
      </c>
      <c r="AM35" s="489">
        <f t="shared" si="16"/>
        <v>5082571.2540454036</v>
      </c>
      <c r="AN35" s="489">
        <f t="shared" si="16"/>
        <v>5108097.7919378141</v>
      </c>
      <c r="AO35" s="489">
        <f t="shared" si="16"/>
        <v>5133624.3298302246</v>
      </c>
      <c r="AP35" s="489">
        <f t="shared" si="16"/>
        <v>0</v>
      </c>
      <c r="AQ35" s="489">
        <f t="shared" si="16"/>
        <v>0</v>
      </c>
      <c r="AR35" s="489">
        <f t="shared" si="16"/>
        <v>0</v>
      </c>
      <c r="AS35" s="489">
        <f t="shared" si="16"/>
        <v>0</v>
      </c>
      <c r="AT35" s="489">
        <f t="shared" si="16"/>
        <v>0</v>
      </c>
      <c r="AU35" s="489">
        <f t="shared" si="16"/>
        <v>0</v>
      </c>
      <c r="AV35" s="489">
        <f t="shared" si="16"/>
        <v>0</v>
      </c>
      <c r="AW35" s="489">
        <f t="shared" si="16"/>
        <v>0</v>
      </c>
      <c r="AX35" s="489">
        <f t="shared" si="16"/>
        <v>0</v>
      </c>
      <c r="AY35" s="489">
        <f t="shared" si="16"/>
        <v>0</v>
      </c>
      <c r="AZ35" s="489">
        <f t="shared" si="16"/>
        <v>0</v>
      </c>
      <c r="BA35" s="489">
        <f t="shared" si="16"/>
        <v>0</v>
      </c>
      <c r="BB35" s="489">
        <f t="shared" si="16"/>
        <v>0</v>
      </c>
      <c r="BC35" s="489">
        <f t="shared" si="16"/>
        <v>0</v>
      </c>
      <c r="BD35" s="489">
        <f t="shared" si="16"/>
        <v>0</v>
      </c>
      <c r="BE35" s="489">
        <f t="shared" si="16"/>
        <v>0</v>
      </c>
      <c r="BF35" s="489">
        <f t="shared" si="16"/>
        <v>0</v>
      </c>
      <c r="BG35" s="489">
        <f t="shared" si="16"/>
        <v>0</v>
      </c>
      <c r="BH35" s="489">
        <f t="shared" si="16"/>
        <v>0</v>
      </c>
      <c r="BI35" s="489">
        <f t="shared" si="16"/>
        <v>0</v>
      </c>
      <c r="BJ35" s="489">
        <f t="shared" si="16"/>
        <v>0</v>
      </c>
      <c r="BK35" s="489">
        <f t="shared" si="16"/>
        <v>0</v>
      </c>
      <c r="BL35" s="489">
        <f t="shared" si="16"/>
        <v>0</v>
      </c>
      <c r="BM35" s="489">
        <f t="shared" si="16"/>
        <v>0</v>
      </c>
      <c r="BN35" s="489">
        <f t="shared" si="16"/>
        <v>0</v>
      </c>
      <c r="BO35" s="290"/>
      <c r="BQ35" s="223"/>
      <c r="BR35" s="223"/>
      <c r="BS35" s="223"/>
      <c r="BT35" s="223"/>
      <c r="BU35" s="223"/>
      <c r="BV35" s="223"/>
      <c r="BW35" s="225"/>
    </row>
    <row r="36" spans="1:75" s="216" customFormat="1">
      <c r="A36" s="215"/>
      <c r="B36" s="226"/>
      <c r="C36" s="224"/>
      <c r="D36" s="224"/>
      <c r="E36" s="224"/>
      <c r="F36" s="224"/>
      <c r="G36" s="224"/>
      <c r="H36" s="224"/>
      <c r="I36" s="224"/>
      <c r="J36" s="224"/>
      <c r="K36" s="224"/>
      <c r="L36" s="224"/>
      <c r="M36" s="224"/>
      <c r="N36" s="224"/>
      <c r="O36" s="224"/>
      <c r="P36" s="224"/>
      <c r="Q36" s="224"/>
      <c r="R36" s="224"/>
      <c r="S36" s="224"/>
      <c r="T36" s="224"/>
      <c r="U36" s="224"/>
      <c r="V36" s="224"/>
      <c r="W36" s="224"/>
      <c r="X36" s="224"/>
      <c r="Y36" s="224"/>
      <c r="Z36" s="224"/>
      <c r="AA36" s="224"/>
      <c r="AB36" s="224"/>
      <c r="AC36" s="224"/>
      <c r="AD36" s="224"/>
      <c r="AE36" s="224"/>
      <c r="AF36" s="224"/>
      <c r="AG36" s="224"/>
      <c r="AH36" s="224"/>
      <c r="AI36" s="224"/>
      <c r="AJ36" s="224"/>
      <c r="AK36" s="224"/>
      <c r="AL36" s="224"/>
      <c r="AM36" s="224"/>
      <c r="AN36" s="224"/>
      <c r="AO36" s="224"/>
      <c r="AP36" s="224"/>
      <c r="AQ36" s="224"/>
      <c r="AR36" s="224"/>
      <c r="AS36" s="224"/>
      <c r="AT36" s="224"/>
      <c r="AU36" s="224"/>
      <c r="AV36" s="224"/>
      <c r="AW36" s="224"/>
      <c r="AX36" s="224"/>
      <c r="AY36" s="224"/>
      <c r="AZ36" s="224"/>
      <c r="BA36" s="224"/>
      <c r="BB36" s="224"/>
      <c r="BC36" s="224"/>
      <c r="BD36" s="224"/>
      <c r="BE36" s="224"/>
      <c r="BF36" s="224"/>
      <c r="BG36" s="224"/>
      <c r="BH36" s="224"/>
      <c r="BI36" s="224"/>
      <c r="BJ36" s="224"/>
      <c r="BK36" s="224"/>
      <c r="BL36" s="224"/>
      <c r="BM36" s="224"/>
      <c r="BN36" s="224"/>
      <c r="BO36" s="276"/>
      <c r="BS36" s="219"/>
    </row>
    <row r="37" spans="1:75" s="216" customFormat="1">
      <c r="A37" s="215"/>
      <c r="B37" s="434" t="str">
        <f>BP6</f>
        <v>3rd Priority Split (60/40)</v>
      </c>
      <c r="C37" s="435"/>
      <c r="D37" s="435"/>
      <c r="E37" s="435"/>
      <c r="F37" s="435"/>
      <c r="G37" s="435"/>
      <c r="H37" s="435"/>
      <c r="I37" s="435"/>
      <c r="J37" s="435"/>
      <c r="K37" s="435"/>
      <c r="L37" s="435"/>
      <c r="M37" s="435"/>
      <c r="N37" s="435"/>
      <c r="O37" s="435"/>
      <c r="P37" s="435"/>
      <c r="Q37" s="435"/>
      <c r="R37" s="435"/>
      <c r="S37" s="435"/>
      <c r="T37" s="435"/>
      <c r="U37" s="435"/>
      <c r="V37" s="435"/>
      <c r="W37" s="435"/>
      <c r="X37" s="435"/>
      <c r="Y37" s="435"/>
      <c r="Z37" s="435"/>
      <c r="AA37" s="435"/>
      <c r="AB37" s="435"/>
      <c r="AC37" s="435"/>
      <c r="AD37" s="435"/>
      <c r="AE37" s="435"/>
      <c r="AF37" s="435"/>
      <c r="AG37" s="435"/>
      <c r="AH37" s="435"/>
      <c r="AI37" s="435"/>
      <c r="AJ37" s="435"/>
      <c r="AK37" s="435"/>
      <c r="AL37" s="435"/>
      <c r="AM37" s="435"/>
      <c r="AN37" s="435"/>
      <c r="AO37" s="435"/>
      <c r="AP37" s="435"/>
      <c r="AQ37" s="435"/>
      <c r="AR37" s="435"/>
      <c r="AS37" s="435"/>
      <c r="AT37" s="435"/>
      <c r="AU37" s="435"/>
      <c r="AV37" s="435"/>
      <c r="AW37" s="435"/>
      <c r="AX37" s="435"/>
      <c r="AY37" s="435"/>
      <c r="AZ37" s="435"/>
      <c r="BA37" s="435"/>
      <c r="BB37" s="435"/>
      <c r="BC37" s="435"/>
      <c r="BD37" s="435"/>
      <c r="BE37" s="435"/>
      <c r="BF37" s="435"/>
      <c r="BG37" s="435"/>
      <c r="BH37" s="435"/>
      <c r="BI37" s="435"/>
      <c r="BJ37" s="435"/>
      <c r="BK37" s="435"/>
      <c r="BL37" s="435"/>
      <c r="BM37" s="435"/>
      <c r="BN37" s="436"/>
      <c r="BO37" s="226"/>
      <c r="BS37" s="219"/>
    </row>
    <row r="38" spans="1:75" s="216" customFormat="1">
      <c r="A38" s="215"/>
      <c r="B38" s="291" t="s">
        <v>181</v>
      </c>
      <c r="D38" s="289">
        <f>+MIN(+$BQ$6*D32,D39)</f>
        <v>0</v>
      </c>
      <c r="E38" s="289">
        <f t="shared" ref="E38:BN38" si="17">+MIN(+$BQ$6*E32,E39)</f>
        <v>0</v>
      </c>
      <c r="F38" s="289">
        <f t="shared" si="17"/>
        <v>0</v>
      </c>
      <c r="G38" s="289">
        <f t="shared" si="17"/>
        <v>0</v>
      </c>
      <c r="H38" s="289">
        <f t="shared" si="17"/>
        <v>0</v>
      </c>
      <c r="I38" s="289">
        <f t="shared" si="17"/>
        <v>0</v>
      </c>
      <c r="J38" s="289">
        <f t="shared" si="17"/>
        <v>0</v>
      </c>
      <c r="K38" s="289">
        <f t="shared" si="17"/>
        <v>0</v>
      </c>
      <c r="L38" s="289">
        <f t="shared" si="17"/>
        <v>0</v>
      </c>
      <c r="M38" s="289">
        <f t="shared" si="17"/>
        <v>0</v>
      </c>
      <c r="N38" s="289">
        <f t="shared" si="17"/>
        <v>0</v>
      </c>
      <c r="O38" s="289">
        <f t="shared" si="17"/>
        <v>0</v>
      </c>
      <c r="P38" s="289">
        <f t="shared" si="17"/>
        <v>0</v>
      </c>
      <c r="Q38" s="289">
        <f t="shared" si="17"/>
        <v>0</v>
      </c>
      <c r="R38" s="289">
        <f t="shared" si="17"/>
        <v>0</v>
      </c>
      <c r="S38" s="289">
        <f t="shared" si="17"/>
        <v>0</v>
      </c>
      <c r="T38" s="289">
        <f t="shared" si="17"/>
        <v>0</v>
      </c>
      <c r="U38" s="289">
        <f t="shared" si="17"/>
        <v>0</v>
      </c>
      <c r="V38" s="289">
        <f t="shared" si="17"/>
        <v>0</v>
      </c>
      <c r="W38" s="289">
        <f t="shared" si="17"/>
        <v>0</v>
      </c>
      <c r="X38" s="289">
        <f t="shared" si="17"/>
        <v>0</v>
      </c>
      <c r="Y38" s="289">
        <f t="shared" si="17"/>
        <v>0</v>
      </c>
      <c r="Z38" s="289">
        <f t="shared" si="17"/>
        <v>0</v>
      </c>
      <c r="AA38" s="289">
        <f t="shared" si="17"/>
        <v>0</v>
      </c>
      <c r="AB38" s="289">
        <f t="shared" si="17"/>
        <v>0</v>
      </c>
      <c r="AC38" s="289">
        <f t="shared" si="17"/>
        <v>0</v>
      </c>
      <c r="AD38" s="289">
        <f t="shared" si="17"/>
        <v>0</v>
      </c>
      <c r="AE38" s="289">
        <f t="shared" si="17"/>
        <v>0</v>
      </c>
      <c r="AF38" s="289">
        <f t="shared" si="17"/>
        <v>0</v>
      </c>
      <c r="AG38" s="289">
        <f t="shared" si="17"/>
        <v>0</v>
      </c>
      <c r="AH38" s="289">
        <f t="shared" si="17"/>
        <v>0</v>
      </c>
      <c r="AI38" s="289">
        <f t="shared" si="17"/>
        <v>0</v>
      </c>
      <c r="AJ38" s="289">
        <f t="shared" si="17"/>
        <v>0</v>
      </c>
      <c r="AK38" s="289">
        <f t="shared" si="17"/>
        <v>0</v>
      </c>
      <c r="AL38" s="289">
        <f t="shared" si="17"/>
        <v>0</v>
      </c>
      <c r="AM38" s="289">
        <f t="shared" si="17"/>
        <v>0</v>
      </c>
      <c r="AN38" s="289">
        <f t="shared" si="17"/>
        <v>0</v>
      </c>
      <c r="AO38" s="289">
        <f t="shared" si="17"/>
        <v>0</v>
      </c>
      <c r="AP38" s="289">
        <f t="shared" si="17"/>
        <v>8437960.2300939746</v>
      </c>
      <c r="AQ38" s="289">
        <f t="shared" si="17"/>
        <v>0</v>
      </c>
      <c r="AR38" s="289">
        <f t="shared" si="17"/>
        <v>0</v>
      </c>
      <c r="AS38" s="289">
        <f t="shared" si="17"/>
        <v>0</v>
      </c>
      <c r="AT38" s="289">
        <f t="shared" si="17"/>
        <v>0</v>
      </c>
      <c r="AU38" s="289">
        <f t="shared" si="17"/>
        <v>0</v>
      </c>
      <c r="AV38" s="289">
        <f t="shared" si="17"/>
        <v>0</v>
      </c>
      <c r="AW38" s="289">
        <f t="shared" si="17"/>
        <v>0</v>
      </c>
      <c r="AX38" s="289">
        <f t="shared" si="17"/>
        <v>0</v>
      </c>
      <c r="AY38" s="289">
        <f t="shared" si="17"/>
        <v>0</v>
      </c>
      <c r="AZ38" s="289">
        <f t="shared" si="17"/>
        <v>0</v>
      </c>
      <c r="BA38" s="289">
        <f t="shared" si="17"/>
        <v>0</v>
      </c>
      <c r="BB38" s="289">
        <f t="shared" si="17"/>
        <v>0</v>
      </c>
      <c r="BC38" s="289">
        <f t="shared" si="17"/>
        <v>0</v>
      </c>
      <c r="BD38" s="289">
        <f t="shared" si="17"/>
        <v>0</v>
      </c>
      <c r="BE38" s="289">
        <f t="shared" si="17"/>
        <v>0</v>
      </c>
      <c r="BF38" s="289">
        <f t="shared" si="17"/>
        <v>0</v>
      </c>
      <c r="BG38" s="289">
        <f t="shared" si="17"/>
        <v>0</v>
      </c>
      <c r="BH38" s="289">
        <f t="shared" si="17"/>
        <v>0</v>
      </c>
      <c r="BI38" s="289">
        <f t="shared" si="17"/>
        <v>0</v>
      </c>
      <c r="BJ38" s="289">
        <f t="shared" si="17"/>
        <v>0</v>
      </c>
      <c r="BK38" s="289">
        <f t="shared" si="17"/>
        <v>0</v>
      </c>
      <c r="BL38" s="289">
        <f t="shared" si="17"/>
        <v>0</v>
      </c>
      <c r="BM38" s="289">
        <f t="shared" si="17"/>
        <v>0</v>
      </c>
      <c r="BN38" s="289">
        <f t="shared" si="17"/>
        <v>0</v>
      </c>
      <c r="BO38" s="290"/>
      <c r="BS38" s="219"/>
    </row>
    <row r="39" spans="1:75" s="216" customFormat="1">
      <c r="A39" s="215"/>
      <c r="B39" s="291" t="s">
        <v>212</v>
      </c>
      <c r="C39" s="292" t="s">
        <v>171</v>
      </c>
      <c r="D39" s="289">
        <f>-C34*(IF(D6-C6=1,$BW$6,$BV$6))-D24-D27</f>
        <v>24367738.752980363</v>
      </c>
      <c r="E39" s="289">
        <f>(D39-D38)*(IF(E6-D6=1,$BW$6,$BV$6))-E24-E27</f>
        <v>24706168.39539938</v>
      </c>
      <c r="F39" s="289">
        <f t="shared" ref="F39:BE39" si="18">(E39-E38)*(IF(F6-E6=1,$BW$6,$BV$6))-F24-F27</f>
        <v>25049298.29433497</v>
      </c>
      <c r="G39" s="289">
        <f t="shared" si="18"/>
        <v>25397193.728972387</v>
      </c>
      <c r="H39" s="289">
        <f t="shared" si="18"/>
        <v>25749920.885122292</v>
      </c>
      <c r="I39" s="289">
        <f t="shared" si="18"/>
        <v>26107546.86781238</v>
      </c>
      <c r="J39" s="289">
        <f t="shared" si="18"/>
        <v>26470139.714053839</v>
      </c>
      <c r="K39" s="289">
        <f t="shared" si="18"/>
        <v>26837768.405785155</v>
      </c>
      <c r="L39" s="289">
        <f t="shared" si="18"/>
        <v>27210502.882995658</v>
      </c>
      <c r="M39" s="289">
        <f t="shared" si="18"/>
        <v>27588414.057031348</v>
      </c>
      <c r="N39" s="289">
        <f t="shared" si="18"/>
        <v>27971573.824085522</v>
      </c>
      <c r="O39" s="289">
        <f t="shared" si="18"/>
        <v>28360055.078876741</v>
      </c>
      <c r="P39" s="289">
        <f t="shared" si="18"/>
        <v>28753931.728516791</v>
      </c>
      <c r="Q39" s="289">
        <f t="shared" si="18"/>
        <v>29153278.706571229</v>
      </c>
      <c r="R39" s="289">
        <f t="shared" si="18"/>
        <v>29558171.987315226</v>
      </c>
      <c r="S39" s="289">
        <f t="shared" si="18"/>
        <v>29968688.600187376</v>
      </c>
      <c r="T39" s="289">
        <f t="shared" si="18"/>
        <v>30384906.644444264</v>
      </c>
      <c r="U39" s="289">
        <f t="shared" si="18"/>
        <v>30806905.304018568</v>
      </c>
      <c r="V39" s="289">
        <f t="shared" si="18"/>
        <v>31234764.862583492</v>
      </c>
      <c r="W39" s="289">
        <f t="shared" si="18"/>
        <v>31668566.718826443</v>
      </c>
      <c r="X39" s="289">
        <f t="shared" si="18"/>
        <v>32052527.464864317</v>
      </c>
      <c r="Y39" s="289">
        <f t="shared" si="18"/>
        <v>32441820.822980061</v>
      </c>
      <c r="Z39" s="289">
        <f t="shared" si="18"/>
        <v>32836520.854785096</v>
      </c>
      <c r="AA39" s="289">
        <f t="shared" si="18"/>
        <v>31724702.65049037</v>
      </c>
      <c r="AB39" s="289">
        <f t="shared" si="18"/>
        <v>32109443.036505204</v>
      </c>
      <c r="AC39" s="289">
        <f t="shared" si="18"/>
        <v>32499526.862573422</v>
      </c>
      <c r="AD39" s="289">
        <f t="shared" si="18"/>
        <v>34171515.198465526</v>
      </c>
      <c r="AE39" s="289">
        <f t="shared" si="18"/>
        <v>34485701.468992554</v>
      </c>
      <c r="AF39" s="289">
        <f t="shared" si="18"/>
        <v>34804251.293654218</v>
      </c>
      <c r="AG39" s="289">
        <f t="shared" si="18"/>
        <v>35127225.275368199</v>
      </c>
      <c r="AH39" s="289">
        <f t="shared" si="18"/>
        <v>35454684.85873156</v>
      </c>
      <c r="AI39" s="289">
        <f t="shared" si="18"/>
        <v>35786692.341710381</v>
      </c>
      <c r="AJ39" s="289">
        <f t="shared" si="18"/>
        <v>36108956.988739781</v>
      </c>
      <c r="AK39" s="289">
        <f t="shared" si="18"/>
        <v>36435697.385873206</v>
      </c>
      <c r="AL39" s="289">
        <f t="shared" si="18"/>
        <v>36766975.694254234</v>
      </c>
      <c r="AM39" s="289">
        <f t="shared" si="18"/>
        <v>37102854.938347146</v>
      </c>
      <c r="AN39" s="289">
        <f t="shared" si="18"/>
        <v>37443399.017927125</v>
      </c>
      <c r="AO39" s="289">
        <f t="shared" si="18"/>
        <v>37788672.720236912</v>
      </c>
      <c r="AP39" s="289">
        <f t="shared" si="18"/>
        <v>8437960.2300939746</v>
      </c>
      <c r="AQ39" s="289">
        <f t="shared" si="18"/>
        <v>0</v>
      </c>
      <c r="AR39" s="289">
        <f t="shared" si="18"/>
        <v>0</v>
      </c>
      <c r="AS39" s="289">
        <f t="shared" si="18"/>
        <v>0</v>
      </c>
      <c r="AT39" s="289">
        <f t="shared" si="18"/>
        <v>0</v>
      </c>
      <c r="AU39" s="289">
        <f t="shared" si="18"/>
        <v>0</v>
      </c>
      <c r="AV39" s="289">
        <f t="shared" si="18"/>
        <v>0</v>
      </c>
      <c r="AW39" s="289">
        <f t="shared" si="18"/>
        <v>0</v>
      </c>
      <c r="AX39" s="289">
        <f t="shared" si="18"/>
        <v>0</v>
      </c>
      <c r="AY39" s="289">
        <f t="shared" si="18"/>
        <v>0</v>
      </c>
      <c r="AZ39" s="289">
        <f t="shared" si="18"/>
        <v>0</v>
      </c>
      <c r="BA39" s="289">
        <f t="shared" si="18"/>
        <v>0</v>
      </c>
      <c r="BB39" s="289">
        <f t="shared" si="18"/>
        <v>0</v>
      </c>
      <c r="BC39" s="289">
        <f t="shared" si="18"/>
        <v>0</v>
      </c>
      <c r="BD39" s="289">
        <f t="shared" si="18"/>
        <v>0</v>
      </c>
      <c r="BE39" s="289">
        <f t="shared" si="18"/>
        <v>0</v>
      </c>
      <c r="BF39" s="289">
        <f>(BE39-BE38)*(IF(BF6-BE6=1,$BW$6,$BV$6))-BF24-BF27</f>
        <v>0</v>
      </c>
      <c r="BG39" s="289">
        <f>(BF39-BF38)*(IF(BG6-BF6=1,$BW$6,$BV$6))-BG24-BG27</f>
        <v>0</v>
      </c>
      <c r="BH39" s="289">
        <f t="shared" ref="BH39:BN39" si="19">(BG39-BG38)*(IF(BH6-BG6=1,$BW$6,$BV$6))-BH24-BH27</f>
        <v>0</v>
      </c>
      <c r="BI39" s="289">
        <f t="shared" si="19"/>
        <v>0</v>
      </c>
      <c r="BJ39" s="289">
        <f t="shared" si="19"/>
        <v>0</v>
      </c>
      <c r="BK39" s="289">
        <f t="shared" si="19"/>
        <v>0</v>
      </c>
      <c r="BL39" s="289">
        <f t="shared" si="19"/>
        <v>0</v>
      </c>
      <c r="BM39" s="289">
        <f t="shared" si="19"/>
        <v>0</v>
      </c>
      <c r="BN39" s="289">
        <f t="shared" si="19"/>
        <v>0</v>
      </c>
      <c r="BO39" s="290"/>
      <c r="BS39" s="219"/>
    </row>
    <row r="40" spans="1:75" s="216" customFormat="1">
      <c r="A40" s="215"/>
      <c r="B40" s="248" t="s">
        <v>41</v>
      </c>
      <c r="C40" s="214">
        <f>$BQ$6</f>
        <v>0.85</v>
      </c>
      <c r="D40" s="293">
        <f>D38</f>
        <v>0</v>
      </c>
      <c r="E40" s="293">
        <f>E38</f>
        <v>0</v>
      </c>
      <c r="F40" s="293">
        <f>F38</f>
        <v>0</v>
      </c>
      <c r="G40" s="293">
        <f t="shared" ref="G40:BN40" si="20">G38</f>
        <v>0</v>
      </c>
      <c r="H40" s="293">
        <f t="shared" si="20"/>
        <v>0</v>
      </c>
      <c r="I40" s="293">
        <f t="shared" si="20"/>
        <v>0</v>
      </c>
      <c r="J40" s="293">
        <f t="shared" si="20"/>
        <v>0</v>
      </c>
      <c r="K40" s="293">
        <f t="shared" si="20"/>
        <v>0</v>
      </c>
      <c r="L40" s="293">
        <f t="shared" si="20"/>
        <v>0</v>
      </c>
      <c r="M40" s="293">
        <f t="shared" si="20"/>
        <v>0</v>
      </c>
      <c r="N40" s="293">
        <f t="shared" si="20"/>
        <v>0</v>
      </c>
      <c r="O40" s="293">
        <f t="shared" si="20"/>
        <v>0</v>
      </c>
      <c r="P40" s="293">
        <f t="shared" si="20"/>
        <v>0</v>
      </c>
      <c r="Q40" s="293">
        <f t="shared" si="20"/>
        <v>0</v>
      </c>
      <c r="R40" s="293">
        <f t="shared" si="20"/>
        <v>0</v>
      </c>
      <c r="S40" s="293">
        <f t="shared" si="20"/>
        <v>0</v>
      </c>
      <c r="T40" s="293">
        <f t="shared" si="20"/>
        <v>0</v>
      </c>
      <c r="U40" s="293">
        <f t="shared" si="20"/>
        <v>0</v>
      </c>
      <c r="V40" s="293">
        <f t="shared" si="20"/>
        <v>0</v>
      </c>
      <c r="W40" s="293">
        <f t="shared" si="20"/>
        <v>0</v>
      </c>
      <c r="X40" s="293">
        <f t="shared" si="20"/>
        <v>0</v>
      </c>
      <c r="Y40" s="293">
        <f t="shared" si="20"/>
        <v>0</v>
      </c>
      <c r="Z40" s="293">
        <f t="shared" si="20"/>
        <v>0</v>
      </c>
      <c r="AA40" s="293">
        <f t="shared" si="20"/>
        <v>0</v>
      </c>
      <c r="AB40" s="293">
        <f t="shared" si="20"/>
        <v>0</v>
      </c>
      <c r="AC40" s="293">
        <f t="shared" si="20"/>
        <v>0</v>
      </c>
      <c r="AD40" s="293">
        <f t="shared" si="20"/>
        <v>0</v>
      </c>
      <c r="AE40" s="293">
        <f t="shared" si="20"/>
        <v>0</v>
      </c>
      <c r="AF40" s="293">
        <f t="shared" si="20"/>
        <v>0</v>
      </c>
      <c r="AG40" s="293">
        <f t="shared" si="20"/>
        <v>0</v>
      </c>
      <c r="AH40" s="293">
        <f t="shared" si="20"/>
        <v>0</v>
      </c>
      <c r="AI40" s="293">
        <f t="shared" si="20"/>
        <v>0</v>
      </c>
      <c r="AJ40" s="293">
        <f t="shared" si="20"/>
        <v>0</v>
      </c>
      <c r="AK40" s="293">
        <f t="shared" si="20"/>
        <v>0</v>
      </c>
      <c r="AL40" s="293">
        <f t="shared" si="20"/>
        <v>0</v>
      </c>
      <c r="AM40" s="293">
        <f t="shared" si="20"/>
        <v>0</v>
      </c>
      <c r="AN40" s="293">
        <f t="shared" si="20"/>
        <v>0</v>
      </c>
      <c r="AO40" s="293">
        <f t="shared" si="20"/>
        <v>0</v>
      </c>
      <c r="AP40" s="293">
        <f t="shared" si="20"/>
        <v>8437960.2300939746</v>
      </c>
      <c r="AQ40" s="293">
        <f t="shared" si="20"/>
        <v>0</v>
      </c>
      <c r="AR40" s="293">
        <f t="shared" si="20"/>
        <v>0</v>
      </c>
      <c r="AS40" s="293">
        <f t="shared" si="20"/>
        <v>0</v>
      </c>
      <c r="AT40" s="293">
        <f t="shared" si="20"/>
        <v>0</v>
      </c>
      <c r="AU40" s="293">
        <f t="shared" si="20"/>
        <v>0</v>
      </c>
      <c r="AV40" s="293">
        <f t="shared" si="20"/>
        <v>0</v>
      </c>
      <c r="AW40" s="293">
        <f t="shared" si="20"/>
        <v>0</v>
      </c>
      <c r="AX40" s="293">
        <f t="shared" si="20"/>
        <v>0</v>
      </c>
      <c r="AY40" s="293">
        <f t="shared" si="20"/>
        <v>0</v>
      </c>
      <c r="AZ40" s="293">
        <f t="shared" si="20"/>
        <v>0</v>
      </c>
      <c r="BA40" s="293">
        <f t="shared" si="20"/>
        <v>0</v>
      </c>
      <c r="BB40" s="293">
        <f t="shared" si="20"/>
        <v>0</v>
      </c>
      <c r="BC40" s="293">
        <f t="shared" si="20"/>
        <v>0</v>
      </c>
      <c r="BD40" s="293">
        <f t="shared" si="20"/>
        <v>0</v>
      </c>
      <c r="BE40" s="293">
        <f t="shared" si="20"/>
        <v>0</v>
      </c>
      <c r="BF40" s="293">
        <f t="shared" si="20"/>
        <v>0</v>
      </c>
      <c r="BG40" s="293">
        <f t="shared" si="20"/>
        <v>0</v>
      </c>
      <c r="BH40" s="293">
        <f t="shared" si="20"/>
        <v>0</v>
      </c>
      <c r="BI40" s="293">
        <f t="shared" si="20"/>
        <v>0</v>
      </c>
      <c r="BJ40" s="293">
        <f t="shared" si="20"/>
        <v>0</v>
      </c>
      <c r="BK40" s="293">
        <f t="shared" si="20"/>
        <v>0</v>
      </c>
      <c r="BL40" s="293">
        <f t="shared" si="20"/>
        <v>0</v>
      </c>
      <c r="BM40" s="293">
        <f t="shared" si="20"/>
        <v>0</v>
      </c>
      <c r="BN40" s="293">
        <f t="shared" si="20"/>
        <v>0</v>
      </c>
      <c r="BO40" s="294"/>
      <c r="BS40" s="219"/>
    </row>
    <row r="41" spans="1:75" s="216" customFormat="1">
      <c r="A41" s="215"/>
      <c r="B41" s="248" t="s">
        <v>150</v>
      </c>
      <c r="C41" s="214">
        <f>100%-C40</f>
        <v>0.15000000000000002</v>
      </c>
      <c r="D41" s="293">
        <f>((D40/$C$40)*$C$41)</f>
        <v>0</v>
      </c>
      <c r="E41" s="293">
        <f>((E40/$C$40)*$C$41)</f>
        <v>0</v>
      </c>
      <c r="F41" s="293">
        <f>((F40/$C$40)*$C$41)</f>
        <v>0</v>
      </c>
      <c r="G41" s="293">
        <f t="shared" ref="G41:BF41" si="21">((G40/$C$40)*$C$41)</f>
        <v>0</v>
      </c>
      <c r="H41" s="293">
        <f t="shared" si="21"/>
        <v>0</v>
      </c>
      <c r="I41" s="293">
        <f t="shared" si="21"/>
        <v>0</v>
      </c>
      <c r="J41" s="293">
        <f t="shared" si="21"/>
        <v>0</v>
      </c>
      <c r="K41" s="293">
        <f t="shared" si="21"/>
        <v>0</v>
      </c>
      <c r="L41" s="293">
        <f t="shared" si="21"/>
        <v>0</v>
      </c>
      <c r="M41" s="293">
        <f t="shared" si="21"/>
        <v>0</v>
      </c>
      <c r="N41" s="293">
        <f t="shared" si="21"/>
        <v>0</v>
      </c>
      <c r="O41" s="293">
        <f t="shared" si="21"/>
        <v>0</v>
      </c>
      <c r="P41" s="293">
        <f t="shared" si="21"/>
        <v>0</v>
      </c>
      <c r="Q41" s="293">
        <f t="shared" si="21"/>
        <v>0</v>
      </c>
      <c r="R41" s="293">
        <f t="shared" si="21"/>
        <v>0</v>
      </c>
      <c r="S41" s="293">
        <f t="shared" si="21"/>
        <v>0</v>
      </c>
      <c r="T41" s="293">
        <f t="shared" si="21"/>
        <v>0</v>
      </c>
      <c r="U41" s="293">
        <f t="shared" si="21"/>
        <v>0</v>
      </c>
      <c r="V41" s="293">
        <f t="shared" si="21"/>
        <v>0</v>
      </c>
      <c r="W41" s="293">
        <f t="shared" si="21"/>
        <v>0</v>
      </c>
      <c r="X41" s="293">
        <f t="shared" si="21"/>
        <v>0</v>
      </c>
      <c r="Y41" s="293">
        <f t="shared" si="21"/>
        <v>0</v>
      </c>
      <c r="Z41" s="293">
        <f t="shared" si="21"/>
        <v>0</v>
      </c>
      <c r="AA41" s="293">
        <f t="shared" si="21"/>
        <v>0</v>
      </c>
      <c r="AB41" s="293">
        <f t="shared" si="21"/>
        <v>0</v>
      </c>
      <c r="AC41" s="293">
        <f t="shared" si="21"/>
        <v>0</v>
      </c>
      <c r="AD41" s="293">
        <f t="shared" si="21"/>
        <v>0</v>
      </c>
      <c r="AE41" s="293">
        <f t="shared" si="21"/>
        <v>0</v>
      </c>
      <c r="AF41" s="293">
        <f t="shared" si="21"/>
        <v>0</v>
      </c>
      <c r="AG41" s="293">
        <f t="shared" si="21"/>
        <v>0</v>
      </c>
      <c r="AH41" s="293">
        <f t="shared" si="21"/>
        <v>0</v>
      </c>
      <c r="AI41" s="293">
        <f t="shared" si="21"/>
        <v>0</v>
      </c>
      <c r="AJ41" s="293">
        <f t="shared" si="21"/>
        <v>0</v>
      </c>
      <c r="AK41" s="293">
        <f t="shared" si="21"/>
        <v>0</v>
      </c>
      <c r="AL41" s="293">
        <f t="shared" si="21"/>
        <v>0</v>
      </c>
      <c r="AM41" s="293">
        <f t="shared" si="21"/>
        <v>0</v>
      </c>
      <c r="AN41" s="293">
        <f t="shared" si="21"/>
        <v>0</v>
      </c>
      <c r="AO41" s="293">
        <f t="shared" si="21"/>
        <v>0</v>
      </c>
      <c r="AP41" s="293">
        <f t="shared" si="21"/>
        <v>1489051.8053107017</v>
      </c>
      <c r="AQ41" s="293">
        <f t="shared" si="21"/>
        <v>0</v>
      </c>
      <c r="AR41" s="293">
        <f t="shared" si="21"/>
        <v>0</v>
      </c>
      <c r="AS41" s="293">
        <f t="shared" si="21"/>
        <v>0</v>
      </c>
      <c r="AT41" s="293">
        <f t="shared" si="21"/>
        <v>0</v>
      </c>
      <c r="AU41" s="293">
        <f t="shared" si="21"/>
        <v>0</v>
      </c>
      <c r="AV41" s="293">
        <f t="shared" si="21"/>
        <v>0</v>
      </c>
      <c r="AW41" s="293">
        <f t="shared" si="21"/>
        <v>0</v>
      </c>
      <c r="AX41" s="293">
        <f t="shared" si="21"/>
        <v>0</v>
      </c>
      <c r="AY41" s="293">
        <f t="shared" si="21"/>
        <v>0</v>
      </c>
      <c r="AZ41" s="293">
        <f t="shared" si="21"/>
        <v>0</v>
      </c>
      <c r="BA41" s="293">
        <f t="shared" si="21"/>
        <v>0</v>
      </c>
      <c r="BB41" s="293">
        <f t="shared" si="21"/>
        <v>0</v>
      </c>
      <c r="BC41" s="293">
        <f t="shared" si="21"/>
        <v>0</v>
      </c>
      <c r="BD41" s="293">
        <f t="shared" si="21"/>
        <v>0</v>
      </c>
      <c r="BE41" s="293">
        <f t="shared" si="21"/>
        <v>0</v>
      </c>
      <c r="BF41" s="293">
        <f t="shared" si="21"/>
        <v>0</v>
      </c>
      <c r="BG41" s="293">
        <f>((BG40/$C$40)*$C$41)</f>
        <v>0</v>
      </c>
      <c r="BH41" s="293">
        <f t="shared" ref="BH41:BN41" si="22">((BH40/$C$40)*$C$41)</f>
        <v>0</v>
      </c>
      <c r="BI41" s="293">
        <f t="shared" si="22"/>
        <v>0</v>
      </c>
      <c r="BJ41" s="293">
        <f t="shared" si="22"/>
        <v>0</v>
      </c>
      <c r="BK41" s="293">
        <f t="shared" si="22"/>
        <v>0</v>
      </c>
      <c r="BL41" s="293">
        <f t="shared" si="22"/>
        <v>0</v>
      </c>
      <c r="BM41" s="293">
        <f t="shared" si="22"/>
        <v>0</v>
      </c>
      <c r="BN41" s="293">
        <f t="shared" si="22"/>
        <v>0</v>
      </c>
      <c r="BO41" s="294"/>
      <c r="BQ41" s="224"/>
      <c r="BS41" s="219"/>
    </row>
    <row r="42" spans="1:75" s="216" customFormat="1">
      <c r="A42" s="215"/>
      <c r="B42" s="226"/>
      <c r="C42" s="224"/>
      <c r="D42" s="224"/>
      <c r="E42" s="224"/>
      <c r="F42" s="224"/>
      <c r="G42" s="224"/>
      <c r="H42" s="224"/>
      <c r="I42" s="224"/>
      <c r="J42" s="224"/>
      <c r="K42" s="224"/>
      <c r="L42" s="224"/>
      <c r="M42" s="224"/>
      <c r="N42" s="224"/>
      <c r="O42" s="224"/>
      <c r="P42" s="224"/>
      <c r="Q42" s="224"/>
      <c r="R42" s="224"/>
      <c r="S42" s="224"/>
      <c r="T42" s="224"/>
      <c r="U42" s="224"/>
      <c r="V42" s="224"/>
      <c r="W42" s="224"/>
      <c r="X42" s="224"/>
      <c r="Y42" s="224"/>
      <c r="Z42" s="224"/>
      <c r="AA42" s="224"/>
      <c r="AB42" s="224"/>
      <c r="AC42" s="224"/>
      <c r="AD42" s="224"/>
      <c r="AE42" s="224"/>
      <c r="AF42" s="224"/>
      <c r="AG42" s="224"/>
      <c r="AH42" s="224"/>
      <c r="AI42" s="224"/>
      <c r="AJ42" s="224"/>
      <c r="AK42" s="224"/>
      <c r="AL42" s="224"/>
      <c r="AM42" s="224"/>
      <c r="AN42" s="224"/>
      <c r="AO42" s="224"/>
      <c r="AP42" s="224"/>
      <c r="AQ42" s="224"/>
      <c r="AR42" s="224"/>
      <c r="AS42" s="224"/>
      <c r="AT42" s="224"/>
      <c r="AU42" s="224"/>
      <c r="AV42" s="224"/>
      <c r="AW42" s="224"/>
      <c r="AX42" s="224"/>
      <c r="AY42" s="224"/>
      <c r="AZ42" s="224"/>
      <c r="BA42" s="224"/>
      <c r="BB42" s="224"/>
      <c r="BC42" s="224"/>
      <c r="BD42" s="224"/>
      <c r="BE42" s="224"/>
      <c r="BF42" s="224"/>
      <c r="BG42" s="224"/>
      <c r="BH42" s="224"/>
      <c r="BI42" s="224"/>
      <c r="BJ42" s="224"/>
      <c r="BK42" s="224"/>
      <c r="BL42" s="224"/>
      <c r="BM42" s="224"/>
      <c r="BN42" s="224"/>
      <c r="BO42" s="276"/>
      <c r="BQ42" s="224"/>
      <c r="BS42" s="219"/>
    </row>
    <row r="43" spans="1:75" s="216" customFormat="1">
      <c r="A43" s="215"/>
      <c r="B43" s="434" t="str">
        <f>BP7</f>
        <v>4th Priority Split (50/50)</v>
      </c>
      <c r="C43" s="435"/>
      <c r="D43" s="435"/>
      <c r="E43" s="435"/>
      <c r="F43" s="435"/>
      <c r="G43" s="435"/>
      <c r="H43" s="435"/>
      <c r="I43" s="435"/>
      <c r="J43" s="435"/>
      <c r="K43" s="435"/>
      <c r="L43" s="435"/>
      <c r="M43" s="435"/>
      <c r="N43" s="435"/>
      <c r="O43" s="435"/>
      <c r="P43" s="435"/>
      <c r="Q43" s="435"/>
      <c r="R43" s="435"/>
      <c r="S43" s="435"/>
      <c r="T43" s="435"/>
      <c r="U43" s="435"/>
      <c r="V43" s="435"/>
      <c r="W43" s="435"/>
      <c r="X43" s="435"/>
      <c r="Y43" s="435"/>
      <c r="Z43" s="435"/>
      <c r="AA43" s="435"/>
      <c r="AB43" s="435"/>
      <c r="AC43" s="435"/>
      <c r="AD43" s="435"/>
      <c r="AE43" s="435"/>
      <c r="AF43" s="435"/>
      <c r="AG43" s="435"/>
      <c r="AH43" s="435"/>
      <c r="AI43" s="435"/>
      <c r="AJ43" s="435"/>
      <c r="AK43" s="435"/>
      <c r="AL43" s="435"/>
      <c r="AM43" s="435"/>
      <c r="AN43" s="435"/>
      <c r="AO43" s="435"/>
      <c r="AP43" s="435"/>
      <c r="AQ43" s="435"/>
      <c r="AR43" s="435"/>
      <c r="AS43" s="435"/>
      <c r="AT43" s="435"/>
      <c r="AU43" s="435"/>
      <c r="AV43" s="435"/>
      <c r="AW43" s="435"/>
      <c r="AX43" s="435"/>
      <c r="AY43" s="435"/>
      <c r="AZ43" s="435"/>
      <c r="BA43" s="435"/>
      <c r="BB43" s="435"/>
      <c r="BC43" s="435"/>
      <c r="BD43" s="435"/>
      <c r="BE43" s="435"/>
      <c r="BF43" s="435"/>
      <c r="BG43" s="435"/>
      <c r="BH43" s="435"/>
      <c r="BI43" s="435"/>
      <c r="BJ43" s="435"/>
      <c r="BK43" s="435"/>
      <c r="BL43" s="435"/>
      <c r="BM43" s="435"/>
      <c r="BN43" s="436"/>
      <c r="BO43" s="226"/>
      <c r="BQ43" s="224"/>
      <c r="BS43" s="219"/>
    </row>
    <row r="44" spans="1:75" s="216" customFormat="1">
      <c r="A44" s="215"/>
      <c r="B44" s="291" t="s">
        <v>181</v>
      </c>
      <c r="C44" s="292"/>
      <c r="D44" s="489">
        <f>+MIN(+$BQ$7*(D32-D40-D41),D45)</f>
        <v>0</v>
      </c>
      <c r="E44" s="489">
        <f t="shared" ref="E44:BN44" si="23">+MIN(+$BQ$7*(E32-E40-E41),E45)</f>
        <v>0</v>
      </c>
      <c r="F44" s="489">
        <f t="shared" si="23"/>
        <v>0</v>
      </c>
      <c r="G44" s="489">
        <f t="shared" si="23"/>
        <v>0</v>
      </c>
      <c r="H44" s="489">
        <f t="shared" si="23"/>
        <v>0</v>
      </c>
      <c r="I44" s="489">
        <f t="shared" si="23"/>
        <v>0</v>
      </c>
      <c r="J44" s="489">
        <f t="shared" si="23"/>
        <v>0</v>
      </c>
      <c r="K44" s="489">
        <f t="shared" si="23"/>
        <v>0</v>
      </c>
      <c r="L44" s="489">
        <f t="shared" si="23"/>
        <v>0</v>
      </c>
      <c r="M44" s="489">
        <f t="shared" si="23"/>
        <v>0</v>
      </c>
      <c r="N44" s="489">
        <f t="shared" si="23"/>
        <v>0</v>
      </c>
      <c r="O44" s="489">
        <f t="shared" si="23"/>
        <v>0</v>
      </c>
      <c r="P44" s="489">
        <f t="shared" si="23"/>
        <v>0</v>
      </c>
      <c r="Q44" s="489">
        <f t="shared" si="23"/>
        <v>0</v>
      </c>
      <c r="R44" s="489">
        <f t="shared" si="23"/>
        <v>0</v>
      </c>
      <c r="S44" s="489">
        <f t="shared" si="23"/>
        <v>0</v>
      </c>
      <c r="T44" s="489">
        <f t="shared" si="23"/>
        <v>0</v>
      </c>
      <c r="U44" s="489">
        <f t="shared" si="23"/>
        <v>0</v>
      </c>
      <c r="V44" s="489">
        <f t="shared" si="23"/>
        <v>0</v>
      </c>
      <c r="W44" s="489">
        <f t="shared" si="23"/>
        <v>0</v>
      </c>
      <c r="X44" s="489">
        <f t="shared" si="23"/>
        <v>0</v>
      </c>
      <c r="Y44" s="489">
        <f t="shared" si="23"/>
        <v>0</v>
      </c>
      <c r="Z44" s="489">
        <f t="shared" si="23"/>
        <v>0</v>
      </c>
      <c r="AA44" s="489">
        <f t="shared" si="23"/>
        <v>0</v>
      </c>
      <c r="AB44" s="489">
        <f t="shared" si="23"/>
        <v>0</v>
      </c>
      <c r="AC44" s="489">
        <f t="shared" si="23"/>
        <v>0</v>
      </c>
      <c r="AD44" s="489">
        <f t="shared" si="23"/>
        <v>0</v>
      </c>
      <c r="AE44" s="489">
        <f t="shared" si="23"/>
        <v>0</v>
      </c>
      <c r="AF44" s="489">
        <f t="shared" si="23"/>
        <v>0</v>
      </c>
      <c r="AG44" s="489">
        <f t="shared" si="23"/>
        <v>0</v>
      </c>
      <c r="AH44" s="489">
        <f t="shared" si="23"/>
        <v>0</v>
      </c>
      <c r="AI44" s="489">
        <f t="shared" si="23"/>
        <v>0</v>
      </c>
      <c r="AJ44" s="489">
        <f t="shared" si="23"/>
        <v>0</v>
      </c>
      <c r="AK44" s="489">
        <f t="shared" si="23"/>
        <v>0</v>
      </c>
      <c r="AL44" s="489">
        <f t="shared" si="23"/>
        <v>0</v>
      </c>
      <c r="AM44" s="489">
        <f t="shared" si="23"/>
        <v>0</v>
      </c>
      <c r="AN44" s="489">
        <f t="shared" si="23"/>
        <v>0</v>
      </c>
      <c r="AO44" s="489">
        <f t="shared" si="23"/>
        <v>0</v>
      </c>
      <c r="AP44" s="489">
        <f t="shared" si="23"/>
        <v>498350.34251180309</v>
      </c>
      <c r="AQ44" s="489">
        <f t="shared" si="23"/>
        <v>0</v>
      </c>
      <c r="AR44" s="489">
        <f t="shared" si="23"/>
        <v>0</v>
      </c>
      <c r="AS44" s="489">
        <f t="shared" si="23"/>
        <v>0</v>
      </c>
      <c r="AT44" s="489">
        <f t="shared" si="23"/>
        <v>0</v>
      </c>
      <c r="AU44" s="489">
        <f t="shared" si="23"/>
        <v>0</v>
      </c>
      <c r="AV44" s="489">
        <f t="shared" si="23"/>
        <v>0</v>
      </c>
      <c r="AW44" s="489">
        <f t="shared" si="23"/>
        <v>0</v>
      </c>
      <c r="AX44" s="578">
        <f t="shared" si="23"/>
        <v>0</v>
      </c>
      <c r="AY44" s="489">
        <f t="shared" si="23"/>
        <v>0</v>
      </c>
      <c r="AZ44" s="489">
        <f t="shared" si="23"/>
        <v>0</v>
      </c>
      <c r="BA44" s="489">
        <f t="shared" si="23"/>
        <v>0</v>
      </c>
      <c r="BB44" s="489">
        <f t="shared" si="23"/>
        <v>0</v>
      </c>
      <c r="BC44" s="489">
        <f t="shared" si="23"/>
        <v>0</v>
      </c>
      <c r="BD44" s="489">
        <f t="shared" si="23"/>
        <v>0</v>
      </c>
      <c r="BE44" s="489">
        <f t="shared" si="23"/>
        <v>0</v>
      </c>
      <c r="BF44" s="489">
        <f t="shared" si="23"/>
        <v>0</v>
      </c>
      <c r="BG44" s="489">
        <f t="shared" si="23"/>
        <v>0</v>
      </c>
      <c r="BH44" s="489">
        <f t="shared" si="23"/>
        <v>0</v>
      </c>
      <c r="BI44" s="489">
        <f t="shared" si="23"/>
        <v>0</v>
      </c>
      <c r="BJ44" s="489">
        <f t="shared" si="23"/>
        <v>0</v>
      </c>
      <c r="BK44" s="489">
        <f t="shared" si="23"/>
        <v>0</v>
      </c>
      <c r="BL44" s="489">
        <f t="shared" si="23"/>
        <v>0</v>
      </c>
      <c r="BM44" s="489">
        <f t="shared" si="23"/>
        <v>0</v>
      </c>
      <c r="BN44" s="489">
        <f t="shared" si="23"/>
        <v>0</v>
      </c>
      <c r="BO44" s="290"/>
      <c r="BS44" s="219"/>
    </row>
    <row r="45" spans="1:75" s="216" customFormat="1">
      <c r="A45" s="215"/>
      <c r="B45" s="291" t="s">
        <v>182</v>
      </c>
      <c r="C45" s="292" t="s">
        <v>171</v>
      </c>
      <c r="D45" s="289">
        <f>-C34*(IF(E6-D6=1,$BW$7,$BV$7))-D24-D27-D40</f>
        <v>24435527.300533608</v>
      </c>
      <c r="E45" s="289">
        <f>(D45-D46)*(IF(E6-D6=1,$BW$7,$BV$7))-E24-E27-E40</f>
        <v>24843819.643419061</v>
      </c>
      <c r="F45" s="289">
        <f t="shared" ref="F45:BN45" si="24">(E45-E46)*(IF(F6-E6=1,$BW$7,$BV$7))-F24-F27-F40</f>
        <v>25258934.128311463</v>
      </c>
      <c r="G45" s="289">
        <f t="shared" si="24"/>
        <v>25680984.746135142</v>
      </c>
      <c r="H45" s="289">
        <f t="shared" si="24"/>
        <v>26110087.392484669</v>
      </c>
      <c r="I45" s="289">
        <f t="shared" si="24"/>
        <v>26546359.899449915</v>
      </c>
      <c r="J45" s="289">
        <f t="shared" si="24"/>
        <v>26989922.06797288</v>
      </c>
      <c r="K45" s="289">
        <f t="shared" si="24"/>
        <v>27440895.700745184</v>
      </c>
      <c r="L45" s="289">
        <f t="shared" si="24"/>
        <v>27899404.635655213</v>
      </c>
      <c r="M45" s="289">
        <f t="shared" si="24"/>
        <v>28365574.77979416</v>
      </c>
      <c r="N45" s="289">
        <f t="shared" si="24"/>
        <v>28839534.144030254</v>
      </c>
      <c r="O45" s="289">
        <f t="shared" si="24"/>
        <v>29321412.8781607</v>
      </c>
      <c r="P45" s="289">
        <f t="shared" si="24"/>
        <v>29811343.306650963</v>
      </c>
      <c r="Q45" s="289">
        <f t="shared" si="24"/>
        <v>30309459.964971215</v>
      </c>
      <c r="R45" s="289">
        <f t="shared" si="24"/>
        <v>30815899.636539944</v>
      </c>
      <c r="S45" s="289">
        <f t="shared" si="24"/>
        <v>31330801.390284833</v>
      </c>
      <c r="T45" s="289">
        <f t="shared" si="24"/>
        <v>31854306.618831255</v>
      </c>
      <c r="U45" s="289">
        <f t="shared" si="24"/>
        <v>32386559.077328853</v>
      </c>
      <c r="V45" s="289">
        <f t="shared" si="24"/>
        <v>32927704.922926873</v>
      </c>
      <c r="W45" s="289">
        <f t="shared" si="24"/>
        <v>33477892.754909083</v>
      </c>
      <c r="X45" s="289">
        <f t="shared" si="24"/>
        <v>33981407.718428798</v>
      </c>
      <c r="Y45" s="289">
        <f t="shared" si="24"/>
        <v>34493335.895283543</v>
      </c>
      <c r="Z45" s="289">
        <f t="shared" si="24"/>
        <v>35013817.861550994</v>
      </c>
      <c r="AA45" s="289">
        <f t="shared" si="24"/>
        <v>34030996.542189419</v>
      </c>
      <c r="AB45" s="289">
        <f t="shared" si="24"/>
        <v>34543753.296908893</v>
      </c>
      <c r="AC45" s="289">
        <f t="shared" si="24"/>
        <v>35065077.685718678</v>
      </c>
      <c r="AD45" s="289">
        <f t="shared" si="24"/>
        <v>36871599.722682759</v>
      </c>
      <c r="AE45" s="289">
        <f t="shared" si="24"/>
        <v>37327283.512187012</v>
      </c>
      <c r="AF45" s="289">
        <f t="shared" si="24"/>
        <v>37790581.305667661</v>
      </c>
      <c r="AG45" s="289">
        <f t="shared" si="24"/>
        <v>38261620.32524208</v>
      </c>
      <c r="AH45" s="289">
        <f t="shared" si="24"/>
        <v>38740529.918777399</v>
      </c>
      <c r="AI45" s="289">
        <f t="shared" si="24"/>
        <v>39227441.595409594</v>
      </c>
      <c r="AJ45" s="289">
        <f t="shared" si="24"/>
        <v>39708135.162904121</v>
      </c>
      <c r="AK45" s="289">
        <f t="shared" si="24"/>
        <v>40196860.621851958</v>
      </c>
      <c r="AL45" s="289">
        <f t="shared" si="24"/>
        <v>40693752.176837236</v>
      </c>
      <c r="AM45" s="289">
        <f t="shared" si="24"/>
        <v>41198946.274863623</v>
      </c>
      <c r="AN45" s="289">
        <f t="shared" si="24"/>
        <v>41712581.642822854</v>
      </c>
      <c r="AO45" s="289">
        <f t="shared" si="24"/>
        <v>42234799.325589277</v>
      </c>
      <c r="AP45" s="289">
        <f t="shared" si="24"/>
        <v>4452002.5641905554</v>
      </c>
      <c r="AQ45" s="289">
        <f t="shared" si="24"/>
        <v>4019713.6538176956</v>
      </c>
      <c r="AR45" s="289">
        <f t="shared" si="24"/>
        <v>4086878.9040396553</v>
      </c>
      <c r="AS45" s="289">
        <f t="shared" si="24"/>
        <v>4155166.4160011034</v>
      </c>
      <c r="AT45" s="289">
        <f t="shared" si="24"/>
        <v>4224594.9415329015</v>
      </c>
      <c r="AU45" s="289">
        <f t="shared" si="24"/>
        <v>4295183.5457895743</v>
      </c>
      <c r="AV45" s="289">
        <f t="shared" si="24"/>
        <v>4366951.6124846265</v>
      </c>
      <c r="AW45" s="289">
        <f t="shared" si="24"/>
        <v>4439918.849213331</v>
      </c>
      <c r="AX45" s="289">
        <f t="shared" si="24"/>
        <v>4514105.2928644577</v>
      </c>
      <c r="AY45" s="289">
        <f t="shared" si="24"/>
        <v>4589531.3151224265</v>
      </c>
      <c r="AZ45" s="289">
        <f t="shared" si="24"/>
        <v>4666217.628061397</v>
      </c>
      <c r="BA45" s="289">
        <f t="shared" si="24"/>
        <v>4744185.2898328286</v>
      </c>
      <c r="BB45" s="289">
        <f t="shared" si="24"/>
        <v>4823455.7104480714</v>
      </c>
      <c r="BC45" s="289">
        <f t="shared" si="24"/>
        <v>4904050.6576575814</v>
      </c>
      <c r="BD45" s="289">
        <f t="shared" si="24"/>
        <v>4985992.2629283722</v>
      </c>
      <c r="BE45" s="289">
        <f t="shared" si="24"/>
        <v>5069303.0275213392</v>
      </c>
      <c r="BF45" s="289">
        <f t="shared" si="24"/>
        <v>5154005.8286701329</v>
      </c>
      <c r="BG45" s="289">
        <f t="shared" si="24"/>
        <v>5240123.9258632744</v>
      </c>
      <c r="BH45" s="289">
        <f t="shared" si="24"/>
        <v>5327680.9672312383</v>
      </c>
      <c r="BI45" s="289">
        <f t="shared" si="24"/>
        <v>5416700.9960402576</v>
      </c>
      <c r="BJ45" s="289">
        <f t="shared" si="24"/>
        <v>5507208.4572946317</v>
      </c>
      <c r="BK45" s="289">
        <f t="shared" si="24"/>
        <v>5599228.2044493537</v>
      </c>
      <c r="BL45" s="289">
        <f t="shared" si="24"/>
        <v>5692785.5062348982</v>
      </c>
      <c r="BM45" s="289">
        <f t="shared" si="24"/>
        <v>5787906.0535960449</v>
      </c>
      <c r="BN45" s="289">
        <f t="shared" si="24"/>
        <v>5884615.9667466413</v>
      </c>
      <c r="BO45" s="290"/>
      <c r="BS45" s="219"/>
    </row>
    <row r="46" spans="1:75" s="216" customFormat="1">
      <c r="A46" s="215"/>
      <c r="B46" s="248" t="s">
        <v>41</v>
      </c>
      <c r="C46" s="214">
        <f>$BQ$7</f>
        <v>0.75</v>
      </c>
      <c r="D46" s="293">
        <f>MIN((D32-D40-D41)*$C$46,D45)</f>
        <v>0</v>
      </c>
      <c r="E46" s="293">
        <f t="shared" ref="E46:BN46" si="25">MIN((E32-E40-E41)*$C$46,E45)</f>
        <v>0</v>
      </c>
      <c r="F46" s="293">
        <f t="shared" si="25"/>
        <v>0</v>
      </c>
      <c r="G46" s="293">
        <f t="shared" si="25"/>
        <v>0</v>
      </c>
      <c r="H46" s="293">
        <f t="shared" si="25"/>
        <v>0</v>
      </c>
      <c r="I46" s="293">
        <f t="shared" si="25"/>
        <v>0</v>
      </c>
      <c r="J46" s="293">
        <f t="shared" si="25"/>
        <v>0</v>
      </c>
      <c r="K46" s="293">
        <f t="shared" si="25"/>
        <v>0</v>
      </c>
      <c r="L46" s="293">
        <f t="shared" si="25"/>
        <v>0</v>
      </c>
      <c r="M46" s="293">
        <f t="shared" si="25"/>
        <v>0</v>
      </c>
      <c r="N46" s="293">
        <f t="shared" si="25"/>
        <v>0</v>
      </c>
      <c r="O46" s="293">
        <f t="shared" si="25"/>
        <v>0</v>
      </c>
      <c r="P46" s="293">
        <f t="shared" si="25"/>
        <v>0</v>
      </c>
      <c r="Q46" s="293">
        <f t="shared" si="25"/>
        <v>0</v>
      </c>
      <c r="R46" s="293">
        <f t="shared" si="25"/>
        <v>0</v>
      </c>
      <c r="S46" s="293">
        <f t="shared" si="25"/>
        <v>0</v>
      </c>
      <c r="T46" s="293">
        <f t="shared" si="25"/>
        <v>0</v>
      </c>
      <c r="U46" s="293">
        <f t="shared" si="25"/>
        <v>0</v>
      </c>
      <c r="V46" s="293">
        <f t="shared" si="25"/>
        <v>0</v>
      </c>
      <c r="W46" s="293">
        <f t="shared" si="25"/>
        <v>0</v>
      </c>
      <c r="X46" s="293">
        <f t="shared" si="25"/>
        <v>0</v>
      </c>
      <c r="Y46" s="293">
        <f t="shared" si="25"/>
        <v>0</v>
      </c>
      <c r="Z46" s="293">
        <f t="shared" si="25"/>
        <v>0</v>
      </c>
      <c r="AA46" s="293">
        <f t="shared" si="25"/>
        <v>0</v>
      </c>
      <c r="AB46" s="293">
        <f t="shared" si="25"/>
        <v>0</v>
      </c>
      <c r="AC46" s="293">
        <f t="shared" si="25"/>
        <v>0</v>
      </c>
      <c r="AD46" s="293">
        <f t="shared" si="25"/>
        <v>0</v>
      </c>
      <c r="AE46" s="293">
        <f t="shared" si="25"/>
        <v>0</v>
      </c>
      <c r="AF46" s="293">
        <f t="shared" si="25"/>
        <v>0</v>
      </c>
      <c r="AG46" s="293">
        <f t="shared" si="25"/>
        <v>0</v>
      </c>
      <c r="AH46" s="293">
        <f t="shared" si="25"/>
        <v>0</v>
      </c>
      <c r="AI46" s="293">
        <f t="shared" si="25"/>
        <v>0</v>
      </c>
      <c r="AJ46" s="293">
        <f t="shared" si="25"/>
        <v>0</v>
      </c>
      <c r="AK46" s="293">
        <f t="shared" si="25"/>
        <v>0</v>
      </c>
      <c r="AL46" s="293">
        <f t="shared" si="25"/>
        <v>0</v>
      </c>
      <c r="AM46" s="293">
        <f t="shared" si="25"/>
        <v>0</v>
      </c>
      <c r="AN46" s="293">
        <f t="shared" si="25"/>
        <v>0</v>
      </c>
      <c r="AO46" s="293">
        <f t="shared" si="25"/>
        <v>0</v>
      </c>
      <c r="AP46" s="293">
        <f t="shared" si="25"/>
        <v>498350.34251180309</v>
      </c>
      <c r="AQ46" s="293">
        <f t="shared" si="25"/>
        <v>0</v>
      </c>
      <c r="AR46" s="293">
        <f t="shared" si="25"/>
        <v>0</v>
      </c>
      <c r="AS46" s="293">
        <f t="shared" si="25"/>
        <v>0</v>
      </c>
      <c r="AT46" s="293">
        <f t="shared" si="25"/>
        <v>0</v>
      </c>
      <c r="AU46" s="293">
        <f t="shared" si="25"/>
        <v>0</v>
      </c>
      <c r="AV46" s="293">
        <f t="shared" si="25"/>
        <v>0</v>
      </c>
      <c r="AW46" s="293">
        <f t="shared" si="25"/>
        <v>0</v>
      </c>
      <c r="AX46" s="579">
        <f t="shared" si="25"/>
        <v>0</v>
      </c>
      <c r="AY46" s="293">
        <f t="shared" si="25"/>
        <v>0</v>
      </c>
      <c r="AZ46" s="293">
        <f t="shared" si="25"/>
        <v>0</v>
      </c>
      <c r="BA46" s="293">
        <f t="shared" si="25"/>
        <v>0</v>
      </c>
      <c r="BB46" s="293">
        <f t="shared" si="25"/>
        <v>0</v>
      </c>
      <c r="BC46" s="293">
        <f t="shared" si="25"/>
        <v>0</v>
      </c>
      <c r="BD46" s="293">
        <f t="shared" si="25"/>
        <v>0</v>
      </c>
      <c r="BE46" s="293">
        <f t="shared" si="25"/>
        <v>0</v>
      </c>
      <c r="BF46" s="293">
        <f t="shared" si="25"/>
        <v>0</v>
      </c>
      <c r="BG46" s="293">
        <f t="shared" si="25"/>
        <v>0</v>
      </c>
      <c r="BH46" s="293">
        <f t="shared" si="25"/>
        <v>0</v>
      </c>
      <c r="BI46" s="293">
        <f t="shared" si="25"/>
        <v>0</v>
      </c>
      <c r="BJ46" s="293">
        <f t="shared" si="25"/>
        <v>0</v>
      </c>
      <c r="BK46" s="293">
        <f t="shared" si="25"/>
        <v>0</v>
      </c>
      <c r="BL46" s="293">
        <f t="shared" si="25"/>
        <v>0</v>
      </c>
      <c r="BM46" s="293">
        <f t="shared" si="25"/>
        <v>0</v>
      </c>
      <c r="BN46" s="293">
        <f t="shared" si="25"/>
        <v>0</v>
      </c>
      <c r="BO46" s="294"/>
      <c r="BS46" s="219"/>
    </row>
    <row r="47" spans="1:75" s="216" customFormat="1">
      <c r="A47" s="215"/>
      <c r="B47" s="248" t="s">
        <v>150</v>
      </c>
      <c r="C47" s="214">
        <f>100%-C46</f>
        <v>0.25</v>
      </c>
      <c r="D47" s="293">
        <f>((D46/$C$46)*$C$47)</f>
        <v>0</v>
      </c>
      <c r="E47" s="293">
        <f t="shared" ref="E47:BN47" si="26">((E46/$C$46)*$C$47)</f>
        <v>0</v>
      </c>
      <c r="F47" s="293">
        <f t="shared" si="26"/>
        <v>0</v>
      </c>
      <c r="G47" s="293">
        <f t="shared" si="26"/>
        <v>0</v>
      </c>
      <c r="H47" s="293">
        <f t="shared" si="26"/>
        <v>0</v>
      </c>
      <c r="I47" s="293">
        <f t="shared" si="26"/>
        <v>0</v>
      </c>
      <c r="J47" s="293">
        <f>((J46/$C$46)*$C$47)</f>
        <v>0</v>
      </c>
      <c r="K47" s="293">
        <f>((K46/$C$46)*$C$47)</f>
        <v>0</v>
      </c>
      <c r="L47" s="293">
        <f t="shared" si="26"/>
        <v>0</v>
      </c>
      <c r="M47" s="293">
        <f t="shared" si="26"/>
        <v>0</v>
      </c>
      <c r="N47" s="293">
        <f t="shared" si="26"/>
        <v>0</v>
      </c>
      <c r="O47" s="293">
        <f t="shared" si="26"/>
        <v>0</v>
      </c>
      <c r="P47" s="293">
        <f t="shared" si="26"/>
        <v>0</v>
      </c>
      <c r="Q47" s="293">
        <f t="shared" si="26"/>
        <v>0</v>
      </c>
      <c r="R47" s="293">
        <f t="shared" si="26"/>
        <v>0</v>
      </c>
      <c r="S47" s="293">
        <f t="shared" si="26"/>
        <v>0</v>
      </c>
      <c r="T47" s="293">
        <f t="shared" si="26"/>
        <v>0</v>
      </c>
      <c r="U47" s="293">
        <f t="shared" si="26"/>
        <v>0</v>
      </c>
      <c r="V47" s="293">
        <f t="shared" si="26"/>
        <v>0</v>
      </c>
      <c r="W47" s="293">
        <f t="shared" si="26"/>
        <v>0</v>
      </c>
      <c r="X47" s="293">
        <f t="shared" si="26"/>
        <v>0</v>
      </c>
      <c r="Y47" s="293">
        <f t="shared" si="26"/>
        <v>0</v>
      </c>
      <c r="Z47" s="293">
        <f t="shared" si="26"/>
        <v>0</v>
      </c>
      <c r="AA47" s="293">
        <f t="shared" si="26"/>
        <v>0</v>
      </c>
      <c r="AB47" s="293">
        <f t="shared" si="26"/>
        <v>0</v>
      </c>
      <c r="AC47" s="293">
        <f t="shared" si="26"/>
        <v>0</v>
      </c>
      <c r="AD47" s="293">
        <f t="shared" si="26"/>
        <v>0</v>
      </c>
      <c r="AE47" s="293">
        <f t="shared" si="26"/>
        <v>0</v>
      </c>
      <c r="AF47" s="293">
        <f t="shared" si="26"/>
        <v>0</v>
      </c>
      <c r="AG47" s="293">
        <f t="shared" si="26"/>
        <v>0</v>
      </c>
      <c r="AH47" s="293">
        <f t="shared" si="26"/>
        <v>0</v>
      </c>
      <c r="AI47" s="293">
        <f t="shared" si="26"/>
        <v>0</v>
      </c>
      <c r="AJ47" s="293">
        <f t="shared" si="26"/>
        <v>0</v>
      </c>
      <c r="AK47" s="293">
        <f t="shared" si="26"/>
        <v>0</v>
      </c>
      <c r="AL47" s="293">
        <f t="shared" si="26"/>
        <v>0</v>
      </c>
      <c r="AM47" s="293">
        <f t="shared" si="26"/>
        <v>0</v>
      </c>
      <c r="AN47" s="293">
        <f t="shared" si="26"/>
        <v>0</v>
      </c>
      <c r="AO47" s="293">
        <f t="shared" si="26"/>
        <v>0</v>
      </c>
      <c r="AP47" s="293">
        <f t="shared" si="26"/>
        <v>166116.7808372677</v>
      </c>
      <c r="AQ47" s="293">
        <f t="shared" si="26"/>
        <v>0</v>
      </c>
      <c r="AR47" s="293">
        <f t="shared" si="26"/>
        <v>0</v>
      </c>
      <c r="AS47" s="293">
        <f t="shared" si="26"/>
        <v>0</v>
      </c>
      <c r="AT47" s="293">
        <f t="shared" si="26"/>
        <v>0</v>
      </c>
      <c r="AU47" s="293">
        <f t="shared" si="26"/>
        <v>0</v>
      </c>
      <c r="AV47" s="293">
        <f t="shared" si="26"/>
        <v>0</v>
      </c>
      <c r="AW47" s="293">
        <f t="shared" si="26"/>
        <v>0</v>
      </c>
      <c r="AX47" s="579">
        <f t="shared" si="26"/>
        <v>0</v>
      </c>
      <c r="AY47" s="293">
        <f t="shared" si="26"/>
        <v>0</v>
      </c>
      <c r="AZ47" s="293">
        <f t="shared" si="26"/>
        <v>0</v>
      </c>
      <c r="BA47" s="293">
        <f t="shared" si="26"/>
        <v>0</v>
      </c>
      <c r="BB47" s="293">
        <f t="shared" si="26"/>
        <v>0</v>
      </c>
      <c r="BC47" s="293">
        <f t="shared" si="26"/>
        <v>0</v>
      </c>
      <c r="BD47" s="293">
        <f t="shared" si="26"/>
        <v>0</v>
      </c>
      <c r="BE47" s="293">
        <f t="shared" si="26"/>
        <v>0</v>
      </c>
      <c r="BF47" s="293">
        <f t="shared" si="26"/>
        <v>0</v>
      </c>
      <c r="BG47" s="293">
        <f t="shared" si="26"/>
        <v>0</v>
      </c>
      <c r="BH47" s="293">
        <f t="shared" si="26"/>
        <v>0</v>
      </c>
      <c r="BI47" s="293">
        <f t="shared" si="26"/>
        <v>0</v>
      </c>
      <c r="BJ47" s="293">
        <f t="shared" si="26"/>
        <v>0</v>
      </c>
      <c r="BK47" s="293">
        <f t="shared" si="26"/>
        <v>0</v>
      </c>
      <c r="BL47" s="293">
        <f t="shared" si="26"/>
        <v>0</v>
      </c>
      <c r="BM47" s="293">
        <f t="shared" si="26"/>
        <v>0</v>
      </c>
      <c r="BN47" s="293">
        <f t="shared" si="26"/>
        <v>0</v>
      </c>
      <c r="BO47" s="294"/>
      <c r="BS47" s="219"/>
    </row>
    <row r="48" spans="1:75" s="216" customFormat="1">
      <c r="A48" s="215"/>
      <c r="B48" s="248"/>
      <c r="C48" s="214"/>
      <c r="D48" s="293"/>
      <c r="E48" s="293"/>
      <c r="F48" s="293"/>
      <c r="G48" s="293"/>
      <c r="H48" s="293"/>
      <c r="I48" s="293"/>
      <c r="J48" s="293"/>
      <c r="K48" s="293"/>
      <c r="L48" s="293"/>
      <c r="M48" s="293"/>
      <c r="N48" s="293"/>
      <c r="O48" s="293"/>
      <c r="P48" s="293"/>
      <c r="Q48" s="293"/>
      <c r="R48" s="293"/>
      <c r="S48" s="293"/>
      <c r="T48" s="293"/>
      <c r="U48" s="293"/>
      <c r="V48" s="293"/>
      <c r="W48" s="293"/>
      <c r="X48" s="293"/>
      <c r="Y48" s="293"/>
      <c r="Z48" s="293"/>
      <c r="AA48" s="293"/>
      <c r="AB48" s="293"/>
      <c r="AC48" s="293"/>
      <c r="AD48" s="293"/>
      <c r="AE48" s="293"/>
      <c r="AF48" s="293"/>
      <c r="AG48" s="293"/>
      <c r="AH48" s="293"/>
      <c r="AI48" s="293"/>
      <c r="AJ48" s="293"/>
      <c r="AK48" s="293"/>
      <c r="AL48" s="293"/>
      <c r="AM48" s="293"/>
      <c r="AN48" s="293"/>
      <c r="AO48" s="293"/>
      <c r="AP48" s="293"/>
      <c r="AQ48" s="293"/>
      <c r="AR48" s="293"/>
      <c r="AS48" s="293"/>
      <c r="AT48" s="293"/>
      <c r="AU48" s="293"/>
      <c r="AV48" s="293"/>
      <c r="AW48" s="293"/>
      <c r="AX48" s="293"/>
      <c r="AY48" s="293"/>
      <c r="AZ48" s="293"/>
      <c r="BA48" s="293"/>
      <c r="BB48" s="293"/>
      <c r="BC48" s="293"/>
      <c r="BD48" s="293"/>
      <c r="BE48" s="293"/>
      <c r="BF48" s="293"/>
      <c r="BG48" s="293"/>
      <c r="BH48" s="293"/>
      <c r="BI48" s="293"/>
      <c r="BJ48" s="293"/>
      <c r="BK48" s="293"/>
      <c r="BL48" s="293"/>
      <c r="BM48" s="293"/>
      <c r="BN48" s="293"/>
      <c r="BO48" s="294"/>
      <c r="BS48" s="219"/>
    </row>
    <row r="49" spans="1:71" s="216" customFormat="1">
      <c r="A49" s="215"/>
      <c r="B49" s="583">
        <f>SUM(D24:BN24,D27:BN27,D40:BN40,D46:BN46)/$C$5</f>
        <v>1.6968203806849749</v>
      </c>
      <c r="C49" s="214"/>
      <c r="D49" s="293"/>
      <c r="E49" s="293"/>
      <c r="F49" s="293"/>
      <c r="G49" s="293"/>
      <c r="H49" s="293"/>
      <c r="I49" s="293"/>
      <c r="J49" s="293"/>
      <c r="K49" s="293"/>
      <c r="L49" s="293"/>
      <c r="M49" s="293"/>
      <c r="N49" s="293"/>
      <c r="O49" s="293"/>
      <c r="P49" s="293"/>
      <c r="Q49" s="293"/>
      <c r="R49" s="293"/>
      <c r="S49" s="293"/>
      <c r="T49" s="293"/>
      <c r="U49" s="293"/>
      <c r="V49" s="293"/>
      <c r="W49" s="293"/>
      <c r="X49" s="293"/>
      <c r="Y49" s="293"/>
      <c r="Z49" s="293"/>
      <c r="AA49" s="293"/>
      <c r="AB49" s="293"/>
      <c r="AC49" s="293"/>
      <c r="AD49" s="293"/>
      <c r="AE49" s="293"/>
      <c r="AF49" s="293"/>
      <c r="AG49" s="293"/>
      <c r="AH49" s="293"/>
      <c r="AI49" s="293"/>
      <c r="AJ49" s="293"/>
      <c r="AK49" s="293"/>
      <c r="AL49" s="293"/>
      <c r="AM49" s="293"/>
      <c r="AN49" s="293"/>
      <c r="AO49" s="293"/>
      <c r="AP49" s="293"/>
      <c r="AQ49" s="293"/>
      <c r="AR49" s="293"/>
      <c r="AS49" s="293"/>
      <c r="AT49" s="293"/>
      <c r="AU49" s="293"/>
      <c r="AV49" s="293"/>
      <c r="AW49" s="293"/>
      <c r="AX49" s="293"/>
      <c r="AY49" s="293"/>
      <c r="AZ49" s="293"/>
      <c r="BA49" s="293"/>
      <c r="BB49" s="293"/>
      <c r="BC49" s="293"/>
      <c r="BD49" s="293"/>
      <c r="BE49" s="293"/>
      <c r="BF49" s="293"/>
      <c r="BG49" s="293"/>
      <c r="BH49" s="293"/>
      <c r="BI49" s="293"/>
      <c r="BJ49" s="293"/>
      <c r="BK49" s="293"/>
      <c r="BL49" s="293"/>
      <c r="BM49" s="293"/>
      <c r="BN49" s="293"/>
      <c r="BO49" s="294"/>
      <c r="BS49" s="219"/>
    </row>
    <row r="50" spans="1:71" s="216" customFormat="1">
      <c r="A50" s="215"/>
      <c r="B50" s="584">
        <f>IF(($C$5*$BT$7)-SUM(D24:BN24,D27:BN27,D40:BN40,D46:BN46)&lt;0,0,($C$5*$BT$7)-SUM(D24:BN24,D27:BN27,D40:BN40,D46:BN46))</f>
        <v>0</v>
      </c>
      <c r="C50" s="585"/>
      <c r="D50" s="271"/>
      <c r="E50" s="271"/>
      <c r="F50" s="271"/>
      <c r="G50" s="271"/>
      <c r="H50" s="271"/>
      <c r="I50" s="271"/>
      <c r="J50" s="271"/>
      <c r="K50" s="271"/>
      <c r="L50" s="271"/>
      <c r="M50" s="271"/>
      <c r="N50" s="271"/>
      <c r="O50" s="271"/>
      <c r="P50" s="271"/>
      <c r="Q50" s="271"/>
      <c r="R50" s="271"/>
      <c r="S50" s="271"/>
      <c r="T50" s="271"/>
      <c r="U50" s="271"/>
      <c r="V50" s="271"/>
      <c r="W50" s="271"/>
      <c r="X50" s="271"/>
      <c r="Y50" s="271"/>
      <c r="Z50" s="271"/>
      <c r="AA50" s="271"/>
      <c r="AB50" s="271"/>
      <c r="AC50" s="271"/>
      <c r="AD50" s="271"/>
      <c r="AE50" s="271"/>
      <c r="AF50" s="271"/>
      <c r="AG50" s="271"/>
      <c r="AH50" s="271"/>
      <c r="AI50" s="271"/>
      <c r="AJ50" s="271"/>
      <c r="AK50" s="271"/>
      <c r="AL50" s="271"/>
      <c r="AM50" s="271"/>
      <c r="AN50" s="271"/>
      <c r="AO50" s="271"/>
      <c r="AP50" s="271"/>
      <c r="AQ50" s="271"/>
      <c r="AR50" s="271"/>
      <c r="AS50" s="271"/>
      <c r="AT50" s="271"/>
      <c r="AU50" s="271"/>
      <c r="AV50" s="271"/>
      <c r="AW50" s="271"/>
      <c r="AX50" s="586"/>
      <c r="AY50" s="271"/>
      <c r="AZ50" s="271"/>
      <c r="BA50" s="271"/>
      <c r="BB50" s="271"/>
      <c r="BC50" s="271"/>
      <c r="BD50" s="271"/>
      <c r="BE50" s="271"/>
      <c r="BF50" s="271"/>
      <c r="BG50" s="271"/>
      <c r="BH50" s="271"/>
      <c r="BI50" s="271"/>
      <c r="BJ50" s="271"/>
      <c r="BK50" s="271"/>
      <c r="BL50" s="271"/>
      <c r="BM50" s="271"/>
      <c r="BN50" s="271"/>
      <c r="BO50" s="294"/>
      <c r="BS50" s="219"/>
    </row>
    <row r="51" spans="1:71" s="216" customFormat="1">
      <c r="A51" s="215"/>
      <c r="B51" s="587"/>
      <c r="C51" s="214"/>
      <c r="D51" s="293"/>
      <c r="E51" s="293"/>
      <c r="F51" s="293"/>
      <c r="G51" s="293"/>
      <c r="H51" s="293"/>
      <c r="I51" s="293"/>
      <c r="J51" s="293"/>
      <c r="K51" s="293"/>
      <c r="L51" s="293"/>
      <c r="M51" s="293"/>
      <c r="N51" s="293"/>
      <c r="O51" s="293"/>
      <c r="P51" s="293"/>
      <c r="Q51" s="293"/>
      <c r="R51" s="293"/>
      <c r="S51" s="293"/>
      <c r="T51" s="293"/>
      <c r="U51" s="293"/>
      <c r="V51" s="293"/>
      <c r="W51" s="293"/>
      <c r="X51" s="293"/>
      <c r="Y51" s="293"/>
      <c r="Z51" s="293"/>
      <c r="AA51" s="293"/>
      <c r="AB51" s="293"/>
      <c r="AC51" s="293"/>
      <c r="AD51" s="293"/>
      <c r="AE51" s="293"/>
      <c r="AF51" s="293"/>
      <c r="AG51" s="293"/>
      <c r="AH51" s="293"/>
      <c r="AI51" s="293"/>
      <c r="AJ51" s="293"/>
      <c r="AK51" s="293"/>
      <c r="AL51" s="293"/>
      <c r="AM51" s="293"/>
      <c r="AN51" s="293"/>
      <c r="AO51" s="293"/>
      <c r="AP51" s="293"/>
      <c r="AQ51" s="293"/>
      <c r="AR51" s="293"/>
      <c r="AS51" s="293"/>
      <c r="AT51" s="293"/>
      <c r="AU51" s="293"/>
      <c r="AV51" s="293"/>
      <c r="AW51" s="293"/>
      <c r="AX51" s="293"/>
      <c r="AY51" s="293"/>
      <c r="AZ51" s="293"/>
      <c r="BA51" s="293"/>
      <c r="BB51" s="293"/>
      <c r="BC51" s="293"/>
      <c r="BD51" s="293"/>
      <c r="BE51" s="293"/>
      <c r="BF51" s="293"/>
      <c r="BG51" s="293"/>
      <c r="BH51" s="293"/>
      <c r="BI51" s="293"/>
      <c r="BJ51" s="293"/>
      <c r="BK51" s="293"/>
      <c r="BL51" s="293"/>
      <c r="BM51" s="293"/>
      <c r="BN51" s="293"/>
      <c r="BO51" s="294"/>
      <c r="BS51" s="219"/>
    </row>
    <row r="52" spans="1:71" s="216" customFormat="1">
      <c r="A52" s="215"/>
      <c r="B52" s="588" t="s">
        <v>213</v>
      </c>
      <c r="C52" s="292" t="s">
        <v>171</v>
      </c>
      <c r="D52" s="293"/>
      <c r="E52" s="293"/>
      <c r="F52" s="293"/>
      <c r="G52" s="293"/>
      <c r="H52" s="293"/>
      <c r="I52" s="293"/>
      <c r="J52" s="293"/>
      <c r="K52" s="293"/>
      <c r="L52" s="293"/>
      <c r="M52" s="293"/>
      <c r="N52" s="293"/>
      <c r="O52" s="293"/>
      <c r="P52" s="293"/>
      <c r="Q52" s="293"/>
      <c r="R52" s="293"/>
      <c r="S52" s="293"/>
      <c r="T52" s="293"/>
      <c r="U52" s="293"/>
      <c r="V52" s="293"/>
      <c r="W52" s="293"/>
      <c r="X52" s="293"/>
      <c r="Y52" s="293"/>
      <c r="Z52" s="293"/>
      <c r="AA52" s="293"/>
      <c r="AB52" s="293"/>
      <c r="AC52" s="293"/>
      <c r="AD52" s="293"/>
      <c r="AE52" s="293"/>
      <c r="AF52" s="293"/>
      <c r="AG52" s="293"/>
      <c r="AH52" s="293"/>
      <c r="AI52" s="293"/>
      <c r="AJ52" s="293"/>
      <c r="AK52" s="293"/>
      <c r="AL52" s="293"/>
      <c r="AM52" s="293"/>
      <c r="AN52" s="293"/>
      <c r="AO52" s="293"/>
      <c r="AP52" s="293"/>
      <c r="AQ52" s="293"/>
      <c r="AR52" s="293"/>
      <c r="AS52" s="293"/>
      <c r="AT52" s="293"/>
      <c r="AU52" s="293"/>
      <c r="AV52" s="293"/>
      <c r="AW52" s="293"/>
      <c r="AX52" s="293"/>
      <c r="AY52" s="293"/>
      <c r="AZ52" s="293"/>
      <c r="BA52" s="293"/>
      <c r="BB52" s="293"/>
      <c r="BC52" s="293"/>
      <c r="BD52" s="293"/>
      <c r="BE52" s="293"/>
      <c r="BF52" s="293"/>
      <c r="BG52" s="293"/>
      <c r="BH52" s="293"/>
      <c r="BI52" s="293"/>
      <c r="BJ52" s="293"/>
      <c r="BK52" s="293"/>
      <c r="BL52" s="293"/>
      <c r="BM52" s="293"/>
      <c r="BN52" s="293"/>
      <c r="BO52" s="294"/>
      <c r="BS52" s="219"/>
    </row>
    <row r="53" spans="1:71" s="216" customFormat="1">
      <c r="A53" s="215"/>
      <c r="B53" s="584" t="str">
        <f>B46</f>
        <v>Equity</v>
      </c>
      <c r="C53" s="214">
        <f>$BQ$7</f>
        <v>0.75</v>
      </c>
      <c r="D53" s="589">
        <f>IF(AND(D6=$C$3,$B$49&lt;$BT$7),(MIN($B$50,(D32-D40-D41-D46-D47)*$C$53))+D46,D46)</f>
        <v>0</v>
      </c>
      <c r="E53" s="589">
        <f t="shared" ref="E53:BN53" si="27">IF(AND(E6=$C$3,$B$49&lt;$BT$7),(MIN($B$50,(E32-E40-E41-E46-E47)*$C$53))+E46,E46)</f>
        <v>0</v>
      </c>
      <c r="F53" s="589">
        <f t="shared" si="27"/>
        <v>0</v>
      </c>
      <c r="G53" s="589">
        <f t="shared" si="27"/>
        <v>0</v>
      </c>
      <c r="H53" s="589">
        <f t="shared" si="27"/>
        <v>0</v>
      </c>
      <c r="I53" s="589">
        <f t="shared" si="27"/>
        <v>0</v>
      </c>
      <c r="J53" s="589">
        <f t="shared" si="27"/>
        <v>0</v>
      </c>
      <c r="K53" s="589">
        <f t="shared" si="27"/>
        <v>0</v>
      </c>
      <c r="L53" s="589">
        <f t="shared" si="27"/>
        <v>0</v>
      </c>
      <c r="M53" s="589">
        <f t="shared" si="27"/>
        <v>0</v>
      </c>
      <c r="N53" s="589">
        <f t="shared" si="27"/>
        <v>0</v>
      </c>
      <c r="O53" s="589">
        <f t="shared" si="27"/>
        <v>0</v>
      </c>
      <c r="P53" s="589">
        <f t="shared" si="27"/>
        <v>0</v>
      </c>
      <c r="Q53" s="589">
        <f t="shared" si="27"/>
        <v>0</v>
      </c>
      <c r="R53" s="589">
        <f t="shared" si="27"/>
        <v>0</v>
      </c>
      <c r="S53" s="589">
        <f t="shared" si="27"/>
        <v>0</v>
      </c>
      <c r="T53" s="589">
        <f t="shared" si="27"/>
        <v>0</v>
      </c>
      <c r="U53" s="589">
        <f t="shared" si="27"/>
        <v>0</v>
      </c>
      <c r="V53" s="589">
        <f t="shared" si="27"/>
        <v>0</v>
      </c>
      <c r="W53" s="589">
        <f t="shared" si="27"/>
        <v>0</v>
      </c>
      <c r="X53" s="589">
        <f t="shared" si="27"/>
        <v>0</v>
      </c>
      <c r="Y53" s="589">
        <f t="shared" si="27"/>
        <v>0</v>
      </c>
      <c r="Z53" s="589">
        <f t="shared" si="27"/>
        <v>0</v>
      </c>
      <c r="AA53" s="589">
        <f t="shared" si="27"/>
        <v>0</v>
      </c>
      <c r="AB53" s="589">
        <f t="shared" si="27"/>
        <v>0</v>
      </c>
      <c r="AC53" s="589">
        <f t="shared" si="27"/>
        <v>0</v>
      </c>
      <c r="AD53" s="589">
        <f t="shared" si="27"/>
        <v>0</v>
      </c>
      <c r="AE53" s="589">
        <f t="shared" si="27"/>
        <v>0</v>
      </c>
      <c r="AF53" s="589">
        <f t="shared" si="27"/>
        <v>0</v>
      </c>
      <c r="AG53" s="589">
        <f t="shared" si="27"/>
        <v>0</v>
      </c>
      <c r="AH53" s="589">
        <f t="shared" si="27"/>
        <v>0</v>
      </c>
      <c r="AI53" s="589">
        <f t="shared" si="27"/>
        <v>0</v>
      </c>
      <c r="AJ53" s="589">
        <f t="shared" si="27"/>
        <v>0</v>
      </c>
      <c r="AK53" s="589">
        <f t="shared" si="27"/>
        <v>0</v>
      </c>
      <c r="AL53" s="589">
        <f t="shared" si="27"/>
        <v>0</v>
      </c>
      <c r="AM53" s="589">
        <f t="shared" si="27"/>
        <v>0</v>
      </c>
      <c r="AN53" s="589">
        <f t="shared" si="27"/>
        <v>0</v>
      </c>
      <c r="AO53" s="589">
        <f t="shared" si="27"/>
        <v>0</v>
      </c>
      <c r="AP53" s="589">
        <f t="shared" si="27"/>
        <v>498350.34251180309</v>
      </c>
      <c r="AQ53" s="589">
        <f t="shared" si="27"/>
        <v>0</v>
      </c>
      <c r="AR53" s="589">
        <f t="shared" si="27"/>
        <v>0</v>
      </c>
      <c r="AS53" s="589">
        <f t="shared" si="27"/>
        <v>0</v>
      </c>
      <c r="AT53" s="589">
        <f t="shared" si="27"/>
        <v>0</v>
      </c>
      <c r="AU53" s="589">
        <f t="shared" si="27"/>
        <v>0</v>
      </c>
      <c r="AV53" s="589">
        <f t="shared" si="27"/>
        <v>0</v>
      </c>
      <c r="AW53" s="589">
        <f t="shared" si="27"/>
        <v>0</v>
      </c>
      <c r="AX53" s="590">
        <f t="shared" si="27"/>
        <v>0</v>
      </c>
      <c r="AY53" s="589">
        <f t="shared" si="27"/>
        <v>0</v>
      </c>
      <c r="AZ53" s="589">
        <f t="shared" si="27"/>
        <v>0</v>
      </c>
      <c r="BA53" s="589">
        <f t="shared" si="27"/>
        <v>0</v>
      </c>
      <c r="BB53" s="589">
        <f t="shared" si="27"/>
        <v>0</v>
      </c>
      <c r="BC53" s="589">
        <f t="shared" si="27"/>
        <v>0</v>
      </c>
      <c r="BD53" s="589">
        <f t="shared" si="27"/>
        <v>0</v>
      </c>
      <c r="BE53" s="589">
        <f t="shared" si="27"/>
        <v>0</v>
      </c>
      <c r="BF53" s="589">
        <f t="shared" si="27"/>
        <v>0</v>
      </c>
      <c r="BG53" s="589">
        <f t="shared" si="27"/>
        <v>0</v>
      </c>
      <c r="BH53" s="589">
        <f t="shared" si="27"/>
        <v>0</v>
      </c>
      <c r="BI53" s="589">
        <f t="shared" si="27"/>
        <v>0</v>
      </c>
      <c r="BJ53" s="589">
        <f t="shared" si="27"/>
        <v>0</v>
      </c>
      <c r="BK53" s="589">
        <f t="shared" si="27"/>
        <v>0</v>
      </c>
      <c r="BL53" s="589">
        <f t="shared" si="27"/>
        <v>0</v>
      </c>
      <c r="BM53" s="589">
        <f t="shared" si="27"/>
        <v>0</v>
      </c>
      <c r="BN53" s="589">
        <f t="shared" si="27"/>
        <v>0</v>
      </c>
      <c r="BO53" s="294"/>
      <c r="BS53" s="219"/>
    </row>
    <row r="54" spans="1:71" s="216" customFormat="1">
      <c r="A54" s="215"/>
      <c r="B54" s="584" t="str">
        <f>B47</f>
        <v>Sponsor</v>
      </c>
      <c r="C54" s="214">
        <f>100%-C53</f>
        <v>0.25</v>
      </c>
      <c r="D54" s="293">
        <f t="shared" ref="D54:U54" si="28">((D53/$C$53)*$C$54)</f>
        <v>0</v>
      </c>
      <c r="E54" s="293">
        <f t="shared" si="28"/>
        <v>0</v>
      </c>
      <c r="F54" s="293">
        <f t="shared" si="28"/>
        <v>0</v>
      </c>
      <c r="G54" s="293">
        <f t="shared" si="28"/>
        <v>0</v>
      </c>
      <c r="H54" s="293">
        <f t="shared" si="28"/>
        <v>0</v>
      </c>
      <c r="I54" s="293">
        <f t="shared" si="28"/>
        <v>0</v>
      </c>
      <c r="J54" s="293">
        <f t="shared" si="28"/>
        <v>0</v>
      </c>
      <c r="K54" s="293">
        <f t="shared" si="28"/>
        <v>0</v>
      </c>
      <c r="L54" s="293">
        <f t="shared" si="28"/>
        <v>0</v>
      </c>
      <c r="M54" s="293">
        <f t="shared" si="28"/>
        <v>0</v>
      </c>
      <c r="N54" s="293">
        <f t="shared" si="28"/>
        <v>0</v>
      </c>
      <c r="O54" s="293">
        <f t="shared" si="28"/>
        <v>0</v>
      </c>
      <c r="P54" s="293">
        <f t="shared" si="28"/>
        <v>0</v>
      </c>
      <c r="Q54" s="293">
        <f t="shared" si="28"/>
        <v>0</v>
      </c>
      <c r="R54" s="293">
        <f t="shared" si="28"/>
        <v>0</v>
      </c>
      <c r="S54" s="293">
        <f t="shared" si="28"/>
        <v>0</v>
      </c>
      <c r="T54" s="293">
        <f t="shared" si="28"/>
        <v>0</v>
      </c>
      <c r="U54" s="293">
        <f t="shared" si="28"/>
        <v>0</v>
      </c>
      <c r="V54" s="293">
        <f>((V53/$C$53)*$C$54)</f>
        <v>0</v>
      </c>
      <c r="W54" s="293">
        <f t="shared" ref="W54:BN54" si="29">((W53/$C$53)*$C$54)</f>
        <v>0</v>
      </c>
      <c r="X54" s="293">
        <f t="shared" si="29"/>
        <v>0</v>
      </c>
      <c r="Y54" s="293">
        <f t="shared" si="29"/>
        <v>0</v>
      </c>
      <c r="Z54" s="293">
        <f t="shared" si="29"/>
        <v>0</v>
      </c>
      <c r="AA54" s="293">
        <f t="shared" si="29"/>
        <v>0</v>
      </c>
      <c r="AB54" s="293">
        <f t="shared" si="29"/>
        <v>0</v>
      </c>
      <c r="AC54" s="293">
        <f t="shared" si="29"/>
        <v>0</v>
      </c>
      <c r="AD54" s="293">
        <f t="shared" si="29"/>
        <v>0</v>
      </c>
      <c r="AE54" s="293">
        <f t="shared" si="29"/>
        <v>0</v>
      </c>
      <c r="AF54" s="293">
        <f t="shared" si="29"/>
        <v>0</v>
      </c>
      <c r="AG54" s="293">
        <f t="shared" si="29"/>
        <v>0</v>
      </c>
      <c r="AH54" s="293">
        <f t="shared" si="29"/>
        <v>0</v>
      </c>
      <c r="AI54" s="293">
        <f t="shared" si="29"/>
        <v>0</v>
      </c>
      <c r="AJ54" s="293">
        <f t="shared" si="29"/>
        <v>0</v>
      </c>
      <c r="AK54" s="293">
        <f t="shared" si="29"/>
        <v>0</v>
      </c>
      <c r="AL54" s="293">
        <f t="shared" si="29"/>
        <v>0</v>
      </c>
      <c r="AM54" s="293">
        <f t="shared" si="29"/>
        <v>0</v>
      </c>
      <c r="AN54" s="293">
        <f t="shared" si="29"/>
        <v>0</v>
      </c>
      <c r="AO54" s="293">
        <f t="shared" si="29"/>
        <v>0</v>
      </c>
      <c r="AP54" s="293">
        <f t="shared" si="29"/>
        <v>166116.7808372677</v>
      </c>
      <c r="AQ54" s="293">
        <f t="shared" si="29"/>
        <v>0</v>
      </c>
      <c r="AR54" s="293">
        <f t="shared" si="29"/>
        <v>0</v>
      </c>
      <c r="AS54" s="293">
        <f t="shared" si="29"/>
        <v>0</v>
      </c>
      <c r="AT54" s="293">
        <f t="shared" si="29"/>
        <v>0</v>
      </c>
      <c r="AU54" s="293">
        <f t="shared" si="29"/>
        <v>0</v>
      </c>
      <c r="AV54" s="293">
        <f t="shared" si="29"/>
        <v>0</v>
      </c>
      <c r="AW54" s="293">
        <f t="shared" si="29"/>
        <v>0</v>
      </c>
      <c r="AX54" s="579">
        <f t="shared" si="29"/>
        <v>0</v>
      </c>
      <c r="AY54" s="293">
        <f t="shared" si="29"/>
        <v>0</v>
      </c>
      <c r="AZ54" s="293">
        <f t="shared" si="29"/>
        <v>0</v>
      </c>
      <c r="BA54" s="293">
        <f t="shared" si="29"/>
        <v>0</v>
      </c>
      <c r="BB54" s="293">
        <f t="shared" si="29"/>
        <v>0</v>
      </c>
      <c r="BC54" s="293">
        <f t="shared" si="29"/>
        <v>0</v>
      </c>
      <c r="BD54" s="293">
        <f t="shared" si="29"/>
        <v>0</v>
      </c>
      <c r="BE54" s="293">
        <f t="shared" si="29"/>
        <v>0</v>
      </c>
      <c r="BF54" s="293">
        <f t="shared" si="29"/>
        <v>0</v>
      </c>
      <c r="BG54" s="293">
        <f t="shared" si="29"/>
        <v>0</v>
      </c>
      <c r="BH54" s="293">
        <f t="shared" si="29"/>
        <v>0</v>
      </c>
      <c r="BI54" s="293">
        <f t="shared" si="29"/>
        <v>0</v>
      </c>
      <c r="BJ54" s="293">
        <f t="shared" si="29"/>
        <v>0</v>
      </c>
      <c r="BK54" s="293">
        <f t="shared" si="29"/>
        <v>0</v>
      </c>
      <c r="BL54" s="293">
        <f t="shared" si="29"/>
        <v>0</v>
      </c>
      <c r="BM54" s="293">
        <f t="shared" si="29"/>
        <v>0</v>
      </c>
      <c r="BN54" s="293">
        <f t="shared" si="29"/>
        <v>0</v>
      </c>
      <c r="BO54" s="294"/>
      <c r="BS54" s="219"/>
    </row>
    <row r="55" spans="1:71" s="216" customFormat="1">
      <c r="A55" s="215"/>
      <c r="B55" s="584"/>
      <c r="C55" s="214"/>
      <c r="D55" s="293"/>
      <c r="E55" s="293"/>
      <c r="F55" s="293"/>
      <c r="G55" s="293"/>
      <c r="H55" s="293"/>
      <c r="I55" s="293"/>
      <c r="J55" s="293"/>
      <c r="K55" s="293"/>
      <c r="L55" s="293"/>
      <c r="M55" s="293"/>
      <c r="N55" s="293"/>
      <c r="O55" s="293"/>
      <c r="P55" s="293"/>
      <c r="Q55" s="293"/>
      <c r="R55" s="293"/>
      <c r="S55" s="293"/>
      <c r="T55" s="293"/>
      <c r="U55" s="293"/>
      <c r="V55" s="293"/>
      <c r="W55" s="293"/>
      <c r="X55" s="293"/>
      <c r="Y55" s="293"/>
      <c r="Z55" s="293"/>
      <c r="AA55" s="293"/>
      <c r="AB55" s="293"/>
      <c r="AC55" s="293"/>
      <c r="AD55" s="293"/>
      <c r="AE55" s="293"/>
      <c r="AF55" s="293"/>
      <c r="AG55" s="293"/>
      <c r="AH55" s="293"/>
      <c r="AI55" s="293"/>
      <c r="AJ55" s="293"/>
      <c r="AK55" s="293"/>
      <c r="AL55" s="293"/>
      <c r="AM55" s="293"/>
      <c r="AN55" s="293"/>
      <c r="AO55" s="293"/>
      <c r="AP55" s="293"/>
      <c r="AQ55" s="293"/>
      <c r="AR55" s="293"/>
      <c r="AS55" s="293"/>
      <c r="AT55" s="293"/>
      <c r="AU55" s="293"/>
      <c r="AV55" s="293"/>
      <c r="AW55" s="293"/>
      <c r="AX55" s="293"/>
      <c r="AY55" s="293"/>
      <c r="AZ55" s="293"/>
      <c r="BA55" s="293"/>
      <c r="BB55" s="293"/>
      <c r="BC55" s="293"/>
      <c r="BD55" s="293"/>
      <c r="BE55" s="293"/>
      <c r="BF55" s="293"/>
      <c r="BG55" s="293"/>
      <c r="BH55" s="293"/>
      <c r="BI55" s="293"/>
      <c r="BJ55" s="293"/>
      <c r="BK55" s="293"/>
      <c r="BL55" s="293"/>
      <c r="BM55" s="293"/>
      <c r="BN55" s="293"/>
      <c r="BO55" s="294"/>
      <c r="BS55" s="219"/>
    </row>
    <row r="56" spans="1:71" s="216" customFormat="1">
      <c r="A56" s="215"/>
      <c r="B56" s="591">
        <f>SUM(D24:BN24,D27:BN27,D40:BN40,D53:BN53)/$C$5</f>
        <v>1.6968203806849749</v>
      </c>
      <c r="BO56" s="294"/>
      <c r="BS56" s="219"/>
    </row>
    <row r="57" spans="1:71" s="216" customFormat="1">
      <c r="A57" s="215"/>
      <c r="B57" s="592">
        <f>XIRR(C57:BN57,C6:BN6)</f>
        <v>0.18493979573249819</v>
      </c>
      <c r="C57" s="593">
        <f>C7</f>
        <v>-24033944.982098967</v>
      </c>
      <c r="D57" s="593">
        <f t="shared" ref="D57:BN57" si="30">D7+D24+D27+D40+D53</f>
        <v>0</v>
      </c>
      <c r="E57" s="593">
        <f t="shared" si="30"/>
        <v>0</v>
      </c>
      <c r="F57" s="593">
        <f t="shared" si="30"/>
        <v>0</v>
      </c>
      <c r="G57" s="593">
        <f t="shared" si="30"/>
        <v>0</v>
      </c>
      <c r="H57" s="593">
        <f t="shared" si="30"/>
        <v>0</v>
      </c>
      <c r="I57" s="593">
        <f t="shared" si="30"/>
        <v>0</v>
      </c>
      <c r="J57" s="593">
        <f t="shared" si="30"/>
        <v>0</v>
      </c>
      <c r="K57" s="593">
        <f t="shared" si="30"/>
        <v>0</v>
      </c>
      <c r="L57" s="593">
        <f t="shared" si="30"/>
        <v>0</v>
      </c>
      <c r="M57" s="593">
        <f t="shared" si="30"/>
        <v>0</v>
      </c>
      <c r="N57" s="593">
        <f t="shared" si="30"/>
        <v>0</v>
      </c>
      <c r="O57" s="593">
        <f t="shared" si="30"/>
        <v>0</v>
      </c>
      <c r="P57" s="593">
        <f t="shared" si="30"/>
        <v>0</v>
      </c>
      <c r="Q57" s="593">
        <f t="shared" si="30"/>
        <v>0</v>
      </c>
      <c r="R57" s="593">
        <f t="shared" si="30"/>
        <v>0</v>
      </c>
      <c r="S57" s="593">
        <f t="shared" si="30"/>
        <v>0</v>
      </c>
      <c r="T57" s="593">
        <f t="shared" si="30"/>
        <v>0</v>
      </c>
      <c r="U57" s="593">
        <f t="shared" si="30"/>
        <v>0</v>
      </c>
      <c r="V57" s="593">
        <f t="shared" si="30"/>
        <v>0</v>
      </c>
      <c r="W57" s="593">
        <f t="shared" si="30"/>
        <v>0</v>
      </c>
      <c r="X57" s="593">
        <f t="shared" si="30"/>
        <v>55865.937070519256</v>
      </c>
      <c r="Y57" s="593">
        <f t="shared" si="30"/>
        <v>55865.937070519256</v>
      </c>
      <c r="Z57" s="593">
        <f t="shared" si="30"/>
        <v>55865.937070519256</v>
      </c>
      <c r="AA57" s="593">
        <f t="shared" si="30"/>
        <v>1567865.9370705192</v>
      </c>
      <c r="AB57" s="593">
        <f t="shared" si="30"/>
        <v>55865.937070519256</v>
      </c>
      <c r="AC57" s="593">
        <f t="shared" si="30"/>
        <v>55865.937070519256</v>
      </c>
      <c r="AD57" s="593">
        <f t="shared" si="30"/>
        <v>-1220620.9207049725</v>
      </c>
      <c r="AE57" s="593">
        <f t="shared" si="30"/>
        <v>160402.43820649723</v>
      </c>
      <c r="AF57" s="593">
        <f t="shared" si="30"/>
        <v>160402.43820649723</v>
      </c>
      <c r="AG57" s="593">
        <f t="shared" si="30"/>
        <v>160402.43820649723</v>
      </c>
      <c r="AH57" s="593">
        <f t="shared" si="30"/>
        <v>160402.43820649723</v>
      </c>
      <c r="AI57" s="593">
        <f t="shared" si="30"/>
        <v>160402.43820649723</v>
      </c>
      <c r="AJ57" s="593">
        <f t="shared" si="30"/>
        <v>174756.336958414</v>
      </c>
      <c r="AK57" s="593">
        <f t="shared" si="30"/>
        <v>174756.336958414</v>
      </c>
      <c r="AL57" s="593">
        <f t="shared" si="30"/>
        <v>174756.336958414</v>
      </c>
      <c r="AM57" s="593">
        <f t="shared" si="30"/>
        <v>174756.336958414</v>
      </c>
      <c r="AN57" s="593">
        <f t="shared" si="30"/>
        <v>174756.336958414</v>
      </c>
      <c r="AO57" s="593">
        <f t="shared" si="30"/>
        <v>174756.336958414</v>
      </c>
      <c r="AP57" s="593">
        <f t="shared" si="30"/>
        <v>38304162.759385794</v>
      </c>
      <c r="AQ57" s="593">
        <f t="shared" si="30"/>
        <v>0</v>
      </c>
      <c r="AR57" s="593">
        <f t="shared" si="30"/>
        <v>0</v>
      </c>
      <c r="AS57" s="593">
        <f t="shared" si="30"/>
        <v>0</v>
      </c>
      <c r="AT57" s="593">
        <f t="shared" si="30"/>
        <v>0</v>
      </c>
      <c r="AU57" s="593">
        <f t="shared" si="30"/>
        <v>0</v>
      </c>
      <c r="AV57" s="593">
        <f t="shared" si="30"/>
        <v>0</v>
      </c>
      <c r="AW57" s="593">
        <f t="shared" si="30"/>
        <v>0</v>
      </c>
      <c r="AX57" s="593">
        <f t="shared" si="30"/>
        <v>0</v>
      </c>
      <c r="AY57" s="593">
        <f t="shared" si="30"/>
        <v>0</v>
      </c>
      <c r="AZ57" s="593">
        <f t="shared" si="30"/>
        <v>0</v>
      </c>
      <c r="BA57" s="593">
        <f t="shared" si="30"/>
        <v>0</v>
      </c>
      <c r="BB57" s="593">
        <f t="shared" si="30"/>
        <v>0</v>
      </c>
      <c r="BC57" s="593">
        <f t="shared" si="30"/>
        <v>0</v>
      </c>
      <c r="BD57" s="593">
        <f t="shared" si="30"/>
        <v>0</v>
      </c>
      <c r="BE57" s="593">
        <f t="shared" si="30"/>
        <v>0</v>
      </c>
      <c r="BF57" s="593">
        <f t="shared" si="30"/>
        <v>0</v>
      </c>
      <c r="BG57" s="593">
        <f t="shared" si="30"/>
        <v>0</v>
      </c>
      <c r="BH57" s="593">
        <f t="shared" si="30"/>
        <v>0</v>
      </c>
      <c r="BI57" s="593">
        <f t="shared" si="30"/>
        <v>0</v>
      </c>
      <c r="BJ57" s="593">
        <f t="shared" si="30"/>
        <v>0</v>
      </c>
      <c r="BK57" s="593">
        <f t="shared" si="30"/>
        <v>0</v>
      </c>
      <c r="BL57" s="593">
        <f t="shared" si="30"/>
        <v>0</v>
      </c>
      <c r="BM57" s="593">
        <f t="shared" si="30"/>
        <v>0</v>
      </c>
      <c r="BN57" s="593">
        <f t="shared" si="30"/>
        <v>0</v>
      </c>
      <c r="BO57" s="294"/>
      <c r="BS57" s="219"/>
    </row>
    <row r="58" spans="1:71" s="216" customFormat="1">
      <c r="A58" s="215"/>
      <c r="B58" s="226"/>
      <c r="C58" s="224"/>
      <c r="D58" s="224"/>
      <c r="E58" s="224"/>
      <c r="F58" s="224"/>
      <c r="G58" s="224"/>
      <c r="H58" s="224"/>
      <c r="I58" s="224"/>
      <c r="J58" s="224"/>
      <c r="K58" s="224"/>
      <c r="L58" s="224"/>
      <c r="M58" s="224"/>
      <c r="N58" s="224"/>
      <c r="O58" s="224"/>
      <c r="P58" s="224"/>
      <c r="Q58" s="224"/>
      <c r="R58" s="224"/>
      <c r="S58" s="224"/>
      <c r="T58" s="224"/>
      <c r="U58" s="224"/>
      <c r="V58" s="224"/>
      <c r="W58" s="224"/>
      <c r="X58" s="224"/>
      <c r="Y58" s="224"/>
      <c r="Z58" s="224"/>
      <c r="AA58" s="224"/>
      <c r="AB58" s="224"/>
      <c r="AC58" s="224"/>
      <c r="AD58" s="224"/>
      <c r="AE58" s="224"/>
      <c r="AF58" s="224"/>
      <c r="AG58" s="224"/>
      <c r="AH58" s="224"/>
      <c r="AI58" s="224"/>
      <c r="AJ58" s="224"/>
      <c r="AK58" s="224"/>
      <c r="AL58" s="224"/>
      <c r="AM58" s="224"/>
      <c r="AN58" s="224"/>
      <c r="AO58" s="224"/>
      <c r="AP58" s="224"/>
      <c r="AQ58" s="224"/>
      <c r="AR58" s="224"/>
      <c r="AS58" s="224"/>
      <c r="AT58" s="224"/>
      <c r="AU58" s="224"/>
      <c r="AV58" s="224"/>
      <c r="AW58" s="224"/>
      <c r="AX58" s="224"/>
      <c r="AY58" s="224"/>
      <c r="AZ58" s="224"/>
      <c r="BA58" s="224"/>
      <c r="BB58" s="224"/>
      <c r="BC58" s="224"/>
      <c r="BD58" s="224"/>
      <c r="BE58" s="224"/>
      <c r="BF58" s="224"/>
      <c r="BG58" s="224"/>
      <c r="BH58" s="224"/>
      <c r="BI58" s="224"/>
      <c r="BJ58" s="224"/>
      <c r="BK58" s="224"/>
      <c r="BL58" s="224"/>
      <c r="BM58" s="224"/>
      <c r="BN58" s="224"/>
      <c r="BO58" s="276"/>
      <c r="BS58" s="219"/>
    </row>
    <row r="59" spans="1:71" s="216" customFormat="1">
      <c r="A59" s="215"/>
      <c r="B59" s="437" t="str">
        <f>BP8</f>
        <v>5th Priority Split (40/60)</v>
      </c>
      <c r="C59" s="438" t="s">
        <v>171</v>
      </c>
      <c r="D59" s="439"/>
      <c r="E59" s="439"/>
      <c r="F59" s="439"/>
      <c r="G59" s="439"/>
      <c r="H59" s="439"/>
      <c r="I59" s="439"/>
      <c r="J59" s="439"/>
      <c r="K59" s="439"/>
      <c r="L59" s="439"/>
      <c r="M59" s="439"/>
      <c r="N59" s="439"/>
      <c r="O59" s="439"/>
      <c r="P59" s="439"/>
      <c r="Q59" s="439"/>
      <c r="R59" s="439"/>
      <c r="S59" s="439"/>
      <c r="T59" s="439"/>
      <c r="U59" s="439"/>
      <c r="V59" s="439"/>
      <c r="W59" s="439"/>
      <c r="X59" s="439"/>
      <c r="Y59" s="439"/>
      <c r="Z59" s="439"/>
      <c r="AA59" s="439"/>
      <c r="AB59" s="439"/>
      <c r="AC59" s="439"/>
      <c r="AD59" s="439"/>
      <c r="AE59" s="439"/>
      <c r="AF59" s="439"/>
      <c r="AG59" s="439"/>
      <c r="AH59" s="439"/>
      <c r="AI59" s="439"/>
      <c r="AJ59" s="439"/>
      <c r="AK59" s="439"/>
      <c r="AL59" s="439"/>
      <c r="AM59" s="439"/>
      <c r="AN59" s="439"/>
      <c r="AO59" s="439"/>
      <c r="AP59" s="439"/>
      <c r="AQ59" s="439"/>
      <c r="AR59" s="439"/>
      <c r="AS59" s="439"/>
      <c r="AT59" s="439"/>
      <c r="AU59" s="439"/>
      <c r="AV59" s="439"/>
      <c r="AW59" s="439"/>
      <c r="AX59" s="439"/>
      <c r="AY59" s="439"/>
      <c r="AZ59" s="439"/>
      <c r="BA59" s="439"/>
      <c r="BB59" s="439"/>
      <c r="BC59" s="439"/>
      <c r="BD59" s="439"/>
      <c r="BE59" s="439"/>
      <c r="BF59" s="439"/>
      <c r="BG59" s="439"/>
      <c r="BH59" s="439"/>
      <c r="BI59" s="439"/>
      <c r="BJ59" s="439"/>
      <c r="BK59" s="439"/>
      <c r="BL59" s="439"/>
      <c r="BM59" s="439"/>
      <c r="BN59" s="440">
        <f>BN28-BN40-BN41-BN46-BN47</f>
        <v>0</v>
      </c>
      <c r="BO59" s="350"/>
      <c r="BS59" s="219"/>
    </row>
    <row r="60" spans="1:71" s="234" customFormat="1">
      <c r="A60" s="215"/>
      <c r="B60" s="564" t="s">
        <v>181</v>
      </c>
      <c r="C60" s="292"/>
      <c r="D60" s="489">
        <f>+$BQ$8*(D32-D40-D41-D53-D54)</f>
        <v>0</v>
      </c>
      <c r="E60" s="489">
        <f t="shared" ref="E60:BN60" si="31">+$BQ$8*(E32-E40-E41-E53-E54)</f>
        <v>0</v>
      </c>
      <c r="F60" s="489">
        <f t="shared" si="31"/>
        <v>0</v>
      </c>
      <c r="G60" s="489">
        <f t="shared" si="31"/>
        <v>0</v>
      </c>
      <c r="H60" s="489">
        <f t="shared" si="31"/>
        <v>0</v>
      </c>
      <c r="I60" s="489">
        <f t="shared" si="31"/>
        <v>0</v>
      </c>
      <c r="J60" s="489">
        <f t="shared" si="31"/>
        <v>0</v>
      </c>
      <c r="K60" s="489">
        <f t="shared" si="31"/>
        <v>0</v>
      </c>
      <c r="L60" s="489">
        <f t="shared" si="31"/>
        <v>0</v>
      </c>
      <c r="M60" s="489">
        <f t="shared" si="31"/>
        <v>0</v>
      </c>
      <c r="N60" s="489">
        <f t="shared" si="31"/>
        <v>0</v>
      </c>
      <c r="O60" s="489">
        <f t="shared" si="31"/>
        <v>0</v>
      </c>
      <c r="P60" s="489">
        <f t="shared" si="31"/>
        <v>0</v>
      </c>
      <c r="Q60" s="489">
        <f t="shared" si="31"/>
        <v>0</v>
      </c>
      <c r="R60" s="489">
        <f t="shared" si="31"/>
        <v>0</v>
      </c>
      <c r="S60" s="489">
        <f t="shared" si="31"/>
        <v>0</v>
      </c>
      <c r="T60" s="489">
        <f t="shared" si="31"/>
        <v>0</v>
      </c>
      <c r="U60" s="489">
        <f t="shared" si="31"/>
        <v>0</v>
      </c>
      <c r="V60" s="489">
        <f t="shared" si="31"/>
        <v>0</v>
      </c>
      <c r="W60" s="489">
        <f t="shared" si="31"/>
        <v>0</v>
      </c>
      <c r="X60" s="489">
        <f t="shared" si="31"/>
        <v>0</v>
      </c>
      <c r="Y60" s="489">
        <f t="shared" si="31"/>
        <v>0</v>
      </c>
      <c r="Z60" s="489">
        <f t="shared" si="31"/>
        <v>0</v>
      </c>
      <c r="AA60" s="489">
        <f t="shared" si="31"/>
        <v>0</v>
      </c>
      <c r="AB60" s="489">
        <f t="shared" si="31"/>
        <v>0</v>
      </c>
      <c r="AC60" s="489">
        <f t="shared" si="31"/>
        <v>0</v>
      </c>
      <c r="AD60" s="489">
        <f t="shared" si="31"/>
        <v>0</v>
      </c>
      <c r="AE60" s="489">
        <f t="shared" si="31"/>
        <v>0</v>
      </c>
      <c r="AF60" s="489">
        <f t="shared" si="31"/>
        <v>0</v>
      </c>
      <c r="AG60" s="489">
        <f t="shared" si="31"/>
        <v>0</v>
      </c>
      <c r="AH60" s="489">
        <f t="shared" si="31"/>
        <v>0</v>
      </c>
      <c r="AI60" s="489">
        <f t="shared" si="31"/>
        <v>0</v>
      </c>
      <c r="AJ60" s="489">
        <f t="shared" si="31"/>
        <v>0</v>
      </c>
      <c r="AK60" s="489">
        <f t="shared" si="31"/>
        <v>0</v>
      </c>
      <c r="AL60" s="489">
        <f t="shared" si="31"/>
        <v>0</v>
      </c>
      <c r="AM60" s="489">
        <f t="shared" si="31"/>
        <v>0</v>
      </c>
      <c r="AN60" s="489">
        <f t="shared" si="31"/>
        <v>0</v>
      </c>
      <c r="AO60" s="489">
        <f t="shared" si="31"/>
        <v>0</v>
      </c>
      <c r="AP60" s="489">
        <f t="shared" si="31"/>
        <v>0</v>
      </c>
      <c r="AQ60" s="489">
        <f t="shared" si="31"/>
        <v>0</v>
      </c>
      <c r="AR60" s="489">
        <f t="shared" si="31"/>
        <v>0</v>
      </c>
      <c r="AS60" s="489">
        <f t="shared" si="31"/>
        <v>0</v>
      </c>
      <c r="AT60" s="489">
        <f t="shared" si="31"/>
        <v>0</v>
      </c>
      <c r="AU60" s="489">
        <f t="shared" si="31"/>
        <v>0</v>
      </c>
      <c r="AV60" s="489">
        <f t="shared" si="31"/>
        <v>0</v>
      </c>
      <c r="AW60" s="489">
        <f t="shared" si="31"/>
        <v>0</v>
      </c>
      <c r="AX60" s="489">
        <f t="shared" si="31"/>
        <v>0</v>
      </c>
      <c r="AY60" s="489">
        <f t="shared" si="31"/>
        <v>0</v>
      </c>
      <c r="AZ60" s="489">
        <f t="shared" si="31"/>
        <v>0</v>
      </c>
      <c r="BA60" s="489">
        <f t="shared" si="31"/>
        <v>0</v>
      </c>
      <c r="BB60" s="489">
        <f t="shared" si="31"/>
        <v>0</v>
      </c>
      <c r="BC60" s="489">
        <f t="shared" si="31"/>
        <v>0</v>
      </c>
      <c r="BD60" s="489">
        <f t="shared" si="31"/>
        <v>0</v>
      </c>
      <c r="BE60" s="489">
        <f t="shared" si="31"/>
        <v>0</v>
      </c>
      <c r="BF60" s="489">
        <f t="shared" si="31"/>
        <v>0</v>
      </c>
      <c r="BG60" s="489">
        <f t="shared" si="31"/>
        <v>0</v>
      </c>
      <c r="BH60" s="489">
        <f t="shared" si="31"/>
        <v>0</v>
      </c>
      <c r="BI60" s="489">
        <f t="shared" si="31"/>
        <v>0</v>
      </c>
      <c r="BJ60" s="489">
        <f t="shared" si="31"/>
        <v>0</v>
      </c>
      <c r="BK60" s="489">
        <f t="shared" si="31"/>
        <v>0</v>
      </c>
      <c r="BL60" s="489">
        <f t="shared" si="31"/>
        <v>0</v>
      </c>
      <c r="BM60" s="489">
        <f t="shared" si="31"/>
        <v>0</v>
      </c>
      <c r="BN60" s="489">
        <f t="shared" si="31"/>
        <v>0</v>
      </c>
      <c r="BO60" s="565"/>
      <c r="BS60" s="566"/>
    </row>
    <row r="61" spans="1:71" s="216" customFormat="1">
      <c r="A61" s="215"/>
      <c r="B61" s="248" t="s">
        <v>41</v>
      </c>
      <c r="C61" s="214">
        <f>BQ8</f>
        <v>0.65</v>
      </c>
      <c r="D61" s="293">
        <f>D60</f>
        <v>0</v>
      </c>
      <c r="E61" s="293">
        <f>E60</f>
        <v>0</v>
      </c>
      <c r="F61" s="293">
        <f t="shared" ref="F61" si="32">F60</f>
        <v>0</v>
      </c>
      <c r="G61" s="293">
        <f>G60</f>
        <v>0</v>
      </c>
      <c r="H61" s="293">
        <f t="shared" ref="H61:BN61" si="33">H60</f>
        <v>0</v>
      </c>
      <c r="I61" s="293">
        <f t="shared" si="33"/>
        <v>0</v>
      </c>
      <c r="J61" s="293">
        <f t="shared" si="33"/>
        <v>0</v>
      </c>
      <c r="K61" s="293">
        <f t="shared" si="33"/>
        <v>0</v>
      </c>
      <c r="L61" s="293">
        <f t="shared" si="33"/>
        <v>0</v>
      </c>
      <c r="M61" s="293">
        <f t="shared" si="33"/>
        <v>0</v>
      </c>
      <c r="N61" s="293">
        <f t="shared" si="33"/>
        <v>0</v>
      </c>
      <c r="O61" s="293">
        <f t="shared" si="33"/>
        <v>0</v>
      </c>
      <c r="P61" s="293">
        <f t="shared" si="33"/>
        <v>0</v>
      </c>
      <c r="Q61" s="293">
        <f t="shared" si="33"/>
        <v>0</v>
      </c>
      <c r="R61" s="293">
        <f t="shared" si="33"/>
        <v>0</v>
      </c>
      <c r="S61" s="293">
        <f t="shared" si="33"/>
        <v>0</v>
      </c>
      <c r="T61" s="293">
        <f t="shared" si="33"/>
        <v>0</v>
      </c>
      <c r="U61" s="293">
        <f t="shared" si="33"/>
        <v>0</v>
      </c>
      <c r="V61" s="293">
        <f t="shared" si="33"/>
        <v>0</v>
      </c>
      <c r="W61" s="293">
        <f t="shared" si="33"/>
        <v>0</v>
      </c>
      <c r="X61" s="293">
        <f t="shared" si="33"/>
        <v>0</v>
      </c>
      <c r="Y61" s="293">
        <f t="shared" si="33"/>
        <v>0</v>
      </c>
      <c r="Z61" s="293">
        <f t="shared" si="33"/>
        <v>0</v>
      </c>
      <c r="AA61" s="293">
        <f t="shared" si="33"/>
        <v>0</v>
      </c>
      <c r="AB61" s="293">
        <f t="shared" si="33"/>
        <v>0</v>
      </c>
      <c r="AC61" s="293">
        <f t="shared" si="33"/>
        <v>0</v>
      </c>
      <c r="AD61" s="293">
        <f t="shared" si="33"/>
        <v>0</v>
      </c>
      <c r="AE61" s="293">
        <f t="shared" si="33"/>
        <v>0</v>
      </c>
      <c r="AF61" s="293">
        <f t="shared" si="33"/>
        <v>0</v>
      </c>
      <c r="AG61" s="293">
        <f t="shared" si="33"/>
        <v>0</v>
      </c>
      <c r="AH61" s="293">
        <f t="shared" si="33"/>
        <v>0</v>
      </c>
      <c r="AI61" s="293">
        <f t="shared" si="33"/>
        <v>0</v>
      </c>
      <c r="AJ61" s="293">
        <f t="shared" si="33"/>
        <v>0</v>
      </c>
      <c r="AK61" s="293">
        <f t="shared" si="33"/>
        <v>0</v>
      </c>
      <c r="AL61" s="293">
        <f t="shared" si="33"/>
        <v>0</v>
      </c>
      <c r="AM61" s="293">
        <f t="shared" si="33"/>
        <v>0</v>
      </c>
      <c r="AN61" s="293">
        <f t="shared" si="33"/>
        <v>0</v>
      </c>
      <c r="AO61" s="293">
        <f t="shared" si="33"/>
        <v>0</v>
      </c>
      <c r="AP61" s="293">
        <f t="shared" si="33"/>
        <v>0</v>
      </c>
      <c r="AQ61" s="293">
        <f t="shared" si="33"/>
        <v>0</v>
      </c>
      <c r="AR61" s="293">
        <f t="shared" si="33"/>
        <v>0</v>
      </c>
      <c r="AS61" s="293">
        <f t="shared" si="33"/>
        <v>0</v>
      </c>
      <c r="AT61" s="293">
        <f t="shared" si="33"/>
        <v>0</v>
      </c>
      <c r="AU61" s="293">
        <f t="shared" si="33"/>
        <v>0</v>
      </c>
      <c r="AV61" s="293">
        <f t="shared" si="33"/>
        <v>0</v>
      </c>
      <c r="AW61" s="293">
        <f t="shared" si="33"/>
        <v>0</v>
      </c>
      <c r="AX61" s="293">
        <f t="shared" si="33"/>
        <v>0</v>
      </c>
      <c r="AY61" s="293">
        <f t="shared" si="33"/>
        <v>0</v>
      </c>
      <c r="AZ61" s="293">
        <f t="shared" si="33"/>
        <v>0</v>
      </c>
      <c r="BA61" s="293">
        <f t="shared" si="33"/>
        <v>0</v>
      </c>
      <c r="BB61" s="293">
        <f t="shared" si="33"/>
        <v>0</v>
      </c>
      <c r="BC61" s="293">
        <f t="shared" si="33"/>
        <v>0</v>
      </c>
      <c r="BD61" s="293">
        <f t="shared" si="33"/>
        <v>0</v>
      </c>
      <c r="BE61" s="293">
        <f t="shared" si="33"/>
        <v>0</v>
      </c>
      <c r="BF61" s="293">
        <f t="shared" si="33"/>
        <v>0</v>
      </c>
      <c r="BG61" s="293">
        <f t="shared" si="33"/>
        <v>0</v>
      </c>
      <c r="BH61" s="293">
        <f t="shared" si="33"/>
        <v>0</v>
      </c>
      <c r="BI61" s="293">
        <f t="shared" si="33"/>
        <v>0</v>
      </c>
      <c r="BJ61" s="293">
        <f t="shared" si="33"/>
        <v>0</v>
      </c>
      <c r="BK61" s="293">
        <f t="shared" si="33"/>
        <v>0</v>
      </c>
      <c r="BL61" s="293">
        <f t="shared" si="33"/>
        <v>0</v>
      </c>
      <c r="BM61" s="293">
        <f t="shared" si="33"/>
        <v>0</v>
      </c>
      <c r="BN61" s="293">
        <f t="shared" si="33"/>
        <v>0</v>
      </c>
      <c r="BO61" s="294"/>
      <c r="BS61" s="219"/>
    </row>
    <row r="62" spans="1:71" s="216" customFormat="1" ht="15.75" thickBot="1">
      <c r="A62" s="215"/>
      <c r="B62" s="464" t="s">
        <v>150</v>
      </c>
      <c r="C62" s="465">
        <f>100%-C61</f>
        <v>0.35</v>
      </c>
      <c r="D62" s="293">
        <f>((D61/$C$61)*$C$62)</f>
        <v>0</v>
      </c>
      <c r="E62" s="293">
        <f>((E61/$C$61)*$C$62)</f>
        <v>0</v>
      </c>
      <c r="F62" s="293">
        <f t="shared" ref="F62:BN62" si="34">((F61/$C$61)*$C$62)</f>
        <v>0</v>
      </c>
      <c r="G62" s="293">
        <f t="shared" si="34"/>
        <v>0</v>
      </c>
      <c r="H62" s="293">
        <f t="shared" si="34"/>
        <v>0</v>
      </c>
      <c r="I62" s="293">
        <f t="shared" si="34"/>
        <v>0</v>
      </c>
      <c r="J62" s="293">
        <f t="shared" si="34"/>
        <v>0</v>
      </c>
      <c r="K62" s="293">
        <f t="shared" si="34"/>
        <v>0</v>
      </c>
      <c r="L62" s="293">
        <f t="shared" si="34"/>
        <v>0</v>
      </c>
      <c r="M62" s="293">
        <f t="shared" si="34"/>
        <v>0</v>
      </c>
      <c r="N62" s="293">
        <f t="shared" si="34"/>
        <v>0</v>
      </c>
      <c r="O62" s="293">
        <f t="shared" si="34"/>
        <v>0</v>
      </c>
      <c r="P62" s="293">
        <f t="shared" si="34"/>
        <v>0</v>
      </c>
      <c r="Q62" s="293">
        <f t="shared" si="34"/>
        <v>0</v>
      </c>
      <c r="R62" s="293">
        <f t="shared" si="34"/>
        <v>0</v>
      </c>
      <c r="S62" s="293">
        <f t="shared" si="34"/>
        <v>0</v>
      </c>
      <c r="T62" s="293">
        <f t="shared" si="34"/>
        <v>0</v>
      </c>
      <c r="U62" s="293">
        <f t="shared" si="34"/>
        <v>0</v>
      </c>
      <c r="V62" s="293">
        <f t="shared" si="34"/>
        <v>0</v>
      </c>
      <c r="W62" s="293">
        <f t="shared" si="34"/>
        <v>0</v>
      </c>
      <c r="X62" s="293">
        <f t="shared" si="34"/>
        <v>0</v>
      </c>
      <c r="Y62" s="293">
        <f t="shared" si="34"/>
        <v>0</v>
      </c>
      <c r="Z62" s="293">
        <f t="shared" si="34"/>
        <v>0</v>
      </c>
      <c r="AA62" s="293">
        <f t="shared" si="34"/>
        <v>0</v>
      </c>
      <c r="AB62" s="293">
        <f t="shared" si="34"/>
        <v>0</v>
      </c>
      <c r="AC62" s="293">
        <f t="shared" si="34"/>
        <v>0</v>
      </c>
      <c r="AD62" s="293">
        <f t="shared" si="34"/>
        <v>0</v>
      </c>
      <c r="AE62" s="293">
        <f t="shared" si="34"/>
        <v>0</v>
      </c>
      <c r="AF62" s="293">
        <f t="shared" si="34"/>
        <v>0</v>
      </c>
      <c r="AG62" s="293">
        <f t="shared" si="34"/>
        <v>0</v>
      </c>
      <c r="AH62" s="293">
        <f t="shared" si="34"/>
        <v>0</v>
      </c>
      <c r="AI62" s="293">
        <f t="shared" si="34"/>
        <v>0</v>
      </c>
      <c r="AJ62" s="293">
        <f t="shared" si="34"/>
        <v>0</v>
      </c>
      <c r="AK62" s="293">
        <f t="shared" si="34"/>
        <v>0</v>
      </c>
      <c r="AL62" s="293">
        <f t="shared" si="34"/>
        <v>0</v>
      </c>
      <c r="AM62" s="293">
        <f t="shared" si="34"/>
        <v>0</v>
      </c>
      <c r="AN62" s="293">
        <f t="shared" si="34"/>
        <v>0</v>
      </c>
      <c r="AO62" s="293">
        <f t="shared" si="34"/>
        <v>0</v>
      </c>
      <c r="AP62" s="293">
        <f t="shared" si="34"/>
        <v>0</v>
      </c>
      <c r="AQ62" s="293">
        <f t="shared" si="34"/>
        <v>0</v>
      </c>
      <c r="AR62" s="293">
        <f t="shared" si="34"/>
        <v>0</v>
      </c>
      <c r="AS62" s="293">
        <f t="shared" si="34"/>
        <v>0</v>
      </c>
      <c r="AT62" s="293">
        <f t="shared" si="34"/>
        <v>0</v>
      </c>
      <c r="AU62" s="293">
        <f t="shared" si="34"/>
        <v>0</v>
      </c>
      <c r="AV62" s="293">
        <f t="shared" si="34"/>
        <v>0</v>
      </c>
      <c r="AW62" s="293">
        <f t="shared" si="34"/>
        <v>0</v>
      </c>
      <c r="AX62" s="293">
        <f t="shared" si="34"/>
        <v>0</v>
      </c>
      <c r="AY62" s="293">
        <f t="shared" si="34"/>
        <v>0</v>
      </c>
      <c r="AZ62" s="293">
        <f t="shared" si="34"/>
        <v>0</v>
      </c>
      <c r="BA62" s="293">
        <f t="shared" si="34"/>
        <v>0</v>
      </c>
      <c r="BB62" s="293">
        <f t="shared" si="34"/>
        <v>0</v>
      </c>
      <c r="BC62" s="293">
        <f t="shared" si="34"/>
        <v>0</v>
      </c>
      <c r="BD62" s="293">
        <f t="shared" si="34"/>
        <v>0</v>
      </c>
      <c r="BE62" s="293">
        <f t="shared" si="34"/>
        <v>0</v>
      </c>
      <c r="BF62" s="293">
        <f t="shared" si="34"/>
        <v>0</v>
      </c>
      <c r="BG62" s="293">
        <f t="shared" si="34"/>
        <v>0</v>
      </c>
      <c r="BH62" s="293">
        <f t="shared" si="34"/>
        <v>0</v>
      </c>
      <c r="BI62" s="293">
        <f t="shared" si="34"/>
        <v>0</v>
      </c>
      <c r="BJ62" s="293">
        <f t="shared" si="34"/>
        <v>0</v>
      </c>
      <c r="BK62" s="293">
        <f t="shared" si="34"/>
        <v>0</v>
      </c>
      <c r="BL62" s="293">
        <f t="shared" si="34"/>
        <v>0</v>
      </c>
      <c r="BM62" s="293">
        <f t="shared" si="34"/>
        <v>0</v>
      </c>
      <c r="BN62" s="293">
        <f t="shared" si="34"/>
        <v>0</v>
      </c>
      <c r="BO62" s="294"/>
      <c r="BS62" s="219"/>
    </row>
    <row r="63" spans="1:71" s="216" customFormat="1">
      <c r="A63" s="215"/>
      <c r="B63" s="301"/>
      <c r="C63" s="277"/>
      <c r="D63" s="277"/>
      <c r="E63" s="277"/>
      <c r="F63" s="277"/>
      <c r="G63" s="277"/>
      <c r="H63" s="277"/>
      <c r="I63" s="277"/>
      <c r="J63" s="277"/>
      <c r="K63" s="277"/>
      <c r="L63" s="277"/>
      <c r="M63" s="277"/>
      <c r="N63" s="277"/>
      <c r="O63" s="277"/>
      <c r="P63" s="277"/>
      <c r="Q63" s="277"/>
      <c r="R63" s="277"/>
      <c r="S63" s="277"/>
      <c r="T63" s="277"/>
      <c r="U63" s="277"/>
      <c r="V63" s="277"/>
      <c r="W63" s="277"/>
      <c r="X63" s="277"/>
      <c r="Y63" s="277"/>
      <c r="Z63" s="277"/>
      <c r="AA63" s="277"/>
      <c r="AB63" s="277"/>
      <c r="AC63" s="277"/>
      <c r="AD63" s="277"/>
      <c r="AE63" s="277"/>
      <c r="AF63" s="277"/>
      <c r="AG63" s="277"/>
      <c r="AH63" s="277"/>
      <c r="AI63" s="277"/>
      <c r="AJ63" s="277"/>
      <c r="AK63" s="277"/>
      <c r="AL63" s="277"/>
      <c r="AM63" s="277"/>
      <c r="AN63" s="277"/>
      <c r="AO63" s="277"/>
      <c r="AP63" s="277"/>
      <c r="AQ63" s="277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331"/>
      <c r="BO63" s="224"/>
      <c r="BS63" s="219"/>
    </row>
    <row r="64" spans="1:71" s="216" customFormat="1">
      <c r="A64" s="215"/>
      <c r="B64" s="441" t="s">
        <v>183</v>
      </c>
      <c r="C64" s="442"/>
      <c r="D64" s="443"/>
      <c r="E64" s="443"/>
      <c r="F64" s="443"/>
      <c r="G64" s="443"/>
      <c r="H64" s="443"/>
      <c r="I64" s="443"/>
      <c r="J64" s="443"/>
      <c r="K64" s="443"/>
      <c r="L64" s="443"/>
      <c r="M64" s="443"/>
      <c r="N64" s="443"/>
      <c r="O64" s="443"/>
      <c r="P64" s="443"/>
      <c r="Q64" s="443"/>
      <c r="R64" s="443"/>
      <c r="S64" s="443"/>
      <c r="T64" s="443"/>
      <c r="U64" s="443"/>
      <c r="V64" s="443"/>
      <c r="W64" s="443"/>
      <c r="X64" s="443"/>
      <c r="Y64" s="443"/>
      <c r="Z64" s="443"/>
      <c r="AA64" s="443"/>
      <c r="AB64" s="443"/>
      <c r="AC64" s="443"/>
      <c r="AD64" s="443"/>
      <c r="AE64" s="443"/>
      <c r="AF64" s="443"/>
      <c r="AG64" s="443"/>
      <c r="AH64" s="443"/>
      <c r="AI64" s="443"/>
      <c r="AJ64" s="443"/>
      <c r="AK64" s="443"/>
      <c r="AL64" s="443"/>
      <c r="AM64" s="443"/>
      <c r="AN64" s="443"/>
      <c r="AO64" s="443"/>
      <c r="AP64" s="443"/>
      <c r="AQ64" s="443"/>
      <c r="AR64" s="443"/>
      <c r="AS64" s="443"/>
      <c r="AT64" s="443"/>
      <c r="AU64" s="443"/>
      <c r="AV64" s="443"/>
      <c r="AW64" s="443"/>
      <c r="AX64" s="443"/>
      <c r="AY64" s="443"/>
      <c r="AZ64" s="443"/>
      <c r="BA64" s="443"/>
      <c r="BB64" s="443"/>
      <c r="BC64" s="443"/>
      <c r="BD64" s="443"/>
      <c r="BE64" s="443"/>
      <c r="BF64" s="443"/>
      <c r="BG64" s="443"/>
      <c r="BH64" s="443"/>
      <c r="BI64" s="443"/>
      <c r="BJ64" s="443"/>
      <c r="BK64" s="443"/>
      <c r="BL64" s="443"/>
      <c r="BM64" s="443"/>
      <c r="BN64" s="444"/>
      <c r="BO64" s="280"/>
      <c r="BS64" s="219"/>
    </row>
    <row r="65" spans="1:71" s="216" customFormat="1">
      <c r="A65" s="215"/>
      <c r="B65" s="380" t="s">
        <v>375</v>
      </c>
      <c r="C65" s="340"/>
      <c r="D65" s="340">
        <f t="shared" ref="D65:BN65" si="35">((D24+D27)*$C$17)+(D40*$C$17)+(D53*$C$17)+(D61*$C$17)</f>
        <v>0</v>
      </c>
      <c r="E65" s="340">
        <f t="shared" si="35"/>
        <v>0</v>
      </c>
      <c r="F65" s="340">
        <f t="shared" si="35"/>
        <v>0</v>
      </c>
      <c r="G65" s="340">
        <f t="shared" si="35"/>
        <v>0</v>
      </c>
      <c r="H65" s="340">
        <f t="shared" si="35"/>
        <v>0</v>
      </c>
      <c r="I65" s="340">
        <f t="shared" si="35"/>
        <v>0</v>
      </c>
      <c r="J65" s="340">
        <f t="shared" si="35"/>
        <v>0</v>
      </c>
      <c r="K65" s="340">
        <f t="shared" si="35"/>
        <v>0</v>
      </c>
      <c r="L65" s="340">
        <f t="shared" si="35"/>
        <v>0</v>
      </c>
      <c r="M65" s="340">
        <f t="shared" si="35"/>
        <v>0</v>
      </c>
      <c r="N65" s="340">
        <f t="shared" si="35"/>
        <v>0</v>
      </c>
      <c r="O65" s="340">
        <f t="shared" si="35"/>
        <v>0</v>
      </c>
      <c r="P65" s="340">
        <f t="shared" si="35"/>
        <v>0</v>
      </c>
      <c r="Q65" s="340">
        <f t="shared" si="35"/>
        <v>0</v>
      </c>
      <c r="R65" s="340">
        <f t="shared" si="35"/>
        <v>0</v>
      </c>
      <c r="S65" s="340">
        <f t="shared" si="35"/>
        <v>0</v>
      </c>
      <c r="T65" s="340">
        <f t="shared" si="35"/>
        <v>0</v>
      </c>
      <c r="U65" s="340">
        <f t="shared" si="35"/>
        <v>0</v>
      </c>
      <c r="V65" s="340">
        <f t="shared" si="35"/>
        <v>0</v>
      </c>
      <c r="W65" s="340">
        <f t="shared" si="35"/>
        <v>0</v>
      </c>
      <c r="X65" s="340">
        <f t="shared" si="35"/>
        <v>47486.046509941363</v>
      </c>
      <c r="Y65" s="340">
        <f t="shared" si="35"/>
        <v>47486.046509941363</v>
      </c>
      <c r="Z65" s="340">
        <f t="shared" si="35"/>
        <v>47486.046509941363</v>
      </c>
      <c r="AA65" s="340">
        <f t="shared" si="35"/>
        <v>1332686.0465099413</v>
      </c>
      <c r="AB65" s="340">
        <f t="shared" si="35"/>
        <v>47486.046509941363</v>
      </c>
      <c r="AC65" s="340">
        <f t="shared" si="35"/>
        <v>47486.046509941363</v>
      </c>
      <c r="AD65" s="340">
        <f t="shared" si="35"/>
        <v>-1037527.7825992266</v>
      </c>
      <c r="AE65" s="340">
        <f t="shared" si="35"/>
        <v>136342.07247552264</v>
      </c>
      <c r="AF65" s="340">
        <f t="shared" si="35"/>
        <v>136342.07247552264</v>
      </c>
      <c r="AG65" s="340">
        <f t="shared" si="35"/>
        <v>136342.07247552264</v>
      </c>
      <c r="AH65" s="340">
        <f t="shared" si="35"/>
        <v>136342.07247552264</v>
      </c>
      <c r="AI65" s="340">
        <f t="shared" si="35"/>
        <v>136342.07247552264</v>
      </c>
      <c r="AJ65" s="340">
        <f t="shared" si="35"/>
        <v>148542.8864146519</v>
      </c>
      <c r="AK65" s="340">
        <f t="shared" si="35"/>
        <v>148542.8864146519</v>
      </c>
      <c r="AL65" s="340">
        <f t="shared" si="35"/>
        <v>148542.8864146519</v>
      </c>
      <c r="AM65" s="340">
        <f t="shared" si="35"/>
        <v>148542.8864146519</v>
      </c>
      <c r="AN65" s="340">
        <f t="shared" si="35"/>
        <v>148542.8864146519</v>
      </c>
      <c r="AO65" s="340">
        <f t="shared" si="35"/>
        <v>148542.8864146519</v>
      </c>
      <c r="AP65" s="340">
        <f t="shared" si="35"/>
        <v>32558538.345477924</v>
      </c>
      <c r="AQ65" s="340">
        <f t="shared" si="35"/>
        <v>0</v>
      </c>
      <c r="AR65" s="340">
        <f t="shared" si="35"/>
        <v>0</v>
      </c>
      <c r="AS65" s="340">
        <f t="shared" si="35"/>
        <v>0</v>
      </c>
      <c r="AT65" s="340">
        <f t="shared" si="35"/>
        <v>0</v>
      </c>
      <c r="AU65" s="340">
        <f t="shared" si="35"/>
        <v>0</v>
      </c>
      <c r="AV65" s="340">
        <f t="shared" si="35"/>
        <v>0</v>
      </c>
      <c r="AW65" s="340">
        <f t="shared" si="35"/>
        <v>0</v>
      </c>
      <c r="AX65" s="340">
        <f t="shared" si="35"/>
        <v>0</v>
      </c>
      <c r="AY65" s="340">
        <f t="shared" si="35"/>
        <v>0</v>
      </c>
      <c r="AZ65" s="340">
        <f t="shared" si="35"/>
        <v>0</v>
      </c>
      <c r="BA65" s="340">
        <f t="shared" si="35"/>
        <v>0</v>
      </c>
      <c r="BB65" s="340">
        <f t="shared" si="35"/>
        <v>0</v>
      </c>
      <c r="BC65" s="340">
        <f t="shared" si="35"/>
        <v>0</v>
      </c>
      <c r="BD65" s="340">
        <f t="shared" si="35"/>
        <v>0</v>
      </c>
      <c r="BE65" s="340">
        <f t="shared" si="35"/>
        <v>0</v>
      </c>
      <c r="BF65" s="340">
        <f t="shared" si="35"/>
        <v>0</v>
      </c>
      <c r="BG65" s="340">
        <f t="shared" si="35"/>
        <v>0</v>
      </c>
      <c r="BH65" s="340">
        <f t="shared" si="35"/>
        <v>0</v>
      </c>
      <c r="BI65" s="340">
        <f t="shared" si="35"/>
        <v>0</v>
      </c>
      <c r="BJ65" s="340">
        <f t="shared" si="35"/>
        <v>0</v>
      </c>
      <c r="BK65" s="340">
        <f t="shared" si="35"/>
        <v>0</v>
      </c>
      <c r="BL65" s="340">
        <f t="shared" si="35"/>
        <v>0</v>
      </c>
      <c r="BM65" s="340">
        <f t="shared" si="35"/>
        <v>0</v>
      </c>
      <c r="BN65" s="448">
        <f t="shared" si="35"/>
        <v>0</v>
      </c>
      <c r="BO65" s="340"/>
      <c r="BS65" s="219"/>
    </row>
    <row r="66" spans="1:71" s="216" customFormat="1">
      <c r="A66" s="215"/>
      <c r="B66" s="380" t="s">
        <v>184</v>
      </c>
      <c r="C66" s="340"/>
      <c r="D66" s="340">
        <f>((D24+D27)*$C$18)+(D40*$C$18)+D41+(D53*$C$18)+D54+(D61*$C$18)+D62+D30</f>
        <v>0</v>
      </c>
      <c r="E66" s="340">
        <f t="shared" ref="E66:BN66" si="36">((E24+E27)*$C$18)+(E40*$C$18)+E41+(E53*$C$18)+E54+(E61*$C$18)+E62+E30</f>
        <v>0</v>
      </c>
      <c r="F66" s="340">
        <f t="shared" si="36"/>
        <v>0</v>
      </c>
      <c r="G66" s="340">
        <f t="shared" si="36"/>
        <v>0</v>
      </c>
      <c r="H66" s="340">
        <f t="shared" si="36"/>
        <v>0</v>
      </c>
      <c r="I66" s="340">
        <f t="shared" si="36"/>
        <v>0</v>
      </c>
      <c r="J66" s="340">
        <f t="shared" si="36"/>
        <v>0</v>
      </c>
      <c r="K66" s="340">
        <f t="shared" si="36"/>
        <v>0</v>
      </c>
      <c r="L66" s="340">
        <f t="shared" si="36"/>
        <v>0</v>
      </c>
      <c r="M66" s="340">
        <f t="shared" si="36"/>
        <v>0</v>
      </c>
      <c r="N66" s="340">
        <f t="shared" si="36"/>
        <v>0</v>
      </c>
      <c r="O66" s="340">
        <f t="shared" si="36"/>
        <v>0</v>
      </c>
      <c r="P66" s="340">
        <f t="shared" si="36"/>
        <v>0</v>
      </c>
      <c r="Q66" s="340">
        <f t="shared" si="36"/>
        <v>0</v>
      </c>
      <c r="R66" s="340">
        <f t="shared" si="36"/>
        <v>0</v>
      </c>
      <c r="S66" s="340">
        <f t="shared" si="36"/>
        <v>0</v>
      </c>
      <c r="T66" s="340">
        <f t="shared" si="36"/>
        <v>0</v>
      </c>
      <c r="U66" s="340">
        <f t="shared" si="36"/>
        <v>0</v>
      </c>
      <c r="V66" s="340">
        <f t="shared" si="36"/>
        <v>0</v>
      </c>
      <c r="W66" s="340">
        <f t="shared" si="36"/>
        <v>0</v>
      </c>
      <c r="X66" s="340">
        <f t="shared" si="36"/>
        <v>8379.8905605778891</v>
      </c>
      <c r="Y66" s="340">
        <f t="shared" si="36"/>
        <v>8379.8905605778891</v>
      </c>
      <c r="Z66" s="340">
        <f t="shared" si="36"/>
        <v>8379.8905605778891</v>
      </c>
      <c r="AA66" s="340">
        <f t="shared" si="36"/>
        <v>235179.89056057791</v>
      </c>
      <c r="AB66" s="340">
        <f t="shared" si="36"/>
        <v>8379.8905605778891</v>
      </c>
      <c r="AC66" s="340">
        <f t="shared" si="36"/>
        <v>8379.8905605778891</v>
      </c>
      <c r="AD66" s="340">
        <f t="shared" si="36"/>
        <v>-183093.13810574589</v>
      </c>
      <c r="AE66" s="340">
        <f t="shared" si="36"/>
        <v>24060.365730974587</v>
      </c>
      <c r="AF66" s="340">
        <f t="shared" si="36"/>
        <v>24060.365730974587</v>
      </c>
      <c r="AG66" s="340">
        <f t="shared" si="36"/>
        <v>24060.365730974587</v>
      </c>
      <c r="AH66" s="340">
        <f t="shared" si="36"/>
        <v>24060.365730974587</v>
      </c>
      <c r="AI66" s="340">
        <f t="shared" si="36"/>
        <v>24060.365730974587</v>
      </c>
      <c r="AJ66" s="340">
        <f t="shared" si="36"/>
        <v>26213.450543762105</v>
      </c>
      <c r="AK66" s="340">
        <f t="shared" si="36"/>
        <v>26213.450543762105</v>
      </c>
      <c r="AL66" s="340">
        <f t="shared" si="36"/>
        <v>26213.450543762105</v>
      </c>
      <c r="AM66" s="340">
        <f t="shared" si="36"/>
        <v>26213.450543762105</v>
      </c>
      <c r="AN66" s="340">
        <f t="shared" si="36"/>
        <v>26213.450543762105</v>
      </c>
      <c r="AO66" s="340">
        <f t="shared" si="36"/>
        <v>26213.450543762105</v>
      </c>
      <c r="AP66" s="340">
        <f t="shared" si="36"/>
        <v>7400793.0300558396</v>
      </c>
      <c r="AQ66" s="340">
        <f t="shared" si="36"/>
        <v>0</v>
      </c>
      <c r="AR66" s="340">
        <f t="shared" si="36"/>
        <v>0</v>
      </c>
      <c r="AS66" s="340">
        <f t="shared" si="36"/>
        <v>0</v>
      </c>
      <c r="AT66" s="340">
        <f t="shared" si="36"/>
        <v>0</v>
      </c>
      <c r="AU66" s="340">
        <f t="shared" si="36"/>
        <v>0</v>
      </c>
      <c r="AV66" s="340">
        <f t="shared" si="36"/>
        <v>0</v>
      </c>
      <c r="AW66" s="340">
        <f t="shared" si="36"/>
        <v>0</v>
      </c>
      <c r="AX66" s="340">
        <f t="shared" si="36"/>
        <v>0</v>
      </c>
      <c r="AY66" s="340">
        <f t="shared" si="36"/>
        <v>0</v>
      </c>
      <c r="AZ66" s="340">
        <f t="shared" si="36"/>
        <v>0</v>
      </c>
      <c r="BA66" s="340">
        <f t="shared" si="36"/>
        <v>0</v>
      </c>
      <c r="BB66" s="340">
        <f t="shared" si="36"/>
        <v>0</v>
      </c>
      <c r="BC66" s="340">
        <f t="shared" si="36"/>
        <v>0</v>
      </c>
      <c r="BD66" s="340">
        <f t="shared" si="36"/>
        <v>0</v>
      </c>
      <c r="BE66" s="340">
        <f t="shared" si="36"/>
        <v>0</v>
      </c>
      <c r="BF66" s="340">
        <f t="shared" si="36"/>
        <v>0</v>
      </c>
      <c r="BG66" s="340">
        <f t="shared" si="36"/>
        <v>0</v>
      </c>
      <c r="BH66" s="340">
        <f t="shared" si="36"/>
        <v>0</v>
      </c>
      <c r="BI66" s="340">
        <f t="shared" si="36"/>
        <v>0</v>
      </c>
      <c r="BJ66" s="340">
        <f t="shared" si="36"/>
        <v>0</v>
      </c>
      <c r="BK66" s="340">
        <f t="shared" si="36"/>
        <v>0</v>
      </c>
      <c r="BL66" s="340">
        <f t="shared" si="36"/>
        <v>0</v>
      </c>
      <c r="BM66" s="340">
        <f t="shared" si="36"/>
        <v>0</v>
      </c>
      <c r="BN66" s="340">
        <f t="shared" si="36"/>
        <v>0</v>
      </c>
      <c r="BO66" s="594"/>
      <c r="BP66" s="567" t="s">
        <v>91</v>
      </c>
      <c r="BQ66" s="567" t="s">
        <v>185</v>
      </c>
      <c r="BS66" s="219"/>
    </row>
    <row r="67" spans="1:71" s="216" customFormat="1" ht="15.75" thickBot="1">
      <c r="A67" s="215"/>
      <c r="B67" s="445" t="s">
        <v>167</v>
      </c>
      <c r="C67" s="446">
        <f>C11</f>
        <v>-24033944.982098967</v>
      </c>
      <c r="D67" s="446">
        <f>SUM(D65:D66)</f>
        <v>0</v>
      </c>
      <c r="E67" s="446">
        <f>SUM(E65:E66)</f>
        <v>0</v>
      </c>
      <c r="F67" s="446">
        <f t="shared" ref="F67:BN67" si="37">SUM(F65:F66)</f>
        <v>0</v>
      </c>
      <c r="G67" s="446">
        <f t="shared" si="37"/>
        <v>0</v>
      </c>
      <c r="H67" s="446">
        <f t="shared" si="37"/>
        <v>0</v>
      </c>
      <c r="I67" s="446">
        <f t="shared" si="37"/>
        <v>0</v>
      </c>
      <c r="J67" s="446">
        <f t="shared" si="37"/>
        <v>0</v>
      </c>
      <c r="K67" s="446">
        <f t="shared" si="37"/>
        <v>0</v>
      </c>
      <c r="L67" s="446">
        <f t="shared" si="37"/>
        <v>0</v>
      </c>
      <c r="M67" s="446">
        <f t="shared" si="37"/>
        <v>0</v>
      </c>
      <c r="N67" s="446">
        <f t="shared" si="37"/>
        <v>0</v>
      </c>
      <c r="O67" s="446">
        <f t="shared" si="37"/>
        <v>0</v>
      </c>
      <c r="P67" s="446">
        <f t="shared" si="37"/>
        <v>0</v>
      </c>
      <c r="Q67" s="446">
        <v>0</v>
      </c>
      <c r="R67" s="446">
        <f t="shared" si="37"/>
        <v>0</v>
      </c>
      <c r="S67" s="446">
        <f t="shared" si="37"/>
        <v>0</v>
      </c>
      <c r="T67" s="446">
        <f t="shared" si="37"/>
        <v>0</v>
      </c>
      <c r="U67" s="446">
        <f t="shared" si="37"/>
        <v>0</v>
      </c>
      <c r="V67" s="446">
        <f t="shared" si="37"/>
        <v>0</v>
      </c>
      <c r="W67" s="446">
        <f t="shared" si="37"/>
        <v>0</v>
      </c>
      <c r="X67" s="446">
        <f t="shared" si="37"/>
        <v>55865.937070519256</v>
      </c>
      <c r="Y67" s="446">
        <f t="shared" si="37"/>
        <v>55865.937070519256</v>
      </c>
      <c r="Z67" s="446">
        <f t="shared" si="37"/>
        <v>55865.937070519256</v>
      </c>
      <c r="AA67" s="446">
        <f t="shared" si="37"/>
        <v>1567865.9370705192</v>
      </c>
      <c r="AB67" s="446">
        <f t="shared" si="37"/>
        <v>55865.937070519256</v>
      </c>
      <c r="AC67" s="446">
        <f t="shared" si="37"/>
        <v>55865.937070519256</v>
      </c>
      <c r="AD67" s="446">
        <f t="shared" si="37"/>
        <v>-1220620.9207049725</v>
      </c>
      <c r="AE67" s="446">
        <f t="shared" si="37"/>
        <v>160402.43820649723</v>
      </c>
      <c r="AF67" s="446">
        <f t="shared" si="37"/>
        <v>160402.43820649723</v>
      </c>
      <c r="AG67" s="446">
        <f t="shared" si="37"/>
        <v>160402.43820649723</v>
      </c>
      <c r="AH67" s="446">
        <f t="shared" si="37"/>
        <v>160402.43820649723</v>
      </c>
      <c r="AI67" s="446">
        <f t="shared" si="37"/>
        <v>160402.43820649723</v>
      </c>
      <c r="AJ67" s="446">
        <f t="shared" si="37"/>
        <v>174756.336958414</v>
      </c>
      <c r="AK67" s="446">
        <f t="shared" si="37"/>
        <v>174756.336958414</v>
      </c>
      <c r="AL67" s="446">
        <f t="shared" si="37"/>
        <v>174756.336958414</v>
      </c>
      <c r="AM67" s="446">
        <f t="shared" si="37"/>
        <v>174756.336958414</v>
      </c>
      <c r="AN67" s="446">
        <f t="shared" si="37"/>
        <v>174756.336958414</v>
      </c>
      <c r="AO67" s="446">
        <f t="shared" si="37"/>
        <v>174756.336958414</v>
      </c>
      <c r="AP67" s="446">
        <f t="shared" si="37"/>
        <v>39959331.37553376</v>
      </c>
      <c r="AQ67" s="446">
        <f t="shared" si="37"/>
        <v>0</v>
      </c>
      <c r="AR67" s="446">
        <f t="shared" si="37"/>
        <v>0</v>
      </c>
      <c r="AS67" s="446">
        <f t="shared" si="37"/>
        <v>0</v>
      </c>
      <c r="AT67" s="446">
        <f t="shared" si="37"/>
        <v>0</v>
      </c>
      <c r="AU67" s="446">
        <f t="shared" si="37"/>
        <v>0</v>
      </c>
      <c r="AV67" s="446">
        <f t="shared" si="37"/>
        <v>0</v>
      </c>
      <c r="AW67" s="446">
        <f t="shared" si="37"/>
        <v>0</v>
      </c>
      <c r="AX67" s="446">
        <f t="shared" si="37"/>
        <v>0</v>
      </c>
      <c r="AY67" s="446">
        <f t="shared" si="37"/>
        <v>0</v>
      </c>
      <c r="AZ67" s="446">
        <f t="shared" si="37"/>
        <v>0</v>
      </c>
      <c r="BA67" s="446">
        <f t="shared" si="37"/>
        <v>0</v>
      </c>
      <c r="BB67" s="446">
        <f t="shared" si="37"/>
        <v>0</v>
      </c>
      <c r="BC67" s="446">
        <f t="shared" si="37"/>
        <v>0</v>
      </c>
      <c r="BD67" s="446">
        <f t="shared" si="37"/>
        <v>0</v>
      </c>
      <c r="BE67" s="446">
        <f t="shared" si="37"/>
        <v>0</v>
      </c>
      <c r="BF67" s="446">
        <f>SUM(BF65:BF66)</f>
        <v>0</v>
      </c>
      <c r="BG67" s="446">
        <f t="shared" si="37"/>
        <v>0</v>
      </c>
      <c r="BH67" s="446">
        <f t="shared" si="37"/>
        <v>0</v>
      </c>
      <c r="BI67" s="446">
        <f t="shared" si="37"/>
        <v>0</v>
      </c>
      <c r="BJ67" s="446">
        <f t="shared" si="37"/>
        <v>0</v>
      </c>
      <c r="BK67" s="446">
        <f t="shared" si="37"/>
        <v>0</v>
      </c>
      <c r="BL67" s="446">
        <f t="shared" si="37"/>
        <v>0</v>
      </c>
      <c r="BM67" s="446">
        <f t="shared" si="37"/>
        <v>0</v>
      </c>
      <c r="BN67" s="446">
        <f t="shared" si="37"/>
        <v>0</v>
      </c>
      <c r="BO67" s="595"/>
      <c r="BP67" s="568">
        <f>XIRR(C67:BN67,C6:BN6)</f>
        <v>0.20005646347999576</v>
      </c>
      <c r="BQ67" s="569">
        <f>SUM(D67:BN67)/-C67</f>
        <v>1.7656883346301457</v>
      </c>
      <c r="BS67" s="219"/>
    </row>
    <row r="68" spans="1:71" s="216" customFormat="1" ht="15.75" thickTop="1">
      <c r="A68" s="215"/>
      <c r="B68" s="305"/>
      <c r="C68" s="306"/>
      <c r="D68" s="341"/>
      <c r="E68" s="341"/>
      <c r="F68" s="341"/>
      <c r="G68" s="341"/>
      <c r="H68" s="341"/>
      <c r="I68" s="341"/>
      <c r="J68" s="341"/>
      <c r="K68" s="341"/>
      <c r="L68" s="341"/>
      <c r="M68" s="341"/>
      <c r="N68" s="341"/>
      <c r="O68" s="341"/>
      <c r="P68" s="341"/>
      <c r="Q68" s="341"/>
      <c r="R68" s="341"/>
      <c r="S68" s="341"/>
      <c r="T68" s="341"/>
      <c r="U68" s="341"/>
      <c r="V68" s="341"/>
      <c r="W68" s="341"/>
      <c r="X68" s="341"/>
      <c r="Y68" s="341"/>
      <c r="Z68" s="341"/>
      <c r="AA68" s="341"/>
      <c r="AB68" s="341"/>
      <c r="AC68" s="341"/>
      <c r="AD68" s="341"/>
      <c r="AE68" s="341"/>
      <c r="AF68" s="341"/>
      <c r="AG68" s="341"/>
      <c r="AH68" s="341"/>
      <c r="AI68" s="341"/>
      <c r="AJ68" s="341"/>
      <c r="AK68" s="341"/>
      <c r="AL68" s="341"/>
      <c r="AM68" s="341"/>
      <c r="AN68" s="341"/>
      <c r="AO68" s="341"/>
      <c r="AP68" s="341"/>
      <c r="AQ68" s="341"/>
      <c r="AR68" s="341"/>
      <c r="AS68" s="341"/>
      <c r="AT68" s="341"/>
      <c r="AU68" s="341"/>
      <c r="AV68" s="341"/>
      <c r="AW68" s="341"/>
      <c r="AX68" s="341"/>
      <c r="AY68" s="341"/>
      <c r="AZ68" s="341"/>
      <c r="BA68" s="341"/>
      <c r="BB68" s="341"/>
      <c r="BC68" s="341"/>
      <c r="BD68" s="341"/>
      <c r="BE68" s="341"/>
      <c r="BF68" s="341"/>
      <c r="BG68" s="341"/>
      <c r="BH68" s="341"/>
      <c r="BI68" s="341"/>
      <c r="BJ68" s="341"/>
      <c r="BK68" s="341"/>
      <c r="BL68" s="341"/>
      <c r="BM68" s="341"/>
      <c r="BN68" s="307"/>
      <c r="BP68" s="390"/>
      <c r="BQ68" s="390"/>
      <c r="BS68" s="219"/>
    </row>
    <row r="69" spans="1:71" s="216" customFormat="1">
      <c r="A69" s="215"/>
      <c r="B69" s="305" t="s">
        <v>376</v>
      </c>
      <c r="C69" s="306"/>
      <c r="D69" s="341"/>
      <c r="E69" s="341"/>
      <c r="F69" s="341"/>
      <c r="G69" s="341"/>
      <c r="H69" s="341"/>
      <c r="I69" s="341"/>
      <c r="J69" s="341"/>
      <c r="K69" s="341"/>
      <c r="L69" s="341"/>
      <c r="M69" s="341"/>
      <c r="N69" s="341"/>
      <c r="O69" s="341"/>
      <c r="P69" s="341"/>
      <c r="Q69" s="341"/>
      <c r="R69" s="341"/>
      <c r="S69" s="341"/>
      <c r="T69" s="341"/>
      <c r="U69" s="341"/>
      <c r="V69" s="341"/>
      <c r="W69" s="341"/>
      <c r="X69" s="341"/>
      <c r="Y69" s="341"/>
      <c r="Z69" s="341"/>
      <c r="AA69" s="341"/>
      <c r="AB69" s="341"/>
      <c r="AC69" s="341"/>
      <c r="AD69" s="341"/>
      <c r="AE69" s="341"/>
      <c r="AF69" s="341"/>
      <c r="AG69" s="341"/>
      <c r="AH69" s="341"/>
      <c r="AI69" s="341"/>
      <c r="AJ69" s="341"/>
      <c r="AK69" s="341"/>
      <c r="AL69" s="341"/>
      <c r="AM69" s="341"/>
      <c r="AN69" s="341"/>
      <c r="AO69" s="341"/>
      <c r="AP69" s="341"/>
      <c r="AQ69" s="341"/>
      <c r="AR69" s="341"/>
      <c r="AS69" s="341"/>
      <c r="AT69" s="341"/>
      <c r="AU69" s="341"/>
      <c r="AV69" s="341"/>
      <c r="AW69" s="341"/>
      <c r="AX69" s="341"/>
      <c r="AY69" s="341"/>
      <c r="AZ69" s="341"/>
      <c r="BA69" s="341"/>
      <c r="BB69" s="341"/>
      <c r="BC69" s="341"/>
      <c r="BD69" s="341"/>
      <c r="BE69" s="341"/>
      <c r="BF69" s="341"/>
      <c r="BG69" s="341"/>
      <c r="BH69" s="341"/>
      <c r="BI69" s="341"/>
      <c r="BJ69" s="341"/>
      <c r="BK69" s="341"/>
      <c r="BL69" s="341"/>
      <c r="BM69" s="341"/>
      <c r="BN69" s="307"/>
      <c r="BO69" s="596"/>
      <c r="BP69" s="570" t="s">
        <v>91</v>
      </c>
      <c r="BQ69" s="570" t="s">
        <v>185</v>
      </c>
      <c r="BS69" s="219"/>
    </row>
    <row r="70" spans="1:71" s="216" customFormat="1">
      <c r="A70" s="228"/>
      <c r="B70" s="901">
        <f>C17</f>
        <v>0.85</v>
      </c>
      <c r="C70" s="473">
        <f>-D17</f>
        <v>-20428853.234784123</v>
      </c>
      <c r="D70" s="473">
        <f>D65</f>
        <v>0</v>
      </c>
      <c r="E70" s="473">
        <f>E65</f>
        <v>0</v>
      </c>
      <c r="F70" s="473">
        <f>F65</f>
        <v>0</v>
      </c>
      <c r="G70" s="473">
        <f>G65</f>
        <v>0</v>
      </c>
      <c r="H70" s="473">
        <f t="shared" ref="H70:BN70" si="38">H65</f>
        <v>0</v>
      </c>
      <c r="I70" s="473">
        <f t="shared" si="38"/>
        <v>0</v>
      </c>
      <c r="J70" s="473">
        <f t="shared" si="38"/>
        <v>0</v>
      </c>
      <c r="K70" s="473">
        <f t="shared" si="38"/>
        <v>0</v>
      </c>
      <c r="L70" s="473">
        <f t="shared" si="38"/>
        <v>0</v>
      </c>
      <c r="M70" s="473">
        <f t="shared" si="38"/>
        <v>0</v>
      </c>
      <c r="N70" s="473">
        <f t="shared" si="38"/>
        <v>0</v>
      </c>
      <c r="O70" s="473">
        <f t="shared" si="38"/>
        <v>0</v>
      </c>
      <c r="P70" s="473">
        <f t="shared" si="38"/>
        <v>0</v>
      </c>
      <c r="Q70" s="473">
        <f t="shared" si="38"/>
        <v>0</v>
      </c>
      <c r="R70" s="473">
        <f t="shared" si="38"/>
        <v>0</v>
      </c>
      <c r="S70" s="473">
        <f t="shared" si="38"/>
        <v>0</v>
      </c>
      <c r="T70" s="473">
        <f t="shared" si="38"/>
        <v>0</v>
      </c>
      <c r="U70" s="473">
        <f t="shared" si="38"/>
        <v>0</v>
      </c>
      <c r="V70" s="473">
        <f t="shared" si="38"/>
        <v>0</v>
      </c>
      <c r="W70" s="473">
        <f t="shared" si="38"/>
        <v>0</v>
      </c>
      <c r="X70" s="473">
        <f t="shared" si="38"/>
        <v>47486.046509941363</v>
      </c>
      <c r="Y70" s="473">
        <f t="shared" si="38"/>
        <v>47486.046509941363</v>
      </c>
      <c r="Z70" s="473">
        <f t="shared" si="38"/>
        <v>47486.046509941363</v>
      </c>
      <c r="AA70" s="473">
        <f t="shared" si="38"/>
        <v>1332686.0465099413</v>
      </c>
      <c r="AB70" s="473">
        <f t="shared" si="38"/>
        <v>47486.046509941363</v>
      </c>
      <c r="AC70" s="473">
        <f>AC65</f>
        <v>47486.046509941363</v>
      </c>
      <c r="AD70" s="473">
        <f t="shared" si="38"/>
        <v>-1037527.7825992266</v>
      </c>
      <c r="AE70" s="473">
        <f t="shared" si="38"/>
        <v>136342.07247552264</v>
      </c>
      <c r="AF70" s="473">
        <f t="shared" si="38"/>
        <v>136342.07247552264</v>
      </c>
      <c r="AG70" s="473">
        <f t="shared" si="38"/>
        <v>136342.07247552264</v>
      </c>
      <c r="AH70" s="473">
        <f t="shared" si="38"/>
        <v>136342.07247552264</v>
      </c>
      <c r="AI70" s="473">
        <f t="shared" si="38"/>
        <v>136342.07247552264</v>
      </c>
      <c r="AJ70" s="473">
        <f t="shared" si="38"/>
        <v>148542.8864146519</v>
      </c>
      <c r="AK70" s="473">
        <f t="shared" si="38"/>
        <v>148542.8864146519</v>
      </c>
      <c r="AL70" s="473">
        <f t="shared" si="38"/>
        <v>148542.8864146519</v>
      </c>
      <c r="AM70" s="473">
        <f t="shared" si="38"/>
        <v>148542.8864146519</v>
      </c>
      <c r="AN70" s="473">
        <f t="shared" si="38"/>
        <v>148542.8864146519</v>
      </c>
      <c r="AO70" s="473">
        <f t="shared" si="38"/>
        <v>148542.8864146519</v>
      </c>
      <c r="AP70" s="473">
        <f t="shared" si="38"/>
        <v>32558538.345477924</v>
      </c>
      <c r="AQ70" s="473">
        <f t="shared" si="38"/>
        <v>0</v>
      </c>
      <c r="AR70" s="473">
        <f t="shared" si="38"/>
        <v>0</v>
      </c>
      <c r="AS70" s="473">
        <f t="shared" si="38"/>
        <v>0</v>
      </c>
      <c r="AT70" s="473">
        <f t="shared" si="38"/>
        <v>0</v>
      </c>
      <c r="AU70" s="473">
        <f t="shared" si="38"/>
        <v>0</v>
      </c>
      <c r="AV70" s="473">
        <f t="shared" si="38"/>
        <v>0</v>
      </c>
      <c r="AW70" s="473">
        <f t="shared" si="38"/>
        <v>0</v>
      </c>
      <c r="AX70" s="473">
        <f t="shared" si="38"/>
        <v>0</v>
      </c>
      <c r="AY70" s="473">
        <f t="shared" si="38"/>
        <v>0</v>
      </c>
      <c r="AZ70" s="473">
        <f t="shared" si="38"/>
        <v>0</v>
      </c>
      <c r="BA70" s="473">
        <f t="shared" si="38"/>
        <v>0</v>
      </c>
      <c r="BB70" s="473">
        <f t="shared" si="38"/>
        <v>0</v>
      </c>
      <c r="BC70" s="473">
        <f t="shared" si="38"/>
        <v>0</v>
      </c>
      <c r="BD70" s="473">
        <f t="shared" si="38"/>
        <v>0</v>
      </c>
      <c r="BE70" s="473">
        <f t="shared" si="38"/>
        <v>0</v>
      </c>
      <c r="BF70" s="473">
        <f t="shared" si="38"/>
        <v>0</v>
      </c>
      <c r="BG70" s="473">
        <f t="shared" si="38"/>
        <v>0</v>
      </c>
      <c r="BH70" s="473">
        <f t="shared" si="38"/>
        <v>0</v>
      </c>
      <c r="BI70" s="473">
        <f t="shared" si="38"/>
        <v>0</v>
      </c>
      <c r="BJ70" s="473">
        <f t="shared" si="38"/>
        <v>0</v>
      </c>
      <c r="BK70" s="473">
        <f t="shared" si="38"/>
        <v>0</v>
      </c>
      <c r="BL70" s="473">
        <f t="shared" si="38"/>
        <v>0</v>
      </c>
      <c r="BM70" s="473">
        <f t="shared" si="38"/>
        <v>0</v>
      </c>
      <c r="BN70" s="473">
        <f t="shared" si="38"/>
        <v>0</v>
      </c>
      <c r="BO70" s="597"/>
      <c r="BP70" s="571">
        <f>XIRR(C70:BN70,C6:BN6)</f>
        <v>0.18493979573249819</v>
      </c>
      <c r="BQ70" s="572">
        <f>SUM(D70:BN70)/-C70</f>
        <v>1.6968203806849746</v>
      </c>
      <c r="BS70" s="219"/>
    </row>
    <row r="71" spans="1:71">
      <c r="A71" s="229"/>
      <c r="B71" s="308"/>
      <c r="C71" s="309"/>
      <c r="D71" s="309"/>
      <c r="E71" s="309"/>
      <c r="F71" s="309"/>
      <c r="G71" s="309"/>
      <c r="H71" s="309"/>
      <c r="I71" s="309"/>
      <c r="J71" s="309"/>
      <c r="K71" s="309"/>
      <c r="L71" s="309"/>
      <c r="M71" s="309"/>
      <c r="N71" s="309"/>
      <c r="O71" s="309"/>
      <c r="P71" s="309"/>
      <c r="Q71" s="309"/>
      <c r="R71" s="309"/>
      <c r="S71" s="309"/>
      <c r="T71" s="309"/>
      <c r="U71" s="309"/>
      <c r="V71" s="309"/>
      <c r="W71" s="309"/>
      <c r="X71" s="309"/>
      <c r="Y71" s="309"/>
      <c r="Z71" s="309"/>
      <c r="AA71" s="309"/>
      <c r="AB71" s="309"/>
      <c r="AC71" s="309"/>
      <c r="AD71" s="309"/>
      <c r="AE71" s="309"/>
      <c r="AF71" s="309"/>
      <c r="AG71" s="309"/>
      <c r="AH71" s="309"/>
      <c r="AI71" s="309"/>
      <c r="AJ71" s="309"/>
      <c r="AK71" s="309"/>
      <c r="AL71" s="309"/>
      <c r="AM71" s="309"/>
      <c r="AN71" s="309"/>
      <c r="AO71" s="309"/>
      <c r="AP71" s="309"/>
      <c r="AQ71" s="309"/>
      <c r="AR71" s="309"/>
      <c r="AS71" s="309"/>
      <c r="AT71" s="309"/>
      <c r="AU71" s="309"/>
      <c r="AV71" s="309"/>
      <c r="AW71" s="309"/>
      <c r="AX71" s="309"/>
      <c r="AY71" s="309"/>
      <c r="AZ71" s="309"/>
      <c r="BA71" s="309"/>
      <c r="BB71" s="309"/>
      <c r="BC71" s="309"/>
      <c r="BD71" s="309"/>
      <c r="BE71" s="309"/>
      <c r="BF71" s="309"/>
      <c r="BG71" s="309"/>
      <c r="BH71" s="309"/>
      <c r="BI71" s="309"/>
      <c r="BJ71" s="309"/>
      <c r="BK71" s="309"/>
      <c r="BL71" s="309"/>
      <c r="BM71" s="309"/>
      <c r="BN71" s="310"/>
      <c r="BO71" s="222"/>
      <c r="BP71" s="393"/>
      <c r="BQ71" s="394"/>
    </row>
    <row r="72" spans="1:71">
      <c r="A72" s="229"/>
      <c r="B72" s="305" t="s">
        <v>186</v>
      </c>
      <c r="C72" s="309"/>
      <c r="D72" s="309"/>
      <c r="E72" s="309"/>
      <c r="F72" s="309"/>
      <c r="G72" s="309"/>
      <c r="H72" s="309"/>
      <c r="I72" s="309"/>
      <c r="J72" s="309"/>
      <c r="K72" s="309"/>
      <c r="L72" s="309"/>
      <c r="M72" s="309"/>
      <c r="N72" s="309"/>
      <c r="O72" s="309"/>
      <c r="P72" s="309"/>
      <c r="Q72" s="309"/>
      <c r="R72" s="309"/>
      <c r="S72" s="309"/>
      <c r="T72" s="309"/>
      <c r="U72" s="309"/>
      <c r="V72" s="309"/>
      <c r="W72" s="309"/>
      <c r="X72" s="309"/>
      <c r="Y72" s="309"/>
      <c r="Z72" s="309"/>
      <c r="AA72" s="309"/>
      <c r="AB72" s="309"/>
      <c r="AC72" s="309"/>
      <c r="AD72" s="309"/>
      <c r="AE72" s="309"/>
      <c r="AF72" s="309"/>
      <c r="AG72" s="309"/>
      <c r="AH72" s="309"/>
      <c r="AI72" s="309"/>
      <c r="AJ72" s="309"/>
      <c r="AK72" s="309"/>
      <c r="AL72" s="309"/>
      <c r="AM72" s="309"/>
      <c r="AN72" s="309"/>
      <c r="AO72" s="309"/>
      <c r="AP72" s="309"/>
      <c r="AQ72" s="309"/>
      <c r="AR72" s="309"/>
      <c r="AS72" s="309"/>
      <c r="AT72" s="309"/>
      <c r="AU72" s="309"/>
      <c r="AV72" s="309"/>
      <c r="AW72" s="309"/>
      <c r="AX72" s="309"/>
      <c r="AY72" s="309"/>
      <c r="AZ72" s="309"/>
      <c r="BA72" s="309"/>
      <c r="BB72" s="309"/>
      <c r="BC72" s="309"/>
      <c r="BD72" s="309"/>
      <c r="BE72" s="309"/>
      <c r="BF72" s="309"/>
      <c r="BG72" s="309"/>
      <c r="BH72" s="309"/>
      <c r="BI72" s="309"/>
      <c r="BJ72" s="309"/>
      <c r="BK72" s="309"/>
      <c r="BL72" s="309"/>
      <c r="BM72" s="309"/>
      <c r="BN72" s="310"/>
      <c r="BO72" s="598"/>
      <c r="BP72" s="573" t="s">
        <v>91</v>
      </c>
      <c r="BQ72" s="573" t="s">
        <v>185</v>
      </c>
    </row>
    <row r="73" spans="1:71">
      <c r="A73" s="229"/>
      <c r="B73" s="475">
        <f>100%-B70</f>
        <v>0.15000000000000002</v>
      </c>
      <c r="C73" s="476">
        <f>-D18</f>
        <v>-3605091.7473148457</v>
      </c>
      <c r="D73" s="476">
        <f>D66</f>
        <v>0</v>
      </c>
      <c r="E73" s="476">
        <f>E66</f>
        <v>0</v>
      </c>
      <c r="F73" s="476">
        <f>F66</f>
        <v>0</v>
      </c>
      <c r="G73" s="476">
        <f t="shared" ref="G73:BN73" si="39">G66</f>
        <v>0</v>
      </c>
      <c r="H73" s="476">
        <f t="shared" si="39"/>
        <v>0</v>
      </c>
      <c r="I73" s="476">
        <f t="shared" si="39"/>
        <v>0</v>
      </c>
      <c r="J73" s="476">
        <f t="shared" si="39"/>
        <v>0</v>
      </c>
      <c r="K73" s="476">
        <f t="shared" si="39"/>
        <v>0</v>
      </c>
      <c r="L73" s="476">
        <f t="shared" si="39"/>
        <v>0</v>
      </c>
      <c r="M73" s="476">
        <f t="shared" si="39"/>
        <v>0</v>
      </c>
      <c r="N73" s="476">
        <f t="shared" si="39"/>
        <v>0</v>
      </c>
      <c r="O73" s="476">
        <f t="shared" si="39"/>
        <v>0</v>
      </c>
      <c r="P73" s="476">
        <f t="shared" si="39"/>
        <v>0</v>
      </c>
      <c r="Q73" s="476">
        <f>0</f>
        <v>0</v>
      </c>
      <c r="R73" s="476">
        <f t="shared" si="39"/>
        <v>0</v>
      </c>
      <c r="S73" s="476">
        <f>S66</f>
        <v>0</v>
      </c>
      <c r="T73" s="476">
        <f t="shared" si="39"/>
        <v>0</v>
      </c>
      <c r="U73" s="476">
        <f t="shared" si="39"/>
        <v>0</v>
      </c>
      <c r="V73" s="476">
        <f t="shared" si="39"/>
        <v>0</v>
      </c>
      <c r="W73" s="476">
        <f t="shared" si="39"/>
        <v>0</v>
      </c>
      <c r="X73" s="476">
        <f t="shared" si="39"/>
        <v>8379.8905605778891</v>
      </c>
      <c r="Y73" s="476">
        <f t="shared" si="39"/>
        <v>8379.8905605778891</v>
      </c>
      <c r="Z73" s="476">
        <f t="shared" si="39"/>
        <v>8379.8905605778891</v>
      </c>
      <c r="AA73" s="476">
        <f t="shared" si="39"/>
        <v>235179.89056057791</v>
      </c>
      <c r="AB73" s="476">
        <f t="shared" si="39"/>
        <v>8379.8905605778891</v>
      </c>
      <c r="AC73" s="476">
        <f>AC66</f>
        <v>8379.8905605778891</v>
      </c>
      <c r="AD73" s="476">
        <f t="shared" si="39"/>
        <v>-183093.13810574589</v>
      </c>
      <c r="AE73" s="476">
        <f t="shared" si="39"/>
        <v>24060.365730974587</v>
      </c>
      <c r="AF73" s="476">
        <f t="shared" si="39"/>
        <v>24060.365730974587</v>
      </c>
      <c r="AG73" s="476">
        <f t="shared" si="39"/>
        <v>24060.365730974587</v>
      </c>
      <c r="AH73" s="476">
        <f t="shared" si="39"/>
        <v>24060.365730974587</v>
      </c>
      <c r="AI73" s="476">
        <f t="shared" si="39"/>
        <v>24060.365730974587</v>
      </c>
      <c r="AJ73" s="476">
        <f t="shared" si="39"/>
        <v>26213.450543762105</v>
      </c>
      <c r="AK73" s="476">
        <f t="shared" si="39"/>
        <v>26213.450543762105</v>
      </c>
      <c r="AL73" s="476">
        <f t="shared" si="39"/>
        <v>26213.450543762105</v>
      </c>
      <c r="AM73" s="476">
        <f t="shared" si="39"/>
        <v>26213.450543762105</v>
      </c>
      <c r="AN73" s="476">
        <f t="shared" si="39"/>
        <v>26213.450543762105</v>
      </c>
      <c r="AO73" s="476">
        <f t="shared" si="39"/>
        <v>26213.450543762105</v>
      </c>
      <c r="AP73" s="476">
        <f t="shared" si="39"/>
        <v>7400793.0300558396</v>
      </c>
      <c r="AQ73" s="476">
        <f t="shared" si="39"/>
        <v>0</v>
      </c>
      <c r="AR73" s="476">
        <f t="shared" si="39"/>
        <v>0</v>
      </c>
      <c r="AS73" s="476">
        <f t="shared" si="39"/>
        <v>0</v>
      </c>
      <c r="AT73" s="476">
        <f t="shared" si="39"/>
        <v>0</v>
      </c>
      <c r="AU73" s="476">
        <f t="shared" si="39"/>
        <v>0</v>
      </c>
      <c r="AV73" s="476">
        <f t="shared" si="39"/>
        <v>0</v>
      </c>
      <c r="AW73" s="476">
        <f t="shared" si="39"/>
        <v>0</v>
      </c>
      <c r="AX73" s="476">
        <f t="shared" si="39"/>
        <v>0</v>
      </c>
      <c r="AY73" s="476">
        <f t="shared" si="39"/>
        <v>0</v>
      </c>
      <c r="AZ73" s="476">
        <f t="shared" si="39"/>
        <v>0</v>
      </c>
      <c r="BA73" s="476">
        <f t="shared" si="39"/>
        <v>0</v>
      </c>
      <c r="BB73" s="476">
        <f t="shared" si="39"/>
        <v>0</v>
      </c>
      <c r="BC73" s="476">
        <f t="shared" si="39"/>
        <v>0</v>
      </c>
      <c r="BD73" s="476">
        <f t="shared" si="39"/>
        <v>0</v>
      </c>
      <c r="BE73" s="476">
        <f t="shared" si="39"/>
        <v>0</v>
      </c>
      <c r="BF73" s="476">
        <f t="shared" si="39"/>
        <v>0</v>
      </c>
      <c r="BG73" s="476">
        <f t="shared" si="39"/>
        <v>0</v>
      </c>
      <c r="BH73" s="476">
        <f t="shared" si="39"/>
        <v>0</v>
      </c>
      <c r="BI73" s="476">
        <f t="shared" si="39"/>
        <v>0</v>
      </c>
      <c r="BJ73" s="476">
        <f t="shared" si="39"/>
        <v>0</v>
      </c>
      <c r="BK73" s="476">
        <f t="shared" si="39"/>
        <v>0</v>
      </c>
      <c r="BL73" s="476">
        <f t="shared" si="39"/>
        <v>0</v>
      </c>
      <c r="BM73" s="476">
        <f t="shared" si="39"/>
        <v>0</v>
      </c>
      <c r="BN73" s="476">
        <f t="shared" si="39"/>
        <v>0</v>
      </c>
      <c r="BO73" s="599"/>
      <c r="BP73" s="574">
        <f>XIRR(C73:BN73,C6:BN6)</f>
        <v>0.27872413992881773</v>
      </c>
      <c r="BQ73" s="575">
        <f>SUM(D73:BN73)/-C73</f>
        <v>2.1559400736527827</v>
      </c>
    </row>
    <row r="74" spans="1:71" s="216" customFormat="1">
      <c r="A74" s="228"/>
      <c r="B74" s="305"/>
      <c r="C74" s="311"/>
      <c r="D74" s="342"/>
      <c r="E74" s="342"/>
      <c r="F74" s="342"/>
      <c r="G74" s="342"/>
      <c r="H74" s="342"/>
      <c r="I74" s="342"/>
      <c r="J74" s="342"/>
      <c r="K74" s="342"/>
      <c r="L74" s="342"/>
      <c r="M74" s="342"/>
      <c r="N74" s="342"/>
      <c r="O74" s="342"/>
      <c r="P74" s="342"/>
      <c r="Q74" s="342"/>
      <c r="R74" s="342"/>
      <c r="S74" s="342"/>
      <c r="T74" s="342"/>
      <c r="U74" s="342"/>
      <c r="V74" s="342"/>
      <c r="W74" s="342"/>
      <c r="X74" s="342"/>
      <c r="Y74" s="342"/>
      <c r="Z74" s="342"/>
      <c r="AA74" s="342"/>
      <c r="AB74" s="342"/>
      <c r="AC74" s="342"/>
      <c r="AD74" s="342"/>
      <c r="AE74" s="342"/>
      <c r="AF74" s="342"/>
      <c r="AG74" s="342"/>
      <c r="AH74" s="342"/>
      <c r="AI74" s="342"/>
      <c r="AJ74" s="342"/>
      <c r="AK74" s="342"/>
      <c r="AL74" s="342"/>
      <c r="AM74" s="342"/>
      <c r="AN74" s="342"/>
      <c r="AO74" s="342"/>
      <c r="AP74" s="342"/>
      <c r="AQ74" s="342"/>
      <c r="AR74" s="342"/>
      <c r="AS74" s="342"/>
      <c r="AT74" s="342"/>
      <c r="AU74" s="342"/>
      <c r="AV74" s="342"/>
      <c r="AW74" s="342"/>
      <c r="AX74" s="342"/>
      <c r="AY74" s="342"/>
      <c r="AZ74" s="342"/>
      <c r="BA74" s="342"/>
      <c r="BB74" s="342"/>
      <c r="BC74" s="342"/>
      <c r="BD74" s="342"/>
      <c r="BE74" s="342"/>
      <c r="BF74" s="342"/>
      <c r="BG74" s="342"/>
      <c r="BH74" s="342"/>
      <c r="BI74" s="342"/>
      <c r="BJ74" s="342"/>
      <c r="BK74" s="342"/>
      <c r="BL74" s="342"/>
      <c r="BM74" s="342"/>
      <c r="BN74" s="312"/>
      <c r="BO74" s="313"/>
      <c r="BS74" s="219"/>
    </row>
    <row r="75" spans="1:71" s="216" customFormat="1" ht="15.75" thickBot="1">
      <c r="A75" s="215"/>
      <c r="B75" s="454" t="s">
        <v>187</v>
      </c>
      <c r="C75" s="576">
        <f>SUM(D65:BN65)+SUM(D66:BN66)</f>
        <v>42436456.290034883</v>
      </c>
      <c r="D75" s="455"/>
      <c r="E75" s="455"/>
      <c r="F75" s="455"/>
      <c r="G75" s="455"/>
      <c r="H75" s="455"/>
      <c r="I75" s="455"/>
      <c r="J75" s="455"/>
      <c r="K75" s="455"/>
      <c r="L75" s="455"/>
      <c r="M75" s="455"/>
      <c r="N75" s="455"/>
      <c r="O75" s="455"/>
      <c r="P75" s="455"/>
      <c r="Q75" s="455"/>
      <c r="R75" s="455"/>
      <c r="S75" s="455"/>
      <c r="T75" s="455"/>
      <c r="U75" s="455"/>
      <c r="V75" s="455"/>
      <c r="W75" s="455"/>
      <c r="X75" s="455"/>
      <c r="Y75" s="455"/>
      <c r="Z75" s="455"/>
      <c r="AA75" s="455"/>
      <c r="AB75" s="455"/>
      <c r="AC75" s="455"/>
      <c r="AD75" s="455"/>
      <c r="AE75" s="455"/>
      <c r="AF75" s="455"/>
      <c r="AG75" s="455"/>
      <c r="AH75" s="455"/>
      <c r="AI75" s="455"/>
      <c r="AJ75" s="455"/>
      <c r="AK75" s="455"/>
      <c r="AL75" s="455"/>
      <c r="AM75" s="455"/>
      <c r="AN75" s="455"/>
      <c r="AO75" s="455"/>
      <c r="AP75" s="455"/>
      <c r="AQ75" s="455"/>
      <c r="AR75" s="455"/>
      <c r="AS75" s="455"/>
      <c r="AT75" s="455"/>
      <c r="AU75" s="455"/>
      <c r="AV75" s="455"/>
      <c r="AW75" s="455"/>
      <c r="AX75" s="455"/>
      <c r="AY75" s="455"/>
      <c r="AZ75" s="455"/>
      <c r="BA75" s="455"/>
      <c r="BB75" s="455"/>
      <c r="BC75" s="455"/>
      <c r="BD75" s="455"/>
      <c r="BE75" s="455"/>
      <c r="BF75" s="455"/>
      <c r="BG75" s="455"/>
      <c r="BH75" s="455"/>
      <c r="BI75" s="455"/>
      <c r="BJ75" s="455"/>
      <c r="BK75" s="455"/>
      <c r="BL75" s="455"/>
      <c r="BM75" s="455"/>
      <c r="BN75" s="577"/>
      <c r="BS75" s="219"/>
    </row>
    <row r="76" spans="1:71" s="216" customFormat="1">
      <c r="A76" s="215"/>
      <c r="B76" s="230"/>
      <c r="C76" s="235"/>
      <c r="D76" s="236"/>
      <c r="E76" s="236"/>
      <c r="F76" s="236"/>
      <c r="G76" s="236"/>
      <c r="H76" s="236"/>
      <c r="I76" s="236"/>
      <c r="J76" s="236"/>
      <c r="K76" s="236"/>
      <c r="L76" s="236"/>
      <c r="M76" s="236"/>
      <c r="N76" s="236"/>
      <c r="O76" s="236"/>
      <c r="P76" s="236"/>
      <c r="Q76" s="236"/>
      <c r="R76" s="236"/>
      <c r="S76" s="236"/>
      <c r="T76" s="236"/>
      <c r="U76" s="236"/>
      <c r="V76" s="236"/>
      <c r="W76" s="236"/>
      <c r="X76" s="236"/>
      <c r="Y76" s="236"/>
      <c r="Z76" s="236"/>
      <c r="AA76" s="236"/>
      <c r="AB76" s="236"/>
      <c r="AC76" s="236"/>
      <c r="AD76" s="236"/>
      <c r="AE76" s="236"/>
      <c r="AF76" s="236"/>
      <c r="AG76" s="236"/>
      <c r="AH76" s="236"/>
      <c r="AI76" s="236"/>
      <c r="AJ76" s="236"/>
      <c r="AK76" s="236"/>
      <c r="AL76" s="236"/>
      <c r="AM76" s="236"/>
      <c r="AN76" s="236"/>
      <c r="AO76" s="236"/>
      <c r="AP76" s="236"/>
      <c r="AQ76" s="236"/>
      <c r="AR76" s="236"/>
      <c r="AS76" s="236"/>
      <c r="AT76" s="236"/>
      <c r="AU76" s="236"/>
      <c r="AV76" s="236"/>
      <c r="AW76" s="236"/>
      <c r="AX76" s="236"/>
      <c r="AY76" s="236"/>
      <c r="AZ76" s="236"/>
      <c r="BA76" s="236"/>
      <c r="BB76" s="236"/>
      <c r="BC76" s="236"/>
      <c r="BD76" s="236"/>
      <c r="BE76" s="236"/>
      <c r="BF76" s="236"/>
      <c r="BG76" s="236"/>
      <c r="BH76" s="236"/>
      <c r="BI76" s="236"/>
      <c r="BJ76" s="236"/>
      <c r="BK76" s="236"/>
      <c r="BL76" s="236"/>
      <c r="BM76" s="236"/>
      <c r="BN76" s="236"/>
      <c r="BO76" s="236"/>
      <c r="BS76" s="219"/>
    </row>
    <row r="77" spans="1:71" s="216" customFormat="1">
      <c r="A77" s="215"/>
      <c r="B77" s="238"/>
      <c r="C77" s="218"/>
      <c r="D77" s="218"/>
      <c r="E77" s="218"/>
      <c r="F77" s="218"/>
      <c r="G77" s="218"/>
      <c r="H77" s="218"/>
      <c r="I77" s="218"/>
      <c r="J77" s="218"/>
      <c r="K77" s="218"/>
      <c r="L77" s="218"/>
      <c r="M77" s="218"/>
      <c r="N77" s="218"/>
      <c r="O77" s="218"/>
      <c r="P77" s="218"/>
      <c r="Q77" s="218"/>
      <c r="R77" s="218"/>
      <c r="S77" s="218"/>
      <c r="T77" s="218"/>
      <c r="U77" s="218"/>
      <c r="V77" s="218"/>
      <c r="W77" s="218"/>
      <c r="X77" s="218"/>
      <c r="Y77" s="218"/>
      <c r="Z77" s="218"/>
      <c r="AA77" s="218"/>
      <c r="AB77" s="218"/>
      <c r="AC77" s="218"/>
      <c r="AD77" s="218"/>
      <c r="AE77" s="218"/>
      <c r="AF77" s="218"/>
      <c r="AG77" s="218"/>
      <c r="AH77" s="218"/>
      <c r="AI77" s="218"/>
      <c r="AJ77" s="218"/>
      <c r="AK77" s="218"/>
      <c r="AL77" s="218"/>
      <c r="AM77" s="218"/>
      <c r="AN77" s="218"/>
      <c r="AO77" s="218"/>
      <c r="AP77" s="218"/>
      <c r="AQ77" s="218"/>
      <c r="AR77" s="218"/>
      <c r="AS77" s="218"/>
      <c r="AT77" s="218"/>
      <c r="AU77" s="218"/>
      <c r="AV77" s="218"/>
      <c r="AW77" s="218"/>
      <c r="AX77" s="218"/>
      <c r="AY77" s="218"/>
      <c r="AZ77" s="218"/>
      <c r="BA77" s="218"/>
      <c r="BB77" s="218"/>
      <c r="BC77" s="218"/>
      <c r="BD77" s="218"/>
      <c r="BE77" s="218"/>
      <c r="BF77" s="218"/>
      <c r="BG77" s="218"/>
      <c r="BH77" s="218"/>
      <c r="BI77" s="218"/>
      <c r="BJ77" s="218"/>
      <c r="BK77" s="218"/>
      <c r="BL77" s="218"/>
      <c r="BM77" s="218"/>
      <c r="BN77" s="218"/>
      <c r="BO77" s="218"/>
      <c r="BS77" s="219"/>
    </row>
    <row r="78" spans="1:71">
      <c r="C78" s="239"/>
      <c r="BO78" s="240"/>
    </row>
    <row r="79" spans="1:71">
      <c r="B79" s="238"/>
    </row>
  </sheetData>
  <mergeCells count="3">
    <mergeCell ref="D16:E16"/>
    <mergeCell ref="D17:E17"/>
    <mergeCell ref="D18:E18"/>
  </mergeCells>
  <conditionalFormatting sqref="C7:BN10">
    <cfRule type="cellIs" dxfId="72" priority="6" operator="equal">
      <formula>0</formula>
    </cfRule>
  </conditionalFormatting>
  <conditionalFormatting sqref="B49">
    <cfRule type="cellIs" dxfId="71" priority="3" operator="equal">
      <formula>$BT$7</formula>
    </cfRule>
    <cfRule type="cellIs" dxfId="70" priority="4" operator="greaterThan">
      <formula>$BT$7</formula>
    </cfRule>
    <cfRule type="cellIs" dxfId="69" priority="5" operator="lessThan">
      <formula>$BT$7</formula>
    </cfRule>
  </conditionalFormatting>
  <conditionalFormatting sqref="B56">
    <cfRule type="cellIs" dxfId="68" priority="1" operator="greaterThan">
      <formula>$BT$7</formula>
    </cfRule>
    <cfRule type="cellIs" dxfId="67" priority="2" operator="equal">
      <formula>$BT$7</formula>
    </cfRule>
  </conditionalFormatting>
  <pageMargins left="0.7" right="0.7" top="0.75" bottom="0.75" header="0.3" footer="0.3"/>
  <pageSetup scale="41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>
    <tabColor rgb="FF00B050"/>
  </sheetPr>
  <dimension ref="A1:BW94"/>
  <sheetViews>
    <sheetView showGridLines="0" zoomScale="75" zoomScaleNormal="75" workbookViewId="0">
      <pane xSplit="2" ySplit="6" topLeftCell="C48" activePane="bottomRight" state="frozen"/>
      <selection activeCell="B32" sqref="B32"/>
      <selection pane="topRight" activeCell="B32" sqref="B32"/>
      <selection pane="bottomLeft" activeCell="B32" sqref="B32"/>
      <selection pane="bottomRight" activeCell="BP67" sqref="BP67"/>
    </sheetView>
  </sheetViews>
  <sheetFormatPr defaultColWidth="9.140625" defaultRowHeight="15"/>
  <cols>
    <col min="1" max="1" width="6.28515625" style="210" customWidth="1"/>
    <col min="2" max="2" width="64.28515625" style="211" customWidth="1"/>
    <col min="3" max="3" width="13.85546875" style="211" bestFit="1" customWidth="1"/>
    <col min="4" max="39" width="12.7109375" style="211" customWidth="1"/>
    <col min="40" max="40" width="13.28515625" style="211" customWidth="1"/>
    <col min="41" max="45" width="12.7109375" style="211" customWidth="1"/>
    <col min="46" max="47" width="13.28515625" style="211" bestFit="1" customWidth="1"/>
    <col min="48" max="53" width="12.7109375" style="211" customWidth="1"/>
    <col min="54" max="54" width="13.28515625" style="211" customWidth="1"/>
    <col min="55" max="65" width="12.7109375" style="211" customWidth="1"/>
    <col min="66" max="66" width="15.42578125" style="211" customWidth="1"/>
    <col min="67" max="67" width="3.85546875" style="211" customWidth="1"/>
    <col min="68" max="68" width="30.140625" style="212" customWidth="1"/>
    <col min="69" max="69" width="14.5703125" style="212" customWidth="1"/>
    <col min="70" max="70" width="13.85546875" style="212" customWidth="1"/>
    <col min="71" max="71" width="15.42578125" style="213" customWidth="1"/>
    <col min="72" max="72" width="14.28515625" style="212" customWidth="1"/>
    <col min="73" max="73" width="13.5703125" style="212" customWidth="1"/>
    <col min="74" max="74" width="14.42578125" style="212" customWidth="1"/>
    <col min="75" max="16384" width="9.140625" style="212"/>
  </cols>
  <sheetData>
    <row r="1" spans="1:75" ht="15.75" thickBot="1"/>
    <row r="2" spans="1:75" ht="15.75" thickBot="1">
      <c r="B2" s="315" t="s">
        <v>188</v>
      </c>
      <c r="C2" s="314"/>
      <c r="D2" s="314"/>
      <c r="E2" s="314"/>
      <c r="F2" s="314"/>
      <c r="G2" s="314"/>
      <c r="H2" s="314"/>
      <c r="I2" s="314"/>
      <c r="J2" s="314"/>
      <c r="K2" s="314"/>
      <c r="L2" s="314"/>
      <c r="M2" s="314"/>
      <c r="N2" s="314"/>
      <c r="O2" s="314"/>
      <c r="P2" s="314"/>
      <c r="Q2" s="314"/>
      <c r="R2" s="314"/>
      <c r="S2" s="314"/>
      <c r="T2" s="314"/>
      <c r="U2" s="314"/>
      <c r="V2" s="314"/>
      <c r="W2" s="314"/>
      <c r="X2" s="314"/>
      <c r="Y2" s="314"/>
      <c r="Z2" s="314"/>
      <c r="AA2" s="314"/>
      <c r="AB2" s="314"/>
      <c r="AC2" s="314"/>
      <c r="AD2" s="314"/>
      <c r="AE2" s="314"/>
      <c r="AF2" s="314"/>
      <c r="AG2" s="314"/>
      <c r="AH2" s="314"/>
      <c r="AI2" s="314"/>
      <c r="AJ2" s="314"/>
      <c r="AK2" s="314"/>
      <c r="AL2" s="314"/>
      <c r="AM2" s="314"/>
      <c r="AN2" s="314"/>
      <c r="AO2" s="314"/>
      <c r="AP2" s="314"/>
      <c r="AQ2" s="314"/>
      <c r="AR2" s="314"/>
      <c r="AS2" s="314"/>
      <c r="AT2" s="314"/>
      <c r="AU2" s="314"/>
      <c r="AV2" s="314"/>
      <c r="AW2" s="314"/>
      <c r="AX2" s="314"/>
      <c r="AY2" s="314"/>
      <c r="AZ2" s="314"/>
      <c r="BA2" s="314"/>
      <c r="BB2" s="314"/>
      <c r="BC2" s="314"/>
      <c r="BD2" s="314"/>
      <c r="BE2" s="314"/>
      <c r="BF2" s="314"/>
      <c r="BG2" s="314"/>
      <c r="BH2" s="314"/>
      <c r="BI2" s="314"/>
      <c r="BJ2" s="314"/>
      <c r="BK2" s="314"/>
      <c r="BL2" s="314"/>
      <c r="BM2" s="314"/>
      <c r="BN2" s="314"/>
      <c r="BO2" s="242"/>
      <c r="BP2" s="359" t="s">
        <v>189</v>
      </c>
      <c r="BQ2" s="360"/>
      <c r="BR2" s="360"/>
      <c r="BS2" s="547"/>
      <c r="BT2" s="361"/>
    </row>
    <row r="3" spans="1:75">
      <c r="B3" s="226" t="s">
        <v>89</v>
      </c>
      <c r="C3" s="548">
        <f>+'Property Level Return Calcs'!C34</f>
        <v>47178</v>
      </c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  <c r="AF3" s="241"/>
      <c r="AG3" s="241"/>
      <c r="AH3" s="241"/>
      <c r="AI3" s="241"/>
      <c r="AJ3" s="241"/>
      <c r="AK3" s="241"/>
      <c r="AL3" s="241"/>
      <c r="AM3" s="241"/>
      <c r="AN3" s="241"/>
      <c r="AO3" s="241"/>
      <c r="AP3" s="241"/>
      <c r="AQ3" s="241"/>
      <c r="AR3" s="241"/>
      <c r="AS3" s="241"/>
      <c r="AT3" s="241"/>
      <c r="AU3" s="241"/>
      <c r="AV3" s="241"/>
      <c r="AW3" s="241"/>
      <c r="AX3" s="241"/>
      <c r="AY3" s="241"/>
      <c r="AZ3" s="241"/>
      <c r="BA3" s="241"/>
      <c r="BB3" s="241"/>
      <c r="BC3" s="241"/>
      <c r="BD3" s="241"/>
      <c r="BE3" s="241"/>
      <c r="BF3" s="241"/>
      <c r="BG3" s="241"/>
      <c r="BH3" s="241"/>
      <c r="BI3" s="241"/>
      <c r="BJ3" s="241"/>
      <c r="BK3" s="241"/>
      <c r="BL3" s="241"/>
      <c r="BO3" s="242"/>
      <c r="BP3" s="362"/>
      <c r="BQ3" s="356" t="s">
        <v>190</v>
      </c>
      <c r="BR3" s="356" t="s">
        <v>191</v>
      </c>
      <c r="BS3" s="549" t="s">
        <v>47</v>
      </c>
      <c r="BT3" s="363" t="s">
        <v>206</v>
      </c>
      <c r="BV3" s="216" t="s">
        <v>203</v>
      </c>
      <c r="BW3" s="216" t="s">
        <v>207</v>
      </c>
    </row>
    <row r="4" spans="1:75">
      <c r="B4" s="316" t="s">
        <v>81</v>
      </c>
      <c r="C4" s="550">
        <f>+'Property Level Return Calcs'!C35</f>
        <v>4.166666666666667</v>
      </c>
      <c r="D4" s="244"/>
      <c r="E4" s="244"/>
      <c r="F4" s="244"/>
      <c r="G4" s="244"/>
      <c r="H4" s="244"/>
      <c r="I4" s="244"/>
      <c r="J4" s="244"/>
      <c r="K4" s="244"/>
      <c r="L4" s="244"/>
      <c r="M4" s="244"/>
      <c r="N4" s="244"/>
      <c r="O4" s="244"/>
      <c r="P4" s="244"/>
      <c r="Q4" s="244"/>
      <c r="R4" s="244"/>
      <c r="S4" s="244"/>
      <c r="T4" s="244"/>
      <c r="U4" s="244"/>
      <c r="V4" s="244"/>
      <c r="W4" s="244"/>
      <c r="X4" s="244"/>
      <c r="Y4" s="244"/>
      <c r="Z4" s="244"/>
      <c r="AA4" s="244"/>
      <c r="AB4" s="244"/>
      <c r="AC4" s="244"/>
      <c r="AD4" s="244"/>
      <c r="AE4" s="244"/>
      <c r="AF4" s="244"/>
      <c r="AG4" s="244"/>
      <c r="AH4" s="244"/>
      <c r="AI4" s="244"/>
      <c r="AJ4" s="244"/>
      <c r="AK4" s="244"/>
      <c r="AL4" s="244"/>
      <c r="AM4" s="244"/>
      <c r="AN4" s="244"/>
      <c r="AO4" s="244"/>
      <c r="AP4" s="244"/>
      <c r="AQ4" s="244"/>
      <c r="AR4" s="244"/>
      <c r="AS4" s="244"/>
      <c r="AT4" s="244"/>
      <c r="AU4" s="244"/>
      <c r="AV4" s="244"/>
      <c r="AW4" s="244"/>
      <c r="AX4" s="244"/>
      <c r="AY4" s="244"/>
      <c r="AZ4" s="244"/>
      <c r="BA4" s="244"/>
      <c r="BB4" s="244"/>
      <c r="BC4" s="244"/>
      <c r="BD4" s="244"/>
      <c r="BE4" s="244"/>
      <c r="BF4" s="244"/>
      <c r="BG4" s="244"/>
      <c r="BH4" s="244"/>
      <c r="BI4" s="244"/>
      <c r="BJ4" s="244"/>
      <c r="BK4" s="244"/>
      <c r="BL4" s="244"/>
      <c r="BN4" s="580"/>
      <c r="BO4" s="248"/>
      <c r="BP4" s="251" t="s">
        <v>45</v>
      </c>
      <c r="BQ4" s="357">
        <f>+Dashboard!E14</f>
        <v>1</v>
      </c>
      <c r="BR4" s="357">
        <f>1-BQ4</f>
        <v>0</v>
      </c>
      <c r="BS4" s="357">
        <f>+Dashboard!F14</f>
        <v>0.1</v>
      </c>
      <c r="BT4" s="666" t="str">
        <f>+'Waterfall 3.0 Years'!BT4</f>
        <v>N/Ap</v>
      </c>
      <c r="BV4" s="487"/>
    </row>
    <row r="5" spans="1:75">
      <c r="B5" s="466" t="s">
        <v>41</v>
      </c>
      <c r="C5" s="551">
        <f>-SUM(C7:BN7)</f>
        <v>24033944.982098967</v>
      </c>
      <c r="D5" s="468"/>
      <c r="E5" s="468"/>
      <c r="F5" s="468"/>
      <c r="G5" s="468"/>
      <c r="H5" s="468"/>
      <c r="I5" s="468"/>
      <c r="J5" s="468"/>
      <c r="K5" s="468"/>
      <c r="L5" s="468"/>
      <c r="M5" s="468"/>
      <c r="N5" s="468"/>
      <c r="O5" s="468"/>
      <c r="P5" s="468"/>
      <c r="Q5" s="468"/>
      <c r="R5" s="468"/>
      <c r="S5" s="468"/>
      <c r="T5" s="468"/>
      <c r="U5" s="468"/>
      <c r="V5" s="468"/>
      <c r="W5" s="468"/>
      <c r="X5" s="468"/>
      <c r="Y5" s="468"/>
      <c r="Z5" s="468"/>
      <c r="AA5" s="468"/>
      <c r="AB5" s="468"/>
      <c r="AC5" s="468"/>
      <c r="AD5" s="468"/>
      <c r="AE5" s="468"/>
      <c r="AF5" s="468"/>
      <c r="AG5" s="468"/>
      <c r="AH5" s="468"/>
      <c r="AI5" s="468"/>
      <c r="AJ5" s="468"/>
      <c r="AK5" s="468"/>
      <c r="AL5" s="468"/>
      <c r="AM5" s="468"/>
      <c r="AN5" s="468"/>
      <c r="AO5" s="468"/>
      <c r="AP5" s="468"/>
      <c r="AQ5" s="468"/>
      <c r="AR5" s="468"/>
      <c r="AS5" s="468"/>
      <c r="AT5" s="468"/>
      <c r="AU5" s="468"/>
      <c r="AV5" s="468"/>
      <c r="AW5" s="468"/>
      <c r="AX5" s="468"/>
      <c r="AY5" s="468"/>
      <c r="AZ5" s="468"/>
      <c r="BA5" s="468"/>
      <c r="BB5" s="468"/>
      <c r="BC5" s="468"/>
      <c r="BD5" s="468"/>
      <c r="BE5" s="468"/>
      <c r="BF5" s="468"/>
      <c r="BG5" s="468"/>
      <c r="BH5" s="468"/>
      <c r="BI5" s="468"/>
      <c r="BJ5" s="468"/>
      <c r="BK5" s="468"/>
      <c r="BL5" s="468"/>
      <c r="BM5" s="468"/>
      <c r="BN5" s="468"/>
      <c r="BO5" s="248"/>
      <c r="BP5" s="364" t="s">
        <v>46</v>
      </c>
      <c r="BQ5" s="664"/>
      <c r="BR5" s="664"/>
      <c r="BS5" s="665"/>
      <c r="BT5" s="581"/>
      <c r="BV5" s="213"/>
    </row>
    <row r="6" spans="1:75">
      <c r="B6" s="245" t="s">
        <v>158</v>
      </c>
      <c r="C6" s="246">
        <f>+'Property Level Return Calcs'!D36</f>
        <v>45658</v>
      </c>
      <c r="D6" s="246">
        <f>EOMONTH(C6,0)</f>
        <v>45688</v>
      </c>
      <c r="E6" s="246">
        <f>IF(D6+1&gt;$C$3,EOMONTH(D6,1),IF(EOMONTH(D6,1)&lt;$C$3,EOMONTH('Waterfall 4.0 Years'!D6,1),$C$3))</f>
        <v>45716</v>
      </c>
      <c r="F6" s="246">
        <f>IF(E6+1&gt;$C$3,EOMONTH(E6,1),IF(EOMONTH(E6,1)&lt;$C$3,EOMONTH('Waterfall 4.0 Years'!E6,1),$C$3))</f>
        <v>45747</v>
      </c>
      <c r="G6" s="246">
        <f>IF(F6+1&gt;$C$3,EOMONTH(F6,1),IF(EOMONTH(F6,1)&lt;$C$3,EOMONTH('Waterfall 4.0 Years'!F6,1),$C$3))</f>
        <v>45777</v>
      </c>
      <c r="H6" s="246">
        <f>IF(G6+1&gt;$C$3,EOMONTH(G6,1),IF(EOMONTH(G6,1)&lt;$C$3,EOMONTH('Waterfall 4.0 Years'!G6,1),$C$3))</f>
        <v>45808</v>
      </c>
      <c r="I6" s="246">
        <f>IF(H6+1&gt;$C$3,EOMONTH(H6,1),IF(EOMONTH(H6,1)&lt;$C$3,EOMONTH('Waterfall 4.0 Years'!H6,1),$C$3))</f>
        <v>45838</v>
      </c>
      <c r="J6" s="246">
        <f>IF(I6+1&gt;$C$3,EOMONTH(I6,1),IF(EOMONTH(I6,1)&lt;$C$3,EOMONTH('Waterfall 4.0 Years'!I6,1),$C$3))</f>
        <v>45869</v>
      </c>
      <c r="K6" s="246">
        <f>IF(J6+1&gt;$C$3,EOMONTH(J6,1),IF(EOMONTH(J6,1)&lt;$C$3,EOMONTH('Waterfall 4.0 Years'!J6,1),$C$3))</f>
        <v>45900</v>
      </c>
      <c r="L6" s="246">
        <f>IF(K6+1&gt;$C$3,EOMONTH(K6,1),IF(EOMONTH(K6,1)&lt;$C$3,EOMONTH('Waterfall 4.0 Years'!K6,1),$C$3))</f>
        <v>45930</v>
      </c>
      <c r="M6" s="246">
        <f>IF(L6+1&gt;$C$3,EOMONTH(L6,1),IF(EOMONTH(L6,1)&lt;$C$3,EOMONTH('Waterfall 4.0 Years'!L6,1),$C$3))</f>
        <v>45961</v>
      </c>
      <c r="N6" s="246">
        <f>IF(M6+1&gt;$C$3,EOMONTH(M6,1),IF(EOMONTH(M6,1)&lt;$C$3,EOMONTH('Waterfall 4.0 Years'!M6,1),$C$3))</f>
        <v>45991</v>
      </c>
      <c r="O6" s="246">
        <f>IF(N6+1&gt;$C$3,EOMONTH(N6,1),IF(EOMONTH(N6,1)&lt;$C$3,EOMONTH('Waterfall 4.0 Years'!N6,1),$C$3))</f>
        <v>46022</v>
      </c>
      <c r="P6" s="246">
        <f>IF(O6+1&gt;$C$3,EOMONTH(O6,1),IF(EOMONTH(O6,1)&lt;$C$3,EOMONTH('Waterfall 4.0 Years'!O6,1),$C$3))</f>
        <v>46053</v>
      </c>
      <c r="Q6" s="246">
        <f>IF(P6+1&gt;$C$3,EOMONTH(P6,1),IF(EOMONTH(P6,1)&lt;$C$3,EOMONTH('Waterfall 4.0 Years'!P6,1),$C$3))</f>
        <v>46081</v>
      </c>
      <c r="R6" s="246">
        <f>IF(Q6+1&gt;$C$3,EOMONTH(Q6,1),IF(EOMONTH(Q6,1)&lt;$C$3,EOMONTH('Waterfall 4.0 Years'!Q6,1),$C$3))</f>
        <v>46112</v>
      </c>
      <c r="S6" s="246">
        <f>IF(R6+1&gt;$C$3,EOMONTH(R6,1),IF(EOMONTH(R6,1)&lt;$C$3,EOMONTH('Waterfall 4.0 Years'!R6,1),$C$3))</f>
        <v>46142</v>
      </c>
      <c r="T6" s="246">
        <f>IF(S6+1&gt;$C$3,EOMONTH(S6,1),IF(EOMONTH(S6,1)&lt;$C$3,EOMONTH('Waterfall 4.0 Years'!S6,1),$C$3))</f>
        <v>46173</v>
      </c>
      <c r="U6" s="246">
        <f>IF(T6+1&gt;$C$3,EOMONTH(T6,1),IF(EOMONTH(T6,1)&lt;$C$3,EOMONTH('Waterfall 4.0 Years'!T6,1),$C$3))</f>
        <v>46203</v>
      </c>
      <c r="V6" s="246">
        <f>IF(U6+1&gt;$C$3,EOMONTH(U6,1),IF(EOMONTH(U6,1)&lt;$C$3,EOMONTH('Waterfall 4.0 Years'!U6,1),$C$3))</f>
        <v>46234</v>
      </c>
      <c r="W6" s="246">
        <f>IF(V6+1&gt;$C$3,EOMONTH(V6,1),IF(EOMONTH(V6,1)&lt;$C$3,EOMONTH('Waterfall 4.0 Years'!V6,1),$C$3))</f>
        <v>46265</v>
      </c>
      <c r="X6" s="246">
        <f>IF(W6+1&gt;$C$3,EOMONTH(W6,1),IF(EOMONTH(W6,1)&lt;$C$3,EOMONTH('Waterfall 4.0 Years'!W6,1),$C$3))</f>
        <v>46295</v>
      </c>
      <c r="Y6" s="246">
        <f>IF(X6+1&gt;$C$3,EOMONTH(X6,1),IF(EOMONTH(X6,1)&lt;$C$3,EOMONTH('Waterfall 4.0 Years'!X6,1),$C$3))</f>
        <v>46326</v>
      </c>
      <c r="Z6" s="246">
        <f>IF(Y6+1&gt;$C$3,EOMONTH(Y6,1),IF(EOMONTH(Y6,1)&lt;$C$3,EOMONTH('Waterfall 4.0 Years'!Y6,1),$C$3))</f>
        <v>46356</v>
      </c>
      <c r="AA6" s="246">
        <f>IF(Z6+1&gt;$C$3,EOMONTH(Z6,1),IF(EOMONTH(Z6,1)&lt;$C$3,EOMONTH('Waterfall 4.0 Years'!Z6,1),$C$3))</f>
        <v>46387</v>
      </c>
      <c r="AB6" s="246">
        <f>IF(AA6+1&gt;$C$3,EOMONTH(AA6,1),IF(EOMONTH(AA6,1)&lt;$C$3,EOMONTH('Waterfall 4.0 Years'!AA6,1),$C$3))</f>
        <v>46418</v>
      </c>
      <c r="AC6" s="246">
        <f>IF(AB6+1&gt;$C$3,EOMONTH(AB6,1),IF(EOMONTH(AB6,1)&lt;$C$3,EOMONTH('Waterfall 4.0 Years'!AB6,1),$C$3))</f>
        <v>46446</v>
      </c>
      <c r="AD6" s="246">
        <f>IF(AC6+1&gt;$C$3,EOMONTH(AC6,1),IF(EOMONTH(AC6,1)&lt;$C$3,EOMONTH('Waterfall 4.0 Years'!AC6,1),$C$3))</f>
        <v>46477</v>
      </c>
      <c r="AE6" s="246">
        <f>IF(AD6+1&gt;$C$3,EOMONTH(AD6,1),IF(EOMONTH(AD6,1)&lt;$C$3,EOMONTH('Waterfall 4.0 Years'!AD6,1),$C$3))</f>
        <v>46507</v>
      </c>
      <c r="AF6" s="246">
        <f>IF(AE6+1&gt;$C$3,EOMONTH(AE6,1),IF(EOMONTH(AE6,1)&lt;$C$3,EOMONTH('Waterfall 4.0 Years'!AE6,1),$C$3))</f>
        <v>46538</v>
      </c>
      <c r="AG6" s="246">
        <f>IF(AF6+1&gt;$C$3,EOMONTH(AF6,1),IF(EOMONTH(AF6,1)&lt;$C$3,EOMONTH('Waterfall 4.0 Years'!AF6,1),$C$3))</f>
        <v>46568</v>
      </c>
      <c r="AH6" s="246">
        <f>IF(AG6+1&gt;$C$3,EOMONTH(AG6,1),IF(EOMONTH(AG6,1)&lt;$C$3,EOMONTH('Waterfall 4.0 Years'!AG6,1),$C$3))</f>
        <v>46599</v>
      </c>
      <c r="AI6" s="246">
        <f>IF(AH6+1&gt;$C$3,EOMONTH(AH6,1),IF(EOMONTH(AH6,1)&lt;$C$3,EOMONTH('Waterfall 4.0 Years'!AH6,1),$C$3))</f>
        <v>46630</v>
      </c>
      <c r="AJ6" s="246">
        <f>IF(AI6+1&gt;$C$3,EOMONTH(AI6,1),IF(EOMONTH(AI6,1)&lt;$C$3,EOMONTH('Waterfall 4.0 Years'!AI6,1),$C$3))</f>
        <v>46660</v>
      </c>
      <c r="AK6" s="246">
        <f>IF(AJ6+1&gt;$C$3,EOMONTH(AJ6,1),IF(EOMONTH(AJ6,1)&lt;$C$3,EOMONTH('Waterfall 4.0 Years'!AJ6,1),$C$3))</f>
        <v>46691</v>
      </c>
      <c r="AL6" s="246">
        <f>IF(AK6+1&gt;$C$3,EOMONTH(AK6,1),IF(EOMONTH(AK6,1)&lt;$C$3,EOMONTH('Waterfall 4.0 Years'!AK6,1),$C$3))</f>
        <v>46721</v>
      </c>
      <c r="AM6" s="246">
        <f>IF(AL6+1&gt;$C$3,EOMONTH(AL6,1),IF(EOMONTH(AL6,1)&lt;$C$3,EOMONTH('Waterfall 4.0 Years'!AL6,1),$C$3))</f>
        <v>46752</v>
      </c>
      <c r="AN6" s="246">
        <f>IF(AM6+1&gt;$C$3,EOMONTH(AM6,1),IF(EOMONTH(AM6,1)&lt;$C$3,EOMONTH('Waterfall 4.0 Years'!AM6,1),$C$3))</f>
        <v>46783</v>
      </c>
      <c r="AO6" s="246">
        <f>IF(AN6+1&gt;$C$3,EOMONTH(AN6,1),IF(EOMONTH(AN6,1)&lt;$C$3,EOMONTH('Waterfall 4.0 Years'!AN6,1),$C$3))</f>
        <v>46812</v>
      </c>
      <c r="AP6" s="246">
        <f>IF(AO6+1&gt;$C$3,EOMONTH(AO6,1),IF(EOMONTH(AO6,1)&lt;$C$3,EOMONTH('Waterfall 4.0 Years'!AO6,1),$C$3))</f>
        <v>46843</v>
      </c>
      <c r="AQ6" s="246">
        <f>IF(AP6+1&gt;$C$3,EOMONTH(AP6,1),IF(EOMONTH(AP6,1)&lt;$C$3,EOMONTH('Waterfall 4.0 Years'!AP6,1),$C$3))</f>
        <v>46873</v>
      </c>
      <c r="AR6" s="246">
        <f>IF(AQ6+1&gt;$C$3,EOMONTH(AQ6,1),IF(EOMONTH(AQ6,1)&lt;$C$3,EOMONTH('Waterfall 4.0 Years'!AQ6,1),$C$3))</f>
        <v>46904</v>
      </c>
      <c r="AS6" s="246">
        <f>IF(AR6+1&gt;$C$3,EOMONTH(AR6,1),IF(EOMONTH(AR6,1)&lt;$C$3,EOMONTH('Waterfall 4.0 Years'!AR6,1),$C$3))</f>
        <v>46934</v>
      </c>
      <c r="AT6" s="246">
        <f>IF(AS6+1&gt;$C$3,EOMONTH(AS6,1),IF(EOMONTH(AS6,1)&lt;$C$3,EOMONTH('Waterfall 4.0 Years'!AS6,1),$C$3))</f>
        <v>46965</v>
      </c>
      <c r="AU6" s="246">
        <f>IF(AT6+1&gt;$C$3,EOMONTH(AT6,1),IF(EOMONTH(AT6,1)&lt;$C$3,EOMONTH('Waterfall 4.0 Years'!AT6,1),$C$3))</f>
        <v>46996</v>
      </c>
      <c r="AV6" s="246">
        <f>IF(AU6+1&gt;$C$3,EOMONTH(AU6,1),IF(EOMONTH(AU6,1)&lt;$C$3,EOMONTH('Waterfall 4.0 Years'!AU6,1),$C$3))</f>
        <v>47026</v>
      </c>
      <c r="AW6" s="246">
        <f>IF(AV6+1&gt;$C$3,EOMONTH(AV6,1),IF(EOMONTH(AV6,1)&lt;$C$3,EOMONTH('Waterfall 4.0 Years'!AV6,1),$C$3))</f>
        <v>47057</v>
      </c>
      <c r="AX6" s="246">
        <f>IF(AW6+1&gt;$C$3,EOMONTH(AW6,1),IF(EOMONTH(AW6,1)&lt;$C$3,EOMONTH('Waterfall 4.0 Years'!AW6,1),$C$3))</f>
        <v>47087</v>
      </c>
      <c r="AY6" s="246">
        <f>IF(AX6+1&gt;$C$3,EOMONTH(AX6,1),IF(EOMONTH(AX6,1)&lt;$C$3,EOMONTH('Waterfall 4.0 Years'!AX6,1),$C$3))</f>
        <v>47118</v>
      </c>
      <c r="AZ6" s="246">
        <f>IF(AY6+1&gt;$C$3,EOMONTH(AY6,1),IF(EOMONTH(AY6,1)&lt;$C$3,EOMONTH('Waterfall 4.0 Years'!AY6,1),$C$3))</f>
        <v>47149</v>
      </c>
      <c r="BA6" s="246">
        <f>IF(AZ6+1&gt;$C$3,EOMONTH(AZ6,1),IF(EOMONTH(AZ6,1)&lt;$C$3,EOMONTH('Waterfall 4.0 Years'!AZ6,1),$C$3))</f>
        <v>47177</v>
      </c>
      <c r="BB6" s="246">
        <f>IF(BA6+1&gt;$C$3,EOMONTH(BA6,1),IF(EOMONTH(BA6,1)&lt;$C$3,EOMONTH('Waterfall 4.0 Years'!BA6,1),$C$3))</f>
        <v>47178</v>
      </c>
      <c r="BC6" s="246">
        <f>IF(BB6+1&gt;$C$3,EOMONTH(BB6,1),IF(EOMONTH(BB6,1)&lt;$C$3,EOMONTH('Waterfall 4.0 Years'!BB6,1),$C$3))</f>
        <v>47238</v>
      </c>
      <c r="BD6" s="246">
        <f>IF(BC6+1&gt;$C$3,EOMONTH(BC6,1),IF(EOMONTH(BC6,1)&lt;$C$3,EOMONTH('Waterfall 4.0 Years'!BC6,1),$C$3))</f>
        <v>47269</v>
      </c>
      <c r="BE6" s="246">
        <f>IF(BD6+1&gt;$C$3,EOMONTH(BD6,1),IF(EOMONTH(BD6,1)&lt;$C$3,EOMONTH('Waterfall 4.0 Years'!BD6,1),$C$3))</f>
        <v>47299</v>
      </c>
      <c r="BF6" s="246">
        <f>IF(BE6+1&gt;$C$3,EOMONTH(BE6,1),IF(EOMONTH(BE6,1)&lt;$C$3,EOMONTH('Waterfall 4.0 Years'!BE6,1),$C$3))</f>
        <v>47330</v>
      </c>
      <c r="BG6" s="246">
        <f>IF(BF6+1&gt;$C$3,EOMONTH(BF6,1),IF(EOMONTH(BF6,1)&lt;$C$3,EOMONTH('Waterfall 4.0 Years'!BF6,1),$C$3))</f>
        <v>47361</v>
      </c>
      <c r="BH6" s="246">
        <f>IF(BG6+1&gt;$C$3,EOMONTH(BG6,1),IF(EOMONTH(BG6,1)&lt;$C$3,EOMONTH('Waterfall 4.0 Years'!BG6,1),$C$3))</f>
        <v>47391</v>
      </c>
      <c r="BI6" s="246">
        <f>IF(BH6+1&gt;$C$3,EOMONTH(BH6,1),IF(EOMONTH(BH6,1)&lt;$C$3,EOMONTH('Waterfall 4.0 Years'!BH6,1),$C$3))</f>
        <v>47422</v>
      </c>
      <c r="BJ6" s="246">
        <f>IF(BI6+1&gt;$C$3,EOMONTH(BI6,1),IF(EOMONTH(BI6,1)&lt;$C$3,EOMONTH('Waterfall 4.0 Years'!BI6,1),$C$3))</f>
        <v>47452</v>
      </c>
      <c r="BK6" s="246">
        <f>IF(BJ6+1&gt;$C$3,EOMONTH(BJ6,1),IF(EOMONTH(BJ6,1)&lt;$C$3,EOMONTH('Waterfall 4.0 Years'!BJ6,1),$C$3))</f>
        <v>47483</v>
      </c>
      <c r="BL6" s="246">
        <f>IF(BK6+1&gt;$C$3,EOMONTH(BK6,1),IF(EOMONTH(BK6,1)&lt;$C$3,EOMONTH('Waterfall 4.0 Years'!BK6,1),$C$3))</f>
        <v>47514</v>
      </c>
      <c r="BM6" s="246">
        <f>IF(BL6+1&gt;$C$3,EOMONTH(BL6,1),IF(EOMONTH(BL6,1)&lt;$C$3,EOMONTH('Waterfall 4.0 Years'!BL6,1),$C$3))</f>
        <v>47542</v>
      </c>
      <c r="BN6" s="246">
        <f>IF(BM6+1&gt;$C$3,EOMONTH(BM6,1),IF(EOMONTH(BM6,1)&lt;$C$3,EOMONTH('Waterfall 4.0 Years'!BM6,1),$C$3))</f>
        <v>47573</v>
      </c>
      <c r="BO6" s="345"/>
      <c r="BP6" s="251" t="s">
        <v>214</v>
      </c>
      <c r="BQ6" s="357">
        <f>+Dashboard!E16</f>
        <v>0.85</v>
      </c>
      <c r="BR6" s="357">
        <f>1-BQ6</f>
        <v>0.15000000000000002</v>
      </c>
      <c r="BS6" s="357">
        <f>+Dashboard!F16</f>
        <v>0.18</v>
      </c>
      <c r="BT6" s="666" t="str">
        <f>+'Waterfall 3.0 Years'!BT6</f>
        <v>N/Ap</v>
      </c>
      <c r="BU6" s="214"/>
      <c r="BV6" s="552">
        <f>(1+BS6)^(1/12)</f>
        <v>1.0138884303484099</v>
      </c>
      <c r="BW6" s="212">
        <f>(1+BS6)^(1/365)</f>
        <v>1.0004535670454469</v>
      </c>
    </row>
    <row r="7" spans="1:75">
      <c r="B7" s="248" t="s">
        <v>164</v>
      </c>
      <c r="C7" s="553">
        <f>IFERROR(HLOOKUP(C$6,'Property Level Return Calcs'!$D$36:$BO$43,'Property Level Return Calcs'!$A$38,FALSE),0)</f>
        <v>-24033944.982098967</v>
      </c>
      <c r="D7" s="553">
        <f>IFERROR(HLOOKUP(D$6,'Property Level Return Calcs'!$D$36:$BO$43,'Property Level Return Calcs'!$A$38,FALSE),0)</f>
        <v>0</v>
      </c>
      <c r="E7" s="553">
        <f>IFERROR(HLOOKUP(E$6,'Property Level Return Calcs'!$D$36:$BO$43,'Property Level Return Calcs'!$A$38,FALSE),0)</f>
        <v>0</v>
      </c>
      <c r="F7" s="553">
        <f>IFERROR(HLOOKUP(F$6,'Property Level Return Calcs'!$D$36:$BO$43,'Property Level Return Calcs'!$A$38,FALSE),0)</f>
        <v>0</v>
      </c>
      <c r="G7" s="553">
        <f>IFERROR(HLOOKUP(G$6,'Property Level Return Calcs'!$D$36:$BO$43,'Property Level Return Calcs'!$A$38,FALSE),0)</f>
        <v>0</v>
      </c>
      <c r="H7" s="553">
        <f>IFERROR(HLOOKUP(H$6,'Property Level Return Calcs'!$D$36:$BO$43,'Property Level Return Calcs'!$A$38,FALSE),0)</f>
        <v>0</v>
      </c>
      <c r="I7" s="553">
        <f>IFERROR(HLOOKUP(I$6,'Property Level Return Calcs'!$D$36:$BO$43,'Property Level Return Calcs'!$A$38,FALSE),0)</f>
        <v>0</v>
      </c>
      <c r="J7" s="553">
        <f>IFERROR(HLOOKUP(J$6,'Property Level Return Calcs'!$D$36:$BO$43,'Property Level Return Calcs'!$A$38,FALSE),0)</f>
        <v>0</v>
      </c>
      <c r="K7" s="553">
        <f>IFERROR(HLOOKUP(K$6,'Property Level Return Calcs'!$D$36:$BO$43,'Property Level Return Calcs'!$A$38,FALSE),0)</f>
        <v>0</v>
      </c>
      <c r="L7" s="553">
        <f>IFERROR(HLOOKUP(L$6,'Property Level Return Calcs'!$D$36:$BO$43,'Property Level Return Calcs'!$A$38,FALSE),0)</f>
        <v>0</v>
      </c>
      <c r="M7" s="553">
        <f>IFERROR(HLOOKUP(M$6,'Property Level Return Calcs'!$D$36:$BO$43,'Property Level Return Calcs'!$A$38,FALSE),0)</f>
        <v>0</v>
      </c>
      <c r="N7" s="553">
        <f>IFERROR(HLOOKUP(N$6,'Property Level Return Calcs'!$D$36:$BO$43,'Property Level Return Calcs'!$A$38,FALSE),0)</f>
        <v>0</v>
      </c>
      <c r="O7" s="553">
        <f>IFERROR(HLOOKUP(O$6,'Property Level Return Calcs'!$D$36:$BO$43,'Property Level Return Calcs'!$A$38,FALSE),0)</f>
        <v>0</v>
      </c>
      <c r="P7" s="553">
        <f>IFERROR(HLOOKUP(P$6,'Property Level Return Calcs'!$D$36:$BO$43,'Property Level Return Calcs'!$A$38,FALSE),0)</f>
        <v>0</v>
      </c>
      <c r="Q7" s="553">
        <f>IFERROR(HLOOKUP(Q$6,'Property Level Return Calcs'!$D$36:$BO$43,'Property Level Return Calcs'!$A$38,FALSE),0)</f>
        <v>0</v>
      </c>
      <c r="R7" s="553">
        <f>IFERROR(HLOOKUP(R$6,'Property Level Return Calcs'!$D$36:$BO$43,'Property Level Return Calcs'!$A$38,FALSE),0)</f>
        <v>0</v>
      </c>
      <c r="S7" s="553">
        <f>IFERROR(HLOOKUP(S$6,'Property Level Return Calcs'!$D$36:$BO$43,'Property Level Return Calcs'!$A$38,FALSE),0)</f>
        <v>0</v>
      </c>
      <c r="T7" s="553">
        <f>IFERROR(HLOOKUP(T$6,'Property Level Return Calcs'!$D$36:$BO$43,'Property Level Return Calcs'!$A$38,FALSE),0)</f>
        <v>0</v>
      </c>
      <c r="U7" s="553">
        <f>IFERROR(HLOOKUP(U$6,'Property Level Return Calcs'!$D$36:$BO$43,'Property Level Return Calcs'!$A$38,FALSE),0)</f>
        <v>0</v>
      </c>
      <c r="V7" s="553">
        <f>IFERROR(HLOOKUP(V$6,'Property Level Return Calcs'!$D$36:$BO$43,'Property Level Return Calcs'!$A$38,FALSE),0)</f>
        <v>0</v>
      </c>
      <c r="W7" s="553">
        <f>IFERROR(HLOOKUP(W$6,'Property Level Return Calcs'!$D$36:$BO$43,'Property Level Return Calcs'!$A$38,FALSE),0)</f>
        <v>0</v>
      </c>
      <c r="X7" s="553">
        <f>IFERROR(HLOOKUP(X$6,'Property Level Return Calcs'!$D$36:$BO$43,'Property Level Return Calcs'!$A$38,FALSE),0)</f>
        <v>0</v>
      </c>
      <c r="Y7" s="553">
        <f>IFERROR(HLOOKUP(Y$6,'Property Level Return Calcs'!$D$36:$BO$43,'Property Level Return Calcs'!$A$38,FALSE),0)</f>
        <v>0</v>
      </c>
      <c r="Z7" s="553">
        <f>IFERROR(HLOOKUP(Z$6,'Property Level Return Calcs'!$D$36:$BO$43,'Property Level Return Calcs'!$A$38,FALSE),0)</f>
        <v>0</v>
      </c>
      <c r="AA7" s="553">
        <f>IFERROR(HLOOKUP(AA$6,'Property Level Return Calcs'!$D$36:$BO$43,'Property Level Return Calcs'!$A$38,FALSE),0)</f>
        <v>0</v>
      </c>
      <c r="AB7" s="553">
        <f>IFERROR(HLOOKUP(AB$6,'Property Level Return Calcs'!$D$36:$BO$43,'Property Level Return Calcs'!$A$38,FALSE),0)</f>
        <v>0</v>
      </c>
      <c r="AC7" s="553">
        <f>IFERROR(HLOOKUP(AC$6,'Property Level Return Calcs'!$D$36:$BO$43,'Property Level Return Calcs'!$A$38,FALSE),0)</f>
        <v>0</v>
      </c>
      <c r="AD7" s="553">
        <f>IFERROR(HLOOKUP(AD$6,'Property Level Return Calcs'!$D$36:$BO$43,'Property Level Return Calcs'!$A$38,FALSE),0)</f>
        <v>0</v>
      </c>
      <c r="AE7" s="553">
        <f>IFERROR(HLOOKUP(AE$6,'Property Level Return Calcs'!$D$36:$BO$43,'Property Level Return Calcs'!$A$38,FALSE),0)</f>
        <v>0</v>
      </c>
      <c r="AF7" s="553">
        <f>IFERROR(HLOOKUP(AF$6,'Property Level Return Calcs'!$D$36:$BO$43,'Property Level Return Calcs'!$A$38,FALSE),0)</f>
        <v>0</v>
      </c>
      <c r="AG7" s="553">
        <f>IFERROR(HLOOKUP(AG$6,'Property Level Return Calcs'!$D$36:$BO$43,'Property Level Return Calcs'!$A$38,FALSE),0)</f>
        <v>0</v>
      </c>
      <c r="AH7" s="553">
        <f>IFERROR(HLOOKUP(AH$6,'Property Level Return Calcs'!$D$36:$BO$43,'Property Level Return Calcs'!$A$38,FALSE),0)</f>
        <v>0</v>
      </c>
      <c r="AI7" s="553">
        <f>IFERROR(HLOOKUP(AI$6,'Property Level Return Calcs'!$D$36:$BO$43,'Property Level Return Calcs'!$A$38,FALSE),0)</f>
        <v>0</v>
      </c>
      <c r="AJ7" s="553">
        <f>IFERROR(HLOOKUP(AJ$6,'Property Level Return Calcs'!$D$36:$BO$43,'Property Level Return Calcs'!$A$38,FALSE),0)</f>
        <v>0</v>
      </c>
      <c r="AK7" s="553">
        <f>IFERROR(HLOOKUP(AK$6,'Property Level Return Calcs'!$D$36:$BO$43,'Property Level Return Calcs'!$A$38,FALSE),0)</f>
        <v>0</v>
      </c>
      <c r="AL7" s="553">
        <f>IFERROR(HLOOKUP(AL$6,'Property Level Return Calcs'!$D$36:$BO$43,'Property Level Return Calcs'!$A$38,FALSE),0)</f>
        <v>0</v>
      </c>
      <c r="AM7" s="553">
        <f>IFERROR(HLOOKUP(AM$6,'Property Level Return Calcs'!$D$36:$BO$43,'Property Level Return Calcs'!$A$38,FALSE),0)</f>
        <v>0</v>
      </c>
      <c r="AN7" s="553">
        <f>IFERROR(HLOOKUP(AN$6,'Property Level Return Calcs'!$D$36:$BO$43,'Property Level Return Calcs'!$A$38,FALSE),0)</f>
        <v>0</v>
      </c>
      <c r="AO7" s="553">
        <f>IFERROR(HLOOKUP(AO$6,'Property Level Return Calcs'!$D$36:$BO$43,'Property Level Return Calcs'!$A$38,FALSE),0)</f>
        <v>0</v>
      </c>
      <c r="AP7" s="553">
        <f>IFERROR(HLOOKUP(AP$6,'Property Level Return Calcs'!$D$36:$BO$43,'Property Level Return Calcs'!$A$38,FALSE),0)</f>
        <v>0</v>
      </c>
      <c r="AQ7" s="553">
        <f>IFERROR(HLOOKUP(AQ$6,'Property Level Return Calcs'!$D$36:$BO$43,'Property Level Return Calcs'!$A$38,FALSE),0)</f>
        <v>0</v>
      </c>
      <c r="AR7" s="553">
        <f>IFERROR(HLOOKUP(AR$6,'Property Level Return Calcs'!$D$36:$BO$43,'Property Level Return Calcs'!$A$38,FALSE),0)</f>
        <v>0</v>
      </c>
      <c r="AS7" s="553">
        <f>IFERROR(HLOOKUP(AS$6,'Property Level Return Calcs'!$D$36:$BO$43,'Property Level Return Calcs'!$A$38,FALSE),0)</f>
        <v>0</v>
      </c>
      <c r="AT7" s="553">
        <f>IFERROR(HLOOKUP(AT$6,'Property Level Return Calcs'!$D$36:$BO$43,'Property Level Return Calcs'!$A$38,FALSE),0)</f>
        <v>0</v>
      </c>
      <c r="AU7" s="553">
        <f>IFERROR(HLOOKUP(AU$6,'Property Level Return Calcs'!$D$36:$BO$43,'Property Level Return Calcs'!$A$38,FALSE),0)</f>
        <v>0</v>
      </c>
      <c r="AV7" s="553">
        <f>IFERROR(HLOOKUP(AV$6,'Property Level Return Calcs'!$D$36:$BO$43,'Property Level Return Calcs'!$A$38,FALSE),0)</f>
        <v>0</v>
      </c>
      <c r="AW7" s="553">
        <f>IFERROR(HLOOKUP(AW$6,'Property Level Return Calcs'!$D$36:$BO$43,'Property Level Return Calcs'!$A$38,FALSE),0)</f>
        <v>0</v>
      </c>
      <c r="AX7" s="553">
        <f>IFERROR(HLOOKUP(AX$6,'Property Level Return Calcs'!$D$36:$BO$43,'Property Level Return Calcs'!$A$38,FALSE),0)</f>
        <v>0</v>
      </c>
      <c r="AY7" s="553">
        <f>IFERROR(HLOOKUP(AY$6,'Property Level Return Calcs'!$D$36:$BO$43,'Property Level Return Calcs'!$A$38,FALSE),0)</f>
        <v>0</v>
      </c>
      <c r="AZ7" s="553">
        <f>IFERROR(HLOOKUP(AZ$6,'Property Level Return Calcs'!$D$36:$BO$43,'Property Level Return Calcs'!$A$38,FALSE),0)</f>
        <v>0</v>
      </c>
      <c r="BA7" s="553">
        <f>IFERROR(HLOOKUP(BA$6,'Property Level Return Calcs'!$D$36:$BO$43,'Property Level Return Calcs'!$A$38,FALSE),0)</f>
        <v>0</v>
      </c>
      <c r="BB7" s="553">
        <f>IFERROR(HLOOKUP(BB$6,'Property Level Return Calcs'!$D$36:$BO$43,'Property Level Return Calcs'!$A$38,FALSE),0)</f>
        <v>0</v>
      </c>
      <c r="BC7" s="553">
        <f>IFERROR(HLOOKUP(BC$6,'Property Level Return Calcs'!$D$36:$BO$43,'Property Level Return Calcs'!$A$38,FALSE),0)</f>
        <v>0</v>
      </c>
      <c r="BD7" s="553">
        <f>IFERROR(HLOOKUP(BD$6,'Property Level Return Calcs'!$D$36:$BO$43,'Property Level Return Calcs'!$A$38,FALSE),0)</f>
        <v>0</v>
      </c>
      <c r="BE7" s="553">
        <f>IFERROR(HLOOKUP(BE$6,'Property Level Return Calcs'!$D$36:$BO$43,'Property Level Return Calcs'!$A$38,FALSE),0)</f>
        <v>0</v>
      </c>
      <c r="BF7" s="553">
        <f>IFERROR(HLOOKUP(BF$6,'Property Level Return Calcs'!$D$36:$BO$43,'Property Level Return Calcs'!$A$38,FALSE),0)</f>
        <v>0</v>
      </c>
      <c r="BG7" s="553">
        <f>IFERROR(HLOOKUP(BG$6,'Property Level Return Calcs'!$D$36:$BO$43,'Property Level Return Calcs'!$A$38,FALSE),0)</f>
        <v>0</v>
      </c>
      <c r="BH7" s="553">
        <f>IFERROR(HLOOKUP(BH$6,'Property Level Return Calcs'!$D$36:$BO$43,'Property Level Return Calcs'!$A$38,FALSE),0)</f>
        <v>0</v>
      </c>
      <c r="BI7" s="553">
        <f>IFERROR(HLOOKUP(BI$6,'Property Level Return Calcs'!$D$36:$BO$43,'Property Level Return Calcs'!$A$38,FALSE),0)</f>
        <v>0</v>
      </c>
      <c r="BJ7" s="553">
        <f>IFERROR(HLOOKUP(BJ$6,'Property Level Return Calcs'!$D$36:$BO$43,'Property Level Return Calcs'!$A$38,FALSE),0)</f>
        <v>0</v>
      </c>
      <c r="BK7" s="553">
        <f>IFERROR(HLOOKUP(BK$6,'Property Level Return Calcs'!$D$36:$BO$43,'Property Level Return Calcs'!$A$38,FALSE),0)</f>
        <v>0</v>
      </c>
      <c r="BL7" s="553">
        <f>IFERROR(HLOOKUP(BL$6,'Property Level Return Calcs'!$D$36:$BO$43,'Property Level Return Calcs'!$A$38,FALSE),0)</f>
        <v>0</v>
      </c>
      <c r="BM7" s="553">
        <f>IFERROR(HLOOKUP(BM$6,'Property Level Return Calcs'!$D$36:$BO$43,'Property Level Return Calcs'!$A$38,FALSE),0)</f>
        <v>0</v>
      </c>
      <c r="BN7" s="553">
        <f>IFERROR(HLOOKUP(BN$6,'Property Level Return Calcs'!$D$36:$BO$43,'Property Level Return Calcs'!$A$38,FALSE),0)</f>
        <v>0</v>
      </c>
      <c r="BO7" s="346"/>
      <c r="BP7" s="251" t="s">
        <v>215</v>
      </c>
      <c r="BQ7" s="357">
        <f>+Dashboard!E18</f>
        <v>0.75</v>
      </c>
      <c r="BR7" s="357">
        <f t="shared" ref="BR7:BR8" si="0">1-BQ7</f>
        <v>0.25</v>
      </c>
      <c r="BS7" s="357">
        <f>+Dashboard!F18</f>
        <v>0.22</v>
      </c>
      <c r="BT7" s="666">
        <f>+'Waterfall 3.0 Years'!BT7</f>
        <v>0</v>
      </c>
      <c r="BV7" s="552">
        <f>(1+BS7)^(1/12)</f>
        <v>1.0167089638731281</v>
      </c>
      <c r="BW7" s="554">
        <f>(1+BS7)^(1/365)</f>
        <v>1.0005449453020443</v>
      </c>
    </row>
    <row r="8" spans="1:75" ht="15.75" thickBot="1">
      <c r="B8" s="248" t="s">
        <v>165</v>
      </c>
      <c r="C8" s="553">
        <f>IFERROR(HLOOKUP(C$6,'Property Level Return Calcs'!$D$36:$BO$43,'Property Level Return Calcs'!$A$41,FALSE),0)</f>
        <v>0</v>
      </c>
      <c r="D8" s="553">
        <f>IFERROR(HLOOKUP(D$6,'Property Level Return Calcs'!$D$36:$BO$43,'Property Level Return Calcs'!$A$41,FALSE),0)</f>
        <v>0</v>
      </c>
      <c r="E8" s="553">
        <f>IFERROR(HLOOKUP(E$6,'Property Level Return Calcs'!$D$36:$BO$43,'Property Level Return Calcs'!$A$41,FALSE),0)</f>
        <v>0</v>
      </c>
      <c r="F8" s="553">
        <f>IFERROR(HLOOKUP(F$6,'Property Level Return Calcs'!$D$36:$BO$43,'Property Level Return Calcs'!$A$41,FALSE),0)</f>
        <v>0</v>
      </c>
      <c r="G8" s="553">
        <f>IFERROR(HLOOKUP(G$6,'Property Level Return Calcs'!$D$36:$BO$43,'Property Level Return Calcs'!$A$41,FALSE),0)</f>
        <v>0</v>
      </c>
      <c r="H8" s="553">
        <f>IFERROR(HLOOKUP(H$6,'Property Level Return Calcs'!$D$36:$BO$43,'Property Level Return Calcs'!$A$41,FALSE),0)</f>
        <v>0</v>
      </c>
      <c r="I8" s="553">
        <f>IFERROR(HLOOKUP(I$6,'Property Level Return Calcs'!$D$36:$BO$43,'Property Level Return Calcs'!$A$41,FALSE),0)</f>
        <v>0</v>
      </c>
      <c r="J8" s="553">
        <f>IFERROR(HLOOKUP(J$6,'Property Level Return Calcs'!$D$36:$BO$43,'Property Level Return Calcs'!$A$41,FALSE),0)</f>
        <v>0</v>
      </c>
      <c r="K8" s="553">
        <f>IFERROR(HLOOKUP(K$6,'Property Level Return Calcs'!$D$36:$BO$43,'Property Level Return Calcs'!$A$41,FALSE),0)</f>
        <v>0</v>
      </c>
      <c r="L8" s="553">
        <f>IFERROR(HLOOKUP(L$6,'Property Level Return Calcs'!$D$36:$BO$43,'Property Level Return Calcs'!$A$41,FALSE),0)</f>
        <v>0</v>
      </c>
      <c r="M8" s="553">
        <f>IFERROR(HLOOKUP(M$6,'Property Level Return Calcs'!$D$36:$BO$43,'Property Level Return Calcs'!$A$41,FALSE),0)</f>
        <v>0</v>
      </c>
      <c r="N8" s="553">
        <f>IFERROR(HLOOKUP(N$6,'Property Level Return Calcs'!$D$36:$BO$43,'Property Level Return Calcs'!$A$41,FALSE),0)</f>
        <v>0</v>
      </c>
      <c r="O8" s="553">
        <f>IFERROR(HLOOKUP(O$6,'Property Level Return Calcs'!$D$36:$BO$43,'Property Level Return Calcs'!$A$41,FALSE),0)</f>
        <v>0</v>
      </c>
      <c r="P8" s="553">
        <f>IFERROR(HLOOKUP(P$6,'Property Level Return Calcs'!$D$36:$BO$43,'Property Level Return Calcs'!$A$41,FALSE),0)</f>
        <v>0</v>
      </c>
      <c r="Q8" s="553">
        <f>IFERROR(HLOOKUP(Q$6,'Property Level Return Calcs'!$D$36:$BO$43,'Property Level Return Calcs'!$A$41,FALSE),0)</f>
        <v>0</v>
      </c>
      <c r="R8" s="553">
        <f>IFERROR(HLOOKUP(R$6,'Property Level Return Calcs'!$D$36:$BO$43,'Property Level Return Calcs'!$A$41,FALSE),0)</f>
        <v>0</v>
      </c>
      <c r="S8" s="553">
        <f>IFERROR(HLOOKUP(S$6,'Property Level Return Calcs'!$D$36:$BO$43,'Property Level Return Calcs'!$A$41,FALSE),0)</f>
        <v>0</v>
      </c>
      <c r="T8" s="553">
        <f>IFERROR(HLOOKUP(T$6,'Property Level Return Calcs'!$D$36:$BO$43,'Property Level Return Calcs'!$A$41,FALSE),0)</f>
        <v>0</v>
      </c>
      <c r="U8" s="553">
        <f>IFERROR(HLOOKUP(U$6,'Property Level Return Calcs'!$D$36:$BO$43,'Property Level Return Calcs'!$A$41,FALSE),0)</f>
        <v>0</v>
      </c>
      <c r="V8" s="553">
        <f>IFERROR(HLOOKUP(V$6,'Property Level Return Calcs'!$D$36:$BO$43,'Property Level Return Calcs'!$A$41,FALSE),0)</f>
        <v>0</v>
      </c>
      <c r="W8" s="553">
        <f>IFERROR(HLOOKUP(W$6,'Property Level Return Calcs'!$D$36:$BO$43,'Property Level Return Calcs'!$A$41,FALSE),0)</f>
        <v>0</v>
      </c>
      <c r="X8" s="553">
        <f>IFERROR(HLOOKUP(X$6,'Property Level Return Calcs'!$D$36:$BO$43,'Property Level Return Calcs'!$A$41,FALSE),0)</f>
        <v>55865.937070519256</v>
      </c>
      <c r="Y8" s="553">
        <f>IFERROR(HLOOKUP(Y$6,'Property Level Return Calcs'!$D$36:$BO$43,'Property Level Return Calcs'!$A$41,FALSE),0)</f>
        <v>55865.937070519256</v>
      </c>
      <c r="Z8" s="553">
        <f>IFERROR(HLOOKUP(Z$6,'Property Level Return Calcs'!$D$36:$BO$43,'Property Level Return Calcs'!$A$41,FALSE),0)</f>
        <v>55865.937070519256</v>
      </c>
      <c r="AA8" s="553">
        <f>IFERROR(HLOOKUP(AA$6,'Property Level Return Calcs'!$D$36:$BO$43,'Property Level Return Calcs'!$A$41,FALSE),0)</f>
        <v>1567865.9370705192</v>
      </c>
      <c r="AB8" s="553">
        <f>IFERROR(HLOOKUP(AB$6,'Property Level Return Calcs'!$D$36:$BO$43,'Property Level Return Calcs'!$A$41,FALSE),0)</f>
        <v>55865.937070519256</v>
      </c>
      <c r="AC8" s="553">
        <f>IFERROR(HLOOKUP(AC$6,'Property Level Return Calcs'!$D$36:$BO$43,'Property Level Return Calcs'!$A$41,FALSE),0)</f>
        <v>55865.937070519256</v>
      </c>
      <c r="AD8" s="553">
        <f>IFERROR(HLOOKUP(AD$6,'Property Level Return Calcs'!$D$36:$BO$43,'Property Level Return Calcs'!$A$41,FALSE),0)</f>
        <v>160402.43820649723</v>
      </c>
      <c r="AE8" s="553">
        <f>IFERROR(HLOOKUP(AE$6,'Property Level Return Calcs'!$D$36:$BO$43,'Property Level Return Calcs'!$A$41,FALSE),0)</f>
        <v>160402.43820649723</v>
      </c>
      <c r="AF8" s="553">
        <f>IFERROR(HLOOKUP(AF$6,'Property Level Return Calcs'!$D$36:$BO$43,'Property Level Return Calcs'!$A$41,FALSE),0)</f>
        <v>160402.43820649723</v>
      </c>
      <c r="AG8" s="553">
        <f>IFERROR(HLOOKUP(AG$6,'Property Level Return Calcs'!$D$36:$BO$43,'Property Level Return Calcs'!$A$41,FALSE),0)</f>
        <v>160402.43820649723</v>
      </c>
      <c r="AH8" s="553">
        <f>IFERROR(HLOOKUP(AH$6,'Property Level Return Calcs'!$D$36:$BO$43,'Property Level Return Calcs'!$A$41,FALSE),0)</f>
        <v>160402.43820649723</v>
      </c>
      <c r="AI8" s="553">
        <f>IFERROR(HLOOKUP(AI$6,'Property Level Return Calcs'!$D$36:$BO$43,'Property Level Return Calcs'!$A$41,FALSE),0)</f>
        <v>160402.43820649723</v>
      </c>
      <c r="AJ8" s="553">
        <f>IFERROR(HLOOKUP(AJ$6,'Property Level Return Calcs'!$D$36:$BO$43,'Property Level Return Calcs'!$A$41,FALSE),0)</f>
        <v>174756.336958414</v>
      </c>
      <c r="AK8" s="553">
        <f>IFERROR(HLOOKUP(AK$6,'Property Level Return Calcs'!$D$36:$BO$43,'Property Level Return Calcs'!$A$41,FALSE),0)</f>
        <v>174756.336958414</v>
      </c>
      <c r="AL8" s="553">
        <f>IFERROR(HLOOKUP(AL$6,'Property Level Return Calcs'!$D$36:$BO$43,'Property Level Return Calcs'!$A$41,FALSE),0)</f>
        <v>174756.336958414</v>
      </c>
      <c r="AM8" s="553">
        <f>IFERROR(HLOOKUP(AM$6,'Property Level Return Calcs'!$D$36:$BO$43,'Property Level Return Calcs'!$A$41,FALSE),0)</f>
        <v>174756.336958414</v>
      </c>
      <c r="AN8" s="553">
        <f>IFERROR(HLOOKUP(AN$6,'Property Level Return Calcs'!$D$36:$BO$43,'Property Level Return Calcs'!$A$41,FALSE),0)</f>
        <v>174756.336958414</v>
      </c>
      <c r="AO8" s="553">
        <f>IFERROR(HLOOKUP(AO$6,'Property Level Return Calcs'!$D$36:$BO$43,'Property Level Return Calcs'!$A$41,FALSE),0)</f>
        <v>174756.336958414</v>
      </c>
      <c r="AP8" s="553">
        <f>IFERROR(HLOOKUP(AP$6,'Property Level Return Calcs'!$D$36:$BO$43,'Property Level Return Calcs'!$A$41,FALSE),0)</f>
        <v>93471.925282638869</v>
      </c>
      <c r="AQ8" s="553">
        <f>IFERROR(HLOOKUP(AQ$6,'Property Level Return Calcs'!$D$36:$BO$43,'Property Level Return Calcs'!$A$41,FALSE),0)</f>
        <v>93471.925282638811</v>
      </c>
      <c r="AR8" s="553">
        <f>IFERROR(HLOOKUP(AR$6,'Property Level Return Calcs'!$D$36:$BO$43,'Property Level Return Calcs'!$A$41,FALSE),0)</f>
        <v>93471.925282638811</v>
      </c>
      <c r="AS8" s="553">
        <f>IFERROR(HLOOKUP(AS$6,'Property Level Return Calcs'!$D$36:$BO$43,'Property Level Return Calcs'!$A$41,FALSE),0)</f>
        <v>93471.925282638811</v>
      </c>
      <c r="AT8" s="553">
        <f>IFERROR(HLOOKUP(AT$6,'Property Level Return Calcs'!$D$36:$BO$43,'Property Level Return Calcs'!$A$41,FALSE),0)</f>
        <v>93471.925282638811</v>
      </c>
      <c r="AU8" s="553">
        <f>IFERROR(HLOOKUP(AU$6,'Property Level Return Calcs'!$D$36:$BO$43,'Property Level Return Calcs'!$A$41,FALSE),0)</f>
        <v>93471.925282638869</v>
      </c>
      <c r="AV8" s="553">
        <f>IFERROR(HLOOKUP(AV$6,'Property Level Return Calcs'!$D$36:$BO$43,'Property Level Return Calcs'!$A$41,FALSE),0)</f>
        <v>108277.02087538387</v>
      </c>
      <c r="AW8" s="553">
        <f>IFERROR(HLOOKUP(AW$6,'Property Level Return Calcs'!$D$36:$BO$43,'Property Level Return Calcs'!$A$41,FALSE),0)</f>
        <v>108277.02087538387</v>
      </c>
      <c r="AX8" s="553">
        <f>IFERROR(HLOOKUP(AX$6,'Property Level Return Calcs'!$D$36:$BO$43,'Property Level Return Calcs'!$A$41,FALSE),0)</f>
        <v>108277.02087538387</v>
      </c>
      <c r="AY8" s="553">
        <f>IFERROR(HLOOKUP(AY$6,'Property Level Return Calcs'!$D$36:$BO$43,'Property Level Return Calcs'!$A$41,FALSE),0)</f>
        <v>108277.02087538387</v>
      </c>
      <c r="AZ8" s="553">
        <f>IFERROR(HLOOKUP(AZ$6,'Property Level Return Calcs'!$D$36:$BO$43,'Property Level Return Calcs'!$A$41,FALSE),0)</f>
        <v>108277.02087538387</v>
      </c>
      <c r="BA8" s="553">
        <f>IFERROR(HLOOKUP(BA$6,'Property Level Return Calcs'!$D$36:$BO$43,'Property Level Return Calcs'!$A$41,FALSE),0)</f>
        <v>108277.02087538387</v>
      </c>
      <c r="BB8" s="553">
        <f>IFERROR(HLOOKUP(BB$6,'Property Level Return Calcs'!$D$36:$BO$43,'Property Level Return Calcs'!$A$41,FALSE),0)</f>
        <v>0</v>
      </c>
      <c r="BC8" s="553">
        <f>IFERROR(HLOOKUP(BC$6,'Property Level Return Calcs'!$D$36:$BO$43,'Property Level Return Calcs'!$A$41,FALSE),0)</f>
        <v>0</v>
      </c>
      <c r="BD8" s="553">
        <f>IFERROR(HLOOKUP(BD$6,'Property Level Return Calcs'!$D$36:$BO$43,'Property Level Return Calcs'!$A$41,FALSE),0)</f>
        <v>0</v>
      </c>
      <c r="BE8" s="553">
        <f>IFERROR(HLOOKUP(BE$6,'Property Level Return Calcs'!$D$36:$BO$43,'Property Level Return Calcs'!$A$41,FALSE),0)</f>
        <v>0</v>
      </c>
      <c r="BF8" s="553">
        <f>IFERROR(HLOOKUP(BF$6,'Property Level Return Calcs'!$D$36:$BO$43,'Property Level Return Calcs'!$A$41,FALSE),0)</f>
        <v>0</v>
      </c>
      <c r="BG8" s="553">
        <f>IFERROR(HLOOKUP(BG$6,'Property Level Return Calcs'!$D$36:$BO$43,'Property Level Return Calcs'!$A$41,FALSE),0)</f>
        <v>0</v>
      </c>
      <c r="BH8" s="553">
        <f>IFERROR(HLOOKUP(BH$6,'Property Level Return Calcs'!$D$36:$BO$43,'Property Level Return Calcs'!$A$41,FALSE),0)</f>
        <v>0</v>
      </c>
      <c r="BI8" s="553">
        <f>IFERROR(HLOOKUP(BI$6,'Property Level Return Calcs'!$D$36:$BO$43,'Property Level Return Calcs'!$A$41,FALSE),0)</f>
        <v>0</v>
      </c>
      <c r="BJ8" s="553">
        <f>IFERROR(HLOOKUP(BJ$6,'Property Level Return Calcs'!$D$36:$BO$43,'Property Level Return Calcs'!$A$41,FALSE),0)</f>
        <v>0</v>
      </c>
      <c r="BK8" s="553">
        <f>IFERROR(HLOOKUP(BK$6,'Property Level Return Calcs'!$D$36:$BO$43,'Property Level Return Calcs'!$A$41,FALSE),0)</f>
        <v>0</v>
      </c>
      <c r="BL8" s="553">
        <f>IFERROR(HLOOKUP(BL$6,'Property Level Return Calcs'!$D$36:$BO$43,'Property Level Return Calcs'!$A$41,FALSE),0)</f>
        <v>0</v>
      </c>
      <c r="BM8" s="553">
        <f>IFERROR(HLOOKUP(BM$6,'Property Level Return Calcs'!$D$36:$BO$43,'Property Level Return Calcs'!$A$41,FALSE),0)</f>
        <v>0</v>
      </c>
      <c r="BN8" s="553">
        <f>IFERROR(HLOOKUP(BN$6,'Property Level Return Calcs'!$D$36:$BO$43,'Property Level Return Calcs'!$A$41,FALSE),0)</f>
        <v>0</v>
      </c>
      <c r="BO8" s="322"/>
      <c r="BP8" s="555" t="s">
        <v>216</v>
      </c>
      <c r="BQ8" s="556">
        <f>+Dashboard!E20</f>
        <v>0.65</v>
      </c>
      <c r="BR8" s="556">
        <f t="shared" si="0"/>
        <v>0.35</v>
      </c>
      <c r="BS8" s="556">
        <f>+Dashboard!F20</f>
        <v>2</v>
      </c>
      <c r="BT8" s="667" t="str">
        <f>+'Waterfall 3.0 Years'!BT8</f>
        <v>N/Ap</v>
      </c>
      <c r="BV8" s="487"/>
    </row>
    <row r="9" spans="1:75">
      <c r="B9" s="248" t="s">
        <v>156</v>
      </c>
      <c r="C9" s="553">
        <f>IFERROR(HLOOKUP(C$6,'Property Level Return Calcs'!$D$36:$BO$43,'Property Level Return Calcs'!$A$42,FALSE),0)</f>
        <v>0</v>
      </c>
      <c r="D9" s="553">
        <f>IFERROR(HLOOKUP(D$6,'Property Level Return Calcs'!$D$36:$BO$43,'Property Level Return Calcs'!$A$42,FALSE),0)</f>
        <v>0</v>
      </c>
      <c r="E9" s="553">
        <f>IFERROR(HLOOKUP(E$6,'Property Level Return Calcs'!$D$36:$BO$43,'Property Level Return Calcs'!$A$42,FALSE),0)</f>
        <v>0</v>
      </c>
      <c r="F9" s="553">
        <f>IFERROR(HLOOKUP(F$6,'Property Level Return Calcs'!$D$36:$BO$43,'Property Level Return Calcs'!$A$42,FALSE),0)</f>
        <v>0</v>
      </c>
      <c r="G9" s="553">
        <f>IFERROR(HLOOKUP(G$6,'Property Level Return Calcs'!$D$36:$BO$43,'Property Level Return Calcs'!$A$42,FALSE),0)</f>
        <v>0</v>
      </c>
      <c r="H9" s="553">
        <f>IFERROR(HLOOKUP(H$6,'Property Level Return Calcs'!$D$36:$BO$43,'Property Level Return Calcs'!$A$42,FALSE),0)</f>
        <v>0</v>
      </c>
      <c r="I9" s="553">
        <f>IFERROR(HLOOKUP(I$6,'Property Level Return Calcs'!$D$36:$BO$43,'Property Level Return Calcs'!$A$42,FALSE),0)</f>
        <v>0</v>
      </c>
      <c r="J9" s="553">
        <f>IFERROR(HLOOKUP(J$6,'Property Level Return Calcs'!$D$36:$BO$43,'Property Level Return Calcs'!$A$42,FALSE),0)</f>
        <v>0</v>
      </c>
      <c r="K9" s="553">
        <f>IFERROR(HLOOKUP(K$6,'Property Level Return Calcs'!$D$36:$BO$43,'Property Level Return Calcs'!$A$42,FALSE),0)</f>
        <v>0</v>
      </c>
      <c r="L9" s="553">
        <f>IFERROR(HLOOKUP(L$6,'Property Level Return Calcs'!$D$36:$BO$43,'Property Level Return Calcs'!$A$42,FALSE),0)</f>
        <v>0</v>
      </c>
      <c r="M9" s="553">
        <f>IFERROR(HLOOKUP(M$6,'Property Level Return Calcs'!$D$36:$BO$43,'Property Level Return Calcs'!$A$42,FALSE),0)</f>
        <v>0</v>
      </c>
      <c r="N9" s="553">
        <f>IFERROR(HLOOKUP(N$6,'Property Level Return Calcs'!$D$36:$BO$43,'Property Level Return Calcs'!$A$42,FALSE),0)</f>
        <v>0</v>
      </c>
      <c r="O9" s="553">
        <f>IFERROR(HLOOKUP(O$6,'Property Level Return Calcs'!$D$36:$BO$43,'Property Level Return Calcs'!$A$42,FALSE),0)</f>
        <v>0</v>
      </c>
      <c r="P9" s="553">
        <f>IFERROR(HLOOKUP(P$6,'Property Level Return Calcs'!$D$36:$BO$43,'Property Level Return Calcs'!$A$42,FALSE),0)</f>
        <v>0</v>
      </c>
      <c r="Q9" s="553">
        <f>IFERROR(HLOOKUP(Q$6,'Property Level Return Calcs'!$D$36:$BO$43,'Property Level Return Calcs'!$A$42,FALSE),0)</f>
        <v>0</v>
      </c>
      <c r="R9" s="553">
        <f>IFERROR(HLOOKUP(R$6,'Property Level Return Calcs'!$D$36:$BO$43,'Property Level Return Calcs'!$A$42,FALSE),0)</f>
        <v>0</v>
      </c>
      <c r="S9" s="553">
        <f>IFERROR(HLOOKUP(S$6,'Property Level Return Calcs'!$D$36:$BO$43,'Property Level Return Calcs'!$A$42,FALSE),0)</f>
        <v>0</v>
      </c>
      <c r="T9" s="553">
        <f>IFERROR(HLOOKUP(T$6,'Property Level Return Calcs'!$D$36:$BO$43,'Property Level Return Calcs'!$A$42,FALSE),0)</f>
        <v>0</v>
      </c>
      <c r="U9" s="553">
        <f>IFERROR(HLOOKUP(U$6,'Property Level Return Calcs'!$D$36:$BO$43,'Property Level Return Calcs'!$A$42,FALSE),0)</f>
        <v>0</v>
      </c>
      <c r="V9" s="553">
        <f>IFERROR(HLOOKUP(V$6,'Property Level Return Calcs'!$D$36:$BO$43,'Property Level Return Calcs'!$A$42,FALSE),0)</f>
        <v>0</v>
      </c>
      <c r="W9" s="553">
        <f>IFERROR(HLOOKUP(W$6,'Property Level Return Calcs'!$D$36:$BO$43,'Property Level Return Calcs'!$A$42,FALSE),0)</f>
        <v>0</v>
      </c>
      <c r="X9" s="553">
        <f>IFERROR(HLOOKUP(X$6,'Property Level Return Calcs'!$D$36:$BO$43,'Property Level Return Calcs'!$A$42,FALSE),0)</f>
        <v>0</v>
      </c>
      <c r="Y9" s="553">
        <f>IFERROR(HLOOKUP(Y$6,'Property Level Return Calcs'!$D$36:$BO$43,'Property Level Return Calcs'!$A$42,FALSE),0)</f>
        <v>0</v>
      </c>
      <c r="Z9" s="553">
        <f>IFERROR(HLOOKUP(Z$6,'Property Level Return Calcs'!$D$36:$BO$43,'Property Level Return Calcs'!$A$42,FALSE),0)</f>
        <v>0</v>
      </c>
      <c r="AA9" s="553">
        <f>IFERROR(HLOOKUP(AA$6,'Property Level Return Calcs'!$D$36:$BO$43,'Property Level Return Calcs'!$A$42,FALSE),0)</f>
        <v>0</v>
      </c>
      <c r="AB9" s="553">
        <f>IFERROR(HLOOKUP(AB$6,'Property Level Return Calcs'!$D$36:$BO$43,'Property Level Return Calcs'!$A$42,FALSE),0)</f>
        <v>0</v>
      </c>
      <c r="AC9" s="553">
        <f>IFERROR(HLOOKUP(AC$6,'Property Level Return Calcs'!$D$36:$BO$43,'Property Level Return Calcs'!$A$42,FALSE),0)</f>
        <v>0</v>
      </c>
      <c r="AD9" s="553">
        <f>IFERROR(HLOOKUP(AD$6,'Property Level Return Calcs'!$D$36:$BO$43,'Property Level Return Calcs'!$A$42,FALSE),0)</f>
        <v>-1381023.3589114696</v>
      </c>
      <c r="AE9" s="553">
        <f>IFERROR(HLOOKUP(AE$6,'Property Level Return Calcs'!$D$36:$BO$43,'Property Level Return Calcs'!$A$42,FALSE),0)</f>
        <v>0</v>
      </c>
      <c r="AF9" s="553">
        <f>IFERROR(HLOOKUP(AF$6,'Property Level Return Calcs'!$D$36:$BO$43,'Property Level Return Calcs'!$A$42,FALSE),0)</f>
        <v>0</v>
      </c>
      <c r="AG9" s="553">
        <f>IFERROR(HLOOKUP(AG$6,'Property Level Return Calcs'!$D$36:$BO$43,'Property Level Return Calcs'!$A$42,FALSE),0)</f>
        <v>0</v>
      </c>
      <c r="AH9" s="553">
        <f>IFERROR(HLOOKUP(AH$6,'Property Level Return Calcs'!$D$36:$BO$43,'Property Level Return Calcs'!$A$42,FALSE),0)</f>
        <v>0</v>
      </c>
      <c r="AI9" s="553">
        <f>IFERROR(HLOOKUP(AI$6,'Property Level Return Calcs'!$D$36:$BO$43,'Property Level Return Calcs'!$A$42,FALSE),0)</f>
        <v>0</v>
      </c>
      <c r="AJ9" s="553">
        <f>IFERROR(HLOOKUP(AJ$6,'Property Level Return Calcs'!$D$36:$BO$43,'Property Level Return Calcs'!$A$42,FALSE),0)</f>
        <v>0</v>
      </c>
      <c r="AK9" s="553">
        <f>IFERROR(HLOOKUP(AK$6,'Property Level Return Calcs'!$D$36:$BO$43,'Property Level Return Calcs'!$A$42,FALSE),0)</f>
        <v>0</v>
      </c>
      <c r="AL9" s="553">
        <f>IFERROR(HLOOKUP(AL$6,'Property Level Return Calcs'!$D$36:$BO$43,'Property Level Return Calcs'!$A$42,FALSE),0)</f>
        <v>0</v>
      </c>
      <c r="AM9" s="553">
        <f>IFERROR(HLOOKUP(AM$6,'Property Level Return Calcs'!$D$36:$BO$43,'Property Level Return Calcs'!$A$42,FALSE),0)</f>
        <v>0</v>
      </c>
      <c r="AN9" s="553">
        <f>IFERROR(HLOOKUP(AN$6,'Property Level Return Calcs'!$D$36:$BO$43,'Property Level Return Calcs'!$A$42,FALSE),0)</f>
        <v>0</v>
      </c>
      <c r="AO9" s="553">
        <f>IFERROR(HLOOKUP(AO$6,'Property Level Return Calcs'!$D$36:$BO$43,'Property Level Return Calcs'!$A$42,FALSE),0)</f>
        <v>0</v>
      </c>
      <c r="AP9" s="553">
        <f>IFERROR(HLOOKUP(AP$6,'Property Level Return Calcs'!$D$36:$BO$43,'Property Level Return Calcs'!$A$42,FALSE),0)</f>
        <v>0</v>
      </c>
      <c r="AQ9" s="553">
        <f>IFERROR(HLOOKUP(AQ$6,'Property Level Return Calcs'!$D$36:$BO$43,'Property Level Return Calcs'!$A$42,FALSE),0)</f>
        <v>0</v>
      </c>
      <c r="AR9" s="553">
        <f>IFERROR(HLOOKUP(AR$6,'Property Level Return Calcs'!$D$36:$BO$43,'Property Level Return Calcs'!$A$42,FALSE),0)</f>
        <v>0</v>
      </c>
      <c r="AS9" s="553">
        <f>IFERROR(HLOOKUP(AS$6,'Property Level Return Calcs'!$D$36:$BO$43,'Property Level Return Calcs'!$A$42,FALSE),0)</f>
        <v>0</v>
      </c>
      <c r="AT9" s="553">
        <f>IFERROR(HLOOKUP(AT$6,'Property Level Return Calcs'!$D$36:$BO$43,'Property Level Return Calcs'!$A$42,FALSE),0)</f>
        <v>0</v>
      </c>
      <c r="AU9" s="553">
        <f>IFERROR(HLOOKUP(AU$6,'Property Level Return Calcs'!$D$36:$BO$43,'Property Level Return Calcs'!$A$42,FALSE),0)</f>
        <v>0</v>
      </c>
      <c r="AV9" s="553">
        <f>IFERROR(HLOOKUP(AV$6,'Property Level Return Calcs'!$D$36:$BO$43,'Property Level Return Calcs'!$A$42,FALSE),0)</f>
        <v>0</v>
      </c>
      <c r="AW9" s="553">
        <f>IFERROR(HLOOKUP(AW$6,'Property Level Return Calcs'!$D$36:$BO$43,'Property Level Return Calcs'!$A$42,FALSE),0)</f>
        <v>0</v>
      </c>
      <c r="AX9" s="553">
        <f>IFERROR(HLOOKUP(AX$6,'Property Level Return Calcs'!$D$36:$BO$43,'Property Level Return Calcs'!$A$42,FALSE),0)</f>
        <v>0</v>
      </c>
      <c r="AY9" s="553">
        <f>IFERROR(HLOOKUP(AY$6,'Property Level Return Calcs'!$D$36:$BO$43,'Property Level Return Calcs'!$A$42,FALSE),0)</f>
        <v>0</v>
      </c>
      <c r="AZ9" s="553">
        <f>IFERROR(HLOOKUP(AZ$6,'Property Level Return Calcs'!$D$36:$BO$43,'Property Level Return Calcs'!$A$42,FALSE),0)</f>
        <v>0</v>
      </c>
      <c r="BA9" s="553">
        <f>IFERROR(HLOOKUP(BA$6,'Property Level Return Calcs'!$D$36:$BO$43,'Property Level Return Calcs'!$A$42,FALSE),0)</f>
        <v>0</v>
      </c>
      <c r="BB9" s="553">
        <f>IFERROR(HLOOKUP(BB$6,'Property Level Return Calcs'!$D$36:$BO$43,'Property Level Return Calcs'!$A$42,FALSE),0)</f>
        <v>0</v>
      </c>
      <c r="BC9" s="553">
        <f>IFERROR(HLOOKUP(BC$6,'Property Level Return Calcs'!$D$36:$BO$43,'Property Level Return Calcs'!$A$42,FALSE),0)</f>
        <v>0</v>
      </c>
      <c r="BD9" s="553">
        <f>IFERROR(HLOOKUP(BD$6,'Property Level Return Calcs'!$D$36:$BO$43,'Property Level Return Calcs'!$A$42,FALSE),0)</f>
        <v>0</v>
      </c>
      <c r="BE9" s="553">
        <f>IFERROR(HLOOKUP(BE$6,'Property Level Return Calcs'!$D$36:$BO$43,'Property Level Return Calcs'!$A$42,FALSE),0)</f>
        <v>0</v>
      </c>
      <c r="BF9" s="553">
        <f>IFERROR(HLOOKUP(BF$6,'Property Level Return Calcs'!$D$36:$BO$43,'Property Level Return Calcs'!$A$42,FALSE),0)</f>
        <v>0</v>
      </c>
      <c r="BG9" s="553">
        <f>IFERROR(HLOOKUP(BG$6,'Property Level Return Calcs'!$D$36:$BO$43,'Property Level Return Calcs'!$A$42,FALSE),0)</f>
        <v>0</v>
      </c>
      <c r="BH9" s="553">
        <f>IFERROR(HLOOKUP(BH$6,'Property Level Return Calcs'!$D$36:$BO$43,'Property Level Return Calcs'!$A$42,FALSE),0)</f>
        <v>0</v>
      </c>
      <c r="BI9" s="553">
        <f>IFERROR(HLOOKUP(BI$6,'Property Level Return Calcs'!$D$36:$BO$43,'Property Level Return Calcs'!$A$42,FALSE),0)</f>
        <v>0</v>
      </c>
      <c r="BJ9" s="553">
        <f>IFERROR(HLOOKUP(BJ$6,'Property Level Return Calcs'!$D$36:$BO$43,'Property Level Return Calcs'!$A$42,FALSE),0)</f>
        <v>0</v>
      </c>
      <c r="BK9" s="553">
        <f>IFERROR(HLOOKUP(BK$6,'Property Level Return Calcs'!$D$36:$BO$43,'Property Level Return Calcs'!$A$42,FALSE),0)</f>
        <v>0</v>
      </c>
      <c r="BL9" s="553">
        <f>IFERROR(HLOOKUP(BL$6,'Property Level Return Calcs'!$D$36:$BO$43,'Property Level Return Calcs'!$A$42,FALSE),0)</f>
        <v>0</v>
      </c>
      <c r="BM9" s="553">
        <f>IFERROR(HLOOKUP(BM$6,'Property Level Return Calcs'!$D$36:$BO$43,'Property Level Return Calcs'!$A$42,FALSE),0)</f>
        <v>0</v>
      </c>
      <c r="BN9" s="553">
        <f>IFERROR(HLOOKUP(BN$6,'Property Level Return Calcs'!$D$36:$BO$43,'Property Level Return Calcs'!$A$42,FALSE),0)</f>
        <v>0</v>
      </c>
      <c r="BO9" s="347"/>
    </row>
    <row r="10" spans="1:75" s="216" customFormat="1">
      <c r="A10" s="215"/>
      <c r="B10" s="255" t="s">
        <v>166</v>
      </c>
      <c r="C10" s="553">
        <f>IFERROR(HLOOKUP(C$6,'Property Level Return Calcs'!$D$36:$BO$43,'Property Level Return Calcs'!$A$43,FALSE),0)</f>
        <v>0</v>
      </c>
      <c r="D10" s="553">
        <f>IFERROR(HLOOKUP(D$6,'Property Level Return Calcs'!$D$36:$BO$43,'Property Level Return Calcs'!$A$43,FALSE),0)</f>
        <v>0</v>
      </c>
      <c r="E10" s="553">
        <f>IFERROR(HLOOKUP(E$6,'Property Level Return Calcs'!$D$36:$BO$43,'Property Level Return Calcs'!$A$43,FALSE),0)</f>
        <v>0</v>
      </c>
      <c r="F10" s="553">
        <f>IFERROR(HLOOKUP(F$6,'Property Level Return Calcs'!$D$36:$BO$43,'Property Level Return Calcs'!$A$43,FALSE),0)</f>
        <v>0</v>
      </c>
      <c r="G10" s="553">
        <f>IFERROR(HLOOKUP(G$6,'Property Level Return Calcs'!$D$36:$BO$43,'Property Level Return Calcs'!$A$43,FALSE),0)</f>
        <v>0</v>
      </c>
      <c r="H10" s="553">
        <f>IFERROR(HLOOKUP(H$6,'Property Level Return Calcs'!$D$36:$BO$43,'Property Level Return Calcs'!$A$43,FALSE),0)</f>
        <v>0</v>
      </c>
      <c r="I10" s="553">
        <f>IFERROR(HLOOKUP(I$6,'Property Level Return Calcs'!$D$36:$BO$43,'Property Level Return Calcs'!$A$43,FALSE),0)</f>
        <v>0</v>
      </c>
      <c r="J10" s="553">
        <f>IFERROR(HLOOKUP(J$6,'Property Level Return Calcs'!$D$36:$BO$43,'Property Level Return Calcs'!$A$43,FALSE),0)</f>
        <v>0</v>
      </c>
      <c r="K10" s="553">
        <f>IFERROR(HLOOKUP(K$6,'Property Level Return Calcs'!$D$36:$BO$43,'Property Level Return Calcs'!$A$43,FALSE),0)</f>
        <v>0</v>
      </c>
      <c r="L10" s="553">
        <f>IFERROR(HLOOKUP(L$6,'Property Level Return Calcs'!$D$36:$BO$43,'Property Level Return Calcs'!$A$43,FALSE),0)</f>
        <v>0</v>
      </c>
      <c r="M10" s="553">
        <f>IFERROR(HLOOKUP(M$6,'Property Level Return Calcs'!$D$36:$BO$43,'Property Level Return Calcs'!$A$43,FALSE),0)</f>
        <v>0</v>
      </c>
      <c r="N10" s="553">
        <f>IFERROR(HLOOKUP(N$6,'Property Level Return Calcs'!$D$36:$BO$43,'Property Level Return Calcs'!$A$43,FALSE),0)</f>
        <v>0</v>
      </c>
      <c r="O10" s="553">
        <f>IFERROR(HLOOKUP(O$6,'Property Level Return Calcs'!$D$36:$BO$43,'Property Level Return Calcs'!$A$43,FALSE),0)</f>
        <v>0</v>
      </c>
      <c r="P10" s="553">
        <f>IFERROR(HLOOKUP(P$6,'Property Level Return Calcs'!$D$36:$BO$43,'Property Level Return Calcs'!$A$43,FALSE),0)</f>
        <v>0</v>
      </c>
      <c r="Q10" s="553">
        <f>IFERROR(HLOOKUP(Q$6,'Property Level Return Calcs'!$D$36:$BO$43,'Property Level Return Calcs'!$A$43,FALSE),0)</f>
        <v>0</v>
      </c>
      <c r="R10" s="553">
        <f>IFERROR(HLOOKUP(R$6,'Property Level Return Calcs'!$D$36:$BO$43,'Property Level Return Calcs'!$A$43,FALSE),0)</f>
        <v>0</v>
      </c>
      <c r="S10" s="553">
        <f>IFERROR(HLOOKUP(S$6,'Property Level Return Calcs'!$D$36:$BO$43,'Property Level Return Calcs'!$A$43,FALSE),0)</f>
        <v>0</v>
      </c>
      <c r="T10" s="553">
        <f>IFERROR(HLOOKUP(T$6,'Property Level Return Calcs'!$D$36:$BO$43,'Property Level Return Calcs'!$A$43,FALSE),0)</f>
        <v>0</v>
      </c>
      <c r="U10" s="553">
        <f>IFERROR(HLOOKUP(U$6,'Property Level Return Calcs'!$D$36:$BO$43,'Property Level Return Calcs'!$A$43,FALSE),0)</f>
        <v>0</v>
      </c>
      <c r="V10" s="553">
        <f>IFERROR(HLOOKUP(V$6,'Property Level Return Calcs'!$D$36:$BO$43,'Property Level Return Calcs'!$A$43,FALSE),0)</f>
        <v>0</v>
      </c>
      <c r="W10" s="553">
        <f>IFERROR(HLOOKUP(W$6,'Property Level Return Calcs'!$D$36:$BO$43,'Property Level Return Calcs'!$A$43,FALSE),0)</f>
        <v>0</v>
      </c>
      <c r="X10" s="553">
        <f>IFERROR(HLOOKUP(X$6,'Property Level Return Calcs'!$D$36:$BO$43,'Property Level Return Calcs'!$A$43,FALSE),0)</f>
        <v>0</v>
      </c>
      <c r="Y10" s="553">
        <f>IFERROR(HLOOKUP(Y$6,'Property Level Return Calcs'!$D$36:$BO$43,'Property Level Return Calcs'!$A$43,FALSE),0)</f>
        <v>0</v>
      </c>
      <c r="Z10" s="553">
        <f>IFERROR(HLOOKUP(Z$6,'Property Level Return Calcs'!$D$36:$BO$43,'Property Level Return Calcs'!$A$43,FALSE),0)</f>
        <v>0</v>
      </c>
      <c r="AA10" s="553">
        <f>IFERROR(HLOOKUP(AA$6,'Property Level Return Calcs'!$D$36:$BO$43,'Property Level Return Calcs'!$A$43,FALSE),0)</f>
        <v>0</v>
      </c>
      <c r="AB10" s="553">
        <f>IFERROR(HLOOKUP(AB$6,'Property Level Return Calcs'!$D$36:$BO$43,'Property Level Return Calcs'!$A$43,FALSE),0)</f>
        <v>0</v>
      </c>
      <c r="AC10" s="553">
        <f>IFERROR(HLOOKUP(AC$6,'Property Level Return Calcs'!$D$36:$BO$43,'Property Level Return Calcs'!$A$43,FALSE),0)</f>
        <v>0</v>
      </c>
      <c r="AD10" s="553">
        <f>IFERROR(HLOOKUP(AD$6,'Property Level Return Calcs'!$D$36:$BO$43,'Property Level Return Calcs'!$A$43,FALSE),0)</f>
        <v>0</v>
      </c>
      <c r="AE10" s="553">
        <f>IFERROR(HLOOKUP(AE$6,'Property Level Return Calcs'!$D$36:$BO$43,'Property Level Return Calcs'!$A$43,FALSE),0)</f>
        <v>0</v>
      </c>
      <c r="AF10" s="553">
        <f>IFERROR(HLOOKUP(AF$6,'Property Level Return Calcs'!$D$36:$BO$43,'Property Level Return Calcs'!$A$43,FALSE),0)</f>
        <v>0</v>
      </c>
      <c r="AG10" s="553">
        <f>IFERROR(HLOOKUP(AG$6,'Property Level Return Calcs'!$D$36:$BO$43,'Property Level Return Calcs'!$A$43,FALSE),0)</f>
        <v>0</v>
      </c>
      <c r="AH10" s="553">
        <f>IFERROR(HLOOKUP(AH$6,'Property Level Return Calcs'!$D$36:$BO$43,'Property Level Return Calcs'!$A$43,FALSE),0)</f>
        <v>0</v>
      </c>
      <c r="AI10" s="553">
        <f>IFERROR(HLOOKUP(AI$6,'Property Level Return Calcs'!$D$36:$BO$43,'Property Level Return Calcs'!$A$43,FALSE),0)</f>
        <v>0</v>
      </c>
      <c r="AJ10" s="553">
        <f>IFERROR(HLOOKUP(AJ$6,'Property Level Return Calcs'!$D$36:$BO$43,'Property Level Return Calcs'!$A$43,FALSE),0)</f>
        <v>0</v>
      </c>
      <c r="AK10" s="553">
        <f>IFERROR(HLOOKUP(AK$6,'Property Level Return Calcs'!$D$36:$BO$43,'Property Level Return Calcs'!$A$43,FALSE),0)</f>
        <v>0</v>
      </c>
      <c r="AL10" s="553">
        <f>IFERROR(HLOOKUP(AL$6,'Property Level Return Calcs'!$D$36:$BO$43,'Property Level Return Calcs'!$A$43,FALSE),0)</f>
        <v>0</v>
      </c>
      <c r="AM10" s="553">
        <f>IFERROR(HLOOKUP(AM$6,'Property Level Return Calcs'!$D$36:$BO$43,'Property Level Return Calcs'!$A$43,FALSE),0)</f>
        <v>0</v>
      </c>
      <c r="AN10" s="553">
        <f>IFERROR(HLOOKUP(AN$6,'Property Level Return Calcs'!$D$36:$BO$43,'Property Level Return Calcs'!$A$43,FALSE),0)</f>
        <v>0</v>
      </c>
      <c r="AO10" s="553">
        <f>IFERROR(HLOOKUP(AO$6,'Property Level Return Calcs'!$D$36:$BO$43,'Property Level Return Calcs'!$A$43,FALSE),0)</f>
        <v>0</v>
      </c>
      <c r="AP10" s="553">
        <f>IFERROR(HLOOKUP(AP$6,'Property Level Return Calcs'!$D$36:$BO$43,'Property Level Return Calcs'!$A$43,FALSE),0)</f>
        <v>0</v>
      </c>
      <c r="AQ10" s="553">
        <f>IFERROR(HLOOKUP(AQ$6,'Property Level Return Calcs'!$D$36:$BO$43,'Property Level Return Calcs'!$A$43,FALSE),0)</f>
        <v>0</v>
      </c>
      <c r="AR10" s="553">
        <f>IFERROR(HLOOKUP(AR$6,'Property Level Return Calcs'!$D$36:$BO$43,'Property Level Return Calcs'!$A$43,FALSE),0)</f>
        <v>0</v>
      </c>
      <c r="AS10" s="553">
        <f>IFERROR(HLOOKUP(AS$6,'Property Level Return Calcs'!$D$36:$BO$43,'Property Level Return Calcs'!$A$43,FALSE),0)</f>
        <v>0</v>
      </c>
      <c r="AT10" s="553">
        <f>IFERROR(HLOOKUP(AT$6,'Property Level Return Calcs'!$D$36:$BO$43,'Property Level Return Calcs'!$A$43,FALSE),0)</f>
        <v>0</v>
      </c>
      <c r="AU10" s="553">
        <f>IFERROR(HLOOKUP(AU$6,'Property Level Return Calcs'!$D$36:$BO$43,'Property Level Return Calcs'!$A$43,FALSE),0)</f>
        <v>0</v>
      </c>
      <c r="AV10" s="553">
        <f>IFERROR(HLOOKUP(AV$6,'Property Level Return Calcs'!$D$36:$BO$43,'Property Level Return Calcs'!$A$43,FALSE),0)</f>
        <v>0</v>
      </c>
      <c r="AW10" s="553">
        <f>IFERROR(HLOOKUP(AW$6,'Property Level Return Calcs'!$D$36:$BO$43,'Property Level Return Calcs'!$A$43,FALSE),0)</f>
        <v>0</v>
      </c>
      <c r="AX10" s="553">
        <f>IFERROR(HLOOKUP(AX$6,'Property Level Return Calcs'!$D$36:$BO$43,'Property Level Return Calcs'!$A$43,FALSE),0)</f>
        <v>0</v>
      </c>
      <c r="AY10" s="553">
        <f>IFERROR(HLOOKUP(AY$6,'Property Level Return Calcs'!$D$36:$BO$43,'Property Level Return Calcs'!$A$43,FALSE),0)</f>
        <v>0</v>
      </c>
      <c r="AZ10" s="553">
        <f>IFERROR(HLOOKUP(AZ$6,'Property Level Return Calcs'!$D$36:$BO$43,'Property Level Return Calcs'!$A$43,FALSE),0)</f>
        <v>0</v>
      </c>
      <c r="BA10" s="553">
        <f>IFERROR(HLOOKUP(BA$6,'Property Level Return Calcs'!$D$36:$BO$43,'Property Level Return Calcs'!$A$43,FALSE),0)</f>
        <v>0</v>
      </c>
      <c r="BB10" s="553">
        <f>IFERROR(HLOOKUP(BB$6,'Property Level Return Calcs'!$D$36:$BO$43,'Property Level Return Calcs'!$A$43,FALSE),0)</f>
        <v>44729168.535951495</v>
      </c>
      <c r="BC10" s="553">
        <f>IFERROR(HLOOKUP(BC$6,'Property Level Return Calcs'!$D$36:$BO$43,'Property Level Return Calcs'!$A$43,FALSE),0)</f>
        <v>0</v>
      </c>
      <c r="BD10" s="553">
        <f>IFERROR(HLOOKUP(BD$6,'Property Level Return Calcs'!$D$36:$BO$43,'Property Level Return Calcs'!$A$43,FALSE),0)</f>
        <v>0</v>
      </c>
      <c r="BE10" s="553">
        <f>IFERROR(HLOOKUP(BE$6,'Property Level Return Calcs'!$D$36:$BO$43,'Property Level Return Calcs'!$A$43,FALSE),0)</f>
        <v>0</v>
      </c>
      <c r="BF10" s="553">
        <f>IFERROR(HLOOKUP(BF$6,'Property Level Return Calcs'!$D$36:$BO$43,'Property Level Return Calcs'!$A$43,FALSE),0)</f>
        <v>0</v>
      </c>
      <c r="BG10" s="553">
        <f>IFERROR(HLOOKUP(BG$6,'Property Level Return Calcs'!$D$36:$BO$43,'Property Level Return Calcs'!$A$43,FALSE),0)</f>
        <v>0</v>
      </c>
      <c r="BH10" s="553">
        <f>IFERROR(HLOOKUP(BH$6,'Property Level Return Calcs'!$D$36:$BO$43,'Property Level Return Calcs'!$A$43,FALSE),0)</f>
        <v>0</v>
      </c>
      <c r="BI10" s="553">
        <f>IFERROR(HLOOKUP(BI$6,'Property Level Return Calcs'!$D$36:$BO$43,'Property Level Return Calcs'!$A$43,FALSE),0)</f>
        <v>0</v>
      </c>
      <c r="BJ10" s="553">
        <f>IFERROR(HLOOKUP(BJ$6,'Property Level Return Calcs'!$D$36:$BO$43,'Property Level Return Calcs'!$A$43,FALSE),0)</f>
        <v>0</v>
      </c>
      <c r="BK10" s="553">
        <f>IFERROR(HLOOKUP(BK$6,'Property Level Return Calcs'!$D$36:$BO$43,'Property Level Return Calcs'!$A$43,FALSE),0)</f>
        <v>0</v>
      </c>
      <c r="BL10" s="553">
        <f>IFERROR(HLOOKUP(BL$6,'Property Level Return Calcs'!$D$36:$BO$43,'Property Level Return Calcs'!$A$43,FALSE),0)</f>
        <v>0</v>
      </c>
      <c r="BM10" s="553">
        <f>IFERROR(HLOOKUP(BM$6,'Property Level Return Calcs'!$D$36:$BO$43,'Property Level Return Calcs'!$A$43,FALSE),0)</f>
        <v>0</v>
      </c>
      <c r="BN10" s="553">
        <f>IFERROR(HLOOKUP(BN$6,'Property Level Return Calcs'!$D$36:$BO$43,'Property Level Return Calcs'!$A$43,FALSE),0)</f>
        <v>0</v>
      </c>
      <c r="BO10" s="348"/>
    </row>
    <row r="11" spans="1:75" s="216" customFormat="1">
      <c r="A11" s="215"/>
      <c r="B11" s="226" t="s">
        <v>167</v>
      </c>
      <c r="C11" s="557">
        <f>SUM(C7:C10)</f>
        <v>-24033944.982098967</v>
      </c>
      <c r="D11" s="557">
        <f>SUM(D7:D10)</f>
        <v>0</v>
      </c>
      <c r="E11" s="557">
        <f t="shared" ref="E11:BM11" si="1">SUM(E7:E10)</f>
        <v>0</v>
      </c>
      <c r="F11" s="557">
        <f t="shared" si="1"/>
        <v>0</v>
      </c>
      <c r="G11" s="557">
        <f t="shared" si="1"/>
        <v>0</v>
      </c>
      <c r="H11" s="557">
        <f t="shared" si="1"/>
        <v>0</v>
      </c>
      <c r="I11" s="557">
        <f t="shared" si="1"/>
        <v>0</v>
      </c>
      <c r="J11" s="557">
        <f t="shared" si="1"/>
        <v>0</v>
      </c>
      <c r="K11" s="557">
        <f t="shared" si="1"/>
        <v>0</v>
      </c>
      <c r="L11" s="557">
        <f t="shared" si="1"/>
        <v>0</v>
      </c>
      <c r="M11" s="557">
        <f t="shared" si="1"/>
        <v>0</v>
      </c>
      <c r="N11" s="557">
        <f t="shared" si="1"/>
        <v>0</v>
      </c>
      <c r="O11" s="557">
        <f t="shared" si="1"/>
        <v>0</v>
      </c>
      <c r="P11" s="557">
        <f t="shared" si="1"/>
        <v>0</v>
      </c>
      <c r="Q11" s="557">
        <f t="shared" si="1"/>
        <v>0</v>
      </c>
      <c r="R11" s="557">
        <f t="shared" si="1"/>
        <v>0</v>
      </c>
      <c r="S11" s="557">
        <f t="shared" si="1"/>
        <v>0</v>
      </c>
      <c r="T11" s="557">
        <f t="shared" si="1"/>
        <v>0</v>
      </c>
      <c r="U11" s="557">
        <f t="shared" si="1"/>
        <v>0</v>
      </c>
      <c r="V11" s="557">
        <f t="shared" si="1"/>
        <v>0</v>
      </c>
      <c r="W11" s="557">
        <f t="shared" si="1"/>
        <v>0</v>
      </c>
      <c r="X11" s="557">
        <f t="shared" si="1"/>
        <v>55865.937070519256</v>
      </c>
      <c r="Y11" s="557">
        <f t="shared" si="1"/>
        <v>55865.937070519256</v>
      </c>
      <c r="Z11" s="557">
        <f t="shared" si="1"/>
        <v>55865.937070519256</v>
      </c>
      <c r="AA11" s="557">
        <f t="shared" si="1"/>
        <v>1567865.9370705192</v>
      </c>
      <c r="AB11" s="557">
        <f t="shared" si="1"/>
        <v>55865.937070519256</v>
      </c>
      <c r="AC11" s="557">
        <f t="shared" si="1"/>
        <v>55865.937070519256</v>
      </c>
      <c r="AD11" s="557">
        <f t="shared" si="1"/>
        <v>-1220620.9207049725</v>
      </c>
      <c r="AE11" s="557">
        <f t="shared" si="1"/>
        <v>160402.43820649723</v>
      </c>
      <c r="AF11" s="557">
        <f t="shared" si="1"/>
        <v>160402.43820649723</v>
      </c>
      <c r="AG11" s="557">
        <f t="shared" si="1"/>
        <v>160402.43820649723</v>
      </c>
      <c r="AH11" s="557">
        <f t="shared" si="1"/>
        <v>160402.43820649723</v>
      </c>
      <c r="AI11" s="557">
        <f t="shared" si="1"/>
        <v>160402.43820649723</v>
      </c>
      <c r="AJ11" s="557">
        <f t="shared" si="1"/>
        <v>174756.336958414</v>
      </c>
      <c r="AK11" s="557">
        <f t="shared" si="1"/>
        <v>174756.336958414</v>
      </c>
      <c r="AL11" s="557">
        <f t="shared" si="1"/>
        <v>174756.336958414</v>
      </c>
      <c r="AM11" s="557">
        <f t="shared" si="1"/>
        <v>174756.336958414</v>
      </c>
      <c r="AN11" s="557">
        <f t="shared" si="1"/>
        <v>174756.336958414</v>
      </c>
      <c r="AO11" s="557">
        <f t="shared" si="1"/>
        <v>174756.336958414</v>
      </c>
      <c r="AP11" s="557">
        <f t="shared" si="1"/>
        <v>93471.925282638869</v>
      </c>
      <c r="AQ11" s="557">
        <f t="shared" si="1"/>
        <v>93471.925282638811</v>
      </c>
      <c r="AR11" s="557">
        <f t="shared" si="1"/>
        <v>93471.925282638811</v>
      </c>
      <c r="AS11" s="557">
        <f t="shared" si="1"/>
        <v>93471.925282638811</v>
      </c>
      <c r="AT11" s="557">
        <f t="shared" si="1"/>
        <v>93471.925282638811</v>
      </c>
      <c r="AU11" s="557">
        <f t="shared" si="1"/>
        <v>93471.925282638869</v>
      </c>
      <c r="AV11" s="557">
        <f t="shared" si="1"/>
        <v>108277.02087538387</v>
      </c>
      <c r="AW11" s="557">
        <f t="shared" si="1"/>
        <v>108277.02087538387</v>
      </c>
      <c r="AX11" s="557">
        <f t="shared" si="1"/>
        <v>108277.02087538387</v>
      </c>
      <c r="AY11" s="557">
        <f t="shared" si="1"/>
        <v>108277.02087538387</v>
      </c>
      <c r="AZ11" s="557">
        <f t="shared" si="1"/>
        <v>108277.02087538387</v>
      </c>
      <c r="BA11" s="557">
        <f t="shared" si="1"/>
        <v>108277.02087538387</v>
      </c>
      <c r="BB11" s="557">
        <f t="shared" si="1"/>
        <v>44729168.535951495</v>
      </c>
      <c r="BC11" s="557">
        <f t="shared" si="1"/>
        <v>0</v>
      </c>
      <c r="BD11" s="557">
        <f t="shared" si="1"/>
        <v>0</v>
      </c>
      <c r="BE11" s="557">
        <f t="shared" si="1"/>
        <v>0</v>
      </c>
      <c r="BF11" s="557">
        <f t="shared" si="1"/>
        <v>0</v>
      </c>
      <c r="BG11" s="557">
        <f t="shared" si="1"/>
        <v>0</v>
      </c>
      <c r="BH11" s="557">
        <f t="shared" si="1"/>
        <v>0</v>
      </c>
      <c r="BI11" s="557">
        <f t="shared" si="1"/>
        <v>0</v>
      </c>
      <c r="BJ11" s="557">
        <f t="shared" si="1"/>
        <v>0</v>
      </c>
      <c r="BK11" s="557">
        <f t="shared" si="1"/>
        <v>0</v>
      </c>
      <c r="BL11" s="557">
        <f t="shared" si="1"/>
        <v>0</v>
      </c>
      <c r="BM11" s="557">
        <f t="shared" si="1"/>
        <v>0</v>
      </c>
      <c r="BN11" s="557">
        <f>SUM(BN7:BN10)</f>
        <v>0</v>
      </c>
      <c r="BO11" s="349"/>
    </row>
    <row r="12" spans="1:75">
      <c r="B12" s="248"/>
      <c r="C12" s="213"/>
      <c r="D12" s="324"/>
      <c r="E12" s="324"/>
      <c r="F12" s="324"/>
      <c r="G12" s="324"/>
      <c r="H12" s="324"/>
      <c r="I12" s="324"/>
      <c r="J12" s="324"/>
      <c r="K12" s="324"/>
      <c r="L12" s="324"/>
      <c r="M12" s="324"/>
      <c r="N12" s="324"/>
      <c r="O12" s="324"/>
      <c r="P12" s="324"/>
      <c r="Q12" s="324"/>
      <c r="R12" s="324"/>
      <c r="S12" s="324"/>
      <c r="T12" s="324"/>
      <c r="U12" s="324"/>
      <c r="V12" s="324"/>
      <c r="W12" s="324"/>
      <c r="X12" s="324"/>
      <c r="Y12" s="324"/>
      <c r="Z12" s="324"/>
      <c r="AA12" s="324"/>
      <c r="AB12" s="324"/>
      <c r="AC12" s="324"/>
      <c r="AD12" s="324"/>
      <c r="AE12" s="324"/>
      <c r="AF12" s="324"/>
      <c r="AG12" s="324"/>
      <c r="AH12" s="324"/>
      <c r="AI12" s="324"/>
      <c r="AJ12" s="324"/>
      <c r="AK12" s="324"/>
      <c r="AL12" s="324"/>
      <c r="AM12" s="324"/>
      <c r="AN12" s="324"/>
      <c r="AO12" s="324"/>
      <c r="AP12" s="324"/>
      <c r="AQ12" s="324"/>
      <c r="AR12" s="324"/>
      <c r="AS12" s="324"/>
      <c r="AT12" s="324"/>
      <c r="AU12" s="324"/>
      <c r="AV12" s="324"/>
      <c r="AW12" s="324"/>
      <c r="AX12" s="324"/>
      <c r="AY12" s="324"/>
      <c r="AZ12" s="324"/>
      <c r="BA12" s="324"/>
      <c r="BB12" s="324"/>
      <c r="BC12" s="324"/>
      <c r="BD12" s="324"/>
      <c r="BE12" s="324"/>
      <c r="BF12" s="324"/>
      <c r="BG12" s="324"/>
      <c r="BH12" s="324"/>
      <c r="BI12" s="324"/>
      <c r="BJ12" s="324"/>
      <c r="BK12" s="324"/>
      <c r="BL12" s="324"/>
      <c r="BM12" s="324"/>
      <c r="BN12" s="324"/>
      <c r="BO12" s="248"/>
    </row>
    <row r="13" spans="1:75" s="216" customFormat="1">
      <c r="A13" s="215"/>
      <c r="B13" s="226" t="s">
        <v>91</v>
      </c>
      <c r="C13" s="327">
        <f>XIRR(C11:BN11,C6:BN6)</f>
        <v>0.1888221204280853</v>
      </c>
      <c r="D13" s="326"/>
      <c r="E13" s="326"/>
      <c r="F13" s="326"/>
      <c r="G13" s="326"/>
      <c r="H13" s="326"/>
      <c r="I13" s="326"/>
      <c r="J13" s="326"/>
      <c r="K13" s="326"/>
      <c r="L13" s="326"/>
      <c r="M13" s="326"/>
      <c r="N13" s="326"/>
      <c r="O13" s="326"/>
      <c r="P13" s="326"/>
      <c r="Q13" s="326"/>
      <c r="R13" s="326"/>
      <c r="S13" s="326"/>
      <c r="T13" s="326"/>
      <c r="U13" s="326"/>
      <c r="V13" s="326"/>
      <c r="W13" s="326"/>
      <c r="X13" s="326"/>
      <c r="Y13" s="326"/>
      <c r="Z13" s="326"/>
      <c r="AA13" s="326"/>
      <c r="AB13" s="326"/>
      <c r="AC13" s="326"/>
      <c r="AD13" s="326"/>
      <c r="AE13" s="326"/>
      <c r="AF13" s="326"/>
      <c r="AG13" s="326"/>
      <c r="AH13" s="326"/>
      <c r="AI13" s="326"/>
      <c r="AJ13" s="326"/>
      <c r="AK13" s="326"/>
      <c r="AL13" s="326"/>
      <c r="AM13" s="326"/>
      <c r="AN13" s="326"/>
      <c r="AO13" s="326"/>
      <c r="AP13" s="326"/>
      <c r="AQ13" s="326"/>
      <c r="AR13" s="326"/>
      <c r="AS13" s="326"/>
      <c r="AT13" s="326"/>
      <c r="AU13" s="326"/>
      <c r="AV13" s="326"/>
      <c r="AW13" s="326"/>
      <c r="AX13" s="326"/>
      <c r="AY13" s="326"/>
      <c r="AZ13" s="326"/>
      <c r="BA13" s="326"/>
      <c r="BB13" s="326"/>
      <c r="BC13" s="326"/>
      <c r="BD13" s="326"/>
      <c r="BE13" s="326"/>
      <c r="BF13" s="326"/>
      <c r="BG13" s="326"/>
      <c r="BH13" s="326"/>
      <c r="BI13" s="326"/>
      <c r="BJ13" s="326"/>
      <c r="BK13" s="326"/>
      <c r="BL13" s="326"/>
      <c r="BM13" s="326"/>
      <c r="BO13" s="226"/>
    </row>
    <row r="14" spans="1:75">
      <c r="B14" s="226" t="s">
        <v>168</v>
      </c>
      <c r="C14" s="329">
        <f>SUM(D11:BN11)/-C11</f>
        <v>2.0145168495418742</v>
      </c>
      <c r="D14" s="224"/>
      <c r="E14" s="224"/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  <c r="R14" s="224"/>
      <c r="S14" s="224"/>
      <c r="T14" s="224"/>
      <c r="U14" s="224"/>
      <c r="V14" s="224"/>
      <c r="W14" s="224"/>
      <c r="X14" s="224"/>
      <c r="Y14" s="224"/>
      <c r="Z14" s="224"/>
      <c r="AA14" s="224"/>
      <c r="AB14" s="224"/>
      <c r="AC14" s="224"/>
      <c r="AD14" s="224"/>
      <c r="AE14" s="224"/>
      <c r="AF14" s="224"/>
      <c r="AG14" s="224"/>
      <c r="AH14" s="224"/>
      <c r="AI14" s="224"/>
      <c r="AJ14" s="224"/>
      <c r="AK14" s="224"/>
      <c r="AL14" s="224"/>
      <c r="AM14" s="224"/>
      <c r="AN14" s="224"/>
      <c r="AO14" s="224"/>
      <c r="AP14" s="224"/>
      <c r="AQ14" s="224"/>
      <c r="AR14" s="224"/>
      <c r="AS14" s="224"/>
      <c r="AT14" s="224"/>
      <c r="AU14" s="224"/>
      <c r="AV14" s="224"/>
      <c r="AW14" s="224"/>
      <c r="AX14" s="224"/>
      <c r="AY14" s="224"/>
      <c r="AZ14" s="224"/>
      <c r="BA14" s="224"/>
      <c r="BB14" s="224"/>
      <c r="BC14" s="224"/>
      <c r="BD14" s="224"/>
      <c r="BE14" s="224"/>
      <c r="BF14" s="224"/>
      <c r="BG14" s="224"/>
      <c r="BH14" s="224"/>
      <c r="BI14" s="224"/>
      <c r="BJ14" s="224"/>
      <c r="BK14" s="224"/>
      <c r="BL14" s="224"/>
      <c r="BM14" s="224"/>
      <c r="BO14" s="276"/>
    </row>
    <row r="15" spans="1:75" ht="15.75" thickBot="1">
      <c r="B15" s="470" t="s">
        <v>169</v>
      </c>
      <c r="C15" s="558">
        <f>SUM(D11:BN11)</f>
        <v>48416787.127400748</v>
      </c>
      <c r="D15" s="471"/>
      <c r="E15" s="471"/>
      <c r="F15" s="471"/>
      <c r="G15" s="471"/>
      <c r="H15" s="471"/>
      <c r="I15" s="471"/>
      <c r="J15" s="471"/>
      <c r="K15" s="471"/>
      <c r="L15" s="471"/>
      <c r="M15" s="471"/>
      <c r="N15" s="471"/>
      <c r="O15" s="471"/>
      <c r="P15" s="471"/>
      <c r="Q15" s="471"/>
      <c r="R15" s="471"/>
      <c r="S15" s="471"/>
      <c r="T15" s="471"/>
      <c r="U15" s="471"/>
      <c r="V15" s="471"/>
      <c r="W15" s="471"/>
      <c r="X15" s="471"/>
      <c r="Y15" s="471"/>
      <c r="Z15" s="471"/>
      <c r="AA15" s="471"/>
      <c r="AB15" s="471"/>
      <c r="AC15" s="471"/>
      <c r="AD15" s="471"/>
      <c r="AE15" s="471"/>
      <c r="AF15" s="471"/>
      <c r="AG15" s="471"/>
      <c r="AH15" s="471"/>
      <c r="AI15" s="471"/>
      <c r="AJ15" s="471"/>
      <c r="AK15" s="471"/>
      <c r="AL15" s="471"/>
      <c r="AM15" s="471"/>
      <c r="AN15" s="471"/>
      <c r="AO15" s="471"/>
      <c r="AP15" s="471"/>
      <c r="AQ15" s="471"/>
      <c r="AR15" s="471"/>
      <c r="AS15" s="471"/>
      <c r="AT15" s="471"/>
      <c r="AU15" s="471"/>
      <c r="AV15" s="471"/>
      <c r="AW15" s="471"/>
      <c r="AX15" s="471"/>
      <c r="AY15" s="471"/>
      <c r="AZ15" s="471"/>
      <c r="BA15" s="471"/>
      <c r="BB15" s="471"/>
      <c r="BC15" s="471"/>
      <c r="BD15" s="471"/>
      <c r="BE15" s="471"/>
      <c r="BF15" s="471"/>
      <c r="BG15" s="471"/>
      <c r="BH15" s="471"/>
      <c r="BI15" s="471"/>
      <c r="BJ15" s="471"/>
      <c r="BK15" s="471"/>
      <c r="BL15" s="471"/>
      <c r="BM15" s="471"/>
      <c r="BN15" s="471"/>
      <c r="BO15" s="248"/>
      <c r="BP15" s="266"/>
      <c r="BQ15" s="254"/>
      <c r="BR15" s="461"/>
    </row>
    <row r="16" spans="1:75" ht="15.75" thickTop="1">
      <c r="B16" s="242" t="s">
        <v>170</v>
      </c>
      <c r="C16" s="292" t="s">
        <v>171</v>
      </c>
      <c r="D16" s="1149">
        <f>C5</f>
        <v>24033944.982098967</v>
      </c>
      <c r="E16" s="1149"/>
      <c r="F16" s="293"/>
      <c r="G16" s="293"/>
      <c r="H16" s="293"/>
      <c r="I16" s="293"/>
      <c r="J16" s="293"/>
      <c r="K16" s="293"/>
      <c r="L16" s="293"/>
      <c r="M16" s="293"/>
      <c r="N16" s="293"/>
      <c r="O16" s="293"/>
      <c r="P16" s="293"/>
      <c r="Q16" s="293"/>
      <c r="R16" s="293"/>
      <c r="S16" s="293"/>
      <c r="T16" s="293"/>
      <c r="U16" s="293"/>
      <c r="V16" s="293"/>
      <c r="W16" s="293"/>
      <c r="X16" s="293"/>
      <c r="Y16" s="293"/>
      <c r="Z16" s="293"/>
      <c r="AA16" s="293"/>
      <c r="AB16" s="293"/>
      <c r="AC16" s="293"/>
      <c r="AD16" s="293"/>
      <c r="AE16" s="293"/>
      <c r="AF16" s="293"/>
      <c r="AG16" s="293"/>
      <c r="AH16" s="293"/>
      <c r="AI16" s="293"/>
      <c r="AJ16" s="293"/>
      <c r="AK16" s="293"/>
      <c r="AL16" s="293"/>
      <c r="AM16" s="293"/>
      <c r="AN16" s="293"/>
      <c r="AO16" s="293"/>
      <c r="AP16" s="293"/>
      <c r="AQ16" s="293"/>
      <c r="AR16" s="293"/>
      <c r="AS16" s="293"/>
      <c r="AT16" s="293"/>
      <c r="AU16" s="293"/>
      <c r="AV16" s="293"/>
      <c r="AW16" s="293"/>
      <c r="AX16" s="293"/>
      <c r="AY16" s="293"/>
      <c r="AZ16" s="293"/>
      <c r="BA16" s="293"/>
      <c r="BB16" s="293"/>
      <c r="BC16" s="293"/>
      <c r="BD16" s="293"/>
      <c r="BE16" s="293"/>
      <c r="BF16" s="293"/>
      <c r="BG16" s="293"/>
      <c r="BH16" s="293"/>
      <c r="BI16" s="293"/>
      <c r="BJ16" s="293"/>
      <c r="BK16" s="293"/>
      <c r="BL16" s="293"/>
      <c r="BM16" s="293"/>
      <c r="BO16" s="248"/>
      <c r="BP16" s="266"/>
      <c r="BR16" s="461"/>
      <c r="BS16" s="220"/>
    </row>
    <row r="17" spans="1:74">
      <c r="B17" s="248" t="s">
        <v>373</v>
      </c>
      <c r="C17" s="559">
        <f>Dashboard!$E$9</f>
        <v>0.85</v>
      </c>
      <c r="D17" s="1150">
        <f>D16*C17</f>
        <v>20428853.234784123</v>
      </c>
      <c r="E17" s="1150"/>
      <c r="F17" s="293"/>
      <c r="G17" s="293"/>
      <c r="H17" s="293"/>
      <c r="I17" s="293"/>
      <c r="J17" s="293"/>
      <c r="K17" s="293"/>
      <c r="L17" s="293"/>
      <c r="M17" s="293"/>
      <c r="N17" s="293"/>
      <c r="O17" s="293"/>
      <c r="P17" s="293"/>
      <c r="Q17" s="293"/>
      <c r="R17" s="293"/>
      <c r="S17" s="293"/>
      <c r="T17" s="293"/>
      <c r="U17" s="293"/>
      <c r="V17" s="293"/>
      <c r="W17" s="293"/>
      <c r="X17" s="293"/>
      <c r="Y17" s="293"/>
      <c r="Z17" s="293"/>
      <c r="AA17" s="293"/>
      <c r="AB17" s="293"/>
      <c r="AC17" s="293"/>
      <c r="AD17" s="293"/>
      <c r="AE17" s="293"/>
      <c r="AF17" s="293"/>
      <c r="AG17" s="293"/>
      <c r="AH17" s="293"/>
      <c r="AI17" s="293"/>
      <c r="AJ17" s="293"/>
      <c r="AK17" s="293"/>
      <c r="AL17" s="293"/>
      <c r="AM17" s="293"/>
      <c r="AN17" s="293"/>
      <c r="AO17" s="293"/>
      <c r="AP17" s="293"/>
      <c r="AQ17" s="293"/>
      <c r="AR17" s="293"/>
      <c r="AS17" s="293"/>
      <c r="AT17" s="293"/>
      <c r="AU17" s="293"/>
      <c r="AV17" s="293"/>
      <c r="AW17" s="293"/>
      <c r="AX17" s="293"/>
      <c r="AY17" s="293"/>
      <c r="AZ17" s="293"/>
      <c r="BA17" s="293"/>
      <c r="BB17" s="293"/>
      <c r="BC17" s="293"/>
      <c r="BD17" s="293"/>
      <c r="BE17" s="293"/>
      <c r="BF17" s="293"/>
      <c r="BG17" s="293"/>
      <c r="BH17" s="293"/>
      <c r="BI17" s="293"/>
      <c r="BJ17" s="293"/>
      <c r="BK17" s="293"/>
      <c r="BL17" s="293"/>
      <c r="BM17" s="293"/>
      <c r="BO17" s="248"/>
      <c r="BP17" s="266"/>
      <c r="BQ17" s="254"/>
      <c r="BR17" s="254"/>
    </row>
    <row r="18" spans="1:74">
      <c r="B18" s="248" t="s">
        <v>172</v>
      </c>
      <c r="C18" s="560">
        <f>1-C17</f>
        <v>0.15000000000000002</v>
      </c>
      <c r="D18" s="1150">
        <f>D16*C18</f>
        <v>3605091.7473148457</v>
      </c>
      <c r="E18" s="1150"/>
      <c r="F18" s="293"/>
      <c r="G18" s="293"/>
      <c r="H18" s="293"/>
      <c r="I18" s="293"/>
      <c r="J18" s="293"/>
      <c r="K18" s="293"/>
      <c r="L18" s="293"/>
      <c r="M18" s="293"/>
      <c r="N18" s="293"/>
      <c r="O18" s="293"/>
      <c r="P18" s="293"/>
      <c r="Q18" s="293"/>
      <c r="R18" s="293"/>
      <c r="S18" s="293"/>
      <c r="T18" s="293"/>
      <c r="U18" s="293"/>
      <c r="V18" s="293"/>
      <c r="W18" s="293"/>
      <c r="X18" s="293"/>
      <c r="Y18" s="293"/>
      <c r="Z18" s="293"/>
      <c r="AA18" s="293"/>
      <c r="AB18" s="293"/>
      <c r="AC18" s="293"/>
      <c r="AD18" s="293"/>
      <c r="AE18" s="293"/>
      <c r="AF18" s="293"/>
      <c r="AG18" s="293"/>
      <c r="AH18" s="293"/>
      <c r="AI18" s="293"/>
      <c r="AJ18" s="293"/>
      <c r="AK18" s="293"/>
      <c r="AL18" s="293"/>
      <c r="AM18" s="293"/>
      <c r="AN18" s="293"/>
      <c r="AO18" s="293"/>
      <c r="AP18" s="293"/>
      <c r="AQ18" s="293"/>
      <c r="AR18" s="293"/>
      <c r="AS18" s="293"/>
      <c r="AT18" s="293"/>
      <c r="AU18" s="293"/>
      <c r="AV18" s="293"/>
      <c r="AW18" s="293"/>
      <c r="AX18" s="293"/>
      <c r="AY18" s="293"/>
      <c r="AZ18" s="293"/>
      <c r="BA18" s="293"/>
      <c r="BB18" s="293"/>
      <c r="BC18" s="293"/>
      <c r="BD18" s="293"/>
      <c r="BE18" s="293"/>
      <c r="BF18" s="293"/>
      <c r="BG18" s="293"/>
      <c r="BH18" s="293"/>
      <c r="BI18" s="293"/>
      <c r="BJ18" s="293"/>
      <c r="BK18" s="293"/>
      <c r="BL18" s="293"/>
      <c r="BM18" s="293"/>
      <c r="BO18" s="248"/>
      <c r="BP18" s="266"/>
    </row>
    <row r="19" spans="1:74" s="216" customFormat="1" ht="15.75" thickBot="1">
      <c r="A19" s="215"/>
      <c r="B19" s="462"/>
      <c r="C19" s="407"/>
      <c r="D19" s="407"/>
      <c r="E19" s="407"/>
      <c r="F19" s="407"/>
      <c r="G19" s="407"/>
      <c r="H19" s="407"/>
      <c r="I19" s="407"/>
      <c r="J19" s="407"/>
      <c r="K19" s="407"/>
      <c r="L19" s="407"/>
      <c r="M19" s="407"/>
      <c r="N19" s="407"/>
      <c r="O19" s="407"/>
      <c r="P19" s="407"/>
      <c r="Q19" s="407"/>
      <c r="R19" s="407"/>
      <c r="S19" s="407"/>
      <c r="T19" s="407"/>
      <c r="U19" s="407"/>
      <c r="V19" s="407"/>
      <c r="W19" s="407"/>
      <c r="X19" s="407"/>
      <c r="Y19" s="407"/>
      <c r="Z19" s="407"/>
      <c r="AA19" s="407"/>
      <c r="AB19" s="407"/>
      <c r="AC19" s="407"/>
      <c r="AD19" s="407"/>
      <c r="AE19" s="407"/>
      <c r="AF19" s="407"/>
      <c r="AG19" s="407"/>
      <c r="AH19" s="407"/>
      <c r="AI19" s="407"/>
      <c r="AJ19" s="407"/>
      <c r="AK19" s="407"/>
      <c r="AL19" s="407"/>
      <c r="AM19" s="407"/>
      <c r="AN19" s="407"/>
      <c r="AO19" s="407"/>
      <c r="AP19" s="407"/>
      <c r="AQ19" s="407"/>
      <c r="AR19" s="407"/>
      <c r="AS19" s="407"/>
      <c r="AT19" s="407"/>
      <c r="AU19" s="407"/>
      <c r="AV19" s="407"/>
      <c r="AW19" s="407"/>
      <c r="AX19" s="407"/>
      <c r="AY19" s="407"/>
      <c r="AZ19" s="407"/>
      <c r="BA19" s="407"/>
      <c r="BB19" s="407"/>
      <c r="BC19" s="407"/>
      <c r="BD19" s="407"/>
      <c r="BE19" s="407"/>
      <c r="BF19" s="407"/>
      <c r="BG19" s="407"/>
      <c r="BH19" s="407"/>
      <c r="BI19" s="407"/>
      <c r="BJ19" s="407"/>
      <c r="BK19" s="407"/>
      <c r="BL19" s="407"/>
      <c r="BM19" s="407"/>
      <c r="BN19" s="463"/>
      <c r="BO19" s="226"/>
      <c r="BP19" s="266"/>
      <c r="BS19" s="219"/>
    </row>
    <row r="20" spans="1:74" s="216" customFormat="1">
      <c r="A20" s="215"/>
      <c r="B20" s="315" t="s">
        <v>173</v>
      </c>
      <c r="C20" s="373"/>
      <c r="D20" s="373"/>
      <c r="E20" s="373"/>
      <c r="F20" s="373"/>
      <c r="G20" s="373"/>
      <c r="H20" s="373"/>
      <c r="I20" s="373"/>
      <c r="J20" s="373"/>
      <c r="K20" s="373"/>
      <c r="L20" s="373"/>
      <c r="M20" s="373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373"/>
      <c r="AE20" s="373"/>
      <c r="AF20" s="373"/>
      <c r="AG20" s="373"/>
      <c r="AH20" s="373"/>
      <c r="AI20" s="373"/>
      <c r="AJ20" s="373"/>
      <c r="AK20" s="373"/>
      <c r="AL20" s="373"/>
      <c r="AM20" s="373"/>
      <c r="AN20" s="373"/>
      <c r="AO20" s="373"/>
      <c r="AP20" s="373"/>
      <c r="AQ20" s="373"/>
      <c r="AR20" s="373"/>
      <c r="AS20" s="373"/>
      <c r="AT20" s="373"/>
      <c r="AU20" s="373"/>
      <c r="AV20" s="373"/>
      <c r="AW20" s="373"/>
      <c r="AX20" s="373"/>
      <c r="AY20" s="373"/>
      <c r="AZ20" s="373"/>
      <c r="BA20" s="373"/>
      <c r="BB20" s="373"/>
      <c r="BC20" s="373"/>
      <c r="BD20" s="373"/>
      <c r="BE20" s="373"/>
      <c r="BF20" s="373"/>
      <c r="BG20" s="373"/>
      <c r="BH20" s="373"/>
      <c r="BI20" s="373"/>
      <c r="BJ20" s="373"/>
      <c r="BK20" s="373"/>
      <c r="BL20" s="373"/>
      <c r="BM20" s="373"/>
      <c r="BN20" s="373"/>
      <c r="BO20" s="276"/>
      <c r="BP20" s="266"/>
      <c r="BS20" s="219"/>
    </row>
    <row r="21" spans="1:74" s="216" customFormat="1">
      <c r="A21" s="215"/>
      <c r="B21" s="434" t="s">
        <v>174</v>
      </c>
      <c r="C21" s="435"/>
      <c r="D21" s="435"/>
      <c r="E21" s="435"/>
      <c r="F21" s="435"/>
      <c r="G21" s="435"/>
      <c r="H21" s="435"/>
      <c r="I21" s="435"/>
      <c r="J21" s="435"/>
      <c r="K21" s="435"/>
      <c r="L21" s="435"/>
      <c r="M21" s="435"/>
      <c r="N21" s="435"/>
      <c r="O21" s="435"/>
      <c r="P21" s="435"/>
      <c r="Q21" s="435"/>
      <c r="R21" s="435"/>
      <c r="S21" s="435"/>
      <c r="T21" s="435"/>
      <c r="U21" s="435"/>
      <c r="V21" s="435"/>
      <c r="W21" s="435"/>
      <c r="X21" s="435"/>
      <c r="Y21" s="435"/>
      <c r="Z21" s="435"/>
      <c r="AA21" s="435"/>
      <c r="AB21" s="435"/>
      <c r="AC21" s="435"/>
      <c r="AD21" s="435"/>
      <c r="AE21" s="435"/>
      <c r="AF21" s="435"/>
      <c r="AG21" s="435"/>
      <c r="AH21" s="435"/>
      <c r="AI21" s="435"/>
      <c r="AJ21" s="435"/>
      <c r="AK21" s="435"/>
      <c r="AL21" s="435"/>
      <c r="AM21" s="435"/>
      <c r="AN21" s="435"/>
      <c r="AO21" s="435"/>
      <c r="AP21" s="435"/>
      <c r="AQ21" s="435"/>
      <c r="AR21" s="435"/>
      <c r="AS21" s="435"/>
      <c r="AT21" s="435"/>
      <c r="AU21" s="435"/>
      <c r="AV21" s="435"/>
      <c r="AW21" s="435"/>
      <c r="AX21" s="435"/>
      <c r="AY21" s="435"/>
      <c r="AZ21" s="435"/>
      <c r="BA21" s="435"/>
      <c r="BB21" s="435"/>
      <c r="BC21" s="435"/>
      <c r="BD21" s="435"/>
      <c r="BE21" s="435"/>
      <c r="BF21" s="435"/>
      <c r="BG21" s="435"/>
      <c r="BH21" s="435"/>
      <c r="BI21" s="435"/>
      <c r="BJ21" s="435"/>
      <c r="BK21" s="435"/>
      <c r="BL21" s="435"/>
      <c r="BM21" s="435"/>
      <c r="BN21" s="436"/>
      <c r="BO21" s="279"/>
      <c r="BP21" s="561"/>
      <c r="BS21" s="219"/>
    </row>
    <row r="22" spans="1:74" s="216" customFormat="1">
      <c r="A22" s="215"/>
      <c r="B22" s="281" t="s">
        <v>208</v>
      </c>
      <c r="C22" s="282"/>
      <c r="D22" s="488">
        <f t="shared" ref="D22:BN22" si="2">+MIN(D11,(-C34*($BS$4/12)))</f>
        <v>0</v>
      </c>
      <c r="E22" s="488">
        <f>+MIN(E11,(-D34*($BS$4/12)))</f>
        <v>0</v>
      </c>
      <c r="F22" s="488">
        <f t="shared" si="2"/>
        <v>0</v>
      </c>
      <c r="G22" s="488">
        <f t="shared" si="2"/>
        <v>0</v>
      </c>
      <c r="H22" s="488">
        <f t="shared" si="2"/>
        <v>0</v>
      </c>
      <c r="I22" s="488">
        <f t="shared" si="2"/>
        <v>0</v>
      </c>
      <c r="J22" s="488">
        <f t="shared" si="2"/>
        <v>0</v>
      </c>
      <c r="K22" s="488">
        <f t="shared" si="2"/>
        <v>0</v>
      </c>
      <c r="L22" s="488">
        <f t="shared" si="2"/>
        <v>0</v>
      </c>
      <c r="M22" s="488">
        <f t="shared" si="2"/>
        <v>0</v>
      </c>
      <c r="N22" s="488">
        <f t="shared" si="2"/>
        <v>0</v>
      </c>
      <c r="O22" s="488">
        <f t="shared" si="2"/>
        <v>0</v>
      </c>
      <c r="P22" s="488">
        <f t="shared" si="2"/>
        <v>0</v>
      </c>
      <c r="Q22" s="488">
        <f t="shared" si="2"/>
        <v>0</v>
      </c>
      <c r="R22" s="488">
        <f t="shared" si="2"/>
        <v>0</v>
      </c>
      <c r="S22" s="488">
        <f>+MIN(S11,(-R34*($BS$4/12)))</f>
        <v>0</v>
      </c>
      <c r="T22" s="488">
        <f t="shared" si="2"/>
        <v>0</v>
      </c>
      <c r="U22" s="488">
        <f t="shared" si="2"/>
        <v>0</v>
      </c>
      <c r="V22" s="488">
        <f t="shared" si="2"/>
        <v>0</v>
      </c>
      <c r="W22" s="488">
        <f t="shared" si="2"/>
        <v>0</v>
      </c>
      <c r="X22" s="488">
        <f t="shared" si="2"/>
        <v>55865.937070519256</v>
      </c>
      <c r="Y22" s="488">
        <f t="shared" si="2"/>
        <v>55865.937070519256</v>
      </c>
      <c r="Z22" s="488">
        <f t="shared" si="2"/>
        <v>55865.937070519256</v>
      </c>
      <c r="AA22" s="488">
        <f t="shared" si="2"/>
        <v>200282.87485082471</v>
      </c>
      <c r="AB22" s="488">
        <f t="shared" si="2"/>
        <v>55865.937070519256</v>
      </c>
      <c r="AC22" s="488">
        <f t="shared" si="2"/>
        <v>55865.937070519256</v>
      </c>
      <c r="AD22" s="488">
        <f t="shared" si="2"/>
        <v>-1220620.9207049725</v>
      </c>
      <c r="AE22" s="488">
        <f t="shared" si="2"/>
        <v>160402.43820649723</v>
      </c>
      <c r="AF22" s="488">
        <f t="shared" si="2"/>
        <v>160402.43820649723</v>
      </c>
      <c r="AG22" s="488">
        <f t="shared" si="2"/>
        <v>160402.43820649723</v>
      </c>
      <c r="AH22" s="488">
        <f t="shared" si="2"/>
        <v>160402.43820649723</v>
      </c>
      <c r="AI22" s="488">
        <f t="shared" si="2"/>
        <v>160402.43820649723</v>
      </c>
      <c r="AJ22" s="488">
        <f t="shared" si="2"/>
        <v>174756.336958414</v>
      </c>
      <c r="AK22" s="488">
        <f t="shared" si="2"/>
        <v>174756.336958414</v>
      </c>
      <c r="AL22" s="488">
        <f t="shared" si="2"/>
        <v>174756.336958414</v>
      </c>
      <c r="AM22" s="488">
        <f t="shared" si="2"/>
        <v>174756.336958414</v>
      </c>
      <c r="AN22" s="488">
        <f t="shared" si="2"/>
        <v>174756.336958414</v>
      </c>
      <c r="AO22" s="488">
        <f t="shared" si="2"/>
        <v>174756.336958414</v>
      </c>
      <c r="AP22" s="488">
        <f t="shared" si="2"/>
        <v>93471.925282638869</v>
      </c>
      <c r="AQ22" s="488">
        <f t="shared" si="2"/>
        <v>93471.925282638811</v>
      </c>
      <c r="AR22" s="488">
        <f t="shared" si="2"/>
        <v>93471.925282638811</v>
      </c>
      <c r="AS22" s="488">
        <f t="shared" si="2"/>
        <v>93471.925282638811</v>
      </c>
      <c r="AT22" s="488">
        <f t="shared" si="2"/>
        <v>93471.925282638811</v>
      </c>
      <c r="AU22" s="488">
        <f t="shared" si="2"/>
        <v>93471.925282638869</v>
      </c>
      <c r="AV22" s="488">
        <f t="shared" si="2"/>
        <v>108277.02087538387</v>
      </c>
      <c r="AW22" s="488">
        <f t="shared" si="2"/>
        <v>108277.02087538387</v>
      </c>
      <c r="AX22" s="488">
        <f t="shared" si="2"/>
        <v>108277.02087538387</v>
      </c>
      <c r="AY22" s="488">
        <f t="shared" si="2"/>
        <v>108277.02087538387</v>
      </c>
      <c r="AZ22" s="488">
        <f t="shared" si="2"/>
        <v>108277.02087538387</v>
      </c>
      <c r="BA22" s="488">
        <f t="shared" si="2"/>
        <v>108277.02087538387</v>
      </c>
      <c r="BB22" s="488">
        <f t="shared" si="2"/>
        <v>200282.87485082471</v>
      </c>
      <c r="BC22" s="488">
        <f t="shared" si="2"/>
        <v>0</v>
      </c>
      <c r="BD22" s="488">
        <f t="shared" si="2"/>
        <v>0</v>
      </c>
      <c r="BE22" s="488">
        <f t="shared" si="2"/>
        <v>0</v>
      </c>
      <c r="BF22" s="488">
        <f>+MIN(BF11,(-BE34*($BS$4/12)))</f>
        <v>0</v>
      </c>
      <c r="BG22" s="488">
        <f t="shared" si="2"/>
        <v>0</v>
      </c>
      <c r="BH22" s="488">
        <f t="shared" si="2"/>
        <v>0</v>
      </c>
      <c r="BI22" s="488">
        <f t="shared" si="2"/>
        <v>0</v>
      </c>
      <c r="BJ22" s="488">
        <f t="shared" si="2"/>
        <v>0</v>
      </c>
      <c r="BK22" s="488">
        <f t="shared" si="2"/>
        <v>0</v>
      </c>
      <c r="BL22" s="488">
        <f t="shared" si="2"/>
        <v>0</v>
      </c>
      <c r="BM22" s="488">
        <f t="shared" si="2"/>
        <v>0</v>
      </c>
      <c r="BN22" s="488">
        <f t="shared" si="2"/>
        <v>0</v>
      </c>
      <c r="BO22" s="283"/>
      <c r="BS22" s="219"/>
    </row>
    <row r="23" spans="1:74" s="216" customFormat="1">
      <c r="A23" s="215"/>
      <c r="B23" s="281" t="s">
        <v>209</v>
      </c>
      <c r="C23" s="282"/>
      <c r="D23" s="562">
        <f t="shared" ref="D23:R23" si="3">MIN(D11-D22,C35)</f>
        <v>0</v>
      </c>
      <c r="E23" s="562">
        <f t="shared" si="3"/>
        <v>0</v>
      </c>
      <c r="F23" s="562">
        <f t="shared" si="3"/>
        <v>0</v>
      </c>
      <c r="G23" s="562">
        <f t="shared" si="3"/>
        <v>0</v>
      </c>
      <c r="H23" s="562">
        <f t="shared" si="3"/>
        <v>0</v>
      </c>
      <c r="I23" s="562">
        <f t="shared" si="3"/>
        <v>0</v>
      </c>
      <c r="J23" s="562">
        <f t="shared" si="3"/>
        <v>0</v>
      </c>
      <c r="K23" s="562">
        <f t="shared" si="3"/>
        <v>0</v>
      </c>
      <c r="L23" s="562">
        <f t="shared" si="3"/>
        <v>0</v>
      </c>
      <c r="M23" s="562">
        <f t="shared" si="3"/>
        <v>0</v>
      </c>
      <c r="N23" s="562">
        <f t="shared" si="3"/>
        <v>0</v>
      </c>
      <c r="O23" s="562">
        <f t="shared" si="3"/>
        <v>0</v>
      </c>
      <c r="P23" s="562">
        <f t="shared" si="3"/>
        <v>0</v>
      </c>
      <c r="Q23" s="562">
        <f t="shared" si="3"/>
        <v>0</v>
      </c>
      <c r="R23" s="562">
        <f t="shared" si="3"/>
        <v>0</v>
      </c>
      <c r="S23" s="562">
        <f>MIN(S11-S22,R35)</f>
        <v>0</v>
      </c>
      <c r="T23" s="562">
        <f t="shared" ref="T23:BN23" si="4">MIN(T11-T22,S35)</f>
        <v>0</v>
      </c>
      <c r="U23" s="562">
        <f t="shared" si="4"/>
        <v>0</v>
      </c>
      <c r="V23" s="562">
        <f t="shared" si="4"/>
        <v>0</v>
      </c>
      <c r="W23" s="562">
        <f t="shared" si="4"/>
        <v>0</v>
      </c>
      <c r="X23" s="562">
        <f t="shared" si="4"/>
        <v>0</v>
      </c>
      <c r="Y23" s="562">
        <f t="shared" si="4"/>
        <v>0</v>
      </c>
      <c r="Z23" s="562">
        <f t="shared" si="4"/>
        <v>0</v>
      </c>
      <c r="AA23" s="562">
        <f t="shared" si="4"/>
        <v>1367583.0622196945</v>
      </c>
      <c r="AB23" s="562">
        <f t="shared" si="4"/>
        <v>0</v>
      </c>
      <c r="AC23" s="562">
        <f t="shared" si="4"/>
        <v>0</v>
      </c>
      <c r="AD23" s="562">
        <f t="shared" si="4"/>
        <v>0</v>
      </c>
      <c r="AE23" s="562">
        <f t="shared" si="4"/>
        <v>0</v>
      </c>
      <c r="AF23" s="562">
        <f t="shared" si="4"/>
        <v>0</v>
      </c>
      <c r="AG23" s="562">
        <f t="shared" si="4"/>
        <v>0</v>
      </c>
      <c r="AH23" s="562">
        <f t="shared" si="4"/>
        <v>0</v>
      </c>
      <c r="AI23" s="562">
        <f t="shared" si="4"/>
        <v>0</v>
      </c>
      <c r="AJ23" s="562">
        <f t="shared" si="4"/>
        <v>0</v>
      </c>
      <c r="AK23" s="562">
        <f t="shared" si="4"/>
        <v>0</v>
      </c>
      <c r="AL23" s="562">
        <f t="shared" si="4"/>
        <v>0</v>
      </c>
      <c r="AM23" s="562">
        <f t="shared" si="4"/>
        <v>0</v>
      </c>
      <c r="AN23" s="562">
        <f t="shared" si="4"/>
        <v>0</v>
      </c>
      <c r="AO23" s="562">
        <f t="shared" si="4"/>
        <v>0</v>
      </c>
      <c r="AP23" s="562">
        <f t="shared" si="4"/>
        <v>0</v>
      </c>
      <c r="AQ23" s="562">
        <f t="shared" si="4"/>
        <v>0</v>
      </c>
      <c r="AR23" s="562">
        <f t="shared" si="4"/>
        <v>0</v>
      </c>
      <c r="AS23" s="562">
        <f t="shared" si="4"/>
        <v>0</v>
      </c>
      <c r="AT23" s="562">
        <f t="shared" si="4"/>
        <v>0</v>
      </c>
      <c r="AU23" s="562">
        <f t="shared" si="4"/>
        <v>0</v>
      </c>
      <c r="AV23" s="562">
        <f t="shared" si="4"/>
        <v>0</v>
      </c>
      <c r="AW23" s="562">
        <f t="shared" si="4"/>
        <v>0</v>
      </c>
      <c r="AX23" s="562">
        <f t="shared" si="4"/>
        <v>0</v>
      </c>
      <c r="AY23" s="562">
        <f t="shared" si="4"/>
        <v>0</v>
      </c>
      <c r="AZ23" s="562">
        <f t="shared" si="4"/>
        <v>0</v>
      </c>
      <c r="BA23" s="562">
        <f t="shared" si="4"/>
        <v>0</v>
      </c>
      <c r="BB23" s="562">
        <f t="shared" si="4"/>
        <v>6326525.1510919873</v>
      </c>
      <c r="BC23" s="562">
        <f t="shared" si="4"/>
        <v>0</v>
      </c>
      <c r="BD23" s="562">
        <f t="shared" si="4"/>
        <v>0</v>
      </c>
      <c r="BE23" s="562">
        <f t="shared" si="4"/>
        <v>0</v>
      </c>
      <c r="BF23" s="562">
        <f t="shared" si="4"/>
        <v>0</v>
      </c>
      <c r="BG23" s="562">
        <f t="shared" si="4"/>
        <v>0</v>
      </c>
      <c r="BH23" s="562">
        <f t="shared" si="4"/>
        <v>0</v>
      </c>
      <c r="BI23" s="562">
        <f t="shared" si="4"/>
        <v>0</v>
      </c>
      <c r="BJ23" s="562">
        <f t="shared" si="4"/>
        <v>0</v>
      </c>
      <c r="BK23" s="562">
        <f t="shared" si="4"/>
        <v>0</v>
      </c>
      <c r="BL23" s="562">
        <f t="shared" si="4"/>
        <v>0</v>
      </c>
      <c r="BM23" s="562">
        <f t="shared" si="4"/>
        <v>0</v>
      </c>
      <c r="BN23" s="562">
        <f t="shared" si="4"/>
        <v>0</v>
      </c>
      <c r="BO23" s="283"/>
      <c r="BS23" s="219"/>
    </row>
    <row r="24" spans="1:74" s="216" customFormat="1">
      <c r="A24" s="215"/>
      <c r="B24" s="582" t="s">
        <v>210</v>
      </c>
      <c r="C24" s="282"/>
      <c r="D24" s="563">
        <f>SUM(D22:D23)</f>
        <v>0</v>
      </c>
      <c r="E24" s="563">
        <f t="shared" ref="E24:R24" si="5">SUM(E22:E23)</f>
        <v>0</v>
      </c>
      <c r="F24" s="563">
        <f t="shared" si="5"/>
        <v>0</v>
      </c>
      <c r="G24" s="563">
        <f t="shared" si="5"/>
        <v>0</v>
      </c>
      <c r="H24" s="563">
        <f t="shared" si="5"/>
        <v>0</v>
      </c>
      <c r="I24" s="563">
        <f t="shared" si="5"/>
        <v>0</v>
      </c>
      <c r="J24" s="563">
        <f t="shared" si="5"/>
        <v>0</v>
      </c>
      <c r="K24" s="563">
        <f t="shared" si="5"/>
        <v>0</v>
      </c>
      <c r="L24" s="563">
        <f t="shared" si="5"/>
        <v>0</v>
      </c>
      <c r="M24" s="563">
        <f t="shared" si="5"/>
        <v>0</v>
      </c>
      <c r="N24" s="563">
        <f t="shared" si="5"/>
        <v>0</v>
      </c>
      <c r="O24" s="563">
        <f t="shared" si="5"/>
        <v>0</v>
      </c>
      <c r="P24" s="563">
        <f t="shared" si="5"/>
        <v>0</v>
      </c>
      <c r="Q24" s="563">
        <f t="shared" si="5"/>
        <v>0</v>
      </c>
      <c r="R24" s="563">
        <f t="shared" si="5"/>
        <v>0</v>
      </c>
      <c r="S24" s="563">
        <f>SUM(S22:S23)</f>
        <v>0</v>
      </c>
      <c r="T24" s="563">
        <f t="shared" ref="T24:BN24" si="6">SUM(T22:T23)</f>
        <v>0</v>
      </c>
      <c r="U24" s="563">
        <f t="shared" si="6"/>
        <v>0</v>
      </c>
      <c r="V24" s="563">
        <f>SUM(V22:V23)</f>
        <v>0</v>
      </c>
      <c r="W24" s="563">
        <f t="shared" si="6"/>
        <v>0</v>
      </c>
      <c r="X24" s="563">
        <f t="shared" si="6"/>
        <v>55865.937070519256</v>
      </c>
      <c r="Y24" s="563">
        <f t="shared" si="6"/>
        <v>55865.937070519256</v>
      </c>
      <c r="Z24" s="563">
        <f t="shared" si="6"/>
        <v>55865.937070519256</v>
      </c>
      <c r="AA24" s="563">
        <f t="shared" si="6"/>
        <v>1567865.9370705192</v>
      </c>
      <c r="AB24" s="563">
        <f t="shared" si="6"/>
        <v>55865.937070519256</v>
      </c>
      <c r="AC24" s="563">
        <f t="shared" si="6"/>
        <v>55865.937070519256</v>
      </c>
      <c r="AD24" s="563">
        <f t="shared" si="6"/>
        <v>-1220620.9207049725</v>
      </c>
      <c r="AE24" s="563">
        <f t="shared" si="6"/>
        <v>160402.43820649723</v>
      </c>
      <c r="AF24" s="563">
        <f t="shared" si="6"/>
        <v>160402.43820649723</v>
      </c>
      <c r="AG24" s="563">
        <f t="shared" si="6"/>
        <v>160402.43820649723</v>
      </c>
      <c r="AH24" s="563">
        <f t="shared" si="6"/>
        <v>160402.43820649723</v>
      </c>
      <c r="AI24" s="563">
        <f t="shared" si="6"/>
        <v>160402.43820649723</v>
      </c>
      <c r="AJ24" s="563">
        <f t="shared" si="6"/>
        <v>174756.336958414</v>
      </c>
      <c r="AK24" s="563">
        <f t="shared" si="6"/>
        <v>174756.336958414</v>
      </c>
      <c r="AL24" s="563">
        <f t="shared" si="6"/>
        <v>174756.336958414</v>
      </c>
      <c r="AM24" s="563">
        <f t="shared" si="6"/>
        <v>174756.336958414</v>
      </c>
      <c r="AN24" s="563">
        <f t="shared" si="6"/>
        <v>174756.336958414</v>
      </c>
      <c r="AO24" s="563">
        <f t="shared" si="6"/>
        <v>174756.336958414</v>
      </c>
      <c r="AP24" s="563">
        <f t="shared" si="6"/>
        <v>93471.925282638869</v>
      </c>
      <c r="AQ24" s="563">
        <f t="shared" si="6"/>
        <v>93471.925282638811</v>
      </c>
      <c r="AR24" s="563">
        <f t="shared" si="6"/>
        <v>93471.925282638811</v>
      </c>
      <c r="AS24" s="563">
        <f t="shared" si="6"/>
        <v>93471.925282638811</v>
      </c>
      <c r="AT24" s="563">
        <f t="shared" si="6"/>
        <v>93471.925282638811</v>
      </c>
      <c r="AU24" s="563">
        <f t="shared" si="6"/>
        <v>93471.925282638869</v>
      </c>
      <c r="AV24" s="563">
        <f t="shared" si="6"/>
        <v>108277.02087538387</v>
      </c>
      <c r="AW24" s="563">
        <f t="shared" si="6"/>
        <v>108277.02087538387</v>
      </c>
      <c r="AX24" s="563">
        <f t="shared" si="6"/>
        <v>108277.02087538387</v>
      </c>
      <c r="AY24" s="563">
        <f t="shared" si="6"/>
        <v>108277.02087538387</v>
      </c>
      <c r="AZ24" s="563">
        <f t="shared" si="6"/>
        <v>108277.02087538387</v>
      </c>
      <c r="BA24" s="563">
        <f t="shared" si="6"/>
        <v>108277.02087538387</v>
      </c>
      <c r="BB24" s="563">
        <f t="shared" si="6"/>
        <v>6526808.0259428117</v>
      </c>
      <c r="BC24" s="563">
        <f t="shared" si="6"/>
        <v>0</v>
      </c>
      <c r="BD24" s="563">
        <f t="shared" si="6"/>
        <v>0</v>
      </c>
      <c r="BE24" s="563">
        <f t="shared" si="6"/>
        <v>0</v>
      </c>
      <c r="BF24" s="563">
        <f>SUM(BF22:BF23)</f>
        <v>0</v>
      </c>
      <c r="BG24" s="563">
        <f t="shared" si="6"/>
        <v>0</v>
      </c>
      <c r="BH24" s="563">
        <f t="shared" si="6"/>
        <v>0</v>
      </c>
      <c r="BI24" s="563">
        <f t="shared" si="6"/>
        <v>0</v>
      </c>
      <c r="BJ24" s="563">
        <f t="shared" si="6"/>
        <v>0</v>
      </c>
      <c r="BK24" s="563">
        <f t="shared" si="6"/>
        <v>0</v>
      </c>
      <c r="BL24" s="563">
        <f t="shared" si="6"/>
        <v>0</v>
      </c>
      <c r="BM24" s="563">
        <f t="shared" si="6"/>
        <v>0</v>
      </c>
      <c r="BN24" s="563">
        <f t="shared" si="6"/>
        <v>0</v>
      </c>
      <c r="BO24" s="283"/>
      <c r="BS24" s="219"/>
    </row>
    <row r="25" spans="1:74" s="216" customFormat="1">
      <c r="A25" s="215"/>
      <c r="B25" s="281"/>
      <c r="C25" s="282"/>
      <c r="D25" s="488"/>
      <c r="E25" s="488"/>
      <c r="F25" s="488"/>
      <c r="G25" s="488"/>
      <c r="H25" s="488"/>
      <c r="I25" s="488"/>
      <c r="J25" s="488"/>
      <c r="K25" s="488"/>
      <c r="L25" s="488"/>
      <c r="M25" s="488"/>
      <c r="N25" s="488"/>
      <c r="O25" s="488"/>
      <c r="P25" s="488"/>
      <c r="Q25" s="488"/>
      <c r="R25" s="488"/>
      <c r="S25" s="488"/>
      <c r="T25" s="488"/>
      <c r="U25" s="488"/>
      <c r="V25" s="488"/>
      <c r="W25" s="488"/>
      <c r="X25" s="488"/>
      <c r="Y25" s="488"/>
      <c r="Z25" s="488"/>
      <c r="AA25" s="488"/>
      <c r="AB25" s="488"/>
      <c r="AC25" s="488"/>
      <c r="AD25" s="488"/>
      <c r="AE25" s="488"/>
      <c r="AF25" s="488"/>
      <c r="AG25" s="488"/>
      <c r="AH25" s="488"/>
      <c r="AI25" s="488"/>
      <c r="AJ25" s="488"/>
      <c r="AK25" s="488"/>
      <c r="AL25" s="488"/>
      <c r="AM25" s="488"/>
      <c r="AN25" s="488"/>
      <c r="AO25" s="488"/>
      <c r="AP25" s="488"/>
      <c r="AQ25" s="488"/>
      <c r="AR25" s="488"/>
      <c r="AS25" s="488"/>
      <c r="AT25" s="488"/>
      <c r="AU25" s="488"/>
      <c r="AV25" s="488"/>
      <c r="AW25" s="488"/>
      <c r="AX25" s="488"/>
      <c r="AY25" s="488"/>
      <c r="AZ25" s="488"/>
      <c r="BA25" s="488"/>
      <c r="BB25" s="488"/>
      <c r="BC25" s="488"/>
      <c r="BD25" s="488"/>
      <c r="BE25" s="488"/>
      <c r="BF25" s="488"/>
      <c r="BG25" s="488"/>
      <c r="BH25" s="488"/>
      <c r="BI25" s="488"/>
      <c r="BJ25" s="488"/>
      <c r="BK25" s="488"/>
      <c r="BL25" s="488"/>
      <c r="BM25" s="488"/>
      <c r="BN25" s="488"/>
      <c r="BO25" s="283"/>
      <c r="BS25" s="219"/>
    </row>
    <row r="26" spans="1:74" s="216" customFormat="1">
      <c r="A26" s="215"/>
      <c r="B26" s="281" t="s">
        <v>204</v>
      </c>
      <c r="C26" s="282"/>
      <c r="D26" s="488">
        <f t="shared" ref="D26:BN26" si="7">IF(-((+C34*($BS$4/12))+D22)&lt;0,0,-((+C34*($BS$4/12))+D22))</f>
        <v>200282.87485082471</v>
      </c>
      <c r="E26" s="488">
        <f t="shared" si="7"/>
        <v>200282.87485082471</v>
      </c>
      <c r="F26" s="488">
        <f t="shared" si="7"/>
        <v>200282.87485082471</v>
      </c>
      <c r="G26" s="488">
        <f t="shared" si="7"/>
        <v>200282.87485082471</v>
      </c>
      <c r="H26" s="488">
        <f t="shared" si="7"/>
        <v>200282.87485082471</v>
      </c>
      <c r="I26" s="488">
        <f t="shared" si="7"/>
        <v>200282.87485082471</v>
      </c>
      <c r="J26" s="488">
        <f t="shared" si="7"/>
        <v>200282.87485082471</v>
      </c>
      <c r="K26" s="488">
        <f t="shared" si="7"/>
        <v>200282.87485082471</v>
      </c>
      <c r="L26" s="488">
        <f t="shared" si="7"/>
        <v>200282.87485082471</v>
      </c>
      <c r="M26" s="488">
        <f t="shared" si="7"/>
        <v>200282.87485082471</v>
      </c>
      <c r="N26" s="488">
        <f t="shared" si="7"/>
        <v>200282.87485082471</v>
      </c>
      <c r="O26" s="488">
        <f t="shared" si="7"/>
        <v>200282.87485082471</v>
      </c>
      <c r="P26" s="488">
        <f t="shared" si="7"/>
        <v>200282.87485082471</v>
      </c>
      <c r="Q26" s="488">
        <f t="shared" si="7"/>
        <v>200282.87485082471</v>
      </c>
      <c r="R26" s="488">
        <f t="shared" si="7"/>
        <v>200282.87485082471</v>
      </c>
      <c r="S26" s="488">
        <f>IF(-((+R34*($BS$4/12))+S22)&lt;0,0,-((+R34*($BS$4/12))+S22))</f>
        <v>200282.87485082471</v>
      </c>
      <c r="T26" s="488">
        <f t="shared" si="7"/>
        <v>200282.87485082471</v>
      </c>
      <c r="U26" s="488">
        <f t="shared" si="7"/>
        <v>200282.87485082471</v>
      </c>
      <c r="V26" s="488">
        <f t="shared" si="7"/>
        <v>200282.87485082471</v>
      </c>
      <c r="W26" s="488">
        <f t="shared" si="7"/>
        <v>200282.87485082471</v>
      </c>
      <c r="X26" s="488">
        <f t="shared" si="7"/>
        <v>144416.93778030545</v>
      </c>
      <c r="Y26" s="488">
        <f t="shared" si="7"/>
        <v>144416.93778030545</v>
      </c>
      <c r="Z26" s="488">
        <f t="shared" si="7"/>
        <v>144416.93778030545</v>
      </c>
      <c r="AA26" s="488">
        <f t="shared" si="7"/>
        <v>0</v>
      </c>
      <c r="AB26" s="488">
        <f t="shared" si="7"/>
        <v>144416.93778030545</v>
      </c>
      <c r="AC26" s="488">
        <f t="shared" si="7"/>
        <v>144416.93778030545</v>
      </c>
      <c r="AD26" s="488">
        <f t="shared" si="7"/>
        <v>1420903.7955557972</v>
      </c>
      <c r="AE26" s="488">
        <f t="shared" si="7"/>
        <v>39880.436644327478</v>
      </c>
      <c r="AF26" s="488">
        <f t="shared" si="7"/>
        <v>39880.436644327478</v>
      </c>
      <c r="AG26" s="488">
        <f t="shared" si="7"/>
        <v>39880.436644327478</v>
      </c>
      <c r="AH26" s="488">
        <f t="shared" si="7"/>
        <v>39880.436644327478</v>
      </c>
      <c r="AI26" s="488">
        <f t="shared" si="7"/>
        <v>39880.436644327478</v>
      </c>
      <c r="AJ26" s="488">
        <f t="shared" si="7"/>
        <v>25526.537892410706</v>
      </c>
      <c r="AK26" s="488">
        <f t="shared" si="7"/>
        <v>25526.537892410706</v>
      </c>
      <c r="AL26" s="488">
        <f t="shared" si="7"/>
        <v>25526.537892410706</v>
      </c>
      <c r="AM26" s="488">
        <f t="shared" si="7"/>
        <v>25526.537892410706</v>
      </c>
      <c r="AN26" s="488">
        <f t="shared" si="7"/>
        <v>25526.537892410706</v>
      </c>
      <c r="AO26" s="488">
        <f t="shared" si="7"/>
        <v>25526.537892410706</v>
      </c>
      <c r="AP26" s="488">
        <f t="shared" si="7"/>
        <v>106810.94956818584</v>
      </c>
      <c r="AQ26" s="488">
        <f t="shared" si="7"/>
        <v>106810.9495681859</v>
      </c>
      <c r="AR26" s="488">
        <f t="shared" si="7"/>
        <v>106810.9495681859</v>
      </c>
      <c r="AS26" s="488">
        <f t="shared" si="7"/>
        <v>106810.9495681859</v>
      </c>
      <c r="AT26" s="488">
        <f t="shared" si="7"/>
        <v>106810.9495681859</v>
      </c>
      <c r="AU26" s="488">
        <f t="shared" si="7"/>
        <v>106810.94956818584</v>
      </c>
      <c r="AV26" s="488">
        <f t="shared" si="7"/>
        <v>92005.853975440841</v>
      </c>
      <c r="AW26" s="488">
        <f t="shared" si="7"/>
        <v>92005.853975440841</v>
      </c>
      <c r="AX26" s="488">
        <f t="shared" si="7"/>
        <v>92005.853975440841</v>
      </c>
      <c r="AY26" s="488">
        <f t="shared" si="7"/>
        <v>92005.853975440841</v>
      </c>
      <c r="AZ26" s="488">
        <f t="shared" si="7"/>
        <v>92005.853975440841</v>
      </c>
      <c r="BA26" s="488">
        <f t="shared" si="7"/>
        <v>92005.853975440841</v>
      </c>
      <c r="BB26" s="488">
        <f t="shared" si="7"/>
        <v>0</v>
      </c>
      <c r="BC26" s="488">
        <f t="shared" si="7"/>
        <v>0</v>
      </c>
      <c r="BD26" s="488">
        <f t="shared" si="7"/>
        <v>0</v>
      </c>
      <c r="BE26" s="488">
        <f t="shared" si="7"/>
        <v>0</v>
      </c>
      <c r="BF26" s="488">
        <f>IF(-((+BE34*($BS$4/12))+BF22)&lt;0,0,-((+BE34*($BS$4/12))+BF22))</f>
        <v>0</v>
      </c>
      <c r="BG26" s="488">
        <f t="shared" si="7"/>
        <v>0</v>
      </c>
      <c r="BH26" s="488">
        <f t="shared" si="7"/>
        <v>0</v>
      </c>
      <c r="BI26" s="488">
        <f t="shared" si="7"/>
        <v>0</v>
      </c>
      <c r="BJ26" s="488">
        <f t="shared" si="7"/>
        <v>0</v>
      </c>
      <c r="BK26" s="488">
        <f t="shared" si="7"/>
        <v>0</v>
      </c>
      <c r="BL26" s="488">
        <f t="shared" si="7"/>
        <v>0</v>
      </c>
      <c r="BM26" s="488">
        <f t="shared" si="7"/>
        <v>0</v>
      </c>
      <c r="BN26" s="488">
        <f t="shared" si="7"/>
        <v>0</v>
      </c>
      <c r="BO26" s="283"/>
      <c r="BR26" s="223"/>
      <c r="BS26" s="223"/>
      <c r="BT26" s="223"/>
      <c r="BU26" s="223"/>
      <c r="BV26" s="223"/>
    </row>
    <row r="27" spans="1:74" s="216" customFormat="1">
      <c r="A27" s="215"/>
      <c r="B27" s="284" t="s">
        <v>177</v>
      </c>
      <c r="C27" s="562"/>
      <c r="D27" s="562">
        <f t="shared" ref="D27:R27" si="8">IF(D11&gt;D24,+MIN(-C34,D11-D24),0)</f>
        <v>0</v>
      </c>
      <c r="E27" s="562">
        <f t="shared" si="8"/>
        <v>0</v>
      </c>
      <c r="F27" s="562">
        <f t="shared" si="8"/>
        <v>0</v>
      </c>
      <c r="G27" s="562">
        <f t="shared" si="8"/>
        <v>0</v>
      </c>
      <c r="H27" s="562">
        <f t="shared" si="8"/>
        <v>0</v>
      </c>
      <c r="I27" s="562">
        <f t="shared" si="8"/>
        <v>0</v>
      </c>
      <c r="J27" s="562">
        <f t="shared" si="8"/>
        <v>0</v>
      </c>
      <c r="K27" s="562">
        <f t="shared" si="8"/>
        <v>0</v>
      </c>
      <c r="L27" s="562">
        <f t="shared" si="8"/>
        <v>0</v>
      </c>
      <c r="M27" s="562">
        <f t="shared" si="8"/>
        <v>0</v>
      </c>
      <c r="N27" s="562">
        <f t="shared" si="8"/>
        <v>0</v>
      </c>
      <c r="O27" s="562">
        <f t="shared" si="8"/>
        <v>0</v>
      </c>
      <c r="P27" s="562">
        <f t="shared" si="8"/>
        <v>0</v>
      </c>
      <c r="Q27" s="562">
        <f t="shared" si="8"/>
        <v>0</v>
      </c>
      <c r="R27" s="562">
        <f t="shared" si="8"/>
        <v>0</v>
      </c>
      <c r="S27" s="562">
        <f>IF(S11&gt;S24,+MIN(-R34,S11-S24),0)</f>
        <v>0</v>
      </c>
      <c r="T27" s="562">
        <f t="shared" ref="T27:BN27" si="9">IF(T11&gt;T24,+MIN(-S34,T11-T24),0)</f>
        <v>0</v>
      </c>
      <c r="U27" s="562">
        <f t="shared" si="9"/>
        <v>0</v>
      </c>
      <c r="V27" s="562">
        <f>IF(V11&gt;V24,+MIN(-U34,V11-V24),0)</f>
        <v>0</v>
      </c>
      <c r="W27" s="562">
        <f t="shared" si="9"/>
        <v>0</v>
      </c>
      <c r="X27" s="562">
        <f t="shared" si="9"/>
        <v>0</v>
      </c>
      <c r="Y27" s="562">
        <f t="shared" si="9"/>
        <v>0</v>
      </c>
      <c r="Z27" s="562">
        <f t="shared" si="9"/>
        <v>0</v>
      </c>
      <c r="AA27" s="562">
        <f t="shared" si="9"/>
        <v>0</v>
      </c>
      <c r="AB27" s="562">
        <f t="shared" si="9"/>
        <v>0</v>
      </c>
      <c r="AC27" s="562">
        <f t="shared" si="9"/>
        <v>0</v>
      </c>
      <c r="AD27" s="562">
        <f t="shared" si="9"/>
        <v>0</v>
      </c>
      <c r="AE27" s="562">
        <f t="shared" si="9"/>
        <v>0</v>
      </c>
      <c r="AF27" s="562">
        <f t="shared" si="9"/>
        <v>0</v>
      </c>
      <c r="AG27" s="562">
        <f t="shared" si="9"/>
        <v>0</v>
      </c>
      <c r="AH27" s="562">
        <f t="shared" si="9"/>
        <v>0</v>
      </c>
      <c r="AI27" s="562">
        <f t="shared" si="9"/>
        <v>0</v>
      </c>
      <c r="AJ27" s="562">
        <f t="shared" si="9"/>
        <v>0</v>
      </c>
      <c r="AK27" s="562">
        <f t="shared" si="9"/>
        <v>0</v>
      </c>
      <c r="AL27" s="562">
        <f t="shared" si="9"/>
        <v>0</v>
      </c>
      <c r="AM27" s="562">
        <f t="shared" si="9"/>
        <v>0</v>
      </c>
      <c r="AN27" s="562">
        <f t="shared" si="9"/>
        <v>0</v>
      </c>
      <c r="AO27" s="562">
        <f t="shared" si="9"/>
        <v>0</v>
      </c>
      <c r="AP27" s="562">
        <f t="shared" si="9"/>
        <v>0</v>
      </c>
      <c r="AQ27" s="562">
        <f t="shared" si="9"/>
        <v>0</v>
      </c>
      <c r="AR27" s="562">
        <f t="shared" si="9"/>
        <v>0</v>
      </c>
      <c r="AS27" s="562">
        <f t="shared" si="9"/>
        <v>0</v>
      </c>
      <c r="AT27" s="562">
        <f t="shared" si="9"/>
        <v>0</v>
      </c>
      <c r="AU27" s="562">
        <f t="shared" si="9"/>
        <v>0</v>
      </c>
      <c r="AV27" s="562">
        <f t="shared" si="9"/>
        <v>0</v>
      </c>
      <c r="AW27" s="562">
        <f t="shared" si="9"/>
        <v>0</v>
      </c>
      <c r="AX27" s="562">
        <f t="shared" si="9"/>
        <v>0</v>
      </c>
      <c r="AY27" s="562">
        <f t="shared" si="9"/>
        <v>0</v>
      </c>
      <c r="AZ27" s="562">
        <f t="shared" si="9"/>
        <v>0</v>
      </c>
      <c r="BA27" s="562">
        <f t="shared" si="9"/>
        <v>0</v>
      </c>
      <c r="BB27" s="562">
        <f t="shared" si="9"/>
        <v>24033944.982098967</v>
      </c>
      <c r="BC27" s="562">
        <f t="shared" si="9"/>
        <v>0</v>
      </c>
      <c r="BD27" s="562">
        <f t="shared" si="9"/>
        <v>0</v>
      </c>
      <c r="BE27" s="562">
        <f t="shared" si="9"/>
        <v>0</v>
      </c>
      <c r="BF27" s="562">
        <f>IF(BF11&gt;BF24,+MIN(-BE34,BF11-BF24),0)</f>
        <v>0</v>
      </c>
      <c r="BG27" s="562">
        <f t="shared" si="9"/>
        <v>0</v>
      </c>
      <c r="BH27" s="562">
        <f t="shared" si="9"/>
        <v>0</v>
      </c>
      <c r="BI27" s="562">
        <f t="shared" si="9"/>
        <v>0</v>
      </c>
      <c r="BJ27" s="562">
        <f t="shared" si="9"/>
        <v>0</v>
      </c>
      <c r="BK27" s="562">
        <f t="shared" si="9"/>
        <v>0</v>
      </c>
      <c r="BL27" s="562">
        <f t="shared" si="9"/>
        <v>0</v>
      </c>
      <c r="BM27" s="562">
        <f t="shared" si="9"/>
        <v>0</v>
      </c>
      <c r="BN27" s="562">
        <f t="shared" si="9"/>
        <v>0</v>
      </c>
      <c r="BO27" s="286"/>
      <c r="BR27" s="223"/>
      <c r="BS27" s="223"/>
      <c r="BT27" s="223"/>
      <c r="BU27" s="223"/>
      <c r="BV27" s="223"/>
    </row>
    <row r="28" spans="1:74" s="216" customFormat="1">
      <c r="A28" s="215"/>
      <c r="B28" s="279" t="s">
        <v>205</v>
      </c>
      <c r="C28" s="223"/>
      <c r="D28" s="563">
        <f t="shared" ref="D28:R28" si="10">D11-D24-D27</f>
        <v>0</v>
      </c>
      <c r="E28" s="563">
        <f t="shared" si="10"/>
        <v>0</v>
      </c>
      <c r="F28" s="563">
        <f t="shared" si="10"/>
        <v>0</v>
      </c>
      <c r="G28" s="563">
        <f t="shared" si="10"/>
        <v>0</v>
      </c>
      <c r="H28" s="563">
        <f t="shared" si="10"/>
        <v>0</v>
      </c>
      <c r="I28" s="563">
        <f t="shared" si="10"/>
        <v>0</v>
      </c>
      <c r="J28" s="563">
        <f t="shared" si="10"/>
        <v>0</v>
      </c>
      <c r="K28" s="563">
        <f t="shared" si="10"/>
        <v>0</v>
      </c>
      <c r="L28" s="563">
        <f t="shared" si="10"/>
        <v>0</v>
      </c>
      <c r="M28" s="563">
        <f t="shared" si="10"/>
        <v>0</v>
      </c>
      <c r="N28" s="563">
        <f t="shared" si="10"/>
        <v>0</v>
      </c>
      <c r="O28" s="563">
        <f t="shared" si="10"/>
        <v>0</v>
      </c>
      <c r="P28" s="563">
        <f t="shared" si="10"/>
        <v>0</v>
      </c>
      <c r="Q28" s="563">
        <f t="shared" si="10"/>
        <v>0</v>
      </c>
      <c r="R28" s="563">
        <f t="shared" si="10"/>
        <v>0</v>
      </c>
      <c r="S28" s="563">
        <f>S11-S24-S27</f>
        <v>0</v>
      </c>
      <c r="T28" s="563">
        <f>T11-T24-T27</f>
        <v>0</v>
      </c>
      <c r="U28" s="563">
        <f t="shared" ref="U28:BM28" si="11">U11-U24-U27</f>
        <v>0</v>
      </c>
      <c r="V28" s="563">
        <f t="shared" si="11"/>
        <v>0</v>
      </c>
      <c r="W28" s="563">
        <f t="shared" si="11"/>
        <v>0</v>
      </c>
      <c r="X28" s="563">
        <f t="shared" si="11"/>
        <v>0</v>
      </c>
      <c r="Y28" s="563">
        <f t="shared" si="11"/>
        <v>0</v>
      </c>
      <c r="Z28" s="563">
        <f t="shared" si="11"/>
        <v>0</v>
      </c>
      <c r="AA28" s="563">
        <f t="shared" si="11"/>
        <v>0</v>
      </c>
      <c r="AB28" s="563">
        <f t="shared" si="11"/>
        <v>0</v>
      </c>
      <c r="AC28" s="563">
        <f t="shared" si="11"/>
        <v>0</v>
      </c>
      <c r="AD28" s="563">
        <f t="shared" si="11"/>
        <v>0</v>
      </c>
      <c r="AE28" s="563">
        <f t="shared" si="11"/>
        <v>0</v>
      </c>
      <c r="AF28" s="563">
        <f t="shared" si="11"/>
        <v>0</v>
      </c>
      <c r="AG28" s="563">
        <f t="shared" si="11"/>
        <v>0</v>
      </c>
      <c r="AH28" s="563">
        <f t="shared" si="11"/>
        <v>0</v>
      </c>
      <c r="AI28" s="563">
        <f t="shared" si="11"/>
        <v>0</v>
      </c>
      <c r="AJ28" s="563">
        <f t="shared" si="11"/>
        <v>0</v>
      </c>
      <c r="AK28" s="563">
        <f t="shared" si="11"/>
        <v>0</v>
      </c>
      <c r="AL28" s="563">
        <f t="shared" si="11"/>
        <v>0</v>
      </c>
      <c r="AM28" s="563">
        <f t="shared" si="11"/>
        <v>0</v>
      </c>
      <c r="AN28" s="563">
        <f t="shared" si="11"/>
        <v>0</v>
      </c>
      <c r="AO28" s="563">
        <f t="shared" si="11"/>
        <v>0</v>
      </c>
      <c r="AP28" s="563">
        <f t="shared" si="11"/>
        <v>0</v>
      </c>
      <c r="AQ28" s="563">
        <f t="shared" si="11"/>
        <v>0</v>
      </c>
      <c r="AR28" s="563">
        <f t="shared" si="11"/>
        <v>0</v>
      </c>
      <c r="AS28" s="563">
        <f t="shared" si="11"/>
        <v>0</v>
      </c>
      <c r="AT28" s="563">
        <f t="shared" si="11"/>
        <v>0</v>
      </c>
      <c r="AU28" s="563">
        <f t="shared" si="11"/>
        <v>0</v>
      </c>
      <c r="AV28" s="563">
        <f>AV11-AV24-AV27</f>
        <v>0</v>
      </c>
      <c r="AW28" s="563">
        <f t="shared" si="11"/>
        <v>0</v>
      </c>
      <c r="AX28" s="563">
        <f t="shared" si="11"/>
        <v>0</v>
      </c>
      <c r="AY28" s="563">
        <f>AY11-AY24-AY27</f>
        <v>0</v>
      </c>
      <c r="AZ28" s="563">
        <f t="shared" si="11"/>
        <v>0</v>
      </c>
      <c r="BA28" s="563">
        <f>BA11-BA24-BA27</f>
        <v>0</v>
      </c>
      <c r="BB28" s="563">
        <f t="shared" si="11"/>
        <v>14168415.527909718</v>
      </c>
      <c r="BC28" s="563">
        <f t="shared" si="11"/>
        <v>0</v>
      </c>
      <c r="BD28" s="563">
        <f t="shared" si="11"/>
        <v>0</v>
      </c>
      <c r="BE28" s="563">
        <f t="shared" si="11"/>
        <v>0</v>
      </c>
      <c r="BF28" s="563">
        <f>BF11-BF24-BF27</f>
        <v>0</v>
      </c>
      <c r="BG28" s="563">
        <f t="shared" si="11"/>
        <v>0</v>
      </c>
      <c r="BH28" s="563">
        <f t="shared" si="11"/>
        <v>0</v>
      </c>
      <c r="BI28" s="563">
        <f t="shared" si="11"/>
        <v>0</v>
      </c>
      <c r="BJ28" s="563">
        <f t="shared" si="11"/>
        <v>0</v>
      </c>
      <c r="BK28" s="563">
        <f t="shared" si="11"/>
        <v>0</v>
      </c>
      <c r="BL28" s="563">
        <f t="shared" si="11"/>
        <v>0</v>
      </c>
      <c r="BM28" s="563">
        <f t="shared" si="11"/>
        <v>0</v>
      </c>
      <c r="BN28" s="563">
        <f>BN11-BN24-BN27</f>
        <v>0</v>
      </c>
      <c r="BO28" s="287"/>
      <c r="BR28" s="223"/>
      <c r="BS28" s="219"/>
      <c r="BV28" s="224"/>
    </row>
    <row r="29" spans="1:74" s="216" customFormat="1">
      <c r="A29" s="215"/>
      <c r="B29" s="279"/>
      <c r="C29" s="223"/>
      <c r="D29" s="563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3"/>
      <c r="BE29" s="563"/>
      <c r="BF29" s="563"/>
      <c r="BG29" s="563"/>
      <c r="BH29" s="563"/>
      <c r="BI29" s="563"/>
      <c r="BJ29" s="563"/>
      <c r="BK29" s="563"/>
      <c r="BL29" s="563"/>
      <c r="BM29" s="563"/>
      <c r="BN29" s="563"/>
      <c r="BO29" s="287"/>
      <c r="BR29" s="223"/>
      <c r="BS29" s="219"/>
      <c r="BV29" s="224"/>
    </row>
    <row r="30" spans="1:74" s="216" customFormat="1">
      <c r="A30" s="215"/>
      <c r="B30" s="902">
        <f>Dashboard!C54</f>
        <v>0.03</v>
      </c>
      <c r="C30" s="223"/>
      <c r="D30" s="563">
        <f>+IF(D28&lt;0,0,MIN($B$30,D$28))</f>
        <v>0</v>
      </c>
      <c r="E30" s="563">
        <f>IF(SUM($D30:D30)&lt;$B$30,MIN(E28,$B$30-SUM($D30:D30)),0)</f>
        <v>0</v>
      </c>
      <c r="F30" s="563">
        <f>IF(SUM($D30:E30)&lt;$B$30,MIN(F28,$B$30-SUM($D30:E30)),0)</f>
        <v>0</v>
      </c>
      <c r="G30" s="563">
        <f>IF(SUM($D30:F30)&lt;$B$30,MIN(G28,$B$30-SUM($D30:F30)),0)</f>
        <v>0</v>
      </c>
      <c r="H30" s="563">
        <f>IF(SUM($D30:G30)&lt;$B$30,MIN(H28,$B$30-SUM($D30:G30)),0)</f>
        <v>0</v>
      </c>
      <c r="I30" s="563">
        <f>IF(SUM($D30:H30)&lt;$B$30,MIN(I28,$B$30-SUM($D30:H30)),0)</f>
        <v>0</v>
      </c>
      <c r="J30" s="563">
        <f>IF(SUM($D30:I30)&lt;$B$30,MIN(J28,$B$30-SUM($D30:I30)),0)</f>
        <v>0</v>
      </c>
      <c r="K30" s="563">
        <f>IF(SUM($D30:J30)&lt;$B$30,MIN(K28,$B$30-SUM($D30:J30)),0)</f>
        <v>0</v>
      </c>
      <c r="L30" s="563">
        <f>IF(SUM($D30:K30)&lt;$B$30,MIN(L28,$B$30-SUM($D30:K30)),0)</f>
        <v>0</v>
      </c>
      <c r="M30" s="563">
        <f>IF(SUM($D30:L30)&lt;$B$30,MIN(M28,$B$30-SUM($D30:L30)),0)</f>
        <v>0</v>
      </c>
      <c r="N30" s="563">
        <f>IF(SUM($D30:M30)&lt;$B$30,MIN(N28,$B$30-SUM($D30:M30)),0)</f>
        <v>0</v>
      </c>
      <c r="O30" s="563">
        <f>IF(SUM($D30:N30)&lt;$B$30,MIN(O28,$B$30-SUM($D30:N30)),0)</f>
        <v>0</v>
      </c>
      <c r="P30" s="563">
        <f>IF(SUM($D30:O30)&lt;$B$30,MIN(P28,$B$30-SUM($D30:O30)),0)</f>
        <v>0</v>
      </c>
      <c r="Q30" s="563">
        <f>IF(SUM($D30:P30)&lt;$B$30,MIN(Q28,$B$30-SUM($D30:P30)),0)</f>
        <v>0</v>
      </c>
      <c r="R30" s="563">
        <f>IF(SUM($D30:Q30)&lt;$B$30,MIN(R28,$B$30-SUM($D30:Q30)),0)</f>
        <v>0</v>
      </c>
      <c r="S30" s="563">
        <f>IF(SUM($D30:R30)&lt;$B$30,MIN(S28,$B$30-SUM($D30:R30)),0)</f>
        <v>0</v>
      </c>
      <c r="T30" s="563">
        <f>IF(SUM($D30:S30)&lt;$B$30,MIN(T28,$B$30-SUM($D30:S30)),0)</f>
        <v>0</v>
      </c>
      <c r="U30" s="563">
        <f>IF(SUM($D30:T30)&lt;$B$30,MIN(U28,$B$30-SUM($D30:T30)),0)</f>
        <v>0</v>
      </c>
      <c r="V30" s="563">
        <f>IF(SUM($D30:U30)&lt;$B$30,MIN(V28,$B$30-SUM($D30:U30)),0)</f>
        <v>0</v>
      </c>
      <c r="W30" s="563">
        <f>IF(SUM($D30:V30)&lt;$B$30,MIN(W28,$B$30-SUM($D30:V30)),0)</f>
        <v>0</v>
      </c>
      <c r="X30" s="563">
        <f>IF(SUM($D30:W30)&lt;$B$30,MIN(X28,$B$30-SUM($D30:W30)),0)</f>
        <v>0</v>
      </c>
      <c r="Y30" s="563">
        <f>IF(SUM($D30:X30)&lt;$B$30,MIN(Y28,$B$30-SUM($D30:X30)),0)</f>
        <v>0</v>
      </c>
      <c r="Z30" s="563">
        <f>IF(SUM($D30:Y30)&lt;$B$30,MIN(Z28,$B$30-SUM($D30:Y30)),0)</f>
        <v>0</v>
      </c>
      <c r="AA30" s="563">
        <f>IF(SUM($D30:Z30)&lt;$B$30,MIN(AA28,$B$30-SUM($D30:Z30)),0)</f>
        <v>0</v>
      </c>
      <c r="AB30" s="563">
        <f>IF(SUM($D30:AA30)&lt;$B$30,MIN(AB28,$B$30-SUM($D30:AA30)),0)</f>
        <v>0</v>
      </c>
      <c r="AC30" s="563">
        <f>IF(SUM($D30:AB30)&lt;$B$30,MIN(AC28,$B$30-SUM($D30:AB30)),0)</f>
        <v>0</v>
      </c>
      <c r="AD30" s="563">
        <f>IF(SUM($D30:AC30)&lt;$B$30,MIN(AD28,$B$30-SUM($D30:AC30)),0)</f>
        <v>0</v>
      </c>
      <c r="AE30" s="563">
        <f>IF(SUM($D30:AD30)&lt;$B$30,MIN(AE28,$B$30-SUM($D30:AD30)),0)</f>
        <v>0</v>
      </c>
      <c r="AF30" s="563">
        <f>IF(SUM($D30:AE30)&lt;$B$30,MIN(AF28,$B$30-SUM($D30:AE30)),0)</f>
        <v>0</v>
      </c>
      <c r="AG30" s="563">
        <f>IF(SUM($D30:AF30)&lt;$B$30,MIN(AG28,$B$30-SUM($D30:AF30)),0)</f>
        <v>0</v>
      </c>
      <c r="AH30" s="563">
        <f>IF(SUM($D30:AG30)&lt;$B$30,MIN(AH28,$B$30-SUM($D30:AG30)),0)</f>
        <v>0</v>
      </c>
      <c r="AI30" s="563">
        <f>IF(SUM($D30:AH30)&lt;$B$30,MIN(AI28,$B$30-SUM($D30:AH30)),0)</f>
        <v>0</v>
      </c>
      <c r="AJ30" s="563">
        <f>IF(SUM($D30:AI30)&lt;$B$30,MIN(AJ28,$B$30-SUM($D30:AI30)),0)</f>
        <v>0</v>
      </c>
      <c r="AK30" s="563">
        <f>IF(SUM($D30:AJ30)&lt;$B$30,MIN(AK28,$B$30-SUM($D30:AJ30)),0)</f>
        <v>0</v>
      </c>
      <c r="AL30" s="563">
        <f>IF(SUM($D30:AK30)&lt;$B$30,MIN(AL28,$B$30-SUM($D30:AK30)),0)</f>
        <v>0</v>
      </c>
      <c r="AM30" s="563">
        <f>IF(SUM($D30:AL30)&lt;$B$30,MIN(AM28,$B$30-SUM($D30:AL30)),0)</f>
        <v>0</v>
      </c>
      <c r="AN30" s="563">
        <f>IF(SUM($D30:AM30)&lt;$B$30,MIN(AN28,$B$30-SUM($D30:AM30)),0)</f>
        <v>0</v>
      </c>
      <c r="AO30" s="563">
        <f>IF(SUM($D30:AN30)&lt;$B$30,MIN(AO28,$B$30-SUM($D30:AN30)),0)</f>
        <v>0</v>
      </c>
      <c r="AP30" s="563">
        <f>IF(SUM($D30:AO30)&lt;$B$30,MIN(AP28,$B$30-SUM($D30:AO30)),0)</f>
        <v>0</v>
      </c>
      <c r="AQ30" s="563">
        <f>IF(SUM($D30:AP30)&lt;$B$30,MIN(AQ28,$B$30-SUM($D30:AP30)),0)</f>
        <v>0</v>
      </c>
      <c r="AR30" s="563">
        <f>IF(SUM($D30:AQ30)&lt;$B$30,MIN(AR28,$B$30-SUM($D30:AQ30)),0)</f>
        <v>0</v>
      </c>
      <c r="AS30" s="563">
        <f>IF(SUM($D30:AR30)&lt;$B$30,MIN(AS28,$B$30-SUM($D30:AR30)),0)</f>
        <v>0</v>
      </c>
      <c r="AT30" s="563">
        <f>IF(SUM($D30:AS30)&lt;$B$30,MIN(AT28,$B$30-SUM($D30:AS30)),0)</f>
        <v>0</v>
      </c>
      <c r="AU30" s="563">
        <f>IF(SUM($D30:AT30)&lt;$B$30,MIN(AU28,$B$30-SUM($D30:AT30)),0)</f>
        <v>0</v>
      </c>
      <c r="AV30" s="563">
        <f>IF(SUM($D30:AU30)&lt;$B$30,MIN(AV28,$B$30-SUM($D30:AU30)),0)</f>
        <v>0</v>
      </c>
      <c r="AW30" s="563">
        <f>IF(SUM($D30:AV30)&lt;$B$30,MIN(AW28,$B$30-SUM($D30:AV30)),0)</f>
        <v>0</v>
      </c>
      <c r="AX30" s="563">
        <f>IF(SUM($D30:AW30)&lt;$B$30,MIN(AX28,$B$30-SUM($D30:AW30)),0)</f>
        <v>0</v>
      </c>
      <c r="AY30" s="563">
        <f>IF(SUM($D30:AX30)&lt;$B$30,MIN(AY28,$B$30-SUM($D30:AX30)),0)</f>
        <v>0</v>
      </c>
      <c r="AZ30" s="563">
        <f>IF(SUM($D30:AY30)&lt;$B$30,MIN(AZ28,$B$30-SUM($D30:AY30)),0)</f>
        <v>0</v>
      </c>
      <c r="BA30" s="563">
        <f>IF(SUM($D30:AZ30)&lt;$B$30,MIN(BA28,$B$30-SUM($D30:AZ30)),0)</f>
        <v>0</v>
      </c>
      <c r="BB30" s="563">
        <f>IF(SUM($D30:BA30)&lt;$B$30,MIN(BB28,$B$30-SUM($D30:BA30)),0)</f>
        <v>0.03</v>
      </c>
      <c r="BC30" s="563">
        <f>IF(SUM($D30:BB30)&lt;$B$30,MIN(BC28,$B$30-SUM($D30:BB30)),0)</f>
        <v>0</v>
      </c>
      <c r="BD30" s="563">
        <f>IF(SUM($D30:BC30)&lt;$B$30,MIN(BD28,$B$30-SUM($D30:BC30)),0)</f>
        <v>0</v>
      </c>
      <c r="BE30" s="563">
        <f>IF(SUM($D30:BD30)&lt;$B$30,MIN(BE28,$B$30-SUM($D30:BD30)),0)</f>
        <v>0</v>
      </c>
      <c r="BF30" s="563">
        <f>IF(SUM($D30:BE30)&lt;$B$30,MIN(BF28,$B$30-SUM($D30:BE30)),0)</f>
        <v>0</v>
      </c>
      <c r="BG30" s="563">
        <f>IF(SUM($D30:BF30)&lt;$B$30,MIN(BG28,$B$30-SUM($D30:BF30)),0)</f>
        <v>0</v>
      </c>
      <c r="BH30" s="563">
        <f>IF(SUM($D30:BG30)&lt;$B$30,MIN(BH28,$B$30-SUM($D30:BG30)),0)</f>
        <v>0</v>
      </c>
      <c r="BI30" s="563">
        <f>IF(SUM($D30:BH30)&lt;$B$30,MIN(BI28,$B$30-SUM($D30:BH30)),0)</f>
        <v>0</v>
      </c>
      <c r="BJ30" s="563">
        <f>IF(SUM($D30:BI30)&lt;$B$30,MIN(BJ28,$B$30-SUM($D30:BI30)),0)</f>
        <v>0</v>
      </c>
      <c r="BK30" s="563">
        <f>IF(SUM($D30:BJ30)&lt;$B$30,MIN(BK28,$B$30-SUM($D30:BJ30)),0)</f>
        <v>0</v>
      </c>
      <c r="BL30" s="563">
        <f>IF(SUM($D30:BK30)&lt;$B$30,MIN(BL28,$B$30-SUM($D30:BK30)),0)</f>
        <v>0</v>
      </c>
      <c r="BM30" s="563">
        <f>IF(SUM($D30:BL30)&lt;$B$30,MIN(BM28,$B$30-SUM($D30:BL30)),0)</f>
        <v>0</v>
      </c>
      <c r="BN30" s="563">
        <f>IF(SUM($D30:BM30)&lt;$B$30,MIN(BN28,$B$30-SUM($D30:BM30)),0)</f>
        <v>0</v>
      </c>
      <c r="BO30" s="287"/>
      <c r="BR30" s="223"/>
      <c r="BS30" s="219"/>
      <c r="BV30" s="224"/>
    </row>
    <row r="31" spans="1:74" s="216" customFormat="1">
      <c r="A31" s="215"/>
      <c r="B31" s="288" t="s">
        <v>377</v>
      </c>
      <c r="C31" s="489">
        <f>+-B30</f>
        <v>-0.03</v>
      </c>
      <c r="D31" s="489">
        <f>+C31+D30</f>
        <v>-0.03</v>
      </c>
      <c r="E31" s="489">
        <f t="shared" ref="E31:BN31" si="12">+D31+E30</f>
        <v>-0.03</v>
      </c>
      <c r="F31" s="489">
        <f t="shared" si="12"/>
        <v>-0.03</v>
      </c>
      <c r="G31" s="489">
        <f t="shared" si="12"/>
        <v>-0.03</v>
      </c>
      <c r="H31" s="489">
        <f t="shared" si="12"/>
        <v>-0.03</v>
      </c>
      <c r="I31" s="489">
        <f t="shared" si="12"/>
        <v>-0.03</v>
      </c>
      <c r="J31" s="489">
        <f t="shared" si="12"/>
        <v>-0.03</v>
      </c>
      <c r="K31" s="489">
        <f t="shared" si="12"/>
        <v>-0.03</v>
      </c>
      <c r="L31" s="489">
        <f t="shared" si="12"/>
        <v>-0.03</v>
      </c>
      <c r="M31" s="489">
        <f t="shared" si="12"/>
        <v>-0.03</v>
      </c>
      <c r="N31" s="489">
        <f t="shared" si="12"/>
        <v>-0.03</v>
      </c>
      <c r="O31" s="489">
        <f t="shared" si="12"/>
        <v>-0.03</v>
      </c>
      <c r="P31" s="489">
        <f t="shared" si="12"/>
        <v>-0.03</v>
      </c>
      <c r="Q31" s="489">
        <f t="shared" si="12"/>
        <v>-0.03</v>
      </c>
      <c r="R31" s="489">
        <f t="shared" si="12"/>
        <v>-0.03</v>
      </c>
      <c r="S31" s="489">
        <f t="shared" si="12"/>
        <v>-0.03</v>
      </c>
      <c r="T31" s="489">
        <f t="shared" si="12"/>
        <v>-0.03</v>
      </c>
      <c r="U31" s="489">
        <f t="shared" si="12"/>
        <v>-0.03</v>
      </c>
      <c r="V31" s="489">
        <f t="shared" si="12"/>
        <v>-0.03</v>
      </c>
      <c r="W31" s="489">
        <f t="shared" si="12"/>
        <v>-0.03</v>
      </c>
      <c r="X31" s="489">
        <f t="shared" si="12"/>
        <v>-0.03</v>
      </c>
      <c r="Y31" s="489">
        <f t="shared" si="12"/>
        <v>-0.03</v>
      </c>
      <c r="Z31" s="489">
        <f t="shared" si="12"/>
        <v>-0.03</v>
      </c>
      <c r="AA31" s="489">
        <f t="shared" si="12"/>
        <v>-0.03</v>
      </c>
      <c r="AB31" s="489">
        <f t="shared" si="12"/>
        <v>-0.03</v>
      </c>
      <c r="AC31" s="489">
        <f t="shared" si="12"/>
        <v>-0.03</v>
      </c>
      <c r="AD31" s="489">
        <f t="shared" si="12"/>
        <v>-0.03</v>
      </c>
      <c r="AE31" s="489">
        <f t="shared" si="12"/>
        <v>-0.03</v>
      </c>
      <c r="AF31" s="489">
        <f t="shared" si="12"/>
        <v>-0.03</v>
      </c>
      <c r="AG31" s="489">
        <f t="shared" si="12"/>
        <v>-0.03</v>
      </c>
      <c r="AH31" s="489">
        <f t="shared" si="12"/>
        <v>-0.03</v>
      </c>
      <c r="AI31" s="489">
        <f t="shared" si="12"/>
        <v>-0.03</v>
      </c>
      <c r="AJ31" s="489">
        <f t="shared" si="12"/>
        <v>-0.03</v>
      </c>
      <c r="AK31" s="489">
        <f t="shared" si="12"/>
        <v>-0.03</v>
      </c>
      <c r="AL31" s="489">
        <f t="shared" si="12"/>
        <v>-0.03</v>
      </c>
      <c r="AM31" s="489">
        <f t="shared" si="12"/>
        <v>-0.03</v>
      </c>
      <c r="AN31" s="489">
        <f t="shared" si="12"/>
        <v>-0.03</v>
      </c>
      <c r="AO31" s="489">
        <f t="shared" si="12"/>
        <v>-0.03</v>
      </c>
      <c r="AP31" s="489">
        <f t="shared" si="12"/>
        <v>-0.03</v>
      </c>
      <c r="AQ31" s="489">
        <f t="shared" si="12"/>
        <v>-0.03</v>
      </c>
      <c r="AR31" s="489">
        <f t="shared" si="12"/>
        <v>-0.03</v>
      </c>
      <c r="AS31" s="489">
        <f t="shared" si="12"/>
        <v>-0.03</v>
      </c>
      <c r="AT31" s="489">
        <f t="shared" si="12"/>
        <v>-0.03</v>
      </c>
      <c r="AU31" s="489">
        <f t="shared" si="12"/>
        <v>-0.03</v>
      </c>
      <c r="AV31" s="489">
        <f t="shared" si="12"/>
        <v>-0.03</v>
      </c>
      <c r="AW31" s="489">
        <f t="shared" si="12"/>
        <v>-0.03</v>
      </c>
      <c r="AX31" s="489">
        <f t="shared" si="12"/>
        <v>-0.03</v>
      </c>
      <c r="AY31" s="489">
        <f t="shared" si="12"/>
        <v>-0.03</v>
      </c>
      <c r="AZ31" s="489">
        <f t="shared" si="12"/>
        <v>-0.03</v>
      </c>
      <c r="BA31" s="489">
        <f t="shared" si="12"/>
        <v>-0.03</v>
      </c>
      <c r="BB31" s="489">
        <f t="shared" si="12"/>
        <v>0</v>
      </c>
      <c r="BC31" s="489">
        <f t="shared" si="12"/>
        <v>0</v>
      </c>
      <c r="BD31" s="489">
        <f t="shared" si="12"/>
        <v>0</v>
      </c>
      <c r="BE31" s="489">
        <f t="shared" si="12"/>
        <v>0</v>
      </c>
      <c r="BF31" s="489">
        <f t="shared" si="12"/>
        <v>0</v>
      </c>
      <c r="BG31" s="489">
        <f t="shared" si="12"/>
        <v>0</v>
      </c>
      <c r="BH31" s="489">
        <f t="shared" si="12"/>
        <v>0</v>
      </c>
      <c r="BI31" s="489">
        <f t="shared" si="12"/>
        <v>0</v>
      </c>
      <c r="BJ31" s="489">
        <f t="shared" si="12"/>
        <v>0</v>
      </c>
      <c r="BK31" s="489">
        <f t="shared" si="12"/>
        <v>0</v>
      </c>
      <c r="BL31" s="489">
        <f t="shared" si="12"/>
        <v>0</v>
      </c>
      <c r="BM31" s="489">
        <f t="shared" si="12"/>
        <v>0</v>
      </c>
      <c r="BN31" s="489">
        <f t="shared" si="12"/>
        <v>0</v>
      </c>
      <c r="BO31" s="287"/>
      <c r="BR31" s="223"/>
      <c r="BS31" s="219"/>
      <c r="BV31" s="224"/>
    </row>
    <row r="32" spans="1:74" s="216" customFormat="1">
      <c r="A32" s="215"/>
      <c r="B32" s="657" t="s">
        <v>237</v>
      </c>
      <c r="C32" s="658"/>
      <c r="D32" s="659">
        <f>+D28-D30</f>
        <v>0</v>
      </c>
      <c r="E32" s="659">
        <f t="shared" ref="E32:BN32" si="13">+E28-E30</f>
        <v>0</v>
      </c>
      <c r="F32" s="659">
        <f t="shared" si="13"/>
        <v>0</v>
      </c>
      <c r="G32" s="659">
        <f t="shared" si="13"/>
        <v>0</v>
      </c>
      <c r="H32" s="659">
        <f t="shared" si="13"/>
        <v>0</v>
      </c>
      <c r="I32" s="659">
        <f t="shared" si="13"/>
        <v>0</v>
      </c>
      <c r="J32" s="659">
        <f t="shared" si="13"/>
        <v>0</v>
      </c>
      <c r="K32" s="659">
        <f t="shared" si="13"/>
        <v>0</v>
      </c>
      <c r="L32" s="659">
        <f t="shared" si="13"/>
        <v>0</v>
      </c>
      <c r="M32" s="659">
        <f t="shared" si="13"/>
        <v>0</v>
      </c>
      <c r="N32" s="659">
        <f t="shared" si="13"/>
        <v>0</v>
      </c>
      <c r="O32" s="659">
        <f t="shared" si="13"/>
        <v>0</v>
      </c>
      <c r="P32" s="659">
        <f t="shared" si="13"/>
        <v>0</v>
      </c>
      <c r="Q32" s="659">
        <f t="shared" si="13"/>
        <v>0</v>
      </c>
      <c r="R32" s="659">
        <f t="shared" si="13"/>
        <v>0</v>
      </c>
      <c r="S32" s="659">
        <f t="shared" si="13"/>
        <v>0</v>
      </c>
      <c r="T32" s="659">
        <f t="shared" si="13"/>
        <v>0</v>
      </c>
      <c r="U32" s="659">
        <f t="shared" si="13"/>
        <v>0</v>
      </c>
      <c r="V32" s="659">
        <f t="shared" si="13"/>
        <v>0</v>
      </c>
      <c r="W32" s="659">
        <f t="shared" si="13"/>
        <v>0</v>
      </c>
      <c r="X32" s="659">
        <f t="shared" si="13"/>
        <v>0</v>
      </c>
      <c r="Y32" s="659">
        <f t="shared" si="13"/>
        <v>0</v>
      </c>
      <c r="Z32" s="659">
        <f t="shared" si="13"/>
        <v>0</v>
      </c>
      <c r="AA32" s="659">
        <f t="shared" si="13"/>
        <v>0</v>
      </c>
      <c r="AB32" s="659">
        <f t="shared" si="13"/>
        <v>0</v>
      </c>
      <c r="AC32" s="659">
        <f t="shared" si="13"/>
        <v>0</v>
      </c>
      <c r="AD32" s="659">
        <f t="shared" si="13"/>
        <v>0</v>
      </c>
      <c r="AE32" s="659">
        <f t="shared" si="13"/>
        <v>0</v>
      </c>
      <c r="AF32" s="659">
        <f t="shared" si="13"/>
        <v>0</v>
      </c>
      <c r="AG32" s="659">
        <f t="shared" si="13"/>
        <v>0</v>
      </c>
      <c r="AH32" s="659">
        <f t="shared" si="13"/>
        <v>0</v>
      </c>
      <c r="AI32" s="659">
        <f t="shared" si="13"/>
        <v>0</v>
      </c>
      <c r="AJ32" s="659">
        <f t="shared" si="13"/>
        <v>0</v>
      </c>
      <c r="AK32" s="659">
        <f t="shared" si="13"/>
        <v>0</v>
      </c>
      <c r="AL32" s="659">
        <f t="shared" si="13"/>
        <v>0</v>
      </c>
      <c r="AM32" s="659">
        <f t="shared" si="13"/>
        <v>0</v>
      </c>
      <c r="AN32" s="659">
        <f t="shared" si="13"/>
        <v>0</v>
      </c>
      <c r="AO32" s="659">
        <f t="shared" si="13"/>
        <v>0</v>
      </c>
      <c r="AP32" s="659">
        <f t="shared" si="13"/>
        <v>0</v>
      </c>
      <c r="AQ32" s="659">
        <f t="shared" si="13"/>
        <v>0</v>
      </c>
      <c r="AR32" s="659">
        <f t="shared" si="13"/>
        <v>0</v>
      </c>
      <c r="AS32" s="659">
        <f t="shared" si="13"/>
        <v>0</v>
      </c>
      <c r="AT32" s="659">
        <f t="shared" si="13"/>
        <v>0</v>
      </c>
      <c r="AU32" s="659">
        <f t="shared" si="13"/>
        <v>0</v>
      </c>
      <c r="AV32" s="659">
        <f t="shared" si="13"/>
        <v>0</v>
      </c>
      <c r="AW32" s="659">
        <f t="shared" si="13"/>
        <v>0</v>
      </c>
      <c r="AX32" s="659">
        <f t="shared" si="13"/>
        <v>0</v>
      </c>
      <c r="AY32" s="659">
        <f t="shared" si="13"/>
        <v>0</v>
      </c>
      <c r="AZ32" s="659">
        <f t="shared" si="13"/>
        <v>0</v>
      </c>
      <c r="BA32" s="659">
        <f t="shared" si="13"/>
        <v>0</v>
      </c>
      <c r="BB32" s="659">
        <f t="shared" si="13"/>
        <v>14168415.497909719</v>
      </c>
      <c r="BC32" s="659">
        <f t="shared" si="13"/>
        <v>0</v>
      </c>
      <c r="BD32" s="659">
        <f t="shared" si="13"/>
        <v>0</v>
      </c>
      <c r="BE32" s="659">
        <f t="shared" si="13"/>
        <v>0</v>
      </c>
      <c r="BF32" s="659">
        <f t="shared" si="13"/>
        <v>0</v>
      </c>
      <c r="BG32" s="659">
        <f t="shared" si="13"/>
        <v>0</v>
      </c>
      <c r="BH32" s="659">
        <f t="shared" si="13"/>
        <v>0</v>
      </c>
      <c r="BI32" s="659">
        <f t="shared" si="13"/>
        <v>0</v>
      </c>
      <c r="BJ32" s="659">
        <f t="shared" si="13"/>
        <v>0</v>
      </c>
      <c r="BK32" s="659">
        <f t="shared" si="13"/>
        <v>0</v>
      </c>
      <c r="BL32" s="659">
        <f t="shared" si="13"/>
        <v>0</v>
      </c>
      <c r="BM32" s="659">
        <f t="shared" si="13"/>
        <v>0</v>
      </c>
      <c r="BN32" s="659">
        <f t="shared" si="13"/>
        <v>0</v>
      </c>
      <c r="BO32" s="287"/>
      <c r="BR32" s="223"/>
      <c r="BS32" s="219"/>
      <c r="BV32" s="224"/>
    </row>
    <row r="33" spans="1:75" s="216" customFormat="1">
      <c r="A33" s="215"/>
      <c r="B33" s="279"/>
      <c r="C33" s="223"/>
      <c r="D33" s="563"/>
      <c r="E33" s="563"/>
      <c r="F33" s="563"/>
      <c r="G33" s="563"/>
      <c r="H33" s="563"/>
      <c r="I33" s="563"/>
      <c r="J33" s="563"/>
      <c r="K33" s="563"/>
      <c r="L33" s="563"/>
      <c r="M33" s="563"/>
      <c r="N33" s="563"/>
      <c r="O33" s="563"/>
      <c r="P33" s="563"/>
      <c r="Q33" s="563"/>
      <c r="R33" s="563"/>
      <c r="S33" s="563"/>
      <c r="T33" s="563"/>
      <c r="U33" s="563"/>
      <c r="V33" s="563"/>
      <c r="W33" s="563"/>
      <c r="X33" s="563"/>
      <c r="Y33" s="563"/>
      <c r="Z33" s="563"/>
      <c r="AA33" s="563"/>
      <c r="AB33" s="563"/>
      <c r="AC33" s="563"/>
      <c r="AD33" s="563"/>
      <c r="AE33" s="563"/>
      <c r="AF33" s="563"/>
      <c r="AG33" s="563"/>
      <c r="AH33" s="563"/>
      <c r="AI33" s="563"/>
      <c r="AJ33" s="563"/>
      <c r="AK33" s="563"/>
      <c r="AL33" s="563"/>
      <c r="AM33" s="563"/>
      <c r="AN33" s="563"/>
      <c r="AO33" s="563"/>
      <c r="AP33" s="563"/>
      <c r="AQ33" s="563"/>
      <c r="AR33" s="563"/>
      <c r="AS33" s="563"/>
      <c r="AT33" s="563"/>
      <c r="AU33" s="563"/>
      <c r="AV33" s="563"/>
      <c r="AW33" s="563"/>
      <c r="AX33" s="563"/>
      <c r="AY33" s="563"/>
      <c r="AZ33" s="563"/>
      <c r="BA33" s="563"/>
      <c r="BB33" s="563"/>
      <c r="BC33" s="563"/>
      <c r="BD33" s="563"/>
      <c r="BE33" s="563"/>
      <c r="BF33" s="563"/>
      <c r="BG33" s="563"/>
      <c r="BH33" s="563"/>
      <c r="BI33" s="563"/>
      <c r="BJ33" s="563"/>
      <c r="BK33" s="563"/>
      <c r="BL33" s="563"/>
      <c r="BM33" s="563"/>
      <c r="BN33" s="563"/>
      <c r="BO33" s="287"/>
      <c r="BR33" s="223"/>
      <c r="BS33" s="219"/>
      <c r="BV33" s="224"/>
    </row>
    <row r="34" spans="1:75" s="216" customFormat="1">
      <c r="A34" s="215"/>
      <c r="B34" s="288" t="s">
        <v>179</v>
      </c>
      <c r="C34" s="289">
        <f>-D16</f>
        <v>-24033944.982098967</v>
      </c>
      <c r="D34" s="489">
        <f t="shared" ref="D34:BN34" si="14">C34+D27</f>
        <v>-24033944.982098967</v>
      </c>
      <c r="E34" s="489">
        <f t="shared" si="14"/>
        <v>-24033944.982098967</v>
      </c>
      <c r="F34" s="489">
        <f t="shared" si="14"/>
        <v>-24033944.982098967</v>
      </c>
      <c r="G34" s="489">
        <f t="shared" si="14"/>
        <v>-24033944.982098967</v>
      </c>
      <c r="H34" s="489">
        <f t="shared" si="14"/>
        <v>-24033944.982098967</v>
      </c>
      <c r="I34" s="489">
        <f t="shared" si="14"/>
        <v>-24033944.982098967</v>
      </c>
      <c r="J34" s="489">
        <f t="shared" si="14"/>
        <v>-24033944.982098967</v>
      </c>
      <c r="K34" s="489">
        <f t="shared" si="14"/>
        <v>-24033944.982098967</v>
      </c>
      <c r="L34" s="489">
        <f t="shared" si="14"/>
        <v>-24033944.982098967</v>
      </c>
      <c r="M34" s="489">
        <f t="shared" si="14"/>
        <v>-24033944.982098967</v>
      </c>
      <c r="N34" s="489">
        <f t="shared" si="14"/>
        <v>-24033944.982098967</v>
      </c>
      <c r="O34" s="489">
        <f t="shared" si="14"/>
        <v>-24033944.982098967</v>
      </c>
      <c r="P34" s="489">
        <f t="shared" si="14"/>
        <v>-24033944.982098967</v>
      </c>
      <c r="Q34" s="489">
        <f t="shared" si="14"/>
        <v>-24033944.982098967</v>
      </c>
      <c r="R34" s="489">
        <f t="shared" si="14"/>
        <v>-24033944.982098967</v>
      </c>
      <c r="S34" s="489">
        <f t="shared" si="14"/>
        <v>-24033944.982098967</v>
      </c>
      <c r="T34" s="489">
        <f t="shared" si="14"/>
        <v>-24033944.982098967</v>
      </c>
      <c r="U34" s="489">
        <f t="shared" si="14"/>
        <v>-24033944.982098967</v>
      </c>
      <c r="V34" s="489">
        <f t="shared" si="14"/>
        <v>-24033944.982098967</v>
      </c>
      <c r="W34" s="489">
        <f t="shared" si="14"/>
        <v>-24033944.982098967</v>
      </c>
      <c r="X34" s="489">
        <f t="shared" si="14"/>
        <v>-24033944.982098967</v>
      </c>
      <c r="Y34" s="489">
        <f t="shared" si="14"/>
        <v>-24033944.982098967</v>
      </c>
      <c r="Z34" s="489">
        <f t="shared" si="14"/>
        <v>-24033944.982098967</v>
      </c>
      <c r="AA34" s="489">
        <f t="shared" si="14"/>
        <v>-24033944.982098967</v>
      </c>
      <c r="AB34" s="489">
        <f t="shared" si="14"/>
        <v>-24033944.982098967</v>
      </c>
      <c r="AC34" s="489">
        <f t="shared" si="14"/>
        <v>-24033944.982098967</v>
      </c>
      <c r="AD34" s="489">
        <f t="shared" si="14"/>
        <v>-24033944.982098967</v>
      </c>
      <c r="AE34" s="489">
        <f t="shared" si="14"/>
        <v>-24033944.982098967</v>
      </c>
      <c r="AF34" s="489">
        <f t="shared" si="14"/>
        <v>-24033944.982098967</v>
      </c>
      <c r="AG34" s="489">
        <f t="shared" si="14"/>
        <v>-24033944.982098967</v>
      </c>
      <c r="AH34" s="489">
        <f t="shared" si="14"/>
        <v>-24033944.982098967</v>
      </c>
      <c r="AI34" s="489">
        <f t="shared" si="14"/>
        <v>-24033944.982098967</v>
      </c>
      <c r="AJ34" s="489">
        <f t="shared" si="14"/>
        <v>-24033944.982098967</v>
      </c>
      <c r="AK34" s="489">
        <f t="shared" si="14"/>
        <v>-24033944.982098967</v>
      </c>
      <c r="AL34" s="489">
        <f t="shared" si="14"/>
        <v>-24033944.982098967</v>
      </c>
      <c r="AM34" s="489">
        <f t="shared" si="14"/>
        <v>-24033944.982098967</v>
      </c>
      <c r="AN34" s="489">
        <f t="shared" si="14"/>
        <v>-24033944.982098967</v>
      </c>
      <c r="AO34" s="489">
        <f t="shared" si="14"/>
        <v>-24033944.982098967</v>
      </c>
      <c r="AP34" s="489">
        <f t="shared" si="14"/>
        <v>-24033944.982098967</v>
      </c>
      <c r="AQ34" s="489">
        <f t="shared" si="14"/>
        <v>-24033944.982098967</v>
      </c>
      <c r="AR34" s="489">
        <f t="shared" si="14"/>
        <v>-24033944.982098967</v>
      </c>
      <c r="AS34" s="489">
        <f t="shared" si="14"/>
        <v>-24033944.982098967</v>
      </c>
      <c r="AT34" s="489">
        <f t="shared" si="14"/>
        <v>-24033944.982098967</v>
      </c>
      <c r="AU34" s="489">
        <f t="shared" si="14"/>
        <v>-24033944.982098967</v>
      </c>
      <c r="AV34" s="489">
        <f t="shared" si="14"/>
        <v>-24033944.982098967</v>
      </c>
      <c r="AW34" s="489">
        <f t="shared" si="14"/>
        <v>-24033944.982098967</v>
      </c>
      <c r="AX34" s="489">
        <f t="shared" si="14"/>
        <v>-24033944.982098967</v>
      </c>
      <c r="AY34" s="489">
        <f t="shared" si="14"/>
        <v>-24033944.982098967</v>
      </c>
      <c r="AZ34" s="489">
        <f t="shared" si="14"/>
        <v>-24033944.982098967</v>
      </c>
      <c r="BA34" s="489">
        <f t="shared" si="14"/>
        <v>-24033944.982098967</v>
      </c>
      <c r="BB34" s="489">
        <f t="shared" si="14"/>
        <v>0</v>
      </c>
      <c r="BC34" s="489">
        <f t="shared" si="14"/>
        <v>0</v>
      </c>
      <c r="BD34" s="489">
        <f t="shared" si="14"/>
        <v>0</v>
      </c>
      <c r="BE34" s="489">
        <f t="shared" si="14"/>
        <v>0</v>
      </c>
      <c r="BF34" s="489">
        <f t="shared" si="14"/>
        <v>0</v>
      </c>
      <c r="BG34" s="489">
        <f t="shared" si="14"/>
        <v>0</v>
      </c>
      <c r="BH34" s="489">
        <f t="shared" si="14"/>
        <v>0</v>
      </c>
      <c r="BI34" s="489">
        <f t="shared" si="14"/>
        <v>0</v>
      </c>
      <c r="BJ34" s="489">
        <f t="shared" si="14"/>
        <v>0</v>
      </c>
      <c r="BK34" s="489">
        <f t="shared" si="14"/>
        <v>0</v>
      </c>
      <c r="BL34" s="489">
        <f t="shared" si="14"/>
        <v>0</v>
      </c>
      <c r="BM34" s="489">
        <f t="shared" si="14"/>
        <v>0</v>
      </c>
      <c r="BN34" s="489">
        <f t="shared" si="14"/>
        <v>0</v>
      </c>
      <c r="BO34" s="290"/>
      <c r="BQ34" s="223"/>
      <c r="BR34" s="223"/>
      <c r="BS34" s="223"/>
      <c r="BT34" s="223"/>
      <c r="BU34" s="223"/>
      <c r="BV34" s="223"/>
      <c r="BW34" s="225"/>
    </row>
    <row r="35" spans="1:75" s="216" customFormat="1">
      <c r="A35" s="215"/>
      <c r="B35" s="288" t="s">
        <v>211</v>
      </c>
      <c r="C35" s="289"/>
      <c r="D35" s="489">
        <f>-((+C34*($BS$4/12))+D24)</f>
        <v>200282.87485082471</v>
      </c>
      <c r="E35" s="489">
        <f>D35+-((+D34*($BS$4/12))+E24)</f>
        <v>400565.74970164942</v>
      </c>
      <c r="F35" s="489">
        <f>E35+-((+E34*($BS$4/12))+F24)</f>
        <v>600848.62455247412</v>
      </c>
      <c r="G35" s="489">
        <f t="shared" ref="G35:R35" si="15">F35+-((+F34*($BS$4/12))+G24)</f>
        <v>801131.49940329883</v>
      </c>
      <c r="H35" s="489">
        <f t="shared" si="15"/>
        <v>1001414.3742541235</v>
      </c>
      <c r="I35" s="489">
        <f t="shared" si="15"/>
        <v>1201697.2491049482</v>
      </c>
      <c r="J35" s="489">
        <f t="shared" si="15"/>
        <v>1401980.123955773</v>
      </c>
      <c r="K35" s="489">
        <f t="shared" si="15"/>
        <v>1602262.9988065977</v>
      </c>
      <c r="L35" s="489">
        <f t="shared" si="15"/>
        <v>1802545.8736574224</v>
      </c>
      <c r="M35" s="489">
        <f t="shared" si="15"/>
        <v>2002828.7485082471</v>
      </c>
      <c r="N35" s="489">
        <f t="shared" si="15"/>
        <v>2203111.623359072</v>
      </c>
      <c r="O35" s="489">
        <f t="shared" si="15"/>
        <v>2403394.4982098965</v>
      </c>
      <c r="P35" s="489">
        <f t="shared" si="15"/>
        <v>2603677.373060721</v>
      </c>
      <c r="Q35" s="489">
        <f t="shared" si="15"/>
        <v>2803960.2479115454</v>
      </c>
      <c r="R35" s="489">
        <f t="shared" si="15"/>
        <v>3004243.1227623699</v>
      </c>
      <c r="S35" s="489">
        <f>R35+-((+R34*($BS$4/12))+S24)</f>
        <v>3204525.9976131944</v>
      </c>
      <c r="T35" s="489">
        <f t="shared" ref="T35:BN35" si="16">S35+-((+S34*($BS$4/12))+T24)</f>
        <v>3404808.8724640189</v>
      </c>
      <c r="U35" s="489">
        <f t="shared" si="16"/>
        <v>3605091.7473148433</v>
      </c>
      <c r="V35" s="489">
        <f t="shared" si="16"/>
        <v>3805374.6221656678</v>
      </c>
      <c r="W35" s="489">
        <f t="shared" si="16"/>
        <v>4005657.4970164923</v>
      </c>
      <c r="X35" s="489">
        <f t="shared" si="16"/>
        <v>4150074.4347967976</v>
      </c>
      <c r="Y35" s="489">
        <f t="shared" si="16"/>
        <v>4294491.3725771029</v>
      </c>
      <c r="Z35" s="489">
        <f t="shared" si="16"/>
        <v>4438908.3103574086</v>
      </c>
      <c r="AA35" s="489">
        <f t="shared" si="16"/>
        <v>3071325.2481377143</v>
      </c>
      <c r="AB35" s="489">
        <f t="shared" si="16"/>
        <v>3215742.1859180196</v>
      </c>
      <c r="AC35" s="489">
        <f t="shared" si="16"/>
        <v>3360159.1236983249</v>
      </c>
      <c r="AD35" s="489">
        <f t="shared" si="16"/>
        <v>4781062.9192541223</v>
      </c>
      <c r="AE35" s="489">
        <f t="shared" si="16"/>
        <v>4820943.3558984501</v>
      </c>
      <c r="AF35" s="489">
        <f t="shared" si="16"/>
        <v>4860823.792542778</v>
      </c>
      <c r="AG35" s="489">
        <f t="shared" si="16"/>
        <v>4900704.2291871058</v>
      </c>
      <c r="AH35" s="489">
        <f t="shared" si="16"/>
        <v>4940584.6658314336</v>
      </c>
      <c r="AI35" s="489">
        <f t="shared" si="16"/>
        <v>4980465.1024757614</v>
      </c>
      <c r="AJ35" s="489">
        <f t="shared" si="16"/>
        <v>5005991.640368172</v>
      </c>
      <c r="AK35" s="489">
        <f t="shared" si="16"/>
        <v>5031518.1782605825</v>
      </c>
      <c r="AL35" s="489">
        <f t="shared" si="16"/>
        <v>5057044.716152993</v>
      </c>
      <c r="AM35" s="489">
        <f t="shared" si="16"/>
        <v>5082571.2540454036</v>
      </c>
      <c r="AN35" s="489">
        <f t="shared" si="16"/>
        <v>5108097.7919378141</v>
      </c>
      <c r="AO35" s="489">
        <f t="shared" si="16"/>
        <v>5133624.3298302246</v>
      </c>
      <c r="AP35" s="489">
        <f t="shared" si="16"/>
        <v>5240435.2793984106</v>
      </c>
      <c r="AQ35" s="489">
        <f t="shared" si="16"/>
        <v>5347246.2289665965</v>
      </c>
      <c r="AR35" s="489">
        <f t="shared" si="16"/>
        <v>5454057.1785347825</v>
      </c>
      <c r="AS35" s="489">
        <f t="shared" si="16"/>
        <v>5560868.1281029684</v>
      </c>
      <c r="AT35" s="489">
        <f t="shared" si="16"/>
        <v>5667679.0776711544</v>
      </c>
      <c r="AU35" s="489">
        <f t="shared" si="16"/>
        <v>5774490.0272393404</v>
      </c>
      <c r="AV35" s="489">
        <f t="shared" si="16"/>
        <v>5866495.8812147807</v>
      </c>
      <c r="AW35" s="489">
        <f t="shared" si="16"/>
        <v>5958501.735190222</v>
      </c>
      <c r="AX35" s="489">
        <f t="shared" si="16"/>
        <v>6050507.5891656633</v>
      </c>
      <c r="AY35" s="489">
        <f t="shared" si="16"/>
        <v>6142513.4431411047</v>
      </c>
      <c r="AZ35" s="489">
        <f t="shared" si="16"/>
        <v>6234519.297116546</v>
      </c>
      <c r="BA35" s="489">
        <f t="shared" si="16"/>
        <v>6326525.1510919873</v>
      </c>
      <c r="BB35" s="489">
        <f t="shared" si="16"/>
        <v>0</v>
      </c>
      <c r="BC35" s="489">
        <f t="shared" si="16"/>
        <v>0</v>
      </c>
      <c r="BD35" s="489">
        <f t="shared" si="16"/>
        <v>0</v>
      </c>
      <c r="BE35" s="489">
        <f t="shared" si="16"/>
        <v>0</v>
      </c>
      <c r="BF35" s="489">
        <f t="shared" si="16"/>
        <v>0</v>
      </c>
      <c r="BG35" s="489">
        <f t="shared" si="16"/>
        <v>0</v>
      </c>
      <c r="BH35" s="489">
        <f t="shared" si="16"/>
        <v>0</v>
      </c>
      <c r="BI35" s="489">
        <f t="shared" si="16"/>
        <v>0</v>
      </c>
      <c r="BJ35" s="489">
        <f t="shared" si="16"/>
        <v>0</v>
      </c>
      <c r="BK35" s="489">
        <f t="shared" si="16"/>
        <v>0</v>
      </c>
      <c r="BL35" s="489">
        <f t="shared" si="16"/>
        <v>0</v>
      </c>
      <c r="BM35" s="489">
        <f t="shared" si="16"/>
        <v>0</v>
      </c>
      <c r="BN35" s="489">
        <f t="shared" si="16"/>
        <v>0</v>
      </c>
      <c r="BO35" s="290"/>
      <c r="BQ35" s="223"/>
      <c r="BR35" s="223"/>
      <c r="BS35" s="223"/>
      <c r="BT35" s="223"/>
      <c r="BU35" s="223"/>
      <c r="BV35" s="223"/>
      <c r="BW35" s="225"/>
    </row>
    <row r="36" spans="1:75" s="216" customFormat="1">
      <c r="A36" s="215"/>
      <c r="B36" s="226"/>
      <c r="C36" s="224"/>
      <c r="D36" s="224"/>
      <c r="E36" s="224"/>
      <c r="F36" s="224"/>
      <c r="G36" s="224"/>
      <c r="H36" s="224"/>
      <c r="I36" s="224"/>
      <c r="J36" s="224"/>
      <c r="K36" s="224"/>
      <c r="L36" s="224"/>
      <c r="M36" s="224"/>
      <c r="N36" s="224"/>
      <c r="O36" s="224"/>
      <c r="P36" s="224"/>
      <c r="Q36" s="224"/>
      <c r="R36" s="224"/>
      <c r="S36" s="224"/>
      <c r="T36" s="224"/>
      <c r="U36" s="224"/>
      <c r="V36" s="224"/>
      <c r="W36" s="224"/>
      <c r="X36" s="224"/>
      <c r="Y36" s="224"/>
      <c r="Z36" s="224"/>
      <c r="AA36" s="224"/>
      <c r="AB36" s="224"/>
      <c r="AC36" s="224"/>
      <c r="AD36" s="224"/>
      <c r="AE36" s="224"/>
      <c r="AF36" s="224"/>
      <c r="AG36" s="224"/>
      <c r="AH36" s="224"/>
      <c r="AI36" s="224"/>
      <c r="AJ36" s="224"/>
      <c r="AK36" s="224"/>
      <c r="AL36" s="224"/>
      <c r="AM36" s="224"/>
      <c r="AN36" s="224"/>
      <c r="AO36" s="224"/>
      <c r="AP36" s="224"/>
      <c r="AQ36" s="224"/>
      <c r="AR36" s="224"/>
      <c r="AS36" s="224"/>
      <c r="AT36" s="224"/>
      <c r="AU36" s="224"/>
      <c r="AV36" s="224"/>
      <c r="AW36" s="224"/>
      <c r="AX36" s="224"/>
      <c r="AY36" s="224"/>
      <c r="AZ36" s="224"/>
      <c r="BA36" s="224"/>
      <c r="BB36" s="224"/>
      <c r="BC36" s="224"/>
      <c r="BD36" s="224"/>
      <c r="BE36" s="224"/>
      <c r="BF36" s="224"/>
      <c r="BG36" s="224"/>
      <c r="BH36" s="224"/>
      <c r="BI36" s="224"/>
      <c r="BJ36" s="224"/>
      <c r="BK36" s="224"/>
      <c r="BL36" s="224"/>
      <c r="BM36" s="224"/>
      <c r="BN36" s="224"/>
      <c r="BO36" s="276"/>
      <c r="BS36" s="219"/>
    </row>
    <row r="37" spans="1:75" s="216" customFormat="1">
      <c r="A37" s="215"/>
      <c r="B37" s="434" t="str">
        <f>BP6</f>
        <v>3rd Priority Split (60/40)</v>
      </c>
      <c r="C37" s="435"/>
      <c r="D37" s="435"/>
      <c r="E37" s="435"/>
      <c r="F37" s="435"/>
      <c r="G37" s="435"/>
      <c r="H37" s="435"/>
      <c r="I37" s="435"/>
      <c r="J37" s="435"/>
      <c r="K37" s="435"/>
      <c r="L37" s="435"/>
      <c r="M37" s="435"/>
      <c r="N37" s="435"/>
      <c r="O37" s="435"/>
      <c r="P37" s="435"/>
      <c r="Q37" s="435"/>
      <c r="R37" s="435"/>
      <c r="S37" s="435"/>
      <c r="T37" s="435"/>
      <c r="U37" s="435"/>
      <c r="V37" s="435"/>
      <c r="W37" s="435"/>
      <c r="X37" s="435"/>
      <c r="Y37" s="435"/>
      <c r="Z37" s="435"/>
      <c r="AA37" s="435"/>
      <c r="AB37" s="435"/>
      <c r="AC37" s="435"/>
      <c r="AD37" s="435"/>
      <c r="AE37" s="435"/>
      <c r="AF37" s="435"/>
      <c r="AG37" s="435"/>
      <c r="AH37" s="435"/>
      <c r="AI37" s="435"/>
      <c r="AJ37" s="435"/>
      <c r="AK37" s="435"/>
      <c r="AL37" s="435"/>
      <c r="AM37" s="435"/>
      <c r="AN37" s="435"/>
      <c r="AO37" s="435"/>
      <c r="AP37" s="435"/>
      <c r="AQ37" s="435"/>
      <c r="AR37" s="435"/>
      <c r="AS37" s="435"/>
      <c r="AT37" s="435"/>
      <c r="AU37" s="435"/>
      <c r="AV37" s="435"/>
      <c r="AW37" s="435"/>
      <c r="AX37" s="435"/>
      <c r="AY37" s="435"/>
      <c r="AZ37" s="435"/>
      <c r="BA37" s="435"/>
      <c r="BB37" s="435"/>
      <c r="BC37" s="435"/>
      <c r="BD37" s="435"/>
      <c r="BE37" s="435"/>
      <c r="BF37" s="435"/>
      <c r="BG37" s="435"/>
      <c r="BH37" s="435"/>
      <c r="BI37" s="435"/>
      <c r="BJ37" s="435"/>
      <c r="BK37" s="435"/>
      <c r="BL37" s="435"/>
      <c r="BM37" s="435"/>
      <c r="BN37" s="436"/>
      <c r="BO37" s="226"/>
      <c r="BS37" s="219"/>
    </row>
    <row r="38" spans="1:75" s="216" customFormat="1">
      <c r="A38" s="215"/>
      <c r="B38" s="291" t="s">
        <v>181</v>
      </c>
      <c r="D38" s="289">
        <f>+MIN(+$BQ$6*D32,D39)</f>
        <v>0</v>
      </c>
      <c r="E38" s="289">
        <f t="shared" ref="E38:BN38" si="17">+MIN(+$BQ$6*E32,E39)</f>
        <v>0</v>
      </c>
      <c r="F38" s="289">
        <f t="shared" si="17"/>
        <v>0</v>
      </c>
      <c r="G38" s="289">
        <f t="shared" si="17"/>
        <v>0</v>
      </c>
      <c r="H38" s="289">
        <f t="shared" si="17"/>
        <v>0</v>
      </c>
      <c r="I38" s="289">
        <f t="shared" si="17"/>
        <v>0</v>
      </c>
      <c r="J38" s="289">
        <f t="shared" si="17"/>
        <v>0</v>
      </c>
      <c r="K38" s="289">
        <f t="shared" si="17"/>
        <v>0</v>
      </c>
      <c r="L38" s="289">
        <f t="shared" si="17"/>
        <v>0</v>
      </c>
      <c r="M38" s="289">
        <f t="shared" si="17"/>
        <v>0</v>
      </c>
      <c r="N38" s="289">
        <f t="shared" si="17"/>
        <v>0</v>
      </c>
      <c r="O38" s="289">
        <f t="shared" si="17"/>
        <v>0</v>
      </c>
      <c r="P38" s="289">
        <f t="shared" si="17"/>
        <v>0</v>
      </c>
      <c r="Q38" s="289">
        <f t="shared" si="17"/>
        <v>0</v>
      </c>
      <c r="R38" s="289">
        <f t="shared" si="17"/>
        <v>0</v>
      </c>
      <c r="S38" s="289">
        <f t="shared" si="17"/>
        <v>0</v>
      </c>
      <c r="T38" s="289">
        <f t="shared" si="17"/>
        <v>0</v>
      </c>
      <c r="U38" s="289">
        <f t="shared" si="17"/>
        <v>0</v>
      </c>
      <c r="V38" s="289">
        <f t="shared" si="17"/>
        <v>0</v>
      </c>
      <c r="W38" s="289">
        <f t="shared" si="17"/>
        <v>0</v>
      </c>
      <c r="X38" s="289">
        <f t="shared" si="17"/>
        <v>0</v>
      </c>
      <c r="Y38" s="289">
        <f t="shared" si="17"/>
        <v>0</v>
      </c>
      <c r="Z38" s="289">
        <f t="shared" si="17"/>
        <v>0</v>
      </c>
      <c r="AA38" s="289">
        <f t="shared" si="17"/>
        <v>0</v>
      </c>
      <c r="AB38" s="289">
        <f t="shared" si="17"/>
        <v>0</v>
      </c>
      <c r="AC38" s="289">
        <f t="shared" si="17"/>
        <v>0</v>
      </c>
      <c r="AD38" s="289">
        <f t="shared" si="17"/>
        <v>0</v>
      </c>
      <c r="AE38" s="289">
        <f t="shared" si="17"/>
        <v>0</v>
      </c>
      <c r="AF38" s="289">
        <f t="shared" si="17"/>
        <v>0</v>
      </c>
      <c r="AG38" s="289">
        <f t="shared" si="17"/>
        <v>0</v>
      </c>
      <c r="AH38" s="289">
        <f t="shared" si="17"/>
        <v>0</v>
      </c>
      <c r="AI38" s="289">
        <f t="shared" si="17"/>
        <v>0</v>
      </c>
      <c r="AJ38" s="289">
        <f t="shared" si="17"/>
        <v>0</v>
      </c>
      <c r="AK38" s="289">
        <f t="shared" si="17"/>
        <v>0</v>
      </c>
      <c r="AL38" s="289">
        <f t="shared" si="17"/>
        <v>0</v>
      </c>
      <c r="AM38" s="289">
        <f t="shared" si="17"/>
        <v>0</v>
      </c>
      <c r="AN38" s="289">
        <f t="shared" si="17"/>
        <v>0</v>
      </c>
      <c r="AO38" s="289">
        <f t="shared" si="17"/>
        <v>0</v>
      </c>
      <c r="AP38" s="289">
        <f t="shared" si="17"/>
        <v>0</v>
      </c>
      <c r="AQ38" s="289">
        <f t="shared" si="17"/>
        <v>0</v>
      </c>
      <c r="AR38" s="289">
        <f t="shared" si="17"/>
        <v>0</v>
      </c>
      <c r="AS38" s="289">
        <f t="shared" si="17"/>
        <v>0</v>
      </c>
      <c r="AT38" s="289">
        <f t="shared" si="17"/>
        <v>0</v>
      </c>
      <c r="AU38" s="289">
        <f t="shared" si="17"/>
        <v>0</v>
      </c>
      <c r="AV38" s="289">
        <f t="shared" si="17"/>
        <v>0</v>
      </c>
      <c r="AW38" s="289">
        <f t="shared" si="17"/>
        <v>0</v>
      </c>
      <c r="AX38" s="289">
        <f t="shared" si="17"/>
        <v>0</v>
      </c>
      <c r="AY38" s="289">
        <f t="shared" si="17"/>
        <v>0</v>
      </c>
      <c r="AZ38" s="289">
        <f t="shared" si="17"/>
        <v>0</v>
      </c>
      <c r="BA38" s="289">
        <f t="shared" si="17"/>
        <v>0</v>
      </c>
      <c r="BB38" s="289">
        <f t="shared" si="17"/>
        <v>12043153.173223261</v>
      </c>
      <c r="BC38" s="289">
        <f t="shared" si="17"/>
        <v>0</v>
      </c>
      <c r="BD38" s="289">
        <f t="shared" si="17"/>
        <v>0</v>
      </c>
      <c r="BE38" s="289">
        <f t="shared" si="17"/>
        <v>0</v>
      </c>
      <c r="BF38" s="289">
        <f t="shared" si="17"/>
        <v>0</v>
      </c>
      <c r="BG38" s="289">
        <f t="shared" si="17"/>
        <v>0</v>
      </c>
      <c r="BH38" s="289">
        <f t="shared" si="17"/>
        <v>0</v>
      </c>
      <c r="BI38" s="289">
        <f t="shared" si="17"/>
        <v>0</v>
      </c>
      <c r="BJ38" s="289">
        <f t="shared" si="17"/>
        <v>0</v>
      </c>
      <c r="BK38" s="289">
        <f t="shared" si="17"/>
        <v>0</v>
      </c>
      <c r="BL38" s="289">
        <f t="shared" si="17"/>
        <v>0</v>
      </c>
      <c r="BM38" s="289">
        <f t="shared" si="17"/>
        <v>0</v>
      </c>
      <c r="BN38" s="289">
        <f t="shared" si="17"/>
        <v>0</v>
      </c>
      <c r="BO38" s="290"/>
      <c r="BS38" s="219"/>
    </row>
    <row r="39" spans="1:75" s="216" customFormat="1">
      <c r="A39" s="215"/>
      <c r="B39" s="291" t="s">
        <v>212</v>
      </c>
      <c r="C39" s="292" t="s">
        <v>171</v>
      </c>
      <c r="D39" s="289">
        <f>-C34*(IF(D6-C6=1,$BW$6,$BV$6))-D24-D27</f>
        <v>24367738.752980363</v>
      </c>
      <c r="E39" s="289">
        <f>(D39-D38)*(IF(E6-D6=1,$BW$6,$BV$6))-E24-E27</f>
        <v>24706168.39539938</v>
      </c>
      <c r="F39" s="289">
        <f t="shared" ref="F39:BE39" si="18">(E39-E38)*(IF(F6-E6=1,$BW$6,$BV$6))-F24-F27</f>
        <v>25049298.29433497</v>
      </c>
      <c r="G39" s="289">
        <f t="shared" si="18"/>
        <v>25397193.728972387</v>
      </c>
      <c r="H39" s="289">
        <f t="shared" si="18"/>
        <v>25749920.885122292</v>
      </c>
      <c r="I39" s="289">
        <f t="shared" si="18"/>
        <v>26107546.86781238</v>
      </c>
      <c r="J39" s="289">
        <f t="shared" si="18"/>
        <v>26470139.714053839</v>
      </c>
      <c r="K39" s="289">
        <f t="shared" si="18"/>
        <v>26837768.405785155</v>
      </c>
      <c r="L39" s="289">
        <f t="shared" si="18"/>
        <v>27210502.882995658</v>
      </c>
      <c r="M39" s="289">
        <f t="shared" si="18"/>
        <v>27588414.057031348</v>
      </c>
      <c r="N39" s="289">
        <f t="shared" si="18"/>
        <v>27971573.824085522</v>
      </c>
      <c r="O39" s="289">
        <f t="shared" si="18"/>
        <v>28360055.078876741</v>
      </c>
      <c r="P39" s="289">
        <f t="shared" si="18"/>
        <v>28753931.728516791</v>
      </c>
      <c r="Q39" s="289">
        <f t="shared" si="18"/>
        <v>29153278.706571229</v>
      </c>
      <c r="R39" s="289">
        <f t="shared" si="18"/>
        <v>29558171.987315226</v>
      </c>
      <c r="S39" s="289">
        <f t="shared" si="18"/>
        <v>29968688.600187376</v>
      </c>
      <c r="T39" s="289">
        <f t="shared" si="18"/>
        <v>30384906.644444264</v>
      </c>
      <c r="U39" s="289">
        <f t="shared" si="18"/>
        <v>30806905.304018568</v>
      </c>
      <c r="V39" s="289">
        <f t="shared" si="18"/>
        <v>31234764.862583492</v>
      </c>
      <c r="W39" s="289">
        <f t="shared" si="18"/>
        <v>31668566.718826443</v>
      </c>
      <c r="X39" s="289">
        <f t="shared" si="18"/>
        <v>32052527.464864317</v>
      </c>
      <c r="Y39" s="289">
        <f t="shared" si="18"/>
        <v>32441820.822980061</v>
      </c>
      <c r="Z39" s="289">
        <f t="shared" si="18"/>
        <v>32836520.854785096</v>
      </c>
      <c r="AA39" s="289">
        <f t="shared" si="18"/>
        <v>31724702.65049037</v>
      </c>
      <c r="AB39" s="289">
        <f t="shared" si="18"/>
        <v>32109443.036505204</v>
      </c>
      <c r="AC39" s="289">
        <f t="shared" si="18"/>
        <v>32499526.862573422</v>
      </c>
      <c r="AD39" s="289">
        <f t="shared" si="18"/>
        <v>34171515.198465526</v>
      </c>
      <c r="AE39" s="289">
        <f t="shared" si="18"/>
        <v>34485701.468992554</v>
      </c>
      <c r="AF39" s="289">
        <f t="shared" si="18"/>
        <v>34804251.293654218</v>
      </c>
      <c r="AG39" s="289">
        <f t="shared" si="18"/>
        <v>35127225.275368199</v>
      </c>
      <c r="AH39" s="289">
        <f t="shared" si="18"/>
        <v>35454684.85873156</v>
      </c>
      <c r="AI39" s="289">
        <f t="shared" si="18"/>
        <v>35786692.341710381</v>
      </c>
      <c r="AJ39" s="289">
        <f t="shared" si="18"/>
        <v>36108956.988739781</v>
      </c>
      <c r="AK39" s="289">
        <f t="shared" si="18"/>
        <v>36435697.385873206</v>
      </c>
      <c r="AL39" s="289">
        <f t="shared" si="18"/>
        <v>36766975.694254234</v>
      </c>
      <c r="AM39" s="289">
        <f t="shared" si="18"/>
        <v>37102854.938347146</v>
      </c>
      <c r="AN39" s="289">
        <f t="shared" si="18"/>
        <v>37443399.017927125</v>
      </c>
      <c r="AO39" s="289">
        <f t="shared" si="18"/>
        <v>37788672.720236912</v>
      </c>
      <c r="AP39" s="289">
        <f t="shared" si="18"/>
        <v>38220026.14398814</v>
      </c>
      <c r="AQ39" s="289">
        <f t="shared" si="18"/>
        <v>38657370.389720686</v>
      </c>
      <c r="AR39" s="289">
        <f t="shared" si="18"/>
        <v>39100788.660548367</v>
      </c>
      <c r="AS39" s="289">
        <f t="shared" si="18"/>
        <v>39550365.315145649</v>
      </c>
      <c r="AT39" s="289">
        <f t="shared" si="18"/>
        <v>40006185.883796573</v>
      </c>
      <c r="AU39" s="289">
        <f t="shared" si="18"/>
        <v>40468337.08466658</v>
      </c>
      <c r="AV39" s="289">
        <f t="shared" si="18"/>
        <v>40922101.744707562</v>
      </c>
      <c r="AW39" s="289">
        <f t="shared" si="18"/>
        <v>41382168.483624093</v>
      </c>
      <c r="AX39" s="289">
        <f t="shared" si="18"/>
        <v>41848624.827399686</v>
      </c>
      <c r="AY39" s="289">
        <f t="shared" si="18"/>
        <v>42321559.517616376</v>
      </c>
      <c r="AZ39" s="289">
        <f t="shared" si="18"/>
        <v>42801062.528337486</v>
      </c>
      <c r="BA39" s="289">
        <f t="shared" si="18"/>
        <v>43287225.083224855</v>
      </c>
      <c r="BB39" s="289">
        <f t="shared" si="18"/>
        <v>12746105.733969674</v>
      </c>
      <c r="BC39" s="289">
        <f t="shared" si="18"/>
        <v>712715.46842457564</v>
      </c>
      <c r="BD39" s="289">
        <f t="shared" si="18"/>
        <v>722613.96756602474</v>
      </c>
      <c r="BE39" s="289">
        <f t="shared" si="18"/>
        <v>732649.94132335368</v>
      </c>
      <c r="BF39" s="289">
        <f>(BE39-BE38)*(IF(BF6-BE6=1,$BW$6,$BV$6))-BF24-BF27</f>
        <v>742825.29900318966</v>
      </c>
      <c r="BG39" s="289">
        <f>(BF39-BF38)*(IF(BG6-BF6=1,$BW$6,$BV$6))-BG24-BG27</f>
        <v>753141.97642943228</v>
      </c>
      <c r="BH39" s="289">
        <f t="shared" ref="BH39:BN39" si="19">(BG39-BG38)*(IF(BH6-BG6=1,$BW$6,$BV$6))-BH24-BH27</f>
        <v>763601.93631153624</v>
      </c>
      <c r="BI39" s="289">
        <f t="shared" si="19"/>
        <v>774207.16861791001</v>
      </c>
      <c r="BJ39" s="289">
        <f t="shared" si="19"/>
        <v>784959.69095449953</v>
      </c>
      <c r="BK39" s="289">
        <f t="shared" si="19"/>
        <v>795861.54894863046</v>
      </c>
      <c r="BL39" s="289">
        <f t="shared" si="19"/>
        <v>806914.8166381811</v>
      </c>
      <c r="BM39" s="289">
        <f t="shared" si="19"/>
        <v>818121.5968661604</v>
      </c>
      <c r="BN39" s="289">
        <f t="shared" si="19"/>
        <v>829484.02168076602</v>
      </c>
      <c r="BO39" s="290"/>
      <c r="BS39" s="219"/>
    </row>
    <row r="40" spans="1:75" s="216" customFormat="1">
      <c r="A40" s="215"/>
      <c r="B40" s="248" t="s">
        <v>41</v>
      </c>
      <c r="C40" s="214">
        <f>$BQ$6</f>
        <v>0.85</v>
      </c>
      <c r="D40" s="293">
        <f>D38</f>
        <v>0</v>
      </c>
      <c r="E40" s="293">
        <f>E38</f>
        <v>0</v>
      </c>
      <c r="F40" s="293">
        <f>F38</f>
        <v>0</v>
      </c>
      <c r="G40" s="293">
        <f t="shared" ref="G40:BN40" si="20">G38</f>
        <v>0</v>
      </c>
      <c r="H40" s="293">
        <f t="shared" si="20"/>
        <v>0</v>
      </c>
      <c r="I40" s="293">
        <f t="shared" si="20"/>
        <v>0</v>
      </c>
      <c r="J40" s="293">
        <f t="shared" si="20"/>
        <v>0</v>
      </c>
      <c r="K40" s="293">
        <f t="shared" si="20"/>
        <v>0</v>
      </c>
      <c r="L40" s="293">
        <f t="shared" si="20"/>
        <v>0</v>
      </c>
      <c r="M40" s="293">
        <f t="shared" si="20"/>
        <v>0</v>
      </c>
      <c r="N40" s="293">
        <f t="shared" si="20"/>
        <v>0</v>
      </c>
      <c r="O40" s="293">
        <f t="shared" si="20"/>
        <v>0</v>
      </c>
      <c r="P40" s="293">
        <f t="shared" si="20"/>
        <v>0</v>
      </c>
      <c r="Q40" s="293">
        <f t="shared" si="20"/>
        <v>0</v>
      </c>
      <c r="R40" s="293">
        <f t="shared" si="20"/>
        <v>0</v>
      </c>
      <c r="S40" s="293">
        <f t="shared" si="20"/>
        <v>0</v>
      </c>
      <c r="T40" s="293">
        <f t="shared" si="20"/>
        <v>0</v>
      </c>
      <c r="U40" s="293">
        <f t="shared" si="20"/>
        <v>0</v>
      </c>
      <c r="V40" s="293">
        <f t="shared" si="20"/>
        <v>0</v>
      </c>
      <c r="W40" s="293">
        <f t="shared" si="20"/>
        <v>0</v>
      </c>
      <c r="X40" s="293">
        <f t="shared" si="20"/>
        <v>0</v>
      </c>
      <c r="Y40" s="293">
        <f t="shared" si="20"/>
        <v>0</v>
      </c>
      <c r="Z40" s="293">
        <f t="shared" si="20"/>
        <v>0</v>
      </c>
      <c r="AA40" s="293">
        <f t="shared" si="20"/>
        <v>0</v>
      </c>
      <c r="AB40" s="293">
        <f t="shared" si="20"/>
        <v>0</v>
      </c>
      <c r="AC40" s="293">
        <f t="shared" si="20"/>
        <v>0</v>
      </c>
      <c r="AD40" s="293">
        <f t="shared" si="20"/>
        <v>0</v>
      </c>
      <c r="AE40" s="293">
        <f t="shared" si="20"/>
        <v>0</v>
      </c>
      <c r="AF40" s="293">
        <f t="shared" si="20"/>
        <v>0</v>
      </c>
      <c r="AG40" s="293">
        <f t="shared" si="20"/>
        <v>0</v>
      </c>
      <c r="AH40" s="293">
        <f t="shared" si="20"/>
        <v>0</v>
      </c>
      <c r="AI40" s="293">
        <f t="shared" si="20"/>
        <v>0</v>
      </c>
      <c r="AJ40" s="293">
        <f t="shared" si="20"/>
        <v>0</v>
      </c>
      <c r="AK40" s="293">
        <f t="shared" si="20"/>
        <v>0</v>
      </c>
      <c r="AL40" s="293">
        <f t="shared" si="20"/>
        <v>0</v>
      </c>
      <c r="AM40" s="293">
        <f t="shared" si="20"/>
        <v>0</v>
      </c>
      <c r="AN40" s="293">
        <f t="shared" si="20"/>
        <v>0</v>
      </c>
      <c r="AO40" s="293">
        <f t="shared" si="20"/>
        <v>0</v>
      </c>
      <c r="AP40" s="293">
        <f t="shared" si="20"/>
        <v>0</v>
      </c>
      <c r="AQ40" s="293">
        <f t="shared" si="20"/>
        <v>0</v>
      </c>
      <c r="AR40" s="293">
        <f t="shared" si="20"/>
        <v>0</v>
      </c>
      <c r="AS40" s="293">
        <f t="shared" si="20"/>
        <v>0</v>
      </c>
      <c r="AT40" s="293">
        <f t="shared" si="20"/>
        <v>0</v>
      </c>
      <c r="AU40" s="293">
        <f t="shared" si="20"/>
        <v>0</v>
      </c>
      <c r="AV40" s="293">
        <f t="shared" si="20"/>
        <v>0</v>
      </c>
      <c r="AW40" s="293">
        <f t="shared" si="20"/>
        <v>0</v>
      </c>
      <c r="AX40" s="293">
        <f t="shared" si="20"/>
        <v>0</v>
      </c>
      <c r="AY40" s="293">
        <f t="shared" si="20"/>
        <v>0</v>
      </c>
      <c r="AZ40" s="293">
        <f t="shared" si="20"/>
        <v>0</v>
      </c>
      <c r="BA40" s="293">
        <f t="shared" si="20"/>
        <v>0</v>
      </c>
      <c r="BB40" s="293">
        <f t="shared" si="20"/>
        <v>12043153.173223261</v>
      </c>
      <c r="BC40" s="293">
        <f t="shared" si="20"/>
        <v>0</v>
      </c>
      <c r="BD40" s="293">
        <f t="shared" si="20"/>
        <v>0</v>
      </c>
      <c r="BE40" s="293">
        <f t="shared" si="20"/>
        <v>0</v>
      </c>
      <c r="BF40" s="293">
        <f t="shared" si="20"/>
        <v>0</v>
      </c>
      <c r="BG40" s="293">
        <f t="shared" si="20"/>
        <v>0</v>
      </c>
      <c r="BH40" s="293">
        <f t="shared" si="20"/>
        <v>0</v>
      </c>
      <c r="BI40" s="293">
        <f t="shared" si="20"/>
        <v>0</v>
      </c>
      <c r="BJ40" s="293">
        <f t="shared" si="20"/>
        <v>0</v>
      </c>
      <c r="BK40" s="293">
        <f t="shared" si="20"/>
        <v>0</v>
      </c>
      <c r="BL40" s="293">
        <f t="shared" si="20"/>
        <v>0</v>
      </c>
      <c r="BM40" s="293">
        <f t="shared" si="20"/>
        <v>0</v>
      </c>
      <c r="BN40" s="293">
        <f t="shared" si="20"/>
        <v>0</v>
      </c>
      <c r="BO40" s="294"/>
      <c r="BS40" s="219"/>
    </row>
    <row r="41" spans="1:75" s="216" customFormat="1">
      <c r="A41" s="215"/>
      <c r="B41" s="248" t="s">
        <v>150</v>
      </c>
      <c r="C41" s="214">
        <f>100%-C40</f>
        <v>0.15000000000000002</v>
      </c>
      <c r="D41" s="293">
        <f>((D40/$C$40)*$C$41)</f>
        <v>0</v>
      </c>
      <c r="E41" s="293">
        <f>((E40/$C$40)*$C$41)</f>
        <v>0</v>
      </c>
      <c r="F41" s="293">
        <f>((F40/$C$40)*$C$41)</f>
        <v>0</v>
      </c>
      <c r="G41" s="293">
        <f t="shared" ref="G41:BF41" si="21">((G40/$C$40)*$C$41)</f>
        <v>0</v>
      </c>
      <c r="H41" s="293">
        <f t="shared" si="21"/>
        <v>0</v>
      </c>
      <c r="I41" s="293">
        <f t="shared" si="21"/>
        <v>0</v>
      </c>
      <c r="J41" s="293">
        <f t="shared" si="21"/>
        <v>0</v>
      </c>
      <c r="K41" s="293">
        <f t="shared" si="21"/>
        <v>0</v>
      </c>
      <c r="L41" s="293">
        <f t="shared" si="21"/>
        <v>0</v>
      </c>
      <c r="M41" s="293">
        <f t="shared" si="21"/>
        <v>0</v>
      </c>
      <c r="N41" s="293">
        <f t="shared" si="21"/>
        <v>0</v>
      </c>
      <c r="O41" s="293">
        <f t="shared" si="21"/>
        <v>0</v>
      </c>
      <c r="P41" s="293">
        <f t="shared" si="21"/>
        <v>0</v>
      </c>
      <c r="Q41" s="293">
        <f t="shared" si="21"/>
        <v>0</v>
      </c>
      <c r="R41" s="293">
        <f t="shared" si="21"/>
        <v>0</v>
      </c>
      <c r="S41" s="293">
        <f t="shared" si="21"/>
        <v>0</v>
      </c>
      <c r="T41" s="293">
        <f t="shared" si="21"/>
        <v>0</v>
      </c>
      <c r="U41" s="293">
        <f t="shared" si="21"/>
        <v>0</v>
      </c>
      <c r="V41" s="293">
        <f t="shared" si="21"/>
        <v>0</v>
      </c>
      <c r="W41" s="293">
        <f t="shared" si="21"/>
        <v>0</v>
      </c>
      <c r="X41" s="293">
        <f t="shared" si="21"/>
        <v>0</v>
      </c>
      <c r="Y41" s="293">
        <f t="shared" si="21"/>
        <v>0</v>
      </c>
      <c r="Z41" s="293">
        <f t="shared" si="21"/>
        <v>0</v>
      </c>
      <c r="AA41" s="293">
        <f t="shared" si="21"/>
        <v>0</v>
      </c>
      <c r="AB41" s="293">
        <f t="shared" si="21"/>
        <v>0</v>
      </c>
      <c r="AC41" s="293">
        <f t="shared" si="21"/>
        <v>0</v>
      </c>
      <c r="AD41" s="293">
        <f t="shared" si="21"/>
        <v>0</v>
      </c>
      <c r="AE41" s="293">
        <f t="shared" si="21"/>
        <v>0</v>
      </c>
      <c r="AF41" s="293">
        <f t="shared" si="21"/>
        <v>0</v>
      </c>
      <c r="AG41" s="293">
        <f t="shared" si="21"/>
        <v>0</v>
      </c>
      <c r="AH41" s="293">
        <f t="shared" si="21"/>
        <v>0</v>
      </c>
      <c r="AI41" s="293">
        <f t="shared" si="21"/>
        <v>0</v>
      </c>
      <c r="AJ41" s="293">
        <f t="shared" si="21"/>
        <v>0</v>
      </c>
      <c r="AK41" s="293">
        <f t="shared" si="21"/>
        <v>0</v>
      </c>
      <c r="AL41" s="293">
        <f t="shared" si="21"/>
        <v>0</v>
      </c>
      <c r="AM41" s="293">
        <f t="shared" si="21"/>
        <v>0</v>
      </c>
      <c r="AN41" s="293">
        <f t="shared" si="21"/>
        <v>0</v>
      </c>
      <c r="AO41" s="293">
        <f t="shared" si="21"/>
        <v>0</v>
      </c>
      <c r="AP41" s="293">
        <f t="shared" si="21"/>
        <v>0</v>
      </c>
      <c r="AQ41" s="293">
        <f t="shared" si="21"/>
        <v>0</v>
      </c>
      <c r="AR41" s="293">
        <f t="shared" si="21"/>
        <v>0</v>
      </c>
      <c r="AS41" s="293">
        <f t="shared" si="21"/>
        <v>0</v>
      </c>
      <c r="AT41" s="293">
        <f t="shared" si="21"/>
        <v>0</v>
      </c>
      <c r="AU41" s="293">
        <f t="shared" si="21"/>
        <v>0</v>
      </c>
      <c r="AV41" s="293">
        <f t="shared" si="21"/>
        <v>0</v>
      </c>
      <c r="AW41" s="293">
        <f t="shared" si="21"/>
        <v>0</v>
      </c>
      <c r="AX41" s="293">
        <f t="shared" si="21"/>
        <v>0</v>
      </c>
      <c r="AY41" s="293">
        <f t="shared" si="21"/>
        <v>0</v>
      </c>
      <c r="AZ41" s="293">
        <f t="shared" si="21"/>
        <v>0</v>
      </c>
      <c r="BA41" s="293">
        <f t="shared" si="21"/>
        <v>0</v>
      </c>
      <c r="BB41" s="293">
        <f t="shared" si="21"/>
        <v>2125262.3246864583</v>
      </c>
      <c r="BC41" s="293">
        <f t="shared" si="21"/>
        <v>0</v>
      </c>
      <c r="BD41" s="293">
        <f t="shared" si="21"/>
        <v>0</v>
      </c>
      <c r="BE41" s="293">
        <f t="shared" si="21"/>
        <v>0</v>
      </c>
      <c r="BF41" s="293">
        <f t="shared" si="21"/>
        <v>0</v>
      </c>
      <c r="BG41" s="293">
        <f>((BG40/$C$40)*$C$41)</f>
        <v>0</v>
      </c>
      <c r="BH41" s="293">
        <f t="shared" ref="BH41:BN41" si="22">((BH40/$C$40)*$C$41)</f>
        <v>0</v>
      </c>
      <c r="BI41" s="293">
        <f t="shared" si="22"/>
        <v>0</v>
      </c>
      <c r="BJ41" s="293">
        <f t="shared" si="22"/>
        <v>0</v>
      </c>
      <c r="BK41" s="293">
        <f t="shared" si="22"/>
        <v>0</v>
      </c>
      <c r="BL41" s="293">
        <f t="shared" si="22"/>
        <v>0</v>
      </c>
      <c r="BM41" s="293">
        <f t="shared" si="22"/>
        <v>0</v>
      </c>
      <c r="BN41" s="293">
        <f t="shared" si="22"/>
        <v>0</v>
      </c>
      <c r="BO41" s="294"/>
      <c r="BQ41" s="224"/>
      <c r="BS41" s="219"/>
    </row>
    <row r="42" spans="1:75" s="216" customFormat="1">
      <c r="A42" s="215"/>
      <c r="B42" s="226"/>
      <c r="C42" s="224"/>
      <c r="D42" s="224"/>
      <c r="E42" s="224"/>
      <c r="F42" s="224"/>
      <c r="G42" s="224"/>
      <c r="H42" s="224"/>
      <c r="I42" s="224"/>
      <c r="J42" s="224"/>
      <c r="K42" s="224"/>
      <c r="L42" s="224"/>
      <c r="M42" s="224"/>
      <c r="N42" s="224"/>
      <c r="O42" s="224"/>
      <c r="P42" s="224"/>
      <c r="Q42" s="224"/>
      <c r="R42" s="224"/>
      <c r="S42" s="224"/>
      <c r="T42" s="224"/>
      <c r="U42" s="224"/>
      <c r="V42" s="224"/>
      <c r="W42" s="224"/>
      <c r="X42" s="224"/>
      <c r="Y42" s="224"/>
      <c r="Z42" s="224"/>
      <c r="AA42" s="224"/>
      <c r="AB42" s="224"/>
      <c r="AC42" s="224"/>
      <c r="AD42" s="224"/>
      <c r="AE42" s="224"/>
      <c r="AF42" s="224"/>
      <c r="AG42" s="224"/>
      <c r="AH42" s="224"/>
      <c r="AI42" s="224"/>
      <c r="AJ42" s="224"/>
      <c r="AK42" s="224"/>
      <c r="AL42" s="224"/>
      <c r="AM42" s="224"/>
      <c r="AN42" s="224"/>
      <c r="AO42" s="224"/>
      <c r="AP42" s="224"/>
      <c r="AQ42" s="224"/>
      <c r="AR42" s="224"/>
      <c r="AS42" s="224"/>
      <c r="AT42" s="224"/>
      <c r="AU42" s="224"/>
      <c r="AV42" s="224"/>
      <c r="AW42" s="224"/>
      <c r="AX42" s="224"/>
      <c r="AY42" s="224"/>
      <c r="AZ42" s="224"/>
      <c r="BA42" s="224"/>
      <c r="BB42" s="224"/>
      <c r="BC42" s="224"/>
      <c r="BD42" s="224"/>
      <c r="BE42" s="224"/>
      <c r="BF42" s="224"/>
      <c r="BG42" s="224"/>
      <c r="BH42" s="224"/>
      <c r="BI42" s="224"/>
      <c r="BJ42" s="224"/>
      <c r="BK42" s="224"/>
      <c r="BL42" s="224"/>
      <c r="BM42" s="224"/>
      <c r="BN42" s="224"/>
      <c r="BO42" s="276"/>
      <c r="BQ42" s="224"/>
      <c r="BS42" s="219"/>
    </row>
    <row r="43" spans="1:75" s="216" customFormat="1">
      <c r="A43" s="215"/>
      <c r="B43" s="434" t="str">
        <f>BP7</f>
        <v>4th Priority Split (50/50)</v>
      </c>
      <c r="C43" s="435"/>
      <c r="D43" s="435"/>
      <c r="E43" s="435"/>
      <c r="F43" s="435"/>
      <c r="G43" s="435"/>
      <c r="H43" s="435"/>
      <c r="I43" s="435"/>
      <c r="J43" s="435"/>
      <c r="K43" s="435"/>
      <c r="L43" s="435"/>
      <c r="M43" s="435"/>
      <c r="N43" s="435"/>
      <c r="O43" s="435"/>
      <c r="P43" s="435"/>
      <c r="Q43" s="435"/>
      <c r="R43" s="435"/>
      <c r="S43" s="435"/>
      <c r="T43" s="435"/>
      <c r="U43" s="435"/>
      <c r="V43" s="435"/>
      <c r="W43" s="435"/>
      <c r="X43" s="435"/>
      <c r="Y43" s="435"/>
      <c r="Z43" s="435"/>
      <c r="AA43" s="435"/>
      <c r="AB43" s="435"/>
      <c r="AC43" s="435"/>
      <c r="AD43" s="435"/>
      <c r="AE43" s="435"/>
      <c r="AF43" s="435"/>
      <c r="AG43" s="435"/>
      <c r="AH43" s="435"/>
      <c r="AI43" s="435"/>
      <c r="AJ43" s="435"/>
      <c r="AK43" s="435"/>
      <c r="AL43" s="435"/>
      <c r="AM43" s="435"/>
      <c r="AN43" s="435"/>
      <c r="AO43" s="435"/>
      <c r="AP43" s="435"/>
      <c r="AQ43" s="435"/>
      <c r="AR43" s="435"/>
      <c r="AS43" s="435"/>
      <c r="AT43" s="435"/>
      <c r="AU43" s="435"/>
      <c r="AV43" s="435"/>
      <c r="AW43" s="435"/>
      <c r="AX43" s="435"/>
      <c r="AY43" s="435"/>
      <c r="AZ43" s="435"/>
      <c r="BA43" s="435"/>
      <c r="BB43" s="435"/>
      <c r="BC43" s="435"/>
      <c r="BD43" s="435"/>
      <c r="BE43" s="435"/>
      <c r="BF43" s="435"/>
      <c r="BG43" s="435"/>
      <c r="BH43" s="435"/>
      <c r="BI43" s="435"/>
      <c r="BJ43" s="435"/>
      <c r="BK43" s="435"/>
      <c r="BL43" s="435"/>
      <c r="BM43" s="435"/>
      <c r="BN43" s="436"/>
      <c r="BO43" s="226"/>
      <c r="BQ43" s="224"/>
      <c r="BS43" s="219"/>
    </row>
    <row r="44" spans="1:75" s="216" customFormat="1">
      <c r="A44" s="215"/>
      <c r="B44" s="291" t="s">
        <v>181</v>
      </c>
      <c r="C44" s="292"/>
      <c r="D44" s="489">
        <f>+MIN(+$BQ$7*(D32-D40-D41),D45)</f>
        <v>0</v>
      </c>
      <c r="E44" s="489">
        <f t="shared" ref="E44:BN44" si="23">+MIN(+$BQ$7*(E32-E40-E41),E45)</f>
        <v>0</v>
      </c>
      <c r="F44" s="489">
        <f t="shared" si="23"/>
        <v>0</v>
      </c>
      <c r="G44" s="489">
        <f t="shared" si="23"/>
        <v>0</v>
      </c>
      <c r="H44" s="489">
        <f t="shared" si="23"/>
        <v>0</v>
      </c>
      <c r="I44" s="489">
        <f t="shared" si="23"/>
        <v>0</v>
      </c>
      <c r="J44" s="489">
        <f t="shared" si="23"/>
        <v>0</v>
      </c>
      <c r="K44" s="489">
        <f t="shared" si="23"/>
        <v>0</v>
      </c>
      <c r="L44" s="489">
        <f t="shared" si="23"/>
        <v>0</v>
      </c>
      <c r="M44" s="489">
        <f t="shared" si="23"/>
        <v>0</v>
      </c>
      <c r="N44" s="489">
        <f t="shared" si="23"/>
        <v>0</v>
      </c>
      <c r="O44" s="489">
        <f t="shared" si="23"/>
        <v>0</v>
      </c>
      <c r="P44" s="489">
        <f t="shared" si="23"/>
        <v>0</v>
      </c>
      <c r="Q44" s="489">
        <f t="shared" si="23"/>
        <v>0</v>
      </c>
      <c r="R44" s="489">
        <f t="shared" si="23"/>
        <v>0</v>
      </c>
      <c r="S44" s="489">
        <f t="shared" si="23"/>
        <v>0</v>
      </c>
      <c r="T44" s="489">
        <f t="shared" si="23"/>
        <v>0</v>
      </c>
      <c r="U44" s="489">
        <f t="shared" si="23"/>
        <v>0</v>
      </c>
      <c r="V44" s="489">
        <f t="shared" si="23"/>
        <v>0</v>
      </c>
      <c r="W44" s="489">
        <f t="shared" si="23"/>
        <v>0</v>
      </c>
      <c r="X44" s="489">
        <f t="shared" si="23"/>
        <v>0</v>
      </c>
      <c r="Y44" s="489">
        <f t="shared" si="23"/>
        <v>0</v>
      </c>
      <c r="Z44" s="489">
        <f t="shared" si="23"/>
        <v>0</v>
      </c>
      <c r="AA44" s="489">
        <f t="shared" si="23"/>
        <v>0</v>
      </c>
      <c r="AB44" s="489">
        <f t="shared" si="23"/>
        <v>0</v>
      </c>
      <c r="AC44" s="489">
        <f t="shared" si="23"/>
        <v>0</v>
      </c>
      <c r="AD44" s="489">
        <f t="shared" si="23"/>
        <v>0</v>
      </c>
      <c r="AE44" s="489">
        <f t="shared" si="23"/>
        <v>0</v>
      </c>
      <c r="AF44" s="489">
        <f t="shared" si="23"/>
        <v>0</v>
      </c>
      <c r="AG44" s="489">
        <f t="shared" si="23"/>
        <v>0</v>
      </c>
      <c r="AH44" s="489">
        <f t="shared" si="23"/>
        <v>0</v>
      </c>
      <c r="AI44" s="489">
        <f t="shared" si="23"/>
        <v>0</v>
      </c>
      <c r="AJ44" s="489">
        <f t="shared" si="23"/>
        <v>0</v>
      </c>
      <c r="AK44" s="489">
        <f t="shared" si="23"/>
        <v>0</v>
      </c>
      <c r="AL44" s="489">
        <f t="shared" si="23"/>
        <v>0</v>
      </c>
      <c r="AM44" s="489">
        <f t="shared" si="23"/>
        <v>0</v>
      </c>
      <c r="AN44" s="489">
        <f t="shared" si="23"/>
        <v>0</v>
      </c>
      <c r="AO44" s="489">
        <f t="shared" si="23"/>
        <v>0</v>
      </c>
      <c r="AP44" s="489">
        <f t="shared" si="23"/>
        <v>0</v>
      </c>
      <c r="AQ44" s="489">
        <f t="shared" si="23"/>
        <v>0</v>
      </c>
      <c r="AR44" s="489">
        <f t="shared" si="23"/>
        <v>0</v>
      </c>
      <c r="AS44" s="489">
        <f t="shared" si="23"/>
        <v>0</v>
      </c>
      <c r="AT44" s="489">
        <f t="shared" si="23"/>
        <v>0</v>
      </c>
      <c r="AU44" s="489">
        <f t="shared" si="23"/>
        <v>0</v>
      </c>
      <c r="AV44" s="489">
        <f t="shared" si="23"/>
        <v>0</v>
      </c>
      <c r="AW44" s="489">
        <f t="shared" si="23"/>
        <v>0</v>
      </c>
      <c r="AX44" s="578">
        <f t="shared" si="23"/>
        <v>0</v>
      </c>
      <c r="AY44" s="489">
        <f t="shared" si="23"/>
        <v>0</v>
      </c>
      <c r="AZ44" s="489">
        <f t="shared" si="23"/>
        <v>0</v>
      </c>
      <c r="BA44" s="489">
        <f t="shared" si="23"/>
        <v>0</v>
      </c>
      <c r="BB44" s="489">
        <f t="shared" si="23"/>
        <v>0</v>
      </c>
      <c r="BC44" s="489">
        <f t="shared" si="23"/>
        <v>0</v>
      </c>
      <c r="BD44" s="489">
        <f t="shared" si="23"/>
        <v>0</v>
      </c>
      <c r="BE44" s="489">
        <f t="shared" si="23"/>
        <v>0</v>
      </c>
      <c r="BF44" s="489">
        <f t="shared" si="23"/>
        <v>0</v>
      </c>
      <c r="BG44" s="489">
        <f t="shared" si="23"/>
        <v>0</v>
      </c>
      <c r="BH44" s="489">
        <f t="shared" si="23"/>
        <v>0</v>
      </c>
      <c r="BI44" s="489">
        <f t="shared" si="23"/>
        <v>0</v>
      </c>
      <c r="BJ44" s="489">
        <f t="shared" si="23"/>
        <v>0</v>
      </c>
      <c r="BK44" s="489">
        <f t="shared" si="23"/>
        <v>0</v>
      </c>
      <c r="BL44" s="489">
        <f t="shared" si="23"/>
        <v>0</v>
      </c>
      <c r="BM44" s="489">
        <f t="shared" si="23"/>
        <v>0</v>
      </c>
      <c r="BN44" s="489">
        <f t="shared" si="23"/>
        <v>0</v>
      </c>
      <c r="BO44" s="290"/>
      <c r="BS44" s="219"/>
    </row>
    <row r="45" spans="1:75" s="216" customFormat="1">
      <c r="A45" s="215"/>
      <c r="B45" s="291" t="s">
        <v>182</v>
      </c>
      <c r="C45" s="292" t="s">
        <v>171</v>
      </c>
      <c r="D45" s="289">
        <f>-C34*(IF(E6-D6=1,$BW$7,$BV$7))-D24-D27-D40</f>
        <v>24435527.300533608</v>
      </c>
      <c r="E45" s="289">
        <f>(D45-D46)*(IF(E6-D6=1,$BW$7,$BV$7))-E24-E27-E40</f>
        <v>24843819.643419061</v>
      </c>
      <c r="F45" s="289">
        <f t="shared" ref="F45:BN45" si="24">(E45-E46)*(IF(F6-E6=1,$BW$7,$BV$7))-F24-F27-F40</f>
        <v>25258934.128311463</v>
      </c>
      <c r="G45" s="289">
        <f t="shared" si="24"/>
        <v>25680984.746135142</v>
      </c>
      <c r="H45" s="289">
        <f t="shared" si="24"/>
        <v>26110087.392484669</v>
      </c>
      <c r="I45" s="289">
        <f t="shared" si="24"/>
        <v>26546359.899449915</v>
      </c>
      <c r="J45" s="289">
        <f t="shared" si="24"/>
        <v>26989922.06797288</v>
      </c>
      <c r="K45" s="289">
        <f t="shared" si="24"/>
        <v>27440895.700745184</v>
      </c>
      <c r="L45" s="289">
        <f t="shared" si="24"/>
        <v>27899404.635655213</v>
      </c>
      <c r="M45" s="289">
        <f t="shared" si="24"/>
        <v>28365574.77979416</v>
      </c>
      <c r="N45" s="289">
        <f t="shared" si="24"/>
        <v>28839534.144030254</v>
      </c>
      <c r="O45" s="289">
        <f t="shared" si="24"/>
        <v>29321412.8781607</v>
      </c>
      <c r="P45" s="289">
        <f t="shared" si="24"/>
        <v>29811343.306650963</v>
      </c>
      <c r="Q45" s="289">
        <f t="shared" si="24"/>
        <v>30309459.964971215</v>
      </c>
      <c r="R45" s="289">
        <f t="shared" si="24"/>
        <v>30815899.636539944</v>
      </c>
      <c r="S45" s="289">
        <f t="shared" si="24"/>
        <v>31330801.390284833</v>
      </c>
      <c r="T45" s="289">
        <f t="shared" si="24"/>
        <v>31854306.618831255</v>
      </c>
      <c r="U45" s="289">
        <f t="shared" si="24"/>
        <v>32386559.077328853</v>
      </c>
      <c r="V45" s="289">
        <f t="shared" si="24"/>
        <v>32927704.922926873</v>
      </c>
      <c r="W45" s="289">
        <f t="shared" si="24"/>
        <v>33477892.754909083</v>
      </c>
      <c r="X45" s="289">
        <f t="shared" si="24"/>
        <v>33981407.718428798</v>
      </c>
      <c r="Y45" s="289">
        <f t="shared" si="24"/>
        <v>34493335.895283543</v>
      </c>
      <c r="Z45" s="289">
        <f t="shared" si="24"/>
        <v>35013817.861550994</v>
      </c>
      <c r="AA45" s="289">
        <f t="shared" si="24"/>
        <v>34030996.542189419</v>
      </c>
      <c r="AB45" s="289">
        <f t="shared" si="24"/>
        <v>34543753.296908893</v>
      </c>
      <c r="AC45" s="289">
        <f t="shared" si="24"/>
        <v>35065077.685718678</v>
      </c>
      <c r="AD45" s="289">
        <f t="shared" si="24"/>
        <v>36871599.722682759</v>
      </c>
      <c r="AE45" s="289">
        <f t="shared" si="24"/>
        <v>37327283.512187012</v>
      </c>
      <c r="AF45" s="289">
        <f t="shared" si="24"/>
        <v>37790581.305667661</v>
      </c>
      <c r="AG45" s="289">
        <f t="shared" si="24"/>
        <v>38261620.32524208</v>
      </c>
      <c r="AH45" s="289">
        <f t="shared" si="24"/>
        <v>38740529.918777399</v>
      </c>
      <c r="AI45" s="289">
        <f t="shared" si="24"/>
        <v>39227441.595409594</v>
      </c>
      <c r="AJ45" s="289">
        <f t="shared" si="24"/>
        <v>39708135.162904121</v>
      </c>
      <c r="AK45" s="289">
        <f t="shared" si="24"/>
        <v>40196860.621851958</v>
      </c>
      <c r="AL45" s="289">
        <f t="shared" si="24"/>
        <v>40693752.176837236</v>
      </c>
      <c r="AM45" s="289">
        <f t="shared" si="24"/>
        <v>41198946.274863623</v>
      </c>
      <c r="AN45" s="289">
        <f t="shared" si="24"/>
        <v>41712581.642822854</v>
      </c>
      <c r="AO45" s="289">
        <f t="shared" si="24"/>
        <v>42234799.325589277</v>
      </c>
      <c r="AP45" s="289">
        <f t="shared" si="24"/>
        <v>42847027.136426724</v>
      </c>
      <c r="AQ45" s="289">
        <f t="shared" si="24"/>
        <v>43469484.639637575</v>
      </c>
      <c r="AR45" s="289">
        <f t="shared" si="24"/>
        <v>44102342.762782134</v>
      </c>
      <c r="AS45" s="289">
        <f t="shared" si="24"/>
        <v>44745775.289443135</v>
      </c>
      <c r="AT45" s="289">
        <f t="shared" si="24"/>
        <v>45399958.906946905</v>
      </c>
      <c r="AU45" s="289">
        <f t="shared" si="24"/>
        <v>46065073.254881941</v>
      </c>
      <c r="AV45" s="289">
        <f t="shared" si="24"/>
        <v>46726495.87883538</v>
      </c>
      <c r="AW45" s="289">
        <f t="shared" si="24"/>
        <v>47398970.189517327</v>
      </c>
      <c r="AX45" s="289">
        <f t="shared" si="24"/>
        <v>48082680.849162064</v>
      </c>
      <c r="AY45" s="289">
        <f t="shared" si="24"/>
        <v>48777815.605518475</v>
      </c>
      <c r="AZ45" s="289">
        <f t="shared" si="24"/>
        <v>49484565.343405806</v>
      </c>
      <c r="BA45" s="289">
        <f t="shared" si="24"/>
        <v>50203124.137130834</v>
      </c>
      <c r="BB45" s="289">
        <f t="shared" si="24"/>
        <v>7626575.9125122763</v>
      </c>
      <c r="BC45" s="289">
        <f t="shared" si="24"/>
        <v>7754008.093910113</v>
      </c>
      <c r="BD45" s="289">
        <f t="shared" si="24"/>
        <v>7883569.5350232003</v>
      </c>
      <c r="BE45" s="289">
        <f t="shared" si="24"/>
        <v>8015295.813575197</v>
      </c>
      <c r="BF45" s="289">
        <f t="shared" si="24"/>
        <v>8149223.1017566603</v>
      </c>
      <c r="BG45" s="289">
        <f t="shared" si="24"/>
        <v>8285388.1761579737</v>
      </c>
      <c r="BH45" s="289">
        <f t="shared" si="24"/>
        <v>8423828.4278682396</v>
      </c>
      <c r="BI45" s="289">
        <f t="shared" si="24"/>
        <v>8564581.8727429193</v>
      </c>
      <c r="BJ45" s="289">
        <f t="shared" si="24"/>
        <v>8707687.1618430298</v>
      </c>
      <c r="BK45" s="289">
        <f t="shared" si="24"/>
        <v>8853183.5920487661</v>
      </c>
      <c r="BL45" s="289">
        <f t="shared" si="24"/>
        <v>9001111.1168504804</v>
      </c>
      <c r="BM45" s="289">
        <f t="shared" si="24"/>
        <v>9151510.3573199473</v>
      </c>
      <c r="BN45" s="289">
        <f t="shared" si="24"/>
        <v>9304422.6132649649</v>
      </c>
      <c r="BO45" s="290"/>
      <c r="BS45" s="219"/>
    </row>
    <row r="46" spans="1:75" s="216" customFormat="1">
      <c r="A46" s="215"/>
      <c r="B46" s="248" t="s">
        <v>41</v>
      </c>
      <c r="C46" s="214">
        <f>$BQ$7</f>
        <v>0.75</v>
      </c>
      <c r="D46" s="293">
        <f>MIN((D32-D40-D41)*$C$46,D45)</f>
        <v>0</v>
      </c>
      <c r="E46" s="293">
        <f t="shared" ref="E46:BN46" si="25">MIN((E32-E40-E41)*$C$46,E45)</f>
        <v>0</v>
      </c>
      <c r="F46" s="293">
        <f t="shared" si="25"/>
        <v>0</v>
      </c>
      <c r="G46" s="293">
        <f t="shared" si="25"/>
        <v>0</v>
      </c>
      <c r="H46" s="293">
        <f t="shared" si="25"/>
        <v>0</v>
      </c>
      <c r="I46" s="293">
        <f t="shared" si="25"/>
        <v>0</v>
      </c>
      <c r="J46" s="293">
        <f t="shared" si="25"/>
        <v>0</v>
      </c>
      <c r="K46" s="293">
        <f t="shared" si="25"/>
        <v>0</v>
      </c>
      <c r="L46" s="293">
        <f t="shared" si="25"/>
        <v>0</v>
      </c>
      <c r="M46" s="293">
        <f t="shared" si="25"/>
        <v>0</v>
      </c>
      <c r="N46" s="293">
        <f t="shared" si="25"/>
        <v>0</v>
      </c>
      <c r="O46" s="293">
        <f t="shared" si="25"/>
        <v>0</v>
      </c>
      <c r="P46" s="293">
        <f t="shared" si="25"/>
        <v>0</v>
      </c>
      <c r="Q46" s="293">
        <f t="shared" si="25"/>
        <v>0</v>
      </c>
      <c r="R46" s="293">
        <f t="shared" si="25"/>
        <v>0</v>
      </c>
      <c r="S46" s="293">
        <f t="shared" si="25"/>
        <v>0</v>
      </c>
      <c r="T46" s="293">
        <f t="shared" si="25"/>
        <v>0</v>
      </c>
      <c r="U46" s="293">
        <f t="shared" si="25"/>
        <v>0</v>
      </c>
      <c r="V46" s="293">
        <f t="shared" si="25"/>
        <v>0</v>
      </c>
      <c r="W46" s="293">
        <f t="shared" si="25"/>
        <v>0</v>
      </c>
      <c r="X46" s="293">
        <f t="shared" si="25"/>
        <v>0</v>
      </c>
      <c r="Y46" s="293">
        <f t="shared" si="25"/>
        <v>0</v>
      </c>
      <c r="Z46" s="293">
        <f t="shared" si="25"/>
        <v>0</v>
      </c>
      <c r="AA46" s="293">
        <f t="shared" si="25"/>
        <v>0</v>
      </c>
      <c r="AB46" s="293">
        <f t="shared" si="25"/>
        <v>0</v>
      </c>
      <c r="AC46" s="293">
        <f t="shared" si="25"/>
        <v>0</v>
      </c>
      <c r="AD46" s="293">
        <f t="shared" si="25"/>
        <v>0</v>
      </c>
      <c r="AE46" s="293">
        <f t="shared" si="25"/>
        <v>0</v>
      </c>
      <c r="AF46" s="293">
        <f t="shared" si="25"/>
        <v>0</v>
      </c>
      <c r="AG46" s="293">
        <f t="shared" si="25"/>
        <v>0</v>
      </c>
      <c r="AH46" s="293">
        <f t="shared" si="25"/>
        <v>0</v>
      </c>
      <c r="AI46" s="293">
        <f t="shared" si="25"/>
        <v>0</v>
      </c>
      <c r="AJ46" s="293">
        <f t="shared" si="25"/>
        <v>0</v>
      </c>
      <c r="AK46" s="293">
        <f t="shared" si="25"/>
        <v>0</v>
      </c>
      <c r="AL46" s="293">
        <f t="shared" si="25"/>
        <v>0</v>
      </c>
      <c r="AM46" s="293">
        <f t="shared" si="25"/>
        <v>0</v>
      </c>
      <c r="AN46" s="293">
        <f t="shared" si="25"/>
        <v>0</v>
      </c>
      <c r="AO46" s="293">
        <f t="shared" si="25"/>
        <v>0</v>
      </c>
      <c r="AP46" s="293">
        <f t="shared" si="25"/>
        <v>0</v>
      </c>
      <c r="AQ46" s="293">
        <f t="shared" si="25"/>
        <v>0</v>
      </c>
      <c r="AR46" s="293">
        <f t="shared" si="25"/>
        <v>0</v>
      </c>
      <c r="AS46" s="293">
        <f t="shared" si="25"/>
        <v>0</v>
      </c>
      <c r="AT46" s="293">
        <f t="shared" si="25"/>
        <v>0</v>
      </c>
      <c r="AU46" s="293">
        <f t="shared" si="25"/>
        <v>0</v>
      </c>
      <c r="AV46" s="293">
        <f t="shared" si="25"/>
        <v>0</v>
      </c>
      <c r="AW46" s="293">
        <f t="shared" si="25"/>
        <v>0</v>
      </c>
      <c r="AX46" s="579">
        <f t="shared" si="25"/>
        <v>0</v>
      </c>
      <c r="AY46" s="293">
        <f t="shared" si="25"/>
        <v>0</v>
      </c>
      <c r="AZ46" s="293">
        <f t="shared" si="25"/>
        <v>0</v>
      </c>
      <c r="BA46" s="293">
        <f t="shared" si="25"/>
        <v>0</v>
      </c>
      <c r="BB46" s="293">
        <f t="shared" si="25"/>
        <v>0</v>
      </c>
      <c r="BC46" s="293">
        <f t="shared" si="25"/>
        <v>0</v>
      </c>
      <c r="BD46" s="293">
        <f t="shared" si="25"/>
        <v>0</v>
      </c>
      <c r="BE46" s="293">
        <f t="shared" si="25"/>
        <v>0</v>
      </c>
      <c r="BF46" s="293">
        <f t="shared" si="25"/>
        <v>0</v>
      </c>
      <c r="BG46" s="293">
        <f t="shared" si="25"/>
        <v>0</v>
      </c>
      <c r="BH46" s="293">
        <f t="shared" si="25"/>
        <v>0</v>
      </c>
      <c r="BI46" s="293">
        <f t="shared" si="25"/>
        <v>0</v>
      </c>
      <c r="BJ46" s="293">
        <f t="shared" si="25"/>
        <v>0</v>
      </c>
      <c r="BK46" s="293">
        <f t="shared" si="25"/>
        <v>0</v>
      </c>
      <c r="BL46" s="293">
        <f t="shared" si="25"/>
        <v>0</v>
      </c>
      <c r="BM46" s="293">
        <f t="shared" si="25"/>
        <v>0</v>
      </c>
      <c r="BN46" s="293">
        <f t="shared" si="25"/>
        <v>0</v>
      </c>
      <c r="BO46" s="294"/>
      <c r="BS46" s="219"/>
    </row>
    <row r="47" spans="1:75" s="216" customFormat="1">
      <c r="A47" s="215"/>
      <c r="B47" s="248" t="s">
        <v>150</v>
      </c>
      <c r="C47" s="214">
        <f>100%-C46</f>
        <v>0.25</v>
      </c>
      <c r="D47" s="293">
        <f>((D46/$C$46)*$C$47)</f>
        <v>0</v>
      </c>
      <c r="E47" s="293">
        <f t="shared" ref="E47:BN47" si="26">((E46/$C$46)*$C$47)</f>
        <v>0</v>
      </c>
      <c r="F47" s="293">
        <f t="shared" si="26"/>
        <v>0</v>
      </c>
      <c r="G47" s="293">
        <f t="shared" si="26"/>
        <v>0</v>
      </c>
      <c r="H47" s="293">
        <f t="shared" si="26"/>
        <v>0</v>
      </c>
      <c r="I47" s="293">
        <f t="shared" si="26"/>
        <v>0</v>
      </c>
      <c r="J47" s="293">
        <f>((J46/$C$46)*$C$47)</f>
        <v>0</v>
      </c>
      <c r="K47" s="293">
        <f>((K46/$C$46)*$C$47)</f>
        <v>0</v>
      </c>
      <c r="L47" s="293">
        <f t="shared" si="26"/>
        <v>0</v>
      </c>
      <c r="M47" s="293">
        <f t="shared" si="26"/>
        <v>0</v>
      </c>
      <c r="N47" s="293">
        <f t="shared" si="26"/>
        <v>0</v>
      </c>
      <c r="O47" s="293">
        <f t="shared" si="26"/>
        <v>0</v>
      </c>
      <c r="P47" s="293">
        <f t="shared" si="26"/>
        <v>0</v>
      </c>
      <c r="Q47" s="293">
        <f t="shared" si="26"/>
        <v>0</v>
      </c>
      <c r="R47" s="293">
        <f t="shared" si="26"/>
        <v>0</v>
      </c>
      <c r="S47" s="293">
        <f t="shared" si="26"/>
        <v>0</v>
      </c>
      <c r="T47" s="293">
        <f t="shared" si="26"/>
        <v>0</v>
      </c>
      <c r="U47" s="293">
        <f t="shared" si="26"/>
        <v>0</v>
      </c>
      <c r="V47" s="293">
        <f t="shared" si="26"/>
        <v>0</v>
      </c>
      <c r="W47" s="293">
        <f t="shared" si="26"/>
        <v>0</v>
      </c>
      <c r="X47" s="293">
        <f t="shared" si="26"/>
        <v>0</v>
      </c>
      <c r="Y47" s="293">
        <f t="shared" si="26"/>
        <v>0</v>
      </c>
      <c r="Z47" s="293">
        <f t="shared" si="26"/>
        <v>0</v>
      </c>
      <c r="AA47" s="293">
        <f t="shared" si="26"/>
        <v>0</v>
      </c>
      <c r="AB47" s="293">
        <f t="shared" si="26"/>
        <v>0</v>
      </c>
      <c r="AC47" s="293">
        <f t="shared" si="26"/>
        <v>0</v>
      </c>
      <c r="AD47" s="293">
        <f t="shared" si="26"/>
        <v>0</v>
      </c>
      <c r="AE47" s="293">
        <f t="shared" si="26"/>
        <v>0</v>
      </c>
      <c r="AF47" s="293">
        <f t="shared" si="26"/>
        <v>0</v>
      </c>
      <c r="AG47" s="293">
        <f t="shared" si="26"/>
        <v>0</v>
      </c>
      <c r="AH47" s="293">
        <f t="shared" si="26"/>
        <v>0</v>
      </c>
      <c r="AI47" s="293">
        <f t="shared" si="26"/>
        <v>0</v>
      </c>
      <c r="AJ47" s="293">
        <f t="shared" si="26"/>
        <v>0</v>
      </c>
      <c r="AK47" s="293">
        <f t="shared" si="26"/>
        <v>0</v>
      </c>
      <c r="AL47" s="293">
        <f t="shared" si="26"/>
        <v>0</v>
      </c>
      <c r="AM47" s="293">
        <f t="shared" si="26"/>
        <v>0</v>
      </c>
      <c r="AN47" s="293">
        <f t="shared" si="26"/>
        <v>0</v>
      </c>
      <c r="AO47" s="293">
        <f t="shared" si="26"/>
        <v>0</v>
      </c>
      <c r="AP47" s="293">
        <f t="shared" si="26"/>
        <v>0</v>
      </c>
      <c r="AQ47" s="293">
        <f t="shared" si="26"/>
        <v>0</v>
      </c>
      <c r="AR47" s="293">
        <f t="shared" si="26"/>
        <v>0</v>
      </c>
      <c r="AS47" s="293">
        <f t="shared" si="26"/>
        <v>0</v>
      </c>
      <c r="AT47" s="293">
        <f t="shared" si="26"/>
        <v>0</v>
      </c>
      <c r="AU47" s="293">
        <f t="shared" si="26"/>
        <v>0</v>
      </c>
      <c r="AV47" s="293">
        <f t="shared" si="26"/>
        <v>0</v>
      </c>
      <c r="AW47" s="293">
        <f t="shared" si="26"/>
        <v>0</v>
      </c>
      <c r="AX47" s="579">
        <f t="shared" si="26"/>
        <v>0</v>
      </c>
      <c r="AY47" s="293">
        <f t="shared" si="26"/>
        <v>0</v>
      </c>
      <c r="AZ47" s="293">
        <f t="shared" si="26"/>
        <v>0</v>
      </c>
      <c r="BA47" s="293">
        <f t="shared" si="26"/>
        <v>0</v>
      </c>
      <c r="BB47" s="293">
        <f t="shared" si="26"/>
        <v>0</v>
      </c>
      <c r="BC47" s="293">
        <f t="shared" si="26"/>
        <v>0</v>
      </c>
      <c r="BD47" s="293">
        <f t="shared" si="26"/>
        <v>0</v>
      </c>
      <c r="BE47" s="293">
        <f t="shared" si="26"/>
        <v>0</v>
      </c>
      <c r="BF47" s="293">
        <f t="shared" si="26"/>
        <v>0</v>
      </c>
      <c r="BG47" s="293">
        <f t="shared" si="26"/>
        <v>0</v>
      </c>
      <c r="BH47" s="293">
        <f t="shared" si="26"/>
        <v>0</v>
      </c>
      <c r="BI47" s="293">
        <f t="shared" si="26"/>
        <v>0</v>
      </c>
      <c r="BJ47" s="293">
        <f t="shared" si="26"/>
        <v>0</v>
      </c>
      <c r="BK47" s="293">
        <f t="shared" si="26"/>
        <v>0</v>
      </c>
      <c r="BL47" s="293">
        <f t="shared" si="26"/>
        <v>0</v>
      </c>
      <c r="BM47" s="293">
        <f t="shared" si="26"/>
        <v>0</v>
      </c>
      <c r="BN47" s="293">
        <f t="shared" si="26"/>
        <v>0</v>
      </c>
      <c r="BO47" s="294"/>
      <c r="BS47" s="219"/>
    </row>
    <row r="48" spans="1:75" s="216" customFormat="1">
      <c r="A48" s="215"/>
      <c r="B48" s="248"/>
      <c r="C48" s="214"/>
      <c r="D48" s="293"/>
      <c r="E48" s="293"/>
      <c r="F48" s="293"/>
      <c r="G48" s="293"/>
      <c r="H48" s="293"/>
      <c r="I48" s="293"/>
      <c r="J48" s="293"/>
      <c r="K48" s="293"/>
      <c r="L48" s="293"/>
      <c r="M48" s="293"/>
      <c r="N48" s="293"/>
      <c r="O48" s="293"/>
      <c r="P48" s="293"/>
      <c r="Q48" s="293"/>
      <c r="R48" s="293"/>
      <c r="S48" s="293"/>
      <c r="T48" s="293"/>
      <c r="U48" s="293"/>
      <c r="V48" s="293"/>
      <c r="W48" s="293"/>
      <c r="X48" s="293"/>
      <c r="Y48" s="293"/>
      <c r="Z48" s="293"/>
      <c r="AA48" s="293"/>
      <c r="AB48" s="293"/>
      <c r="AC48" s="293"/>
      <c r="AD48" s="293"/>
      <c r="AE48" s="293"/>
      <c r="AF48" s="293"/>
      <c r="AG48" s="293"/>
      <c r="AH48" s="293"/>
      <c r="AI48" s="293"/>
      <c r="AJ48" s="293"/>
      <c r="AK48" s="293"/>
      <c r="AL48" s="293"/>
      <c r="AM48" s="293"/>
      <c r="AN48" s="293"/>
      <c r="AO48" s="293"/>
      <c r="AP48" s="293"/>
      <c r="AQ48" s="293"/>
      <c r="AR48" s="293"/>
      <c r="AS48" s="293"/>
      <c r="AT48" s="293"/>
      <c r="AU48" s="293"/>
      <c r="AV48" s="293"/>
      <c r="AW48" s="293"/>
      <c r="AX48" s="293"/>
      <c r="AY48" s="293"/>
      <c r="AZ48" s="293"/>
      <c r="BA48" s="293"/>
      <c r="BB48" s="293"/>
      <c r="BC48" s="293"/>
      <c r="BD48" s="293"/>
      <c r="BE48" s="293"/>
      <c r="BF48" s="293"/>
      <c r="BG48" s="293"/>
      <c r="BH48" s="293"/>
      <c r="BI48" s="293"/>
      <c r="BJ48" s="293"/>
      <c r="BK48" s="293"/>
      <c r="BL48" s="293"/>
      <c r="BM48" s="293"/>
      <c r="BN48" s="293"/>
      <c r="BO48" s="294"/>
      <c r="BS48" s="219"/>
    </row>
    <row r="49" spans="1:71" s="216" customFormat="1">
      <c r="A49" s="215"/>
      <c r="B49" s="583">
        <f>SUM(D24:BN24,D27:BN27,D40:BN40,D46:BN46)/$C$5</f>
        <v>1.9260893210495937</v>
      </c>
      <c r="C49" s="214"/>
      <c r="D49" s="293"/>
      <c r="E49" s="293"/>
      <c r="F49" s="293"/>
      <c r="G49" s="293"/>
      <c r="H49" s="293"/>
      <c r="I49" s="293"/>
      <c r="J49" s="293"/>
      <c r="K49" s="293"/>
      <c r="L49" s="293"/>
      <c r="M49" s="293"/>
      <c r="N49" s="293"/>
      <c r="O49" s="293"/>
      <c r="P49" s="293"/>
      <c r="Q49" s="293"/>
      <c r="R49" s="293"/>
      <c r="S49" s="293"/>
      <c r="T49" s="293"/>
      <c r="U49" s="293"/>
      <c r="V49" s="293"/>
      <c r="W49" s="293"/>
      <c r="X49" s="293"/>
      <c r="Y49" s="293"/>
      <c r="Z49" s="293"/>
      <c r="AA49" s="293"/>
      <c r="AB49" s="293"/>
      <c r="AC49" s="293"/>
      <c r="AD49" s="293"/>
      <c r="AE49" s="293"/>
      <c r="AF49" s="293"/>
      <c r="AG49" s="293"/>
      <c r="AH49" s="293"/>
      <c r="AI49" s="293"/>
      <c r="AJ49" s="293"/>
      <c r="AK49" s="293"/>
      <c r="AL49" s="293"/>
      <c r="AM49" s="293"/>
      <c r="AN49" s="293"/>
      <c r="AO49" s="293"/>
      <c r="AP49" s="293"/>
      <c r="AQ49" s="293"/>
      <c r="AR49" s="293"/>
      <c r="AS49" s="293"/>
      <c r="AT49" s="293"/>
      <c r="AU49" s="293"/>
      <c r="AV49" s="293"/>
      <c r="AW49" s="293"/>
      <c r="AX49" s="293"/>
      <c r="AY49" s="293"/>
      <c r="AZ49" s="293"/>
      <c r="BA49" s="293"/>
      <c r="BB49" s="293"/>
      <c r="BC49" s="293"/>
      <c r="BD49" s="293"/>
      <c r="BE49" s="293"/>
      <c r="BF49" s="293"/>
      <c r="BG49" s="293"/>
      <c r="BH49" s="293"/>
      <c r="BI49" s="293"/>
      <c r="BJ49" s="293"/>
      <c r="BK49" s="293"/>
      <c r="BL49" s="293"/>
      <c r="BM49" s="293"/>
      <c r="BN49" s="293"/>
      <c r="BO49" s="294"/>
      <c r="BS49" s="219"/>
    </row>
    <row r="50" spans="1:71" s="216" customFormat="1">
      <c r="A50" s="215"/>
      <c r="B50" s="584">
        <f>IF(($C$5*$BT$7)-SUM(D24:BN24,D27:BN27,D40:BN40,D46:BN46)&lt;0,0,($C$5*$BT$7)-SUM(D24:BN24,D27:BN27,D40:BN40,D46:BN46))</f>
        <v>0</v>
      </c>
      <c r="C50" s="585"/>
      <c r="D50" s="271"/>
      <c r="E50" s="271"/>
      <c r="F50" s="271"/>
      <c r="G50" s="271"/>
      <c r="H50" s="271"/>
      <c r="I50" s="271"/>
      <c r="J50" s="271"/>
      <c r="K50" s="271"/>
      <c r="L50" s="271"/>
      <c r="M50" s="271"/>
      <c r="N50" s="271"/>
      <c r="O50" s="271"/>
      <c r="P50" s="271"/>
      <c r="Q50" s="271"/>
      <c r="R50" s="271"/>
      <c r="S50" s="271"/>
      <c r="T50" s="271"/>
      <c r="U50" s="271"/>
      <c r="V50" s="271"/>
      <c r="W50" s="271"/>
      <c r="X50" s="271"/>
      <c r="Y50" s="271"/>
      <c r="Z50" s="271"/>
      <c r="AA50" s="271"/>
      <c r="AB50" s="271"/>
      <c r="AC50" s="271"/>
      <c r="AD50" s="271"/>
      <c r="AE50" s="271"/>
      <c r="AF50" s="271"/>
      <c r="AG50" s="271"/>
      <c r="AH50" s="271"/>
      <c r="AI50" s="271"/>
      <c r="AJ50" s="271"/>
      <c r="AK50" s="271"/>
      <c r="AL50" s="271"/>
      <c r="AM50" s="271"/>
      <c r="AN50" s="271"/>
      <c r="AO50" s="271"/>
      <c r="AP50" s="271"/>
      <c r="AQ50" s="271"/>
      <c r="AR50" s="271"/>
      <c r="AS50" s="271"/>
      <c r="AT50" s="271"/>
      <c r="AU50" s="271"/>
      <c r="AV50" s="271"/>
      <c r="AW50" s="271"/>
      <c r="AX50" s="586"/>
      <c r="AY50" s="271"/>
      <c r="AZ50" s="271"/>
      <c r="BA50" s="271"/>
      <c r="BB50" s="271"/>
      <c r="BC50" s="271"/>
      <c r="BD50" s="271"/>
      <c r="BE50" s="271"/>
      <c r="BF50" s="271"/>
      <c r="BG50" s="271"/>
      <c r="BH50" s="271"/>
      <c r="BI50" s="271"/>
      <c r="BJ50" s="271"/>
      <c r="BK50" s="271"/>
      <c r="BL50" s="271"/>
      <c r="BM50" s="271"/>
      <c r="BN50" s="271"/>
      <c r="BO50" s="294"/>
      <c r="BS50" s="219"/>
    </row>
    <row r="51" spans="1:71" s="216" customFormat="1">
      <c r="A51" s="215"/>
      <c r="B51" s="587"/>
      <c r="C51" s="214"/>
      <c r="D51" s="293"/>
      <c r="E51" s="293"/>
      <c r="F51" s="293"/>
      <c r="G51" s="293"/>
      <c r="H51" s="293"/>
      <c r="I51" s="293"/>
      <c r="J51" s="293"/>
      <c r="K51" s="293"/>
      <c r="L51" s="293"/>
      <c r="M51" s="293"/>
      <c r="N51" s="293"/>
      <c r="O51" s="293"/>
      <c r="P51" s="293"/>
      <c r="Q51" s="293"/>
      <c r="R51" s="293"/>
      <c r="S51" s="293"/>
      <c r="T51" s="293"/>
      <c r="U51" s="293"/>
      <c r="V51" s="293"/>
      <c r="W51" s="293"/>
      <c r="X51" s="293"/>
      <c r="Y51" s="293"/>
      <c r="Z51" s="293"/>
      <c r="AA51" s="293"/>
      <c r="AB51" s="293"/>
      <c r="AC51" s="293"/>
      <c r="AD51" s="293"/>
      <c r="AE51" s="293"/>
      <c r="AF51" s="293"/>
      <c r="AG51" s="293"/>
      <c r="AH51" s="293"/>
      <c r="AI51" s="293"/>
      <c r="AJ51" s="293"/>
      <c r="AK51" s="293"/>
      <c r="AL51" s="293"/>
      <c r="AM51" s="293"/>
      <c r="AN51" s="293"/>
      <c r="AO51" s="293"/>
      <c r="AP51" s="293"/>
      <c r="AQ51" s="293"/>
      <c r="AR51" s="293"/>
      <c r="AS51" s="293"/>
      <c r="AT51" s="293"/>
      <c r="AU51" s="293"/>
      <c r="AV51" s="293"/>
      <c r="AW51" s="293"/>
      <c r="AX51" s="293"/>
      <c r="AY51" s="293"/>
      <c r="AZ51" s="293"/>
      <c r="BA51" s="293"/>
      <c r="BB51" s="293"/>
      <c r="BC51" s="293"/>
      <c r="BD51" s="293"/>
      <c r="BE51" s="293"/>
      <c r="BF51" s="293"/>
      <c r="BG51" s="293"/>
      <c r="BH51" s="293"/>
      <c r="BI51" s="293"/>
      <c r="BJ51" s="293"/>
      <c r="BK51" s="293"/>
      <c r="BL51" s="293"/>
      <c r="BM51" s="293"/>
      <c r="BN51" s="293"/>
      <c r="BO51" s="294"/>
      <c r="BS51" s="219"/>
    </row>
    <row r="52" spans="1:71" s="216" customFormat="1">
      <c r="A52" s="215"/>
      <c r="B52" s="588" t="s">
        <v>213</v>
      </c>
      <c r="C52" s="292" t="s">
        <v>171</v>
      </c>
      <c r="D52" s="293"/>
      <c r="E52" s="293"/>
      <c r="F52" s="293"/>
      <c r="G52" s="293"/>
      <c r="H52" s="293"/>
      <c r="I52" s="293"/>
      <c r="J52" s="293"/>
      <c r="K52" s="293"/>
      <c r="L52" s="293"/>
      <c r="M52" s="293"/>
      <c r="N52" s="293"/>
      <c r="O52" s="293"/>
      <c r="P52" s="293"/>
      <c r="Q52" s="293"/>
      <c r="R52" s="293"/>
      <c r="S52" s="293"/>
      <c r="T52" s="293"/>
      <c r="U52" s="293"/>
      <c r="V52" s="293"/>
      <c r="W52" s="293"/>
      <c r="X52" s="293"/>
      <c r="Y52" s="293"/>
      <c r="Z52" s="293"/>
      <c r="AA52" s="293"/>
      <c r="AB52" s="293"/>
      <c r="AC52" s="293"/>
      <c r="AD52" s="293"/>
      <c r="AE52" s="293"/>
      <c r="AF52" s="293"/>
      <c r="AG52" s="293"/>
      <c r="AH52" s="293"/>
      <c r="AI52" s="293"/>
      <c r="AJ52" s="293"/>
      <c r="AK52" s="293"/>
      <c r="AL52" s="293"/>
      <c r="AM52" s="293"/>
      <c r="AN52" s="293"/>
      <c r="AO52" s="293"/>
      <c r="AP52" s="293"/>
      <c r="AQ52" s="293"/>
      <c r="AR52" s="293"/>
      <c r="AS52" s="293"/>
      <c r="AT52" s="293"/>
      <c r="AU52" s="293"/>
      <c r="AV52" s="293"/>
      <c r="AW52" s="293"/>
      <c r="AX52" s="293"/>
      <c r="AY52" s="293"/>
      <c r="AZ52" s="293"/>
      <c r="BA52" s="293"/>
      <c r="BB52" s="293"/>
      <c r="BC52" s="293"/>
      <c r="BD52" s="293"/>
      <c r="BE52" s="293"/>
      <c r="BF52" s="293"/>
      <c r="BG52" s="293"/>
      <c r="BH52" s="293"/>
      <c r="BI52" s="293"/>
      <c r="BJ52" s="293"/>
      <c r="BK52" s="293"/>
      <c r="BL52" s="293"/>
      <c r="BM52" s="293"/>
      <c r="BN52" s="293"/>
      <c r="BO52" s="294"/>
      <c r="BS52" s="219"/>
    </row>
    <row r="53" spans="1:71" s="216" customFormat="1">
      <c r="A53" s="215"/>
      <c r="B53" s="584" t="str">
        <f>B46</f>
        <v>Equity</v>
      </c>
      <c r="C53" s="214">
        <f>$BQ$7</f>
        <v>0.75</v>
      </c>
      <c r="D53" s="589">
        <f>IF(AND(D6=$C$3,$B$49&lt;$BT$7),(MIN($B$50,(D32-D40-D41-D46-D47)*$C$53))+D46,D46)</f>
        <v>0</v>
      </c>
      <c r="E53" s="589">
        <f t="shared" ref="E53:BN53" si="27">IF(AND(E6=$C$3,$B$49&lt;$BT$7),(MIN($B$50,(E32-E40-E41-E46-E47)*$C$53))+E46,E46)</f>
        <v>0</v>
      </c>
      <c r="F53" s="589">
        <f t="shared" si="27"/>
        <v>0</v>
      </c>
      <c r="G53" s="589">
        <f t="shared" si="27"/>
        <v>0</v>
      </c>
      <c r="H53" s="589">
        <f t="shared" si="27"/>
        <v>0</v>
      </c>
      <c r="I53" s="589">
        <f t="shared" si="27"/>
        <v>0</v>
      </c>
      <c r="J53" s="589">
        <f t="shared" si="27"/>
        <v>0</v>
      </c>
      <c r="K53" s="589">
        <f t="shared" si="27"/>
        <v>0</v>
      </c>
      <c r="L53" s="589">
        <f t="shared" si="27"/>
        <v>0</v>
      </c>
      <c r="M53" s="589">
        <f t="shared" si="27"/>
        <v>0</v>
      </c>
      <c r="N53" s="589">
        <f t="shared" si="27"/>
        <v>0</v>
      </c>
      <c r="O53" s="589">
        <f t="shared" si="27"/>
        <v>0</v>
      </c>
      <c r="P53" s="589">
        <f t="shared" si="27"/>
        <v>0</v>
      </c>
      <c r="Q53" s="589">
        <f t="shared" si="27"/>
        <v>0</v>
      </c>
      <c r="R53" s="589">
        <f t="shared" si="27"/>
        <v>0</v>
      </c>
      <c r="S53" s="589">
        <f t="shared" si="27"/>
        <v>0</v>
      </c>
      <c r="T53" s="589">
        <f t="shared" si="27"/>
        <v>0</v>
      </c>
      <c r="U53" s="589">
        <f t="shared" si="27"/>
        <v>0</v>
      </c>
      <c r="V53" s="589">
        <f t="shared" si="27"/>
        <v>0</v>
      </c>
      <c r="W53" s="589">
        <f t="shared" si="27"/>
        <v>0</v>
      </c>
      <c r="X53" s="589">
        <f t="shared" si="27"/>
        <v>0</v>
      </c>
      <c r="Y53" s="589">
        <f t="shared" si="27"/>
        <v>0</v>
      </c>
      <c r="Z53" s="589">
        <f t="shared" si="27"/>
        <v>0</v>
      </c>
      <c r="AA53" s="589">
        <f t="shared" si="27"/>
        <v>0</v>
      </c>
      <c r="AB53" s="589">
        <f t="shared" si="27"/>
        <v>0</v>
      </c>
      <c r="AC53" s="589">
        <f t="shared" si="27"/>
        <v>0</v>
      </c>
      <c r="AD53" s="589">
        <f t="shared" si="27"/>
        <v>0</v>
      </c>
      <c r="AE53" s="589">
        <f t="shared" si="27"/>
        <v>0</v>
      </c>
      <c r="AF53" s="589">
        <f t="shared" si="27"/>
        <v>0</v>
      </c>
      <c r="AG53" s="589">
        <f t="shared" si="27"/>
        <v>0</v>
      </c>
      <c r="AH53" s="589">
        <f t="shared" si="27"/>
        <v>0</v>
      </c>
      <c r="AI53" s="589">
        <f t="shared" si="27"/>
        <v>0</v>
      </c>
      <c r="AJ53" s="589">
        <f t="shared" si="27"/>
        <v>0</v>
      </c>
      <c r="AK53" s="589">
        <f t="shared" si="27"/>
        <v>0</v>
      </c>
      <c r="AL53" s="589">
        <f t="shared" si="27"/>
        <v>0</v>
      </c>
      <c r="AM53" s="589">
        <f t="shared" si="27"/>
        <v>0</v>
      </c>
      <c r="AN53" s="589">
        <f t="shared" si="27"/>
        <v>0</v>
      </c>
      <c r="AO53" s="589">
        <f t="shared" si="27"/>
        <v>0</v>
      </c>
      <c r="AP53" s="589">
        <f t="shared" si="27"/>
        <v>0</v>
      </c>
      <c r="AQ53" s="589">
        <f t="shared" si="27"/>
        <v>0</v>
      </c>
      <c r="AR53" s="589">
        <f t="shared" si="27"/>
        <v>0</v>
      </c>
      <c r="AS53" s="589">
        <f t="shared" si="27"/>
        <v>0</v>
      </c>
      <c r="AT53" s="589">
        <f t="shared" si="27"/>
        <v>0</v>
      </c>
      <c r="AU53" s="589">
        <f t="shared" si="27"/>
        <v>0</v>
      </c>
      <c r="AV53" s="589">
        <f t="shared" si="27"/>
        <v>0</v>
      </c>
      <c r="AW53" s="589">
        <f t="shared" si="27"/>
        <v>0</v>
      </c>
      <c r="AX53" s="590">
        <f t="shared" si="27"/>
        <v>0</v>
      </c>
      <c r="AY53" s="589">
        <f t="shared" si="27"/>
        <v>0</v>
      </c>
      <c r="AZ53" s="589">
        <f t="shared" si="27"/>
        <v>0</v>
      </c>
      <c r="BA53" s="589">
        <f t="shared" si="27"/>
        <v>0</v>
      </c>
      <c r="BB53" s="589">
        <f t="shared" si="27"/>
        <v>0</v>
      </c>
      <c r="BC53" s="589">
        <f t="shared" si="27"/>
        <v>0</v>
      </c>
      <c r="BD53" s="589">
        <f t="shared" si="27"/>
        <v>0</v>
      </c>
      <c r="BE53" s="589">
        <f t="shared" si="27"/>
        <v>0</v>
      </c>
      <c r="BF53" s="589">
        <f t="shared" si="27"/>
        <v>0</v>
      </c>
      <c r="BG53" s="589">
        <f t="shared" si="27"/>
        <v>0</v>
      </c>
      <c r="BH53" s="589">
        <f t="shared" si="27"/>
        <v>0</v>
      </c>
      <c r="BI53" s="589">
        <f t="shared" si="27"/>
        <v>0</v>
      </c>
      <c r="BJ53" s="589">
        <f t="shared" si="27"/>
        <v>0</v>
      </c>
      <c r="BK53" s="589">
        <f t="shared" si="27"/>
        <v>0</v>
      </c>
      <c r="BL53" s="589">
        <f t="shared" si="27"/>
        <v>0</v>
      </c>
      <c r="BM53" s="589">
        <f t="shared" si="27"/>
        <v>0</v>
      </c>
      <c r="BN53" s="589">
        <f t="shared" si="27"/>
        <v>0</v>
      </c>
      <c r="BO53" s="294"/>
      <c r="BS53" s="219"/>
    </row>
    <row r="54" spans="1:71" s="216" customFormat="1">
      <c r="A54" s="215"/>
      <c r="B54" s="584" t="str">
        <f>B47</f>
        <v>Sponsor</v>
      </c>
      <c r="C54" s="214">
        <f>100%-C53</f>
        <v>0.25</v>
      </c>
      <c r="D54" s="293">
        <f t="shared" ref="D54:U54" si="28">((D53/$C$53)*$C$54)</f>
        <v>0</v>
      </c>
      <c r="E54" s="293">
        <f t="shared" si="28"/>
        <v>0</v>
      </c>
      <c r="F54" s="293">
        <f t="shared" si="28"/>
        <v>0</v>
      </c>
      <c r="G54" s="293">
        <f t="shared" si="28"/>
        <v>0</v>
      </c>
      <c r="H54" s="293">
        <f t="shared" si="28"/>
        <v>0</v>
      </c>
      <c r="I54" s="293">
        <f t="shared" si="28"/>
        <v>0</v>
      </c>
      <c r="J54" s="293">
        <f t="shared" si="28"/>
        <v>0</v>
      </c>
      <c r="K54" s="293">
        <f t="shared" si="28"/>
        <v>0</v>
      </c>
      <c r="L54" s="293">
        <f t="shared" si="28"/>
        <v>0</v>
      </c>
      <c r="M54" s="293">
        <f t="shared" si="28"/>
        <v>0</v>
      </c>
      <c r="N54" s="293">
        <f t="shared" si="28"/>
        <v>0</v>
      </c>
      <c r="O54" s="293">
        <f t="shared" si="28"/>
        <v>0</v>
      </c>
      <c r="P54" s="293">
        <f t="shared" si="28"/>
        <v>0</v>
      </c>
      <c r="Q54" s="293">
        <f t="shared" si="28"/>
        <v>0</v>
      </c>
      <c r="R54" s="293">
        <f t="shared" si="28"/>
        <v>0</v>
      </c>
      <c r="S54" s="293">
        <f t="shared" si="28"/>
        <v>0</v>
      </c>
      <c r="T54" s="293">
        <f t="shared" si="28"/>
        <v>0</v>
      </c>
      <c r="U54" s="293">
        <f t="shared" si="28"/>
        <v>0</v>
      </c>
      <c r="V54" s="293">
        <f>((V53/$C$53)*$C$54)</f>
        <v>0</v>
      </c>
      <c r="W54" s="293">
        <f t="shared" ref="W54:BN54" si="29">((W53/$C$53)*$C$54)</f>
        <v>0</v>
      </c>
      <c r="X54" s="293">
        <f t="shared" si="29"/>
        <v>0</v>
      </c>
      <c r="Y54" s="293">
        <f t="shared" si="29"/>
        <v>0</v>
      </c>
      <c r="Z54" s="293">
        <f t="shared" si="29"/>
        <v>0</v>
      </c>
      <c r="AA54" s="293">
        <f t="shared" si="29"/>
        <v>0</v>
      </c>
      <c r="AB54" s="293">
        <f t="shared" si="29"/>
        <v>0</v>
      </c>
      <c r="AC54" s="293">
        <f t="shared" si="29"/>
        <v>0</v>
      </c>
      <c r="AD54" s="293">
        <f t="shared" si="29"/>
        <v>0</v>
      </c>
      <c r="AE54" s="293">
        <f t="shared" si="29"/>
        <v>0</v>
      </c>
      <c r="AF54" s="293">
        <f t="shared" si="29"/>
        <v>0</v>
      </c>
      <c r="AG54" s="293">
        <f t="shared" si="29"/>
        <v>0</v>
      </c>
      <c r="AH54" s="293">
        <f t="shared" si="29"/>
        <v>0</v>
      </c>
      <c r="AI54" s="293">
        <f t="shared" si="29"/>
        <v>0</v>
      </c>
      <c r="AJ54" s="293">
        <f t="shared" si="29"/>
        <v>0</v>
      </c>
      <c r="AK54" s="293">
        <f t="shared" si="29"/>
        <v>0</v>
      </c>
      <c r="AL54" s="293">
        <f t="shared" si="29"/>
        <v>0</v>
      </c>
      <c r="AM54" s="293">
        <f t="shared" si="29"/>
        <v>0</v>
      </c>
      <c r="AN54" s="293">
        <f t="shared" si="29"/>
        <v>0</v>
      </c>
      <c r="AO54" s="293">
        <f t="shared" si="29"/>
        <v>0</v>
      </c>
      <c r="AP54" s="293">
        <f t="shared" si="29"/>
        <v>0</v>
      </c>
      <c r="AQ54" s="293">
        <f t="shared" si="29"/>
        <v>0</v>
      </c>
      <c r="AR54" s="293">
        <f t="shared" si="29"/>
        <v>0</v>
      </c>
      <c r="AS54" s="293">
        <f t="shared" si="29"/>
        <v>0</v>
      </c>
      <c r="AT54" s="293">
        <f t="shared" si="29"/>
        <v>0</v>
      </c>
      <c r="AU54" s="293">
        <f t="shared" si="29"/>
        <v>0</v>
      </c>
      <c r="AV54" s="293">
        <f t="shared" si="29"/>
        <v>0</v>
      </c>
      <c r="AW54" s="293">
        <f t="shared" si="29"/>
        <v>0</v>
      </c>
      <c r="AX54" s="579">
        <f t="shared" si="29"/>
        <v>0</v>
      </c>
      <c r="AY54" s="293">
        <f t="shared" si="29"/>
        <v>0</v>
      </c>
      <c r="AZ54" s="293">
        <f t="shared" si="29"/>
        <v>0</v>
      </c>
      <c r="BA54" s="293">
        <f t="shared" si="29"/>
        <v>0</v>
      </c>
      <c r="BB54" s="293">
        <f t="shared" si="29"/>
        <v>0</v>
      </c>
      <c r="BC54" s="293">
        <f t="shared" si="29"/>
        <v>0</v>
      </c>
      <c r="BD54" s="293">
        <f t="shared" si="29"/>
        <v>0</v>
      </c>
      <c r="BE54" s="293">
        <f t="shared" si="29"/>
        <v>0</v>
      </c>
      <c r="BF54" s="293">
        <f t="shared" si="29"/>
        <v>0</v>
      </c>
      <c r="BG54" s="293">
        <f t="shared" si="29"/>
        <v>0</v>
      </c>
      <c r="BH54" s="293">
        <f t="shared" si="29"/>
        <v>0</v>
      </c>
      <c r="BI54" s="293">
        <f t="shared" si="29"/>
        <v>0</v>
      </c>
      <c r="BJ54" s="293">
        <f t="shared" si="29"/>
        <v>0</v>
      </c>
      <c r="BK54" s="293">
        <f t="shared" si="29"/>
        <v>0</v>
      </c>
      <c r="BL54" s="293">
        <f t="shared" si="29"/>
        <v>0</v>
      </c>
      <c r="BM54" s="293">
        <f t="shared" si="29"/>
        <v>0</v>
      </c>
      <c r="BN54" s="293">
        <f t="shared" si="29"/>
        <v>0</v>
      </c>
      <c r="BO54" s="294"/>
      <c r="BS54" s="219"/>
    </row>
    <row r="55" spans="1:71" s="216" customFormat="1">
      <c r="A55" s="215"/>
      <c r="B55" s="584"/>
      <c r="C55" s="214"/>
      <c r="D55" s="293"/>
      <c r="E55" s="293"/>
      <c r="F55" s="293"/>
      <c r="G55" s="293"/>
      <c r="H55" s="293"/>
      <c r="I55" s="293"/>
      <c r="J55" s="293"/>
      <c r="K55" s="293"/>
      <c r="L55" s="293"/>
      <c r="M55" s="293"/>
      <c r="N55" s="293"/>
      <c r="O55" s="293"/>
      <c r="P55" s="293"/>
      <c r="Q55" s="293"/>
      <c r="R55" s="293"/>
      <c r="S55" s="293"/>
      <c r="T55" s="293"/>
      <c r="U55" s="293"/>
      <c r="V55" s="293"/>
      <c r="W55" s="293"/>
      <c r="X55" s="293"/>
      <c r="Y55" s="293"/>
      <c r="Z55" s="293"/>
      <c r="AA55" s="293"/>
      <c r="AB55" s="293"/>
      <c r="AC55" s="293"/>
      <c r="AD55" s="293"/>
      <c r="AE55" s="293"/>
      <c r="AF55" s="293"/>
      <c r="AG55" s="293"/>
      <c r="AH55" s="293"/>
      <c r="AI55" s="293"/>
      <c r="AJ55" s="293"/>
      <c r="AK55" s="293"/>
      <c r="AL55" s="293"/>
      <c r="AM55" s="293"/>
      <c r="AN55" s="293"/>
      <c r="AO55" s="293"/>
      <c r="AP55" s="293"/>
      <c r="AQ55" s="293"/>
      <c r="AR55" s="293"/>
      <c r="AS55" s="293"/>
      <c r="AT55" s="293"/>
      <c r="AU55" s="293"/>
      <c r="AV55" s="293"/>
      <c r="AW55" s="293"/>
      <c r="AX55" s="293"/>
      <c r="AY55" s="293"/>
      <c r="AZ55" s="293"/>
      <c r="BA55" s="293"/>
      <c r="BB55" s="293"/>
      <c r="BC55" s="293"/>
      <c r="BD55" s="293"/>
      <c r="BE55" s="293"/>
      <c r="BF55" s="293"/>
      <c r="BG55" s="293"/>
      <c r="BH55" s="293"/>
      <c r="BI55" s="293"/>
      <c r="BJ55" s="293"/>
      <c r="BK55" s="293"/>
      <c r="BL55" s="293"/>
      <c r="BM55" s="293"/>
      <c r="BN55" s="293"/>
      <c r="BO55" s="294"/>
      <c r="BS55" s="219"/>
    </row>
    <row r="56" spans="1:71" s="216" customFormat="1">
      <c r="A56" s="215"/>
      <c r="B56" s="591">
        <f>SUM(D24:BN24,D27:BN27,D40:BN40,D53:BN53)/$C$5</f>
        <v>1.9260893210495937</v>
      </c>
      <c r="BO56" s="294"/>
      <c r="BS56" s="219"/>
    </row>
    <row r="57" spans="1:71" s="216" customFormat="1">
      <c r="A57" s="215"/>
      <c r="B57" s="592">
        <f>XIRR(C57:BN57,C6:BN6)</f>
        <v>0.17590917944908144</v>
      </c>
      <c r="C57" s="593">
        <f>C7</f>
        <v>-24033944.982098967</v>
      </c>
      <c r="D57" s="593">
        <f t="shared" ref="D57:BN57" si="30">D7+D24+D27+D40+D53</f>
        <v>0</v>
      </c>
      <c r="E57" s="593">
        <f t="shared" si="30"/>
        <v>0</v>
      </c>
      <c r="F57" s="593">
        <f t="shared" si="30"/>
        <v>0</v>
      </c>
      <c r="G57" s="593">
        <f t="shared" si="30"/>
        <v>0</v>
      </c>
      <c r="H57" s="593">
        <f t="shared" si="30"/>
        <v>0</v>
      </c>
      <c r="I57" s="593">
        <f t="shared" si="30"/>
        <v>0</v>
      </c>
      <c r="J57" s="593">
        <f t="shared" si="30"/>
        <v>0</v>
      </c>
      <c r="K57" s="593">
        <f t="shared" si="30"/>
        <v>0</v>
      </c>
      <c r="L57" s="593">
        <f t="shared" si="30"/>
        <v>0</v>
      </c>
      <c r="M57" s="593">
        <f t="shared" si="30"/>
        <v>0</v>
      </c>
      <c r="N57" s="593">
        <f t="shared" si="30"/>
        <v>0</v>
      </c>
      <c r="O57" s="593">
        <f t="shared" si="30"/>
        <v>0</v>
      </c>
      <c r="P57" s="593">
        <f t="shared" si="30"/>
        <v>0</v>
      </c>
      <c r="Q57" s="593">
        <f t="shared" si="30"/>
        <v>0</v>
      </c>
      <c r="R57" s="593">
        <f t="shared" si="30"/>
        <v>0</v>
      </c>
      <c r="S57" s="593">
        <f t="shared" si="30"/>
        <v>0</v>
      </c>
      <c r="T57" s="593">
        <f t="shared" si="30"/>
        <v>0</v>
      </c>
      <c r="U57" s="593">
        <f t="shared" si="30"/>
        <v>0</v>
      </c>
      <c r="V57" s="593">
        <f t="shared" si="30"/>
        <v>0</v>
      </c>
      <c r="W57" s="593">
        <f t="shared" si="30"/>
        <v>0</v>
      </c>
      <c r="X57" s="593">
        <f t="shared" si="30"/>
        <v>55865.937070519256</v>
      </c>
      <c r="Y57" s="593">
        <f t="shared" si="30"/>
        <v>55865.937070519256</v>
      </c>
      <c r="Z57" s="593">
        <f t="shared" si="30"/>
        <v>55865.937070519256</v>
      </c>
      <c r="AA57" s="593">
        <f t="shared" si="30"/>
        <v>1567865.9370705192</v>
      </c>
      <c r="AB57" s="593">
        <f t="shared" si="30"/>
        <v>55865.937070519256</v>
      </c>
      <c r="AC57" s="593">
        <f t="shared" si="30"/>
        <v>55865.937070519256</v>
      </c>
      <c r="AD57" s="593">
        <f t="shared" si="30"/>
        <v>-1220620.9207049725</v>
      </c>
      <c r="AE57" s="593">
        <f t="shared" si="30"/>
        <v>160402.43820649723</v>
      </c>
      <c r="AF57" s="593">
        <f t="shared" si="30"/>
        <v>160402.43820649723</v>
      </c>
      <c r="AG57" s="593">
        <f t="shared" si="30"/>
        <v>160402.43820649723</v>
      </c>
      <c r="AH57" s="593">
        <f t="shared" si="30"/>
        <v>160402.43820649723</v>
      </c>
      <c r="AI57" s="593">
        <f t="shared" si="30"/>
        <v>160402.43820649723</v>
      </c>
      <c r="AJ57" s="593">
        <f t="shared" si="30"/>
        <v>174756.336958414</v>
      </c>
      <c r="AK57" s="593">
        <f t="shared" si="30"/>
        <v>174756.336958414</v>
      </c>
      <c r="AL57" s="593">
        <f t="shared" si="30"/>
        <v>174756.336958414</v>
      </c>
      <c r="AM57" s="593">
        <f t="shared" si="30"/>
        <v>174756.336958414</v>
      </c>
      <c r="AN57" s="593">
        <f t="shared" si="30"/>
        <v>174756.336958414</v>
      </c>
      <c r="AO57" s="593">
        <f t="shared" si="30"/>
        <v>174756.336958414</v>
      </c>
      <c r="AP57" s="593">
        <f t="shared" si="30"/>
        <v>93471.925282638869</v>
      </c>
      <c r="AQ57" s="593">
        <f t="shared" si="30"/>
        <v>93471.925282638811</v>
      </c>
      <c r="AR57" s="593">
        <f t="shared" si="30"/>
        <v>93471.925282638811</v>
      </c>
      <c r="AS57" s="593">
        <f t="shared" si="30"/>
        <v>93471.925282638811</v>
      </c>
      <c r="AT57" s="593">
        <f t="shared" si="30"/>
        <v>93471.925282638811</v>
      </c>
      <c r="AU57" s="593">
        <f t="shared" si="30"/>
        <v>93471.925282638869</v>
      </c>
      <c r="AV57" s="593">
        <f t="shared" si="30"/>
        <v>108277.02087538387</v>
      </c>
      <c r="AW57" s="593">
        <f t="shared" si="30"/>
        <v>108277.02087538387</v>
      </c>
      <c r="AX57" s="593">
        <f t="shared" si="30"/>
        <v>108277.02087538387</v>
      </c>
      <c r="AY57" s="593">
        <f t="shared" si="30"/>
        <v>108277.02087538387</v>
      </c>
      <c r="AZ57" s="593">
        <f t="shared" si="30"/>
        <v>108277.02087538387</v>
      </c>
      <c r="BA57" s="593">
        <f t="shared" si="30"/>
        <v>108277.02087538387</v>
      </c>
      <c r="BB57" s="593">
        <f t="shared" si="30"/>
        <v>42603906.181265041</v>
      </c>
      <c r="BC57" s="593">
        <f t="shared" si="30"/>
        <v>0</v>
      </c>
      <c r="BD57" s="593">
        <f t="shared" si="30"/>
        <v>0</v>
      </c>
      <c r="BE57" s="593">
        <f t="shared" si="30"/>
        <v>0</v>
      </c>
      <c r="BF57" s="593">
        <f t="shared" si="30"/>
        <v>0</v>
      </c>
      <c r="BG57" s="593">
        <f t="shared" si="30"/>
        <v>0</v>
      </c>
      <c r="BH57" s="593">
        <f t="shared" si="30"/>
        <v>0</v>
      </c>
      <c r="BI57" s="593">
        <f t="shared" si="30"/>
        <v>0</v>
      </c>
      <c r="BJ57" s="593">
        <f t="shared" si="30"/>
        <v>0</v>
      </c>
      <c r="BK57" s="593">
        <f t="shared" si="30"/>
        <v>0</v>
      </c>
      <c r="BL57" s="593">
        <f t="shared" si="30"/>
        <v>0</v>
      </c>
      <c r="BM57" s="593">
        <f t="shared" si="30"/>
        <v>0</v>
      </c>
      <c r="BN57" s="593">
        <f t="shared" si="30"/>
        <v>0</v>
      </c>
      <c r="BO57" s="294"/>
      <c r="BS57" s="219"/>
    </row>
    <row r="58" spans="1:71" s="216" customFormat="1">
      <c r="A58" s="215"/>
      <c r="B58" s="226"/>
      <c r="C58" s="224"/>
      <c r="D58" s="224"/>
      <c r="E58" s="224"/>
      <c r="F58" s="224"/>
      <c r="G58" s="224"/>
      <c r="H58" s="224"/>
      <c r="I58" s="224"/>
      <c r="J58" s="224"/>
      <c r="K58" s="224"/>
      <c r="L58" s="224"/>
      <c r="M58" s="224"/>
      <c r="N58" s="224"/>
      <c r="O58" s="224"/>
      <c r="P58" s="224"/>
      <c r="Q58" s="224"/>
      <c r="R58" s="224"/>
      <c r="S58" s="224"/>
      <c r="T58" s="224"/>
      <c r="U58" s="224"/>
      <c r="V58" s="224"/>
      <c r="W58" s="224"/>
      <c r="X58" s="224"/>
      <c r="Y58" s="224"/>
      <c r="Z58" s="224"/>
      <c r="AA58" s="224"/>
      <c r="AB58" s="224"/>
      <c r="AC58" s="224"/>
      <c r="AD58" s="224"/>
      <c r="AE58" s="224"/>
      <c r="AF58" s="224"/>
      <c r="AG58" s="224"/>
      <c r="AH58" s="224"/>
      <c r="AI58" s="224"/>
      <c r="AJ58" s="224"/>
      <c r="AK58" s="224"/>
      <c r="AL58" s="224"/>
      <c r="AM58" s="224"/>
      <c r="AN58" s="224"/>
      <c r="AO58" s="224"/>
      <c r="AP58" s="224"/>
      <c r="AQ58" s="224"/>
      <c r="AR58" s="224"/>
      <c r="AS58" s="224"/>
      <c r="AT58" s="224"/>
      <c r="AU58" s="224"/>
      <c r="AV58" s="224"/>
      <c r="AW58" s="224"/>
      <c r="AX58" s="224"/>
      <c r="AY58" s="224"/>
      <c r="AZ58" s="224"/>
      <c r="BA58" s="224"/>
      <c r="BB58" s="224"/>
      <c r="BC58" s="224"/>
      <c r="BD58" s="224"/>
      <c r="BE58" s="224"/>
      <c r="BF58" s="224"/>
      <c r="BG58" s="224"/>
      <c r="BH58" s="224"/>
      <c r="BI58" s="224"/>
      <c r="BJ58" s="224"/>
      <c r="BK58" s="224"/>
      <c r="BL58" s="224"/>
      <c r="BM58" s="224"/>
      <c r="BN58" s="224"/>
      <c r="BO58" s="276"/>
      <c r="BS58" s="219"/>
    </row>
    <row r="59" spans="1:71" s="216" customFormat="1">
      <c r="A59" s="215"/>
      <c r="B59" s="437" t="str">
        <f>BP8</f>
        <v>5th Priority Split (40/60)</v>
      </c>
      <c r="C59" s="438" t="s">
        <v>171</v>
      </c>
      <c r="D59" s="439"/>
      <c r="E59" s="439"/>
      <c r="F59" s="439"/>
      <c r="G59" s="439"/>
      <c r="H59" s="439"/>
      <c r="I59" s="439"/>
      <c r="J59" s="439"/>
      <c r="K59" s="439"/>
      <c r="L59" s="439"/>
      <c r="M59" s="439"/>
      <c r="N59" s="439"/>
      <c r="O59" s="439"/>
      <c r="P59" s="439"/>
      <c r="Q59" s="439"/>
      <c r="R59" s="439"/>
      <c r="S59" s="439"/>
      <c r="T59" s="439"/>
      <c r="U59" s="439"/>
      <c r="V59" s="439"/>
      <c r="W59" s="439"/>
      <c r="X59" s="439"/>
      <c r="Y59" s="439"/>
      <c r="Z59" s="439"/>
      <c r="AA59" s="439"/>
      <c r="AB59" s="439"/>
      <c r="AC59" s="439"/>
      <c r="AD59" s="439"/>
      <c r="AE59" s="439"/>
      <c r="AF59" s="439"/>
      <c r="AG59" s="439"/>
      <c r="AH59" s="439"/>
      <c r="AI59" s="439"/>
      <c r="AJ59" s="439"/>
      <c r="AK59" s="439"/>
      <c r="AL59" s="439"/>
      <c r="AM59" s="439"/>
      <c r="AN59" s="439"/>
      <c r="AO59" s="439"/>
      <c r="AP59" s="439"/>
      <c r="AQ59" s="439"/>
      <c r="AR59" s="439"/>
      <c r="AS59" s="439"/>
      <c r="AT59" s="439"/>
      <c r="AU59" s="439"/>
      <c r="AV59" s="439"/>
      <c r="AW59" s="439"/>
      <c r="AX59" s="439"/>
      <c r="AY59" s="439"/>
      <c r="AZ59" s="439"/>
      <c r="BA59" s="439"/>
      <c r="BB59" s="439"/>
      <c r="BC59" s="439"/>
      <c r="BD59" s="439"/>
      <c r="BE59" s="439"/>
      <c r="BF59" s="439"/>
      <c r="BG59" s="439"/>
      <c r="BH59" s="439"/>
      <c r="BI59" s="439"/>
      <c r="BJ59" s="439"/>
      <c r="BK59" s="439"/>
      <c r="BL59" s="439"/>
      <c r="BM59" s="439"/>
      <c r="BN59" s="440">
        <f>BN28-BN40-BN41-BN46-BN47</f>
        <v>0</v>
      </c>
      <c r="BO59" s="350"/>
      <c r="BS59" s="219"/>
    </row>
    <row r="60" spans="1:71" s="234" customFormat="1">
      <c r="A60" s="215"/>
      <c r="B60" s="564" t="s">
        <v>181</v>
      </c>
      <c r="C60" s="292"/>
      <c r="D60" s="489">
        <f>+$BQ$8*(D32-D40-D41-D53-D54)</f>
        <v>0</v>
      </c>
      <c r="E60" s="489">
        <f t="shared" ref="E60:BN60" si="31">+$BQ$8*(E32-E40-E41-E53-E54)</f>
        <v>0</v>
      </c>
      <c r="F60" s="489">
        <f t="shared" si="31"/>
        <v>0</v>
      </c>
      <c r="G60" s="489">
        <f t="shared" si="31"/>
        <v>0</v>
      </c>
      <c r="H60" s="489">
        <f t="shared" si="31"/>
        <v>0</v>
      </c>
      <c r="I60" s="489">
        <f t="shared" si="31"/>
        <v>0</v>
      </c>
      <c r="J60" s="489">
        <f t="shared" si="31"/>
        <v>0</v>
      </c>
      <c r="K60" s="489">
        <f t="shared" si="31"/>
        <v>0</v>
      </c>
      <c r="L60" s="489">
        <f t="shared" si="31"/>
        <v>0</v>
      </c>
      <c r="M60" s="489">
        <f t="shared" si="31"/>
        <v>0</v>
      </c>
      <c r="N60" s="489">
        <f t="shared" si="31"/>
        <v>0</v>
      </c>
      <c r="O60" s="489">
        <f t="shared" si="31"/>
        <v>0</v>
      </c>
      <c r="P60" s="489">
        <f t="shared" si="31"/>
        <v>0</v>
      </c>
      <c r="Q60" s="489">
        <f t="shared" si="31"/>
        <v>0</v>
      </c>
      <c r="R60" s="489">
        <f t="shared" si="31"/>
        <v>0</v>
      </c>
      <c r="S60" s="489">
        <f t="shared" si="31"/>
        <v>0</v>
      </c>
      <c r="T60" s="489">
        <f t="shared" si="31"/>
        <v>0</v>
      </c>
      <c r="U60" s="489">
        <f t="shared" si="31"/>
        <v>0</v>
      </c>
      <c r="V60" s="489">
        <f t="shared" si="31"/>
        <v>0</v>
      </c>
      <c r="W60" s="489">
        <f t="shared" si="31"/>
        <v>0</v>
      </c>
      <c r="X60" s="489">
        <f t="shared" si="31"/>
        <v>0</v>
      </c>
      <c r="Y60" s="489">
        <f t="shared" si="31"/>
        <v>0</v>
      </c>
      <c r="Z60" s="489">
        <f t="shared" si="31"/>
        <v>0</v>
      </c>
      <c r="AA60" s="489">
        <f t="shared" si="31"/>
        <v>0</v>
      </c>
      <c r="AB60" s="489">
        <f t="shared" si="31"/>
        <v>0</v>
      </c>
      <c r="AC60" s="489">
        <f t="shared" si="31"/>
        <v>0</v>
      </c>
      <c r="AD60" s="489">
        <f t="shared" si="31"/>
        <v>0</v>
      </c>
      <c r="AE60" s="489">
        <f t="shared" si="31"/>
        <v>0</v>
      </c>
      <c r="AF60" s="489">
        <f t="shared" si="31"/>
        <v>0</v>
      </c>
      <c r="AG60" s="489">
        <f t="shared" si="31"/>
        <v>0</v>
      </c>
      <c r="AH60" s="489">
        <f t="shared" si="31"/>
        <v>0</v>
      </c>
      <c r="AI60" s="489">
        <f t="shared" si="31"/>
        <v>0</v>
      </c>
      <c r="AJ60" s="489">
        <f t="shared" si="31"/>
        <v>0</v>
      </c>
      <c r="AK60" s="489">
        <f t="shared" si="31"/>
        <v>0</v>
      </c>
      <c r="AL60" s="489">
        <f t="shared" si="31"/>
        <v>0</v>
      </c>
      <c r="AM60" s="489">
        <f t="shared" si="31"/>
        <v>0</v>
      </c>
      <c r="AN60" s="489">
        <f t="shared" si="31"/>
        <v>0</v>
      </c>
      <c r="AO60" s="489">
        <f t="shared" si="31"/>
        <v>0</v>
      </c>
      <c r="AP60" s="489">
        <f t="shared" si="31"/>
        <v>0</v>
      </c>
      <c r="AQ60" s="489">
        <f t="shared" si="31"/>
        <v>0</v>
      </c>
      <c r="AR60" s="489">
        <f t="shared" si="31"/>
        <v>0</v>
      </c>
      <c r="AS60" s="489">
        <f t="shared" si="31"/>
        <v>0</v>
      </c>
      <c r="AT60" s="489">
        <f t="shared" si="31"/>
        <v>0</v>
      </c>
      <c r="AU60" s="489">
        <f t="shared" si="31"/>
        <v>0</v>
      </c>
      <c r="AV60" s="489">
        <f t="shared" si="31"/>
        <v>0</v>
      </c>
      <c r="AW60" s="489">
        <f t="shared" si="31"/>
        <v>0</v>
      </c>
      <c r="AX60" s="489">
        <f t="shared" si="31"/>
        <v>0</v>
      </c>
      <c r="AY60" s="489">
        <f t="shared" si="31"/>
        <v>0</v>
      </c>
      <c r="AZ60" s="489">
        <f t="shared" si="31"/>
        <v>0</v>
      </c>
      <c r="BA60" s="489">
        <f t="shared" si="31"/>
        <v>0</v>
      </c>
      <c r="BB60" s="489">
        <f t="shared" si="31"/>
        <v>0</v>
      </c>
      <c r="BC60" s="489">
        <f t="shared" si="31"/>
        <v>0</v>
      </c>
      <c r="BD60" s="489">
        <f t="shared" si="31"/>
        <v>0</v>
      </c>
      <c r="BE60" s="489">
        <f t="shared" si="31"/>
        <v>0</v>
      </c>
      <c r="BF60" s="489">
        <f t="shared" si="31"/>
        <v>0</v>
      </c>
      <c r="BG60" s="489">
        <f t="shared" si="31"/>
        <v>0</v>
      </c>
      <c r="BH60" s="489">
        <f t="shared" si="31"/>
        <v>0</v>
      </c>
      <c r="BI60" s="489">
        <f t="shared" si="31"/>
        <v>0</v>
      </c>
      <c r="BJ60" s="489">
        <f t="shared" si="31"/>
        <v>0</v>
      </c>
      <c r="BK60" s="489">
        <f t="shared" si="31"/>
        <v>0</v>
      </c>
      <c r="BL60" s="489">
        <f t="shared" si="31"/>
        <v>0</v>
      </c>
      <c r="BM60" s="489">
        <f t="shared" si="31"/>
        <v>0</v>
      </c>
      <c r="BN60" s="489">
        <f t="shared" si="31"/>
        <v>0</v>
      </c>
      <c r="BO60" s="565"/>
      <c r="BS60" s="566"/>
    </row>
    <row r="61" spans="1:71" s="216" customFormat="1">
      <c r="A61" s="215"/>
      <c r="B61" s="248" t="s">
        <v>41</v>
      </c>
      <c r="C61" s="214">
        <f>BQ8</f>
        <v>0.65</v>
      </c>
      <c r="D61" s="293">
        <f>D60</f>
        <v>0</v>
      </c>
      <c r="E61" s="293">
        <f>E60</f>
        <v>0</v>
      </c>
      <c r="F61" s="293">
        <f t="shared" ref="F61" si="32">F60</f>
        <v>0</v>
      </c>
      <c r="G61" s="293">
        <f>G60</f>
        <v>0</v>
      </c>
      <c r="H61" s="293">
        <f t="shared" ref="H61:BN61" si="33">H60</f>
        <v>0</v>
      </c>
      <c r="I61" s="293">
        <f t="shared" si="33"/>
        <v>0</v>
      </c>
      <c r="J61" s="293">
        <f t="shared" si="33"/>
        <v>0</v>
      </c>
      <c r="K61" s="293">
        <f t="shared" si="33"/>
        <v>0</v>
      </c>
      <c r="L61" s="293">
        <f t="shared" si="33"/>
        <v>0</v>
      </c>
      <c r="M61" s="293">
        <f t="shared" si="33"/>
        <v>0</v>
      </c>
      <c r="N61" s="293">
        <f t="shared" si="33"/>
        <v>0</v>
      </c>
      <c r="O61" s="293">
        <f t="shared" si="33"/>
        <v>0</v>
      </c>
      <c r="P61" s="293">
        <f t="shared" si="33"/>
        <v>0</v>
      </c>
      <c r="Q61" s="293">
        <f t="shared" si="33"/>
        <v>0</v>
      </c>
      <c r="R61" s="293">
        <f t="shared" si="33"/>
        <v>0</v>
      </c>
      <c r="S61" s="293">
        <f t="shared" si="33"/>
        <v>0</v>
      </c>
      <c r="T61" s="293">
        <f t="shared" si="33"/>
        <v>0</v>
      </c>
      <c r="U61" s="293">
        <f t="shared" si="33"/>
        <v>0</v>
      </c>
      <c r="V61" s="293">
        <f t="shared" si="33"/>
        <v>0</v>
      </c>
      <c r="W61" s="293">
        <f t="shared" si="33"/>
        <v>0</v>
      </c>
      <c r="X61" s="293">
        <f t="shared" si="33"/>
        <v>0</v>
      </c>
      <c r="Y61" s="293">
        <f t="shared" si="33"/>
        <v>0</v>
      </c>
      <c r="Z61" s="293">
        <f t="shared" si="33"/>
        <v>0</v>
      </c>
      <c r="AA61" s="293">
        <f t="shared" si="33"/>
        <v>0</v>
      </c>
      <c r="AB61" s="293">
        <f t="shared" si="33"/>
        <v>0</v>
      </c>
      <c r="AC61" s="293">
        <f t="shared" si="33"/>
        <v>0</v>
      </c>
      <c r="AD61" s="293">
        <f t="shared" si="33"/>
        <v>0</v>
      </c>
      <c r="AE61" s="293">
        <f t="shared" si="33"/>
        <v>0</v>
      </c>
      <c r="AF61" s="293">
        <f t="shared" si="33"/>
        <v>0</v>
      </c>
      <c r="AG61" s="293">
        <f t="shared" si="33"/>
        <v>0</v>
      </c>
      <c r="AH61" s="293">
        <f t="shared" si="33"/>
        <v>0</v>
      </c>
      <c r="AI61" s="293">
        <f t="shared" si="33"/>
        <v>0</v>
      </c>
      <c r="AJ61" s="293">
        <f t="shared" si="33"/>
        <v>0</v>
      </c>
      <c r="AK61" s="293">
        <f t="shared" si="33"/>
        <v>0</v>
      </c>
      <c r="AL61" s="293">
        <f t="shared" si="33"/>
        <v>0</v>
      </c>
      <c r="AM61" s="293">
        <f t="shared" si="33"/>
        <v>0</v>
      </c>
      <c r="AN61" s="293">
        <f t="shared" si="33"/>
        <v>0</v>
      </c>
      <c r="AO61" s="293">
        <f t="shared" si="33"/>
        <v>0</v>
      </c>
      <c r="AP61" s="293">
        <f t="shared" si="33"/>
        <v>0</v>
      </c>
      <c r="AQ61" s="293">
        <f t="shared" si="33"/>
        <v>0</v>
      </c>
      <c r="AR61" s="293">
        <f t="shared" si="33"/>
        <v>0</v>
      </c>
      <c r="AS61" s="293">
        <f t="shared" si="33"/>
        <v>0</v>
      </c>
      <c r="AT61" s="293">
        <f t="shared" si="33"/>
        <v>0</v>
      </c>
      <c r="AU61" s="293">
        <f t="shared" si="33"/>
        <v>0</v>
      </c>
      <c r="AV61" s="293">
        <f t="shared" si="33"/>
        <v>0</v>
      </c>
      <c r="AW61" s="293">
        <f t="shared" si="33"/>
        <v>0</v>
      </c>
      <c r="AX61" s="293">
        <f t="shared" si="33"/>
        <v>0</v>
      </c>
      <c r="AY61" s="293">
        <f t="shared" si="33"/>
        <v>0</v>
      </c>
      <c r="AZ61" s="293">
        <f t="shared" si="33"/>
        <v>0</v>
      </c>
      <c r="BA61" s="293">
        <f t="shared" si="33"/>
        <v>0</v>
      </c>
      <c r="BB61" s="293">
        <f t="shared" si="33"/>
        <v>0</v>
      </c>
      <c r="BC61" s="293">
        <f t="shared" si="33"/>
        <v>0</v>
      </c>
      <c r="BD61" s="293">
        <f t="shared" si="33"/>
        <v>0</v>
      </c>
      <c r="BE61" s="293">
        <f t="shared" si="33"/>
        <v>0</v>
      </c>
      <c r="BF61" s="293">
        <f t="shared" si="33"/>
        <v>0</v>
      </c>
      <c r="BG61" s="293">
        <f t="shared" si="33"/>
        <v>0</v>
      </c>
      <c r="BH61" s="293">
        <f t="shared" si="33"/>
        <v>0</v>
      </c>
      <c r="BI61" s="293">
        <f t="shared" si="33"/>
        <v>0</v>
      </c>
      <c r="BJ61" s="293">
        <f t="shared" si="33"/>
        <v>0</v>
      </c>
      <c r="BK61" s="293">
        <f t="shared" si="33"/>
        <v>0</v>
      </c>
      <c r="BL61" s="293">
        <f t="shared" si="33"/>
        <v>0</v>
      </c>
      <c r="BM61" s="293">
        <f t="shared" si="33"/>
        <v>0</v>
      </c>
      <c r="BN61" s="293">
        <f t="shared" si="33"/>
        <v>0</v>
      </c>
      <c r="BO61" s="294"/>
      <c r="BS61" s="219"/>
    </row>
    <row r="62" spans="1:71" s="216" customFormat="1" ht="15.75" thickBot="1">
      <c r="A62" s="215"/>
      <c r="B62" s="464" t="s">
        <v>150</v>
      </c>
      <c r="C62" s="465">
        <f>100%-C61</f>
        <v>0.35</v>
      </c>
      <c r="D62" s="293">
        <f>((D61/$C$61)*$C$62)</f>
        <v>0</v>
      </c>
      <c r="E62" s="293">
        <f>((E61/$C$61)*$C$62)</f>
        <v>0</v>
      </c>
      <c r="F62" s="293">
        <f t="shared" ref="F62:BN62" si="34">((F61/$C$61)*$C$62)</f>
        <v>0</v>
      </c>
      <c r="G62" s="293">
        <f t="shared" si="34"/>
        <v>0</v>
      </c>
      <c r="H62" s="293">
        <f t="shared" si="34"/>
        <v>0</v>
      </c>
      <c r="I62" s="293">
        <f t="shared" si="34"/>
        <v>0</v>
      </c>
      <c r="J62" s="293">
        <f t="shared" si="34"/>
        <v>0</v>
      </c>
      <c r="K62" s="293">
        <f t="shared" si="34"/>
        <v>0</v>
      </c>
      <c r="L62" s="293">
        <f t="shared" si="34"/>
        <v>0</v>
      </c>
      <c r="M62" s="293">
        <f t="shared" si="34"/>
        <v>0</v>
      </c>
      <c r="N62" s="293">
        <f t="shared" si="34"/>
        <v>0</v>
      </c>
      <c r="O62" s="293">
        <f t="shared" si="34"/>
        <v>0</v>
      </c>
      <c r="P62" s="293">
        <f t="shared" si="34"/>
        <v>0</v>
      </c>
      <c r="Q62" s="293">
        <f t="shared" si="34"/>
        <v>0</v>
      </c>
      <c r="R62" s="293">
        <f t="shared" si="34"/>
        <v>0</v>
      </c>
      <c r="S62" s="293">
        <f t="shared" si="34"/>
        <v>0</v>
      </c>
      <c r="T62" s="293">
        <f t="shared" si="34"/>
        <v>0</v>
      </c>
      <c r="U62" s="293">
        <f t="shared" si="34"/>
        <v>0</v>
      </c>
      <c r="V62" s="293">
        <f t="shared" si="34"/>
        <v>0</v>
      </c>
      <c r="W62" s="293">
        <f t="shared" si="34"/>
        <v>0</v>
      </c>
      <c r="X62" s="293">
        <f t="shared" si="34"/>
        <v>0</v>
      </c>
      <c r="Y62" s="293">
        <f t="shared" si="34"/>
        <v>0</v>
      </c>
      <c r="Z62" s="293">
        <f t="shared" si="34"/>
        <v>0</v>
      </c>
      <c r="AA62" s="293">
        <f t="shared" si="34"/>
        <v>0</v>
      </c>
      <c r="AB62" s="293">
        <f t="shared" si="34"/>
        <v>0</v>
      </c>
      <c r="AC62" s="293">
        <f t="shared" si="34"/>
        <v>0</v>
      </c>
      <c r="AD62" s="293">
        <f t="shared" si="34"/>
        <v>0</v>
      </c>
      <c r="AE62" s="293">
        <f t="shared" si="34"/>
        <v>0</v>
      </c>
      <c r="AF62" s="293">
        <f t="shared" si="34"/>
        <v>0</v>
      </c>
      <c r="AG62" s="293">
        <f t="shared" si="34"/>
        <v>0</v>
      </c>
      <c r="AH62" s="293">
        <f t="shared" si="34"/>
        <v>0</v>
      </c>
      <c r="AI62" s="293">
        <f t="shared" si="34"/>
        <v>0</v>
      </c>
      <c r="AJ62" s="293">
        <f t="shared" si="34"/>
        <v>0</v>
      </c>
      <c r="AK62" s="293">
        <f t="shared" si="34"/>
        <v>0</v>
      </c>
      <c r="AL62" s="293">
        <f t="shared" si="34"/>
        <v>0</v>
      </c>
      <c r="AM62" s="293">
        <f t="shared" si="34"/>
        <v>0</v>
      </c>
      <c r="AN62" s="293">
        <f t="shared" si="34"/>
        <v>0</v>
      </c>
      <c r="AO62" s="293">
        <f t="shared" si="34"/>
        <v>0</v>
      </c>
      <c r="AP62" s="293">
        <f t="shared" si="34"/>
        <v>0</v>
      </c>
      <c r="AQ62" s="293">
        <f t="shared" si="34"/>
        <v>0</v>
      </c>
      <c r="AR62" s="293">
        <f t="shared" si="34"/>
        <v>0</v>
      </c>
      <c r="AS62" s="293">
        <f t="shared" si="34"/>
        <v>0</v>
      </c>
      <c r="AT62" s="293">
        <f t="shared" si="34"/>
        <v>0</v>
      </c>
      <c r="AU62" s="293">
        <f t="shared" si="34"/>
        <v>0</v>
      </c>
      <c r="AV62" s="293">
        <f t="shared" si="34"/>
        <v>0</v>
      </c>
      <c r="AW62" s="293">
        <f t="shared" si="34"/>
        <v>0</v>
      </c>
      <c r="AX62" s="293">
        <f t="shared" si="34"/>
        <v>0</v>
      </c>
      <c r="AY62" s="293">
        <f t="shared" si="34"/>
        <v>0</v>
      </c>
      <c r="AZ62" s="293">
        <f t="shared" si="34"/>
        <v>0</v>
      </c>
      <c r="BA62" s="293">
        <f t="shared" si="34"/>
        <v>0</v>
      </c>
      <c r="BB62" s="293">
        <f t="shared" si="34"/>
        <v>0</v>
      </c>
      <c r="BC62" s="293">
        <f t="shared" si="34"/>
        <v>0</v>
      </c>
      <c r="BD62" s="293">
        <f t="shared" si="34"/>
        <v>0</v>
      </c>
      <c r="BE62" s="293">
        <f t="shared" si="34"/>
        <v>0</v>
      </c>
      <c r="BF62" s="293">
        <f t="shared" si="34"/>
        <v>0</v>
      </c>
      <c r="BG62" s="293">
        <f t="shared" si="34"/>
        <v>0</v>
      </c>
      <c r="BH62" s="293">
        <f t="shared" si="34"/>
        <v>0</v>
      </c>
      <c r="BI62" s="293">
        <f t="shared" si="34"/>
        <v>0</v>
      </c>
      <c r="BJ62" s="293">
        <f t="shared" si="34"/>
        <v>0</v>
      </c>
      <c r="BK62" s="293">
        <f t="shared" si="34"/>
        <v>0</v>
      </c>
      <c r="BL62" s="293">
        <f t="shared" si="34"/>
        <v>0</v>
      </c>
      <c r="BM62" s="293">
        <f t="shared" si="34"/>
        <v>0</v>
      </c>
      <c r="BN62" s="293">
        <f t="shared" si="34"/>
        <v>0</v>
      </c>
      <c r="BO62" s="294"/>
      <c r="BS62" s="219"/>
    </row>
    <row r="63" spans="1:71" s="216" customFormat="1">
      <c r="A63" s="215"/>
      <c r="B63" s="301"/>
      <c r="C63" s="277"/>
      <c r="D63" s="277"/>
      <c r="E63" s="277"/>
      <c r="F63" s="277"/>
      <c r="G63" s="277"/>
      <c r="H63" s="277"/>
      <c r="I63" s="277"/>
      <c r="J63" s="277"/>
      <c r="K63" s="277"/>
      <c r="L63" s="277"/>
      <c r="M63" s="277"/>
      <c r="N63" s="277"/>
      <c r="O63" s="277"/>
      <c r="P63" s="277"/>
      <c r="Q63" s="277"/>
      <c r="R63" s="277"/>
      <c r="S63" s="277"/>
      <c r="T63" s="277"/>
      <c r="U63" s="277"/>
      <c r="V63" s="277"/>
      <c r="W63" s="277"/>
      <c r="X63" s="277"/>
      <c r="Y63" s="277"/>
      <c r="Z63" s="277"/>
      <c r="AA63" s="277"/>
      <c r="AB63" s="277"/>
      <c r="AC63" s="277"/>
      <c r="AD63" s="277"/>
      <c r="AE63" s="277"/>
      <c r="AF63" s="277"/>
      <c r="AG63" s="277"/>
      <c r="AH63" s="277"/>
      <c r="AI63" s="277"/>
      <c r="AJ63" s="277"/>
      <c r="AK63" s="277"/>
      <c r="AL63" s="277"/>
      <c r="AM63" s="277"/>
      <c r="AN63" s="277"/>
      <c r="AO63" s="277"/>
      <c r="AP63" s="277"/>
      <c r="AQ63" s="277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331"/>
      <c r="BO63" s="224"/>
      <c r="BS63" s="219"/>
    </row>
    <row r="64" spans="1:71" s="216" customFormat="1">
      <c r="A64" s="215"/>
      <c r="B64" s="441" t="s">
        <v>183</v>
      </c>
      <c r="C64" s="442"/>
      <c r="D64" s="443"/>
      <c r="E64" s="443"/>
      <c r="F64" s="443"/>
      <c r="G64" s="443"/>
      <c r="H64" s="443"/>
      <c r="I64" s="443"/>
      <c r="J64" s="443"/>
      <c r="K64" s="443"/>
      <c r="L64" s="443"/>
      <c r="M64" s="443"/>
      <c r="N64" s="443"/>
      <c r="O64" s="443"/>
      <c r="P64" s="443"/>
      <c r="Q64" s="443"/>
      <c r="R64" s="443"/>
      <c r="S64" s="443"/>
      <c r="T64" s="443"/>
      <c r="U64" s="443"/>
      <c r="V64" s="443"/>
      <c r="W64" s="443"/>
      <c r="X64" s="443"/>
      <c r="Y64" s="443"/>
      <c r="Z64" s="443"/>
      <c r="AA64" s="443"/>
      <c r="AB64" s="443"/>
      <c r="AC64" s="443"/>
      <c r="AD64" s="443"/>
      <c r="AE64" s="443"/>
      <c r="AF64" s="443"/>
      <c r="AG64" s="443"/>
      <c r="AH64" s="443"/>
      <c r="AI64" s="443"/>
      <c r="AJ64" s="443"/>
      <c r="AK64" s="443"/>
      <c r="AL64" s="443"/>
      <c r="AM64" s="443"/>
      <c r="AN64" s="443"/>
      <c r="AO64" s="443"/>
      <c r="AP64" s="443"/>
      <c r="AQ64" s="443"/>
      <c r="AR64" s="443"/>
      <c r="AS64" s="443"/>
      <c r="AT64" s="443"/>
      <c r="AU64" s="443"/>
      <c r="AV64" s="443"/>
      <c r="AW64" s="443"/>
      <c r="AX64" s="443"/>
      <c r="AY64" s="443"/>
      <c r="AZ64" s="443"/>
      <c r="BA64" s="443"/>
      <c r="BB64" s="443"/>
      <c r="BC64" s="443"/>
      <c r="BD64" s="443"/>
      <c r="BE64" s="443"/>
      <c r="BF64" s="443"/>
      <c r="BG64" s="443"/>
      <c r="BH64" s="443"/>
      <c r="BI64" s="443"/>
      <c r="BJ64" s="443"/>
      <c r="BK64" s="443"/>
      <c r="BL64" s="443"/>
      <c r="BM64" s="443"/>
      <c r="BN64" s="444"/>
      <c r="BO64" s="280"/>
      <c r="BS64" s="219"/>
    </row>
    <row r="65" spans="1:71" s="216" customFormat="1">
      <c r="A65" s="215"/>
      <c r="B65" s="380" t="s">
        <v>375</v>
      </c>
      <c r="C65" s="340"/>
      <c r="D65" s="340">
        <f>((D24+D27)*$C$17)+(D40*$C$17)+(D53*$C$17)+(D61*$C$17)</f>
        <v>0</v>
      </c>
      <c r="E65" s="340">
        <f t="shared" ref="E65:BN65" si="35">((E24+E27)*$C$17)+(E40*$C$17)+(E53*$C$17)+(E61*$C$17)</f>
        <v>0</v>
      </c>
      <c r="F65" s="340">
        <f t="shared" si="35"/>
        <v>0</v>
      </c>
      <c r="G65" s="340">
        <f t="shared" si="35"/>
        <v>0</v>
      </c>
      <c r="H65" s="340">
        <f t="shared" si="35"/>
        <v>0</v>
      </c>
      <c r="I65" s="340">
        <f t="shared" si="35"/>
        <v>0</v>
      </c>
      <c r="J65" s="340">
        <f t="shared" si="35"/>
        <v>0</v>
      </c>
      <c r="K65" s="340">
        <f t="shared" si="35"/>
        <v>0</v>
      </c>
      <c r="L65" s="340">
        <f t="shared" si="35"/>
        <v>0</v>
      </c>
      <c r="M65" s="340">
        <f t="shared" si="35"/>
        <v>0</v>
      </c>
      <c r="N65" s="340">
        <f t="shared" si="35"/>
        <v>0</v>
      </c>
      <c r="O65" s="340">
        <f t="shared" si="35"/>
        <v>0</v>
      </c>
      <c r="P65" s="340">
        <f t="shared" si="35"/>
        <v>0</v>
      </c>
      <c r="Q65" s="340">
        <f t="shared" si="35"/>
        <v>0</v>
      </c>
      <c r="R65" s="340">
        <f t="shared" si="35"/>
        <v>0</v>
      </c>
      <c r="S65" s="340">
        <f t="shared" si="35"/>
        <v>0</v>
      </c>
      <c r="T65" s="340">
        <f t="shared" si="35"/>
        <v>0</v>
      </c>
      <c r="U65" s="340">
        <f t="shared" si="35"/>
        <v>0</v>
      </c>
      <c r="V65" s="340">
        <f t="shared" si="35"/>
        <v>0</v>
      </c>
      <c r="W65" s="340">
        <f t="shared" si="35"/>
        <v>0</v>
      </c>
      <c r="X65" s="340">
        <f t="shared" si="35"/>
        <v>47486.046509941363</v>
      </c>
      <c r="Y65" s="340">
        <f t="shared" si="35"/>
        <v>47486.046509941363</v>
      </c>
      <c r="Z65" s="340">
        <f t="shared" si="35"/>
        <v>47486.046509941363</v>
      </c>
      <c r="AA65" s="340">
        <f t="shared" si="35"/>
        <v>1332686.0465099413</v>
      </c>
      <c r="AB65" s="340">
        <f t="shared" si="35"/>
        <v>47486.046509941363</v>
      </c>
      <c r="AC65" s="340">
        <f t="shared" si="35"/>
        <v>47486.046509941363</v>
      </c>
      <c r="AD65" s="340">
        <f t="shared" si="35"/>
        <v>-1037527.7825992266</v>
      </c>
      <c r="AE65" s="340">
        <f t="shared" si="35"/>
        <v>136342.07247552264</v>
      </c>
      <c r="AF65" s="340">
        <f t="shared" si="35"/>
        <v>136342.07247552264</v>
      </c>
      <c r="AG65" s="340">
        <f t="shared" si="35"/>
        <v>136342.07247552264</v>
      </c>
      <c r="AH65" s="340">
        <f t="shared" si="35"/>
        <v>136342.07247552264</v>
      </c>
      <c r="AI65" s="340">
        <f t="shared" si="35"/>
        <v>136342.07247552264</v>
      </c>
      <c r="AJ65" s="340">
        <f t="shared" si="35"/>
        <v>148542.8864146519</v>
      </c>
      <c r="AK65" s="340">
        <f t="shared" si="35"/>
        <v>148542.8864146519</v>
      </c>
      <c r="AL65" s="340">
        <f t="shared" si="35"/>
        <v>148542.8864146519</v>
      </c>
      <c r="AM65" s="340">
        <f t="shared" si="35"/>
        <v>148542.8864146519</v>
      </c>
      <c r="AN65" s="340">
        <f t="shared" si="35"/>
        <v>148542.8864146519</v>
      </c>
      <c r="AO65" s="340">
        <f t="shared" si="35"/>
        <v>148542.8864146519</v>
      </c>
      <c r="AP65" s="340">
        <f t="shared" si="35"/>
        <v>79451.136490243036</v>
      </c>
      <c r="AQ65" s="340">
        <f t="shared" si="35"/>
        <v>79451.136490242992</v>
      </c>
      <c r="AR65" s="340">
        <f t="shared" si="35"/>
        <v>79451.136490242992</v>
      </c>
      <c r="AS65" s="340">
        <f t="shared" si="35"/>
        <v>79451.136490242992</v>
      </c>
      <c r="AT65" s="340">
        <f t="shared" si="35"/>
        <v>79451.136490242992</v>
      </c>
      <c r="AU65" s="340">
        <f t="shared" si="35"/>
        <v>79451.136490243036</v>
      </c>
      <c r="AV65" s="340">
        <f t="shared" si="35"/>
        <v>92035.46774407629</v>
      </c>
      <c r="AW65" s="340">
        <f t="shared" si="35"/>
        <v>92035.46774407629</v>
      </c>
      <c r="AX65" s="340">
        <f t="shared" si="35"/>
        <v>92035.46774407629</v>
      </c>
      <c r="AY65" s="340">
        <f t="shared" si="35"/>
        <v>92035.46774407629</v>
      </c>
      <c r="AZ65" s="340">
        <f t="shared" si="35"/>
        <v>92035.46774407629</v>
      </c>
      <c r="BA65" s="340">
        <f t="shared" si="35"/>
        <v>92035.46774407629</v>
      </c>
      <c r="BB65" s="340">
        <f t="shared" si="35"/>
        <v>36213320.254075281</v>
      </c>
      <c r="BC65" s="340">
        <f t="shared" si="35"/>
        <v>0</v>
      </c>
      <c r="BD65" s="340">
        <f t="shared" si="35"/>
        <v>0</v>
      </c>
      <c r="BE65" s="340">
        <f t="shared" si="35"/>
        <v>0</v>
      </c>
      <c r="BF65" s="340">
        <f t="shared" si="35"/>
        <v>0</v>
      </c>
      <c r="BG65" s="340">
        <f t="shared" si="35"/>
        <v>0</v>
      </c>
      <c r="BH65" s="340">
        <f t="shared" si="35"/>
        <v>0</v>
      </c>
      <c r="BI65" s="340">
        <f t="shared" si="35"/>
        <v>0</v>
      </c>
      <c r="BJ65" s="340">
        <f t="shared" si="35"/>
        <v>0</v>
      </c>
      <c r="BK65" s="340">
        <f t="shared" si="35"/>
        <v>0</v>
      </c>
      <c r="BL65" s="340">
        <f t="shared" si="35"/>
        <v>0</v>
      </c>
      <c r="BM65" s="340">
        <f t="shared" si="35"/>
        <v>0</v>
      </c>
      <c r="BN65" s="448">
        <f t="shared" si="35"/>
        <v>0</v>
      </c>
      <c r="BO65" s="340"/>
      <c r="BS65" s="219"/>
    </row>
    <row r="66" spans="1:71" s="216" customFormat="1">
      <c r="A66" s="215"/>
      <c r="B66" s="380" t="s">
        <v>184</v>
      </c>
      <c r="C66" s="340"/>
      <c r="D66" s="340">
        <f>((D24+D27)*$C$18)+(D40*$C$18)+D41+(D53*$C$18)+D54+(D61*$C$18)+D62+D30</f>
        <v>0</v>
      </c>
      <c r="E66" s="340">
        <f t="shared" ref="E66:BN66" si="36">((E24+E27)*$C$18)+(E40*$C$18)+E41+(E53*$C$18)+E54+(E61*$C$18)+E62+E30</f>
        <v>0</v>
      </c>
      <c r="F66" s="340">
        <f t="shared" si="36"/>
        <v>0</v>
      </c>
      <c r="G66" s="340">
        <f t="shared" si="36"/>
        <v>0</v>
      </c>
      <c r="H66" s="340">
        <f t="shared" si="36"/>
        <v>0</v>
      </c>
      <c r="I66" s="340">
        <f t="shared" si="36"/>
        <v>0</v>
      </c>
      <c r="J66" s="340">
        <f t="shared" si="36"/>
        <v>0</v>
      </c>
      <c r="K66" s="340">
        <f t="shared" si="36"/>
        <v>0</v>
      </c>
      <c r="L66" s="340">
        <f t="shared" si="36"/>
        <v>0</v>
      </c>
      <c r="M66" s="340">
        <f t="shared" si="36"/>
        <v>0</v>
      </c>
      <c r="N66" s="340">
        <f t="shared" si="36"/>
        <v>0</v>
      </c>
      <c r="O66" s="340">
        <f t="shared" si="36"/>
        <v>0</v>
      </c>
      <c r="P66" s="340">
        <f t="shared" si="36"/>
        <v>0</v>
      </c>
      <c r="Q66" s="340">
        <f t="shared" si="36"/>
        <v>0</v>
      </c>
      <c r="R66" s="340">
        <f t="shared" si="36"/>
        <v>0</v>
      </c>
      <c r="S66" s="340">
        <f t="shared" si="36"/>
        <v>0</v>
      </c>
      <c r="T66" s="340">
        <f t="shared" si="36"/>
        <v>0</v>
      </c>
      <c r="U66" s="340">
        <f t="shared" si="36"/>
        <v>0</v>
      </c>
      <c r="V66" s="340">
        <f t="shared" si="36"/>
        <v>0</v>
      </c>
      <c r="W66" s="340">
        <f t="shared" si="36"/>
        <v>0</v>
      </c>
      <c r="X66" s="340">
        <f t="shared" si="36"/>
        <v>8379.8905605778891</v>
      </c>
      <c r="Y66" s="340">
        <f t="shared" si="36"/>
        <v>8379.8905605778891</v>
      </c>
      <c r="Z66" s="340">
        <f t="shared" si="36"/>
        <v>8379.8905605778891</v>
      </c>
      <c r="AA66" s="340">
        <f t="shared" si="36"/>
        <v>235179.89056057791</v>
      </c>
      <c r="AB66" s="340">
        <f t="shared" si="36"/>
        <v>8379.8905605778891</v>
      </c>
      <c r="AC66" s="340">
        <f t="shared" si="36"/>
        <v>8379.8905605778891</v>
      </c>
      <c r="AD66" s="340">
        <f t="shared" si="36"/>
        <v>-183093.13810574589</v>
      </c>
      <c r="AE66" s="340">
        <f t="shared" si="36"/>
        <v>24060.365730974587</v>
      </c>
      <c r="AF66" s="340">
        <f t="shared" si="36"/>
        <v>24060.365730974587</v>
      </c>
      <c r="AG66" s="340">
        <f t="shared" si="36"/>
        <v>24060.365730974587</v>
      </c>
      <c r="AH66" s="340">
        <f t="shared" si="36"/>
        <v>24060.365730974587</v>
      </c>
      <c r="AI66" s="340">
        <f t="shared" si="36"/>
        <v>24060.365730974587</v>
      </c>
      <c r="AJ66" s="340">
        <f t="shared" si="36"/>
        <v>26213.450543762105</v>
      </c>
      <c r="AK66" s="340">
        <f t="shared" si="36"/>
        <v>26213.450543762105</v>
      </c>
      <c r="AL66" s="340">
        <f t="shared" si="36"/>
        <v>26213.450543762105</v>
      </c>
      <c r="AM66" s="340">
        <f t="shared" si="36"/>
        <v>26213.450543762105</v>
      </c>
      <c r="AN66" s="340">
        <f t="shared" si="36"/>
        <v>26213.450543762105</v>
      </c>
      <c r="AO66" s="340">
        <f t="shared" si="36"/>
        <v>26213.450543762105</v>
      </c>
      <c r="AP66" s="340">
        <f t="shared" si="36"/>
        <v>14020.788792395833</v>
      </c>
      <c r="AQ66" s="340">
        <f t="shared" si="36"/>
        <v>14020.788792395824</v>
      </c>
      <c r="AR66" s="340">
        <f t="shared" si="36"/>
        <v>14020.788792395824</v>
      </c>
      <c r="AS66" s="340">
        <f t="shared" si="36"/>
        <v>14020.788792395824</v>
      </c>
      <c r="AT66" s="340">
        <f t="shared" si="36"/>
        <v>14020.788792395824</v>
      </c>
      <c r="AU66" s="340">
        <f t="shared" si="36"/>
        <v>14020.788792395833</v>
      </c>
      <c r="AV66" s="340">
        <f t="shared" si="36"/>
        <v>16241.553131307583</v>
      </c>
      <c r="AW66" s="340">
        <f t="shared" si="36"/>
        <v>16241.553131307583</v>
      </c>
      <c r="AX66" s="340">
        <f t="shared" si="36"/>
        <v>16241.553131307583</v>
      </c>
      <c r="AY66" s="340">
        <f t="shared" si="36"/>
        <v>16241.553131307583</v>
      </c>
      <c r="AZ66" s="340">
        <f t="shared" si="36"/>
        <v>16241.553131307583</v>
      </c>
      <c r="BA66" s="340">
        <f t="shared" si="36"/>
        <v>16241.553131307583</v>
      </c>
      <c r="BB66" s="340">
        <f t="shared" si="36"/>
        <v>8515848.2818762138</v>
      </c>
      <c r="BC66" s="340">
        <f t="shared" si="36"/>
        <v>0</v>
      </c>
      <c r="BD66" s="340">
        <f t="shared" si="36"/>
        <v>0</v>
      </c>
      <c r="BE66" s="340">
        <f t="shared" si="36"/>
        <v>0</v>
      </c>
      <c r="BF66" s="340">
        <f t="shared" si="36"/>
        <v>0</v>
      </c>
      <c r="BG66" s="340">
        <f t="shared" si="36"/>
        <v>0</v>
      </c>
      <c r="BH66" s="340">
        <f t="shared" si="36"/>
        <v>0</v>
      </c>
      <c r="BI66" s="340">
        <f t="shared" si="36"/>
        <v>0</v>
      </c>
      <c r="BJ66" s="340">
        <f t="shared" si="36"/>
        <v>0</v>
      </c>
      <c r="BK66" s="340">
        <f t="shared" si="36"/>
        <v>0</v>
      </c>
      <c r="BL66" s="340">
        <f t="shared" si="36"/>
        <v>0</v>
      </c>
      <c r="BM66" s="340">
        <f t="shared" si="36"/>
        <v>0</v>
      </c>
      <c r="BN66" s="340">
        <f t="shared" si="36"/>
        <v>0</v>
      </c>
      <c r="BO66" s="594"/>
      <c r="BP66" s="567" t="s">
        <v>91</v>
      </c>
      <c r="BQ66" s="567" t="s">
        <v>185</v>
      </c>
      <c r="BS66" s="219"/>
    </row>
    <row r="67" spans="1:71" s="216" customFormat="1" ht="15.75" thickBot="1">
      <c r="A67" s="215"/>
      <c r="B67" s="445" t="s">
        <v>167</v>
      </c>
      <c r="C67" s="446">
        <f>C11</f>
        <v>-24033944.982098967</v>
      </c>
      <c r="D67" s="446">
        <f>SUM(D65:D66)</f>
        <v>0</v>
      </c>
      <c r="E67" s="446">
        <f>SUM(E65:E66)</f>
        <v>0</v>
      </c>
      <c r="F67" s="446">
        <f t="shared" ref="F67:BN67" si="37">SUM(F65:F66)</f>
        <v>0</v>
      </c>
      <c r="G67" s="446">
        <f t="shared" si="37"/>
        <v>0</v>
      </c>
      <c r="H67" s="446">
        <f t="shared" si="37"/>
        <v>0</v>
      </c>
      <c r="I67" s="446">
        <f t="shared" si="37"/>
        <v>0</v>
      </c>
      <c r="J67" s="446">
        <f t="shared" si="37"/>
        <v>0</v>
      </c>
      <c r="K67" s="446">
        <f t="shared" si="37"/>
        <v>0</v>
      </c>
      <c r="L67" s="446">
        <f t="shared" si="37"/>
        <v>0</v>
      </c>
      <c r="M67" s="446">
        <f t="shared" si="37"/>
        <v>0</v>
      </c>
      <c r="N67" s="446">
        <f t="shared" si="37"/>
        <v>0</v>
      </c>
      <c r="O67" s="446">
        <f t="shared" si="37"/>
        <v>0</v>
      </c>
      <c r="P67" s="446">
        <f t="shared" si="37"/>
        <v>0</v>
      </c>
      <c r="Q67" s="446">
        <f>0</f>
        <v>0</v>
      </c>
      <c r="R67" s="446">
        <f t="shared" si="37"/>
        <v>0</v>
      </c>
      <c r="S67" s="446">
        <f t="shared" si="37"/>
        <v>0</v>
      </c>
      <c r="T67" s="446">
        <f t="shared" si="37"/>
        <v>0</v>
      </c>
      <c r="U67" s="446">
        <f t="shared" si="37"/>
        <v>0</v>
      </c>
      <c r="V67" s="446">
        <f t="shared" si="37"/>
        <v>0</v>
      </c>
      <c r="W67" s="446">
        <f t="shared" si="37"/>
        <v>0</v>
      </c>
      <c r="X67" s="446">
        <f t="shared" si="37"/>
        <v>55865.937070519256</v>
      </c>
      <c r="Y67" s="446">
        <f t="shared" si="37"/>
        <v>55865.937070519256</v>
      </c>
      <c r="Z67" s="446">
        <f t="shared" si="37"/>
        <v>55865.937070519256</v>
      </c>
      <c r="AA67" s="446">
        <f t="shared" si="37"/>
        <v>1567865.9370705192</v>
      </c>
      <c r="AB67" s="446">
        <f t="shared" si="37"/>
        <v>55865.937070519256</v>
      </c>
      <c r="AC67" s="446">
        <f t="shared" si="37"/>
        <v>55865.937070519256</v>
      </c>
      <c r="AD67" s="446">
        <f t="shared" si="37"/>
        <v>-1220620.9207049725</v>
      </c>
      <c r="AE67" s="446">
        <f t="shared" si="37"/>
        <v>160402.43820649723</v>
      </c>
      <c r="AF67" s="446">
        <f t="shared" si="37"/>
        <v>160402.43820649723</v>
      </c>
      <c r="AG67" s="446">
        <f t="shared" si="37"/>
        <v>160402.43820649723</v>
      </c>
      <c r="AH67" s="446">
        <f t="shared" si="37"/>
        <v>160402.43820649723</v>
      </c>
      <c r="AI67" s="446">
        <f t="shared" si="37"/>
        <v>160402.43820649723</v>
      </c>
      <c r="AJ67" s="446">
        <f t="shared" si="37"/>
        <v>174756.336958414</v>
      </c>
      <c r="AK67" s="446">
        <f t="shared" si="37"/>
        <v>174756.336958414</v>
      </c>
      <c r="AL67" s="446">
        <f t="shared" si="37"/>
        <v>174756.336958414</v>
      </c>
      <c r="AM67" s="446">
        <f t="shared" si="37"/>
        <v>174756.336958414</v>
      </c>
      <c r="AN67" s="446">
        <f t="shared" si="37"/>
        <v>174756.336958414</v>
      </c>
      <c r="AO67" s="446">
        <f t="shared" si="37"/>
        <v>174756.336958414</v>
      </c>
      <c r="AP67" s="446">
        <f t="shared" si="37"/>
        <v>93471.925282638869</v>
      </c>
      <c r="AQ67" s="446">
        <f t="shared" si="37"/>
        <v>93471.925282638811</v>
      </c>
      <c r="AR67" s="446">
        <f t="shared" si="37"/>
        <v>93471.925282638811</v>
      </c>
      <c r="AS67" s="446">
        <f t="shared" si="37"/>
        <v>93471.925282638811</v>
      </c>
      <c r="AT67" s="446">
        <f t="shared" si="37"/>
        <v>93471.925282638811</v>
      </c>
      <c r="AU67" s="446">
        <f t="shared" si="37"/>
        <v>93471.925282638869</v>
      </c>
      <c r="AV67" s="446">
        <f t="shared" si="37"/>
        <v>108277.02087538387</v>
      </c>
      <c r="AW67" s="446">
        <f t="shared" si="37"/>
        <v>108277.02087538387</v>
      </c>
      <c r="AX67" s="446">
        <f t="shared" si="37"/>
        <v>108277.02087538387</v>
      </c>
      <c r="AY67" s="446">
        <f t="shared" si="37"/>
        <v>108277.02087538387</v>
      </c>
      <c r="AZ67" s="446">
        <f t="shared" si="37"/>
        <v>108277.02087538387</v>
      </c>
      <c r="BA67" s="446">
        <f t="shared" si="37"/>
        <v>108277.02087538387</v>
      </c>
      <c r="BB67" s="446">
        <f t="shared" si="37"/>
        <v>44729168.535951495</v>
      </c>
      <c r="BC67" s="446">
        <f t="shared" si="37"/>
        <v>0</v>
      </c>
      <c r="BD67" s="446">
        <f t="shared" si="37"/>
        <v>0</v>
      </c>
      <c r="BE67" s="446">
        <f t="shared" si="37"/>
        <v>0</v>
      </c>
      <c r="BF67" s="446">
        <f>SUM(BF65:BF66)</f>
        <v>0</v>
      </c>
      <c r="BG67" s="446">
        <f t="shared" si="37"/>
        <v>0</v>
      </c>
      <c r="BH67" s="446">
        <f t="shared" si="37"/>
        <v>0</v>
      </c>
      <c r="BI67" s="446">
        <f t="shared" si="37"/>
        <v>0</v>
      </c>
      <c r="BJ67" s="446">
        <f t="shared" si="37"/>
        <v>0</v>
      </c>
      <c r="BK67" s="446">
        <f t="shared" si="37"/>
        <v>0</v>
      </c>
      <c r="BL67" s="446">
        <f t="shared" si="37"/>
        <v>0</v>
      </c>
      <c r="BM67" s="446">
        <f t="shared" si="37"/>
        <v>0</v>
      </c>
      <c r="BN67" s="446">
        <f t="shared" si="37"/>
        <v>0</v>
      </c>
      <c r="BO67" s="595"/>
      <c r="BP67" s="568">
        <f>XIRR(C67:BN67,C6:BN6)</f>
        <v>0.1888221204280853</v>
      </c>
      <c r="BQ67" s="569">
        <f>SUM(D67:BN67)/-C67</f>
        <v>2.0145168495418742</v>
      </c>
      <c r="BS67" s="219"/>
    </row>
    <row r="68" spans="1:71" s="216" customFormat="1" ht="15.75" thickTop="1">
      <c r="A68" s="215"/>
      <c r="B68" s="305"/>
      <c r="C68" s="306"/>
      <c r="D68" s="341"/>
      <c r="E68" s="341"/>
      <c r="F68" s="341"/>
      <c r="G68" s="341"/>
      <c r="H68" s="341"/>
      <c r="I68" s="341"/>
      <c r="J68" s="341"/>
      <c r="K68" s="341"/>
      <c r="L68" s="341"/>
      <c r="M68" s="341"/>
      <c r="N68" s="341"/>
      <c r="O68" s="341"/>
      <c r="P68" s="341"/>
      <c r="Q68" s="341"/>
      <c r="R68" s="341"/>
      <c r="S68" s="341"/>
      <c r="T68" s="341"/>
      <c r="U68" s="341"/>
      <c r="V68" s="341"/>
      <c r="W68" s="341"/>
      <c r="X68" s="341"/>
      <c r="Y68" s="341"/>
      <c r="Z68" s="341"/>
      <c r="AA68" s="341"/>
      <c r="AB68" s="341"/>
      <c r="AC68" s="341"/>
      <c r="AD68" s="341"/>
      <c r="AE68" s="341"/>
      <c r="AF68" s="341"/>
      <c r="AG68" s="341"/>
      <c r="AH68" s="341"/>
      <c r="AI68" s="341"/>
      <c r="AJ68" s="341"/>
      <c r="AK68" s="341"/>
      <c r="AL68" s="341"/>
      <c r="AM68" s="341"/>
      <c r="AN68" s="341"/>
      <c r="AO68" s="341"/>
      <c r="AP68" s="341"/>
      <c r="AQ68" s="341"/>
      <c r="AR68" s="341"/>
      <c r="AS68" s="341"/>
      <c r="AT68" s="341"/>
      <c r="AU68" s="341"/>
      <c r="AV68" s="341"/>
      <c r="AW68" s="341"/>
      <c r="AX68" s="341"/>
      <c r="AY68" s="341"/>
      <c r="AZ68" s="341"/>
      <c r="BA68" s="341"/>
      <c r="BB68" s="341"/>
      <c r="BC68" s="341"/>
      <c r="BD68" s="341"/>
      <c r="BE68" s="341"/>
      <c r="BF68" s="341"/>
      <c r="BG68" s="341"/>
      <c r="BH68" s="341"/>
      <c r="BI68" s="341"/>
      <c r="BJ68" s="341"/>
      <c r="BK68" s="341"/>
      <c r="BL68" s="341"/>
      <c r="BM68" s="341"/>
      <c r="BN68" s="307"/>
      <c r="BP68" s="390"/>
      <c r="BQ68" s="390"/>
      <c r="BS68" s="219"/>
    </row>
    <row r="69" spans="1:71" s="216" customFormat="1">
      <c r="A69" s="215"/>
      <c r="B69" s="305" t="s">
        <v>376</v>
      </c>
      <c r="C69" s="306"/>
      <c r="D69" s="341"/>
      <c r="E69" s="341"/>
      <c r="F69" s="341"/>
      <c r="G69" s="341"/>
      <c r="H69" s="341"/>
      <c r="I69" s="341"/>
      <c r="J69" s="341"/>
      <c r="K69" s="341"/>
      <c r="L69" s="341"/>
      <c r="M69" s="341"/>
      <c r="N69" s="341"/>
      <c r="O69" s="341"/>
      <c r="P69" s="341"/>
      <c r="Q69" s="341"/>
      <c r="R69" s="341"/>
      <c r="S69" s="341"/>
      <c r="T69" s="341"/>
      <c r="U69" s="341"/>
      <c r="V69" s="341"/>
      <c r="W69" s="341"/>
      <c r="X69" s="341"/>
      <c r="Y69" s="341"/>
      <c r="Z69" s="341"/>
      <c r="AA69" s="341"/>
      <c r="AB69" s="341"/>
      <c r="AC69" s="341"/>
      <c r="AD69" s="341"/>
      <c r="AE69" s="341"/>
      <c r="AF69" s="341"/>
      <c r="AG69" s="341"/>
      <c r="AH69" s="341"/>
      <c r="AI69" s="341"/>
      <c r="AJ69" s="341"/>
      <c r="AK69" s="341"/>
      <c r="AL69" s="341"/>
      <c r="AM69" s="341"/>
      <c r="AN69" s="341"/>
      <c r="AO69" s="341"/>
      <c r="AP69" s="341"/>
      <c r="AQ69" s="341"/>
      <c r="AR69" s="341"/>
      <c r="AS69" s="341"/>
      <c r="AT69" s="341"/>
      <c r="AU69" s="341"/>
      <c r="AV69" s="341"/>
      <c r="AW69" s="341"/>
      <c r="AX69" s="341"/>
      <c r="AY69" s="341"/>
      <c r="AZ69" s="341"/>
      <c r="BA69" s="341"/>
      <c r="BB69" s="341"/>
      <c r="BC69" s="341"/>
      <c r="BD69" s="341"/>
      <c r="BE69" s="341"/>
      <c r="BF69" s="341"/>
      <c r="BG69" s="341"/>
      <c r="BH69" s="341"/>
      <c r="BI69" s="341"/>
      <c r="BJ69" s="341"/>
      <c r="BK69" s="341"/>
      <c r="BL69" s="341"/>
      <c r="BM69" s="341"/>
      <c r="BN69" s="307"/>
      <c r="BO69" s="596"/>
      <c r="BP69" s="570" t="s">
        <v>91</v>
      </c>
      <c r="BQ69" s="570" t="s">
        <v>185</v>
      </c>
      <c r="BS69" s="219"/>
    </row>
    <row r="70" spans="1:71" s="216" customFormat="1">
      <c r="A70" s="228"/>
      <c r="B70" s="901">
        <f>C17</f>
        <v>0.85</v>
      </c>
      <c r="C70" s="473">
        <f>-D17</f>
        <v>-20428853.234784123</v>
      </c>
      <c r="D70" s="473">
        <f>D65</f>
        <v>0</v>
      </c>
      <c r="E70" s="473">
        <f>E65</f>
        <v>0</v>
      </c>
      <c r="F70" s="473">
        <f>F65</f>
        <v>0</v>
      </c>
      <c r="G70" s="473">
        <f>G65</f>
        <v>0</v>
      </c>
      <c r="H70" s="473">
        <f t="shared" ref="H70:BN70" si="38">H65</f>
        <v>0</v>
      </c>
      <c r="I70" s="473">
        <f t="shared" si="38"/>
        <v>0</v>
      </c>
      <c r="J70" s="473">
        <f t="shared" si="38"/>
        <v>0</v>
      </c>
      <c r="K70" s="473">
        <f t="shared" si="38"/>
        <v>0</v>
      </c>
      <c r="L70" s="473">
        <f t="shared" si="38"/>
        <v>0</v>
      </c>
      <c r="M70" s="473">
        <f t="shared" si="38"/>
        <v>0</v>
      </c>
      <c r="N70" s="473">
        <f t="shared" si="38"/>
        <v>0</v>
      </c>
      <c r="O70" s="473">
        <f t="shared" si="38"/>
        <v>0</v>
      </c>
      <c r="P70" s="473">
        <f t="shared" si="38"/>
        <v>0</v>
      </c>
      <c r="Q70" s="473">
        <f t="shared" si="38"/>
        <v>0</v>
      </c>
      <c r="R70" s="473">
        <f t="shared" si="38"/>
        <v>0</v>
      </c>
      <c r="S70" s="473">
        <f t="shared" si="38"/>
        <v>0</v>
      </c>
      <c r="T70" s="473">
        <f t="shared" si="38"/>
        <v>0</v>
      </c>
      <c r="U70" s="473">
        <f t="shared" si="38"/>
        <v>0</v>
      </c>
      <c r="V70" s="473">
        <f t="shared" si="38"/>
        <v>0</v>
      </c>
      <c r="W70" s="473">
        <f t="shared" si="38"/>
        <v>0</v>
      </c>
      <c r="X70" s="473">
        <f t="shared" si="38"/>
        <v>47486.046509941363</v>
      </c>
      <c r="Y70" s="473">
        <f t="shared" si="38"/>
        <v>47486.046509941363</v>
      </c>
      <c r="Z70" s="473">
        <f t="shared" si="38"/>
        <v>47486.046509941363</v>
      </c>
      <c r="AA70" s="473">
        <f t="shared" si="38"/>
        <v>1332686.0465099413</v>
      </c>
      <c r="AB70" s="473">
        <f t="shared" si="38"/>
        <v>47486.046509941363</v>
      </c>
      <c r="AC70" s="473">
        <f>AC65</f>
        <v>47486.046509941363</v>
      </c>
      <c r="AD70" s="473">
        <f t="shared" si="38"/>
        <v>-1037527.7825992266</v>
      </c>
      <c r="AE70" s="473">
        <f t="shared" si="38"/>
        <v>136342.07247552264</v>
      </c>
      <c r="AF70" s="473">
        <f t="shared" si="38"/>
        <v>136342.07247552264</v>
      </c>
      <c r="AG70" s="473">
        <f t="shared" si="38"/>
        <v>136342.07247552264</v>
      </c>
      <c r="AH70" s="473">
        <f t="shared" si="38"/>
        <v>136342.07247552264</v>
      </c>
      <c r="AI70" s="473">
        <f t="shared" si="38"/>
        <v>136342.07247552264</v>
      </c>
      <c r="AJ70" s="473">
        <f t="shared" si="38"/>
        <v>148542.8864146519</v>
      </c>
      <c r="AK70" s="473">
        <f t="shared" si="38"/>
        <v>148542.8864146519</v>
      </c>
      <c r="AL70" s="473">
        <f t="shared" si="38"/>
        <v>148542.8864146519</v>
      </c>
      <c r="AM70" s="473">
        <f t="shared" si="38"/>
        <v>148542.8864146519</v>
      </c>
      <c r="AN70" s="473">
        <f t="shared" si="38"/>
        <v>148542.8864146519</v>
      </c>
      <c r="AO70" s="473">
        <f t="shared" si="38"/>
        <v>148542.8864146519</v>
      </c>
      <c r="AP70" s="473">
        <f t="shared" si="38"/>
        <v>79451.136490243036</v>
      </c>
      <c r="AQ70" s="473">
        <f t="shared" si="38"/>
        <v>79451.136490242992</v>
      </c>
      <c r="AR70" s="473">
        <f t="shared" si="38"/>
        <v>79451.136490242992</v>
      </c>
      <c r="AS70" s="473">
        <f t="shared" si="38"/>
        <v>79451.136490242992</v>
      </c>
      <c r="AT70" s="473">
        <f t="shared" si="38"/>
        <v>79451.136490242992</v>
      </c>
      <c r="AU70" s="473">
        <f t="shared" si="38"/>
        <v>79451.136490243036</v>
      </c>
      <c r="AV70" s="473">
        <f t="shared" si="38"/>
        <v>92035.46774407629</v>
      </c>
      <c r="AW70" s="473">
        <f t="shared" si="38"/>
        <v>92035.46774407629</v>
      </c>
      <c r="AX70" s="473">
        <f t="shared" si="38"/>
        <v>92035.46774407629</v>
      </c>
      <c r="AY70" s="473">
        <f t="shared" si="38"/>
        <v>92035.46774407629</v>
      </c>
      <c r="AZ70" s="473">
        <f t="shared" si="38"/>
        <v>92035.46774407629</v>
      </c>
      <c r="BA70" s="473">
        <f t="shared" si="38"/>
        <v>92035.46774407629</v>
      </c>
      <c r="BB70" s="473">
        <f t="shared" si="38"/>
        <v>36213320.254075281</v>
      </c>
      <c r="BC70" s="473">
        <f t="shared" si="38"/>
        <v>0</v>
      </c>
      <c r="BD70" s="473">
        <f t="shared" si="38"/>
        <v>0</v>
      </c>
      <c r="BE70" s="473">
        <f t="shared" si="38"/>
        <v>0</v>
      </c>
      <c r="BF70" s="473">
        <f t="shared" si="38"/>
        <v>0</v>
      </c>
      <c r="BG70" s="473">
        <f t="shared" si="38"/>
        <v>0</v>
      </c>
      <c r="BH70" s="473">
        <f t="shared" si="38"/>
        <v>0</v>
      </c>
      <c r="BI70" s="473">
        <f t="shared" si="38"/>
        <v>0</v>
      </c>
      <c r="BJ70" s="473">
        <f t="shared" si="38"/>
        <v>0</v>
      </c>
      <c r="BK70" s="473">
        <f t="shared" si="38"/>
        <v>0</v>
      </c>
      <c r="BL70" s="473">
        <f t="shared" si="38"/>
        <v>0</v>
      </c>
      <c r="BM70" s="473">
        <f t="shared" si="38"/>
        <v>0</v>
      </c>
      <c r="BN70" s="473">
        <f t="shared" si="38"/>
        <v>0</v>
      </c>
      <c r="BO70" s="597"/>
      <c r="BP70" s="571">
        <f>XIRR(C70:BN70,C6:BN6)</f>
        <v>0.17590917944908144</v>
      </c>
      <c r="BQ70" s="572">
        <f>SUM(D70:BN70)/-C70</f>
        <v>1.9260893210495937</v>
      </c>
      <c r="BS70" s="219"/>
    </row>
    <row r="71" spans="1:71">
      <c r="A71" s="229"/>
      <c r="B71" s="308"/>
      <c r="C71" s="309"/>
      <c r="D71" s="309"/>
      <c r="E71" s="309"/>
      <c r="F71" s="309"/>
      <c r="G71" s="309"/>
      <c r="H71" s="309"/>
      <c r="I71" s="309"/>
      <c r="J71" s="309"/>
      <c r="K71" s="309"/>
      <c r="L71" s="309"/>
      <c r="M71" s="309"/>
      <c r="N71" s="309"/>
      <c r="O71" s="309"/>
      <c r="P71" s="309"/>
      <c r="Q71" s="309"/>
      <c r="R71" s="309"/>
      <c r="S71" s="309"/>
      <c r="T71" s="309"/>
      <c r="U71" s="309"/>
      <c r="V71" s="309"/>
      <c r="W71" s="309"/>
      <c r="X71" s="309"/>
      <c r="Y71" s="309"/>
      <c r="Z71" s="309"/>
      <c r="AA71" s="309"/>
      <c r="AB71" s="309"/>
      <c r="AC71" s="309"/>
      <c r="AD71" s="309"/>
      <c r="AE71" s="309"/>
      <c r="AF71" s="309"/>
      <c r="AG71" s="309"/>
      <c r="AH71" s="309"/>
      <c r="AI71" s="309"/>
      <c r="AJ71" s="309"/>
      <c r="AK71" s="309"/>
      <c r="AL71" s="309"/>
      <c r="AM71" s="309"/>
      <c r="AN71" s="309"/>
      <c r="AO71" s="309"/>
      <c r="AP71" s="309"/>
      <c r="AQ71" s="309"/>
      <c r="AR71" s="309"/>
      <c r="AS71" s="309"/>
      <c r="AT71" s="309"/>
      <c r="AU71" s="309"/>
      <c r="AV71" s="309"/>
      <c r="AW71" s="309"/>
      <c r="AX71" s="309"/>
      <c r="AY71" s="309"/>
      <c r="AZ71" s="309"/>
      <c r="BA71" s="309"/>
      <c r="BB71" s="309"/>
      <c r="BC71" s="309"/>
      <c r="BD71" s="309"/>
      <c r="BE71" s="309"/>
      <c r="BF71" s="309"/>
      <c r="BG71" s="309"/>
      <c r="BH71" s="309"/>
      <c r="BI71" s="309"/>
      <c r="BJ71" s="309"/>
      <c r="BK71" s="309"/>
      <c r="BL71" s="309"/>
      <c r="BM71" s="309"/>
      <c r="BN71" s="310"/>
      <c r="BO71" s="222"/>
      <c r="BP71" s="393"/>
      <c r="BQ71" s="394"/>
    </row>
    <row r="72" spans="1:71">
      <c r="A72" s="229"/>
      <c r="B72" s="305" t="s">
        <v>186</v>
      </c>
      <c r="C72" s="309"/>
      <c r="D72" s="309"/>
      <c r="E72" s="309"/>
      <c r="F72" s="309"/>
      <c r="G72" s="309"/>
      <c r="H72" s="309"/>
      <c r="I72" s="309"/>
      <c r="J72" s="309"/>
      <c r="K72" s="309"/>
      <c r="L72" s="309"/>
      <c r="M72" s="309"/>
      <c r="N72" s="309"/>
      <c r="O72" s="309"/>
      <c r="P72" s="309"/>
      <c r="Q72" s="309"/>
      <c r="R72" s="309"/>
      <c r="S72" s="309"/>
      <c r="T72" s="309"/>
      <c r="U72" s="309"/>
      <c r="V72" s="309"/>
      <c r="W72" s="309"/>
      <c r="X72" s="309"/>
      <c r="Y72" s="309"/>
      <c r="Z72" s="309"/>
      <c r="AA72" s="309"/>
      <c r="AB72" s="309"/>
      <c r="AC72" s="309"/>
      <c r="AD72" s="309"/>
      <c r="AE72" s="309"/>
      <c r="AF72" s="309"/>
      <c r="AG72" s="309"/>
      <c r="AH72" s="309"/>
      <c r="AI72" s="309"/>
      <c r="AJ72" s="309"/>
      <c r="AK72" s="309"/>
      <c r="AL72" s="309"/>
      <c r="AM72" s="309"/>
      <c r="AN72" s="309"/>
      <c r="AO72" s="309"/>
      <c r="AP72" s="309"/>
      <c r="AQ72" s="309"/>
      <c r="AR72" s="309"/>
      <c r="AS72" s="309"/>
      <c r="AT72" s="309"/>
      <c r="AU72" s="309"/>
      <c r="AV72" s="309"/>
      <c r="AW72" s="309"/>
      <c r="AX72" s="309"/>
      <c r="AY72" s="309"/>
      <c r="AZ72" s="309"/>
      <c r="BA72" s="309"/>
      <c r="BB72" s="309"/>
      <c r="BC72" s="309"/>
      <c r="BD72" s="309"/>
      <c r="BE72" s="309"/>
      <c r="BF72" s="309"/>
      <c r="BG72" s="309"/>
      <c r="BH72" s="309"/>
      <c r="BI72" s="309"/>
      <c r="BJ72" s="309"/>
      <c r="BK72" s="309"/>
      <c r="BL72" s="309"/>
      <c r="BM72" s="309"/>
      <c r="BN72" s="310"/>
      <c r="BO72" s="598"/>
      <c r="BP72" s="573" t="s">
        <v>91</v>
      </c>
      <c r="BQ72" s="573" t="s">
        <v>185</v>
      </c>
    </row>
    <row r="73" spans="1:71">
      <c r="A73" s="229"/>
      <c r="B73" s="475">
        <f>100%-B70</f>
        <v>0.15000000000000002</v>
      </c>
      <c r="C73" s="476">
        <f>-D18</f>
        <v>-3605091.7473148457</v>
      </c>
      <c r="D73" s="476">
        <f>D66</f>
        <v>0</v>
      </c>
      <c r="E73" s="476">
        <f>E66</f>
        <v>0</v>
      </c>
      <c r="F73" s="476">
        <f>F66</f>
        <v>0</v>
      </c>
      <c r="G73" s="476">
        <f t="shared" ref="G73:BN73" si="39">G66</f>
        <v>0</v>
      </c>
      <c r="H73" s="476">
        <f t="shared" si="39"/>
        <v>0</v>
      </c>
      <c r="I73" s="476">
        <f t="shared" si="39"/>
        <v>0</v>
      </c>
      <c r="J73" s="476">
        <f t="shared" si="39"/>
        <v>0</v>
      </c>
      <c r="K73" s="476">
        <f t="shared" si="39"/>
        <v>0</v>
      </c>
      <c r="L73" s="476">
        <f t="shared" si="39"/>
        <v>0</v>
      </c>
      <c r="M73" s="476">
        <f t="shared" si="39"/>
        <v>0</v>
      </c>
      <c r="N73" s="476">
        <f t="shared" si="39"/>
        <v>0</v>
      </c>
      <c r="O73" s="476">
        <f t="shared" si="39"/>
        <v>0</v>
      </c>
      <c r="P73" s="476">
        <f t="shared" si="39"/>
        <v>0</v>
      </c>
      <c r="Q73" s="476">
        <f>0</f>
        <v>0</v>
      </c>
      <c r="R73" s="476">
        <f t="shared" si="39"/>
        <v>0</v>
      </c>
      <c r="S73" s="476">
        <f>S66</f>
        <v>0</v>
      </c>
      <c r="T73" s="476">
        <f t="shared" si="39"/>
        <v>0</v>
      </c>
      <c r="U73" s="476">
        <f t="shared" si="39"/>
        <v>0</v>
      </c>
      <c r="V73" s="476">
        <f t="shared" si="39"/>
        <v>0</v>
      </c>
      <c r="W73" s="476">
        <f t="shared" si="39"/>
        <v>0</v>
      </c>
      <c r="X73" s="476">
        <f t="shared" si="39"/>
        <v>8379.8905605778891</v>
      </c>
      <c r="Y73" s="476">
        <f t="shared" si="39"/>
        <v>8379.8905605778891</v>
      </c>
      <c r="Z73" s="476">
        <f t="shared" si="39"/>
        <v>8379.8905605778891</v>
      </c>
      <c r="AA73" s="476">
        <f t="shared" si="39"/>
        <v>235179.89056057791</v>
      </c>
      <c r="AB73" s="476">
        <f t="shared" si="39"/>
        <v>8379.8905605778891</v>
      </c>
      <c r="AC73" s="476">
        <f>AC66</f>
        <v>8379.8905605778891</v>
      </c>
      <c r="AD73" s="476">
        <f t="shared" si="39"/>
        <v>-183093.13810574589</v>
      </c>
      <c r="AE73" s="476">
        <f t="shared" si="39"/>
        <v>24060.365730974587</v>
      </c>
      <c r="AF73" s="476">
        <f t="shared" si="39"/>
        <v>24060.365730974587</v>
      </c>
      <c r="AG73" s="476">
        <f t="shared" si="39"/>
        <v>24060.365730974587</v>
      </c>
      <c r="AH73" s="476">
        <f t="shared" si="39"/>
        <v>24060.365730974587</v>
      </c>
      <c r="AI73" s="476">
        <f t="shared" si="39"/>
        <v>24060.365730974587</v>
      </c>
      <c r="AJ73" s="476">
        <f t="shared" si="39"/>
        <v>26213.450543762105</v>
      </c>
      <c r="AK73" s="476">
        <f t="shared" si="39"/>
        <v>26213.450543762105</v>
      </c>
      <c r="AL73" s="476">
        <f t="shared" si="39"/>
        <v>26213.450543762105</v>
      </c>
      <c r="AM73" s="476">
        <f t="shared" si="39"/>
        <v>26213.450543762105</v>
      </c>
      <c r="AN73" s="476">
        <f t="shared" si="39"/>
        <v>26213.450543762105</v>
      </c>
      <c r="AO73" s="476">
        <f t="shared" si="39"/>
        <v>26213.450543762105</v>
      </c>
      <c r="AP73" s="476">
        <f t="shared" si="39"/>
        <v>14020.788792395833</v>
      </c>
      <c r="AQ73" s="476">
        <f t="shared" si="39"/>
        <v>14020.788792395824</v>
      </c>
      <c r="AR73" s="476">
        <f t="shared" si="39"/>
        <v>14020.788792395824</v>
      </c>
      <c r="AS73" s="476">
        <f t="shared" si="39"/>
        <v>14020.788792395824</v>
      </c>
      <c r="AT73" s="476">
        <f t="shared" si="39"/>
        <v>14020.788792395824</v>
      </c>
      <c r="AU73" s="476">
        <f t="shared" si="39"/>
        <v>14020.788792395833</v>
      </c>
      <c r="AV73" s="476">
        <f t="shared" si="39"/>
        <v>16241.553131307583</v>
      </c>
      <c r="AW73" s="476">
        <f t="shared" si="39"/>
        <v>16241.553131307583</v>
      </c>
      <c r="AX73" s="476">
        <f t="shared" si="39"/>
        <v>16241.553131307583</v>
      </c>
      <c r="AY73" s="476">
        <f t="shared" si="39"/>
        <v>16241.553131307583</v>
      </c>
      <c r="AZ73" s="476">
        <f t="shared" si="39"/>
        <v>16241.553131307583</v>
      </c>
      <c r="BA73" s="476">
        <f t="shared" si="39"/>
        <v>16241.553131307583</v>
      </c>
      <c r="BB73" s="476">
        <f t="shared" si="39"/>
        <v>8515848.2818762138</v>
      </c>
      <c r="BC73" s="476">
        <f t="shared" si="39"/>
        <v>0</v>
      </c>
      <c r="BD73" s="476">
        <f t="shared" si="39"/>
        <v>0</v>
      </c>
      <c r="BE73" s="476">
        <f t="shared" si="39"/>
        <v>0</v>
      </c>
      <c r="BF73" s="476">
        <f t="shared" si="39"/>
        <v>0</v>
      </c>
      <c r="BG73" s="476">
        <f t="shared" si="39"/>
        <v>0</v>
      </c>
      <c r="BH73" s="476">
        <f t="shared" si="39"/>
        <v>0</v>
      </c>
      <c r="BI73" s="476">
        <f t="shared" si="39"/>
        <v>0</v>
      </c>
      <c r="BJ73" s="476">
        <f t="shared" si="39"/>
        <v>0</v>
      </c>
      <c r="BK73" s="476">
        <f t="shared" si="39"/>
        <v>0</v>
      </c>
      <c r="BL73" s="476">
        <f t="shared" si="39"/>
        <v>0</v>
      </c>
      <c r="BM73" s="476">
        <f t="shared" si="39"/>
        <v>0</v>
      </c>
      <c r="BN73" s="476">
        <f t="shared" si="39"/>
        <v>0</v>
      </c>
      <c r="BO73" s="599"/>
      <c r="BP73" s="574">
        <f>XIRR(C73:BN73,C6:BN6)</f>
        <v>0.25458042025566097</v>
      </c>
      <c r="BQ73" s="575">
        <f>SUM(D73:BN73)/-C73</f>
        <v>2.5156061776647962</v>
      </c>
    </row>
    <row r="74" spans="1:71" s="216" customFormat="1">
      <c r="A74" s="228"/>
      <c r="B74" s="305"/>
      <c r="C74" s="311"/>
      <c r="D74" s="342"/>
      <c r="E74" s="342"/>
      <c r="F74" s="342"/>
      <c r="G74" s="342"/>
      <c r="H74" s="342"/>
      <c r="I74" s="342"/>
      <c r="J74" s="342"/>
      <c r="K74" s="342"/>
      <c r="L74" s="342"/>
      <c r="M74" s="342"/>
      <c r="N74" s="342"/>
      <c r="O74" s="342"/>
      <c r="P74" s="342"/>
      <c r="Q74" s="342"/>
      <c r="R74" s="342"/>
      <c r="S74" s="342"/>
      <c r="T74" s="342"/>
      <c r="U74" s="342"/>
      <c r="V74" s="342"/>
      <c r="W74" s="342"/>
      <c r="X74" s="342"/>
      <c r="Y74" s="342"/>
      <c r="Z74" s="342"/>
      <c r="AA74" s="342"/>
      <c r="AB74" s="342"/>
      <c r="AC74" s="342"/>
      <c r="AD74" s="342"/>
      <c r="AE74" s="342"/>
      <c r="AF74" s="342"/>
      <c r="AG74" s="342"/>
      <c r="AH74" s="342"/>
      <c r="AI74" s="342"/>
      <c r="AJ74" s="342"/>
      <c r="AK74" s="342"/>
      <c r="AL74" s="342"/>
      <c r="AM74" s="342"/>
      <c r="AN74" s="342"/>
      <c r="AO74" s="342"/>
      <c r="AP74" s="342"/>
      <c r="AQ74" s="342"/>
      <c r="AR74" s="342"/>
      <c r="AS74" s="342"/>
      <c r="AT74" s="342"/>
      <c r="AU74" s="342"/>
      <c r="AV74" s="342"/>
      <c r="AW74" s="342"/>
      <c r="AX74" s="342"/>
      <c r="AY74" s="342"/>
      <c r="AZ74" s="342"/>
      <c r="BA74" s="342"/>
      <c r="BB74" s="342"/>
      <c r="BC74" s="342"/>
      <c r="BD74" s="342"/>
      <c r="BE74" s="342"/>
      <c r="BF74" s="342"/>
      <c r="BG74" s="342"/>
      <c r="BH74" s="342"/>
      <c r="BI74" s="342"/>
      <c r="BJ74" s="342"/>
      <c r="BK74" s="342"/>
      <c r="BL74" s="342"/>
      <c r="BM74" s="342"/>
      <c r="BN74" s="312"/>
      <c r="BO74" s="313"/>
      <c r="BS74" s="219"/>
    </row>
    <row r="75" spans="1:71" s="216" customFormat="1" ht="15.75" thickBot="1">
      <c r="A75" s="215"/>
      <c r="B75" s="454" t="s">
        <v>187</v>
      </c>
      <c r="C75" s="576">
        <f>SUM(D65:BN65)+SUM(D66:BN66)</f>
        <v>48416787.127400748</v>
      </c>
      <c r="D75" s="455"/>
      <c r="E75" s="455"/>
      <c r="F75" s="455"/>
      <c r="G75" s="455"/>
      <c r="H75" s="455"/>
      <c r="I75" s="455"/>
      <c r="J75" s="455"/>
      <c r="K75" s="455"/>
      <c r="L75" s="455"/>
      <c r="M75" s="455"/>
      <c r="N75" s="455"/>
      <c r="O75" s="455"/>
      <c r="P75" s="455"/>
      <c r="Q75" s="455"/>
      <c r="R75" s="455"/>
      <c r="S75" s="455"/>
      <c r="T75" s="455"/>
      <c r="U75" s="455"/>
      <c r="V75" s="455"/>
      <c r="W75" s="455"/>
      <c r="X75" s="455"/>
      <c r="Y75" s="455"/>
      <c r="Z75" s="455"/>
      <c r="AA75" s="455"/>
      <c r="AB75" s="455"/>
      <c r="AC75" s="455"/>
      <c r="AD75" s="455"/>
      <c r="AE75" s="455"/>
      <c r="AF75" s="455"/>
      <c r="AG75" s="455"/>
      <c r="AH75" s="455"/>
      <c r="AI75" s="455"/>
      <c r="AJ75" s="455"/>
      <c r="AK75" s="455"/>
      <c r="AL75" s="455"/>
      <c r="AM75" s="455"/>
      <c r="AN75" s="455"/>
      <c r="AO75" s="455"/>
      <c r="AP75" s="455"/>
      <c r="AQ75" s="455"/>
      <c r="AR75" s="455"/>
      <c r="AS75" s="455"/>
      <c r="AT75" s="455"/>
      <c r="AU75" s="455"/>
      <c r="AV75" s="455"/>
      <c r="AW75" s="455"/>
      <c r="AX75" s="455"/>
      <c r="AY75" s="455"/>
      <c r="AZ75" s="455"/>
      <c r="BA75" s="455"/>
      <c r="BB75" s="455"/>
      <c r="BC75" s="455"/>
      <c r="BD75" s="455"/>
      <c r="BE75" s="455"/>
      <c r="BF75" s="455"/>
      <c r="BG75" s="455"/>
      <c r="BH75" s="455"/>
      <c r="BI75" s="455"/>
      <c r="BJ75" s="455"/>
      <c r="BK75" s="455"/>
      <c r="BL75" s="455"/>
      <c r="BM75" s="455"/>
      <c r="BN75" s="577"/>
      <c r="BS75" s="219"/>
    </row>
    <row r="76" spans="1:71" s="216" customFormat="1">
      <c r="A76" s="215"/>
      <c r="B76" s="230"/>
      <c r="C76" s="235"/>
      <c r="D76" s="236"/>
      <c r="E76" s="236"/>
      <c r="F76" s="236"/>
      <c r="G76" s="236"/>
      <c r="H76" s="236"/>
      <c r="I76" s="236"/>
      <c r="J76" s="236"/>
      <c r="K76" s="236"/>
      <c r="L76" s="236"/>
      <c r="M76" s="236"/>
      <c r="N76" s="236"/>
      <c r="O76" s="236"/>
      <c r="P76" s="236"/>
      <c r="Q76" s="236"/>
      <c r="R76" s="236"/>
      <c r="S76" s="236"/>
      <c r="T76" s="236"/>
      <c r="U76" s="236"/>
      <c r="V76" s="236"/>
      <c r="W76" s="236"/>
      <c r="X76" s="236"/>
      <c r="Y76" s="236"/>
      <c r="Z76" s="236"/>
      <c r="AA76" s="236"/>
      <c r="AB76" s="236"/>
      <c r="AC76" s="236"/>
      <c r="AD76" s="236"/>
      <c r="AE76" s="236"/>
      <c r="AF76" s="236"/>
      <c r="AG76" s="236"/>
      <c r="AH76" s="236"/>
      <c r="AI76" s="236"/>
      <c r="AJ76" s="236"/>
      <c r="AK76" s="236"/>
      <c r="AL76" s="236"/>
      <c r="AM76" s="236"/>
      <c r="AN76" s="236"/>
      <c r="AO76" s="236"/>
      <c r="AP76" s="236"/>
      <c r="AQ76" s="236"/>
      <c r="AR76" s="236"/>
      <c r="AS76" s="236"/>
      <c r="AT76" s="236"/>
      <c r="AU76" s="236"/>
      <c r="AV76" s="236"/>
      <c r="AW76" s="236"/>
      <c r="AX76" s="236"/>
      <c r="AY76" s="236"/>
      <c r="AZ76" s="236"/>
      <c r="BA76" s="236"/>
      <c r="BB76" s="236"/>
      <c r="BC76" s="236"/>
      <c r="BD76" s="236"/>
      <c r="BE76" s="236"/>
      <c r="BF76" s="236"/>
      <c r="BG76" s="236"/>
      <c r="BH76" s="236"/>
      <c r="BI76" s="236"/>
      <c r="BJ76" s="236"/>
      <c r="BK76" s="236"/>
      <c r="BL76" s="236"/>
      <c r="BM76" s="236"/>
      <c r="BN76" s="236"/>
      <c r="BO76" s="236"/>
      <c r="BS76" s="219"/>
    </row>
    <row r="77" spans="1:71" s="216" customFormat="1">
      <c r="A77" s="215"/>
      <c r="B77" s="230"/>
      <c r="C77" s="235"/>
      <c r="D77" s="235"/>
      <c r="E77" s="235"/>
      <c r="F77" s="235"/>
      <c r="G77" s="235"/>
      <c r="H77" s="235"/>
      <c r="I77" s="235"/>
      <c r="J77" s="235"/>
      <c r="K77" s="235"/>
      <c r="L77" s="235"/>
      <c r="M77" s="235"/>
      <c r="N77" s="235"/>
      <c r="O77" s="235"/>
      <c r="P77" s="235"/>
      <c r="Q77" s="235"/>
      <c r="R77" s="235"/>
      <c r="S77" s="235"/>
      <c r="T77" s="235"/>
      <c r="U77" s="235"/>
      <c r="V77" s="235"/>
      <c r="W77" s="235"/>
      <c r="X77" s="235"/>
      <c r="Y77" s="235"/>
      <c r="Z77" s="235"/>
      <c r="AA77" s="235"/>
      <c r="AB77" s="235"/>
      <c r="AC77" s="235"/>
      <c r="AD77" s="235"/>
      <c r="AE77" s="235"/>
      <c r="AF77" s="235"/>
      <c r="AG77" s="235"/>
      <c r="AH77" s="235"/>
      <c r="AI77" s="235"/>
      <c r="AJ77" s="235"/>
      <c r="AK77" s="235"/>
      <c r="AL77" s="235"/>
      <c r="AM77" s="235"/>
      <c r="AN77" s="235"/>
      <c r="AO77" s="235"/>
      <c r="AP77" s="235"/>
      <c r="AQ77" s="235"/>
      <c r="AR77" s="235"/>
      <c r="AS77" s="235"/>
      <c r="AT77" s="235"/>
      <c r="AU77" s="235"/>
      <c r="AV77" s="235"/>
      <c r="AW77" s="235"/>
      <c r="AX77" s="235"/>
      <c r="AY77" s="235"/>
      <c r="AZ77" s="235"/>
      <c r="BA77" s="235"/>
      <c r="BB77" s="235"/>
      <c r="BC77" s="235"/>
      <c r="BD77" s="235"/>
      <c r="BE77" s="235"/>
      <c r="BF77" s="235"/>
      <c r="BG77" s="235"/>
      <c r="BH77" s="235"/>
      <c r="BI77" s="235"/>
      <c r="BJ77" s="235"/>
      <c r="BK77" s="235"/>
      <c r="BL77" s="235"/>
      <c r="BM77" s="235"/>
      <c r="BN77" s="235"/>
      <c r="BO77" s="237"/>
      <c r="BS77" s="219"/>
    </row>
    <row r="78" spans="1:71" s="216" customFormat="1">
      <c r="A78" s="215"/>
      <c r="B78" s="238"/>
      <c r="C78" s="218"/>
      <c r="D78" s="218"/>
      <c r="E78" s="218"/>
      <c r="F78" s="218"/>
      <c r="G78" s="218"/>
      <c r="H78" s="218"/>
      <c r="I78" s="218"/>
      <c r="J78" s="218"/>
      <c r="K78" s="218"/>
      <c r="L78" s="218"/>
      <c r="M78" s="218"/>
      <c r="N78" s="218"/>
      <c r="O78" s="218"/>
      <c r="P78" s="218"/>
      <c r="Q78" s="218"/>
      <c r="R78" s="218"/>
      <c r="S78" s="218"/>
      <c r="T78" s="218"/>
      <c r="U78" s="218"/>
      <c r="V78" s="218"/>
      <c r="W78" s="218"/>
      <c r="X78" s="218"/>
      <c r="Y78" s="218"/>
      <c r="Z78" s="218"/>
      <c r="AA78" s="218"/>
      <c r="AB78" s="218"/>
      <c r="AC78" s="218"/>
      <c r="AD78" s="218"/>
      <c r="AE78" s="218"/>
      <c r="AF78" s="218"/>
      <c r="AG78" s="218"/>
      <c r="AH78" s="218"/>
      <c r="AI78" s="218"/>
      <c r="AJ78" s="218"/>
      <c r="AK78" s="218"/>
      <c r="AL78" s="218"/>
      <c r="AM78" s="218"/>
      <c r="AN78" s="218"/>
      <c r="AO78" s="218"/>
      <c r="AP78" s="218"/>
      <c r="AQ78" s="218"/>
      <c r="AR78" s="218"/>
      <c r="AS78" s="218"/>
      <c r="AT78" s="218"/>
      <c r="AU78" s="218"/>
      <c r="AV78" s="218"/>
      <c r="AW78" s="218"/>
      <c r="AX78" s="218"/>
      <c r="AY78" s="218"/>
      <c r="AZ78" s="218"/>
      <c r="BA78" s="218"/>
      <c r="BB78" s="218"/>
      <c r="BC78" s="218"/>
      <c r="BD78" s="218"/>
      <c r="BE78" s="218"/>
      <c r="BF78" s="218"/>
      <c r="BG78" s="218"/>
      <c r="BH78" s="218"/>
      <c r="BI78" s="218"/>
      <c r="BJ78" s="218"/>
      <c r="BK78" s="218"/>
      <c r="BL78" s="218"/>
      <c r="BM78" s="218"/>
      <c r="BN78" s="218"/>
      <c r="BO78" s="227"/>
      <c r="BS78" s="219"/>
    </row>
    <row r="79" spans="1:71" s="216" customFormat="1">
      <c r="A79" s="215"/>
      <c r="E79" s="218"/>
      <c r="F79" s="218"/>
      <c r="G79" s="218"/>
      <c r="H79" s="218"/>
      <c r="I79" s="218"/>
      <c r="J79" s="218"/>
      <c r="K79" s="218"/>
      <c r="L79" s="218"/>
      <c r="M79" s="218"/>
      <c r="N79" s="218"/>
      <c r="O79" s="218"/>
      <c r="P79" s="218"/>
      <c r="Q79" s="218"/>
      <c r="R79" s="218"/>
      <c r="S79" s="218"/>
      <c r="T79" s="218"/>
      <c r="U79" s="218"/>
      <c r="V79" s="218"/>
      <c r="W79" s="218"/>
      <c r="X79" s="218"/>
      <c r="Y79" s="218"/>
      <c r="Z79" s="218"/>
      <c r="AA79" s="218"/>
      <c r="AB79" s="218"/>
      <c r="AC79" s="218"/>
      <c r="AD79" s="218"/>
      <c r="AE79" s="218"/>
      <c r="AF79" s="218"/>
      <c r="AG79" s="218"/>
      <c r="AH79" s="218"/>
      <c r="AI79" s="218"/>
      <c r="AJ79" s="218"/>
      <c r="AK79" s="218"/>
      <c r="AL79" s="218"/>
      <c r="AM79" s="218"/>
      <c r="AN79" s="218"/>
      <c r="AO79" s="218"/>
      <c r="AP79" s="218"/>
      <c r="AQ79" s="218"/>
      <c r="AR79" s="218"/>
      <c r="AS79" s="218"/>
      <c r="AT79" s="218"/>
      <c r="AU79" s="218"/>
      <c r="AV79" s="218"/>
      <c r="AW79" s="218"/>
      <c r="AX79" s="218"/>
      <c r="AY79" s="218"/>
      <c r="AZ79" s="218"/>
      <c r="BA79" s="218"/>
      <c r="BB79" s="218"/>
      <c r="BC79" s="218"/>
      <c r="BD79" s="218"/>
      <c r="BE79" s="218"/>
      <c r="BF79" s="218"/>
      <c r="BG79" s="218"/>
      <c r="BH79" s="218"/>
      <c r="BI79" s="218"/>
      <c r="BJ79" s="218"/>
      <c r="BK79" s="218"/>
      <c r="BL79" s="218"/>
      <c r="BM79" s="218"/>
      <c r="BN79" s="218"/>
      <c r="BO79" s="218"/>
      <c r="BS79" s="219"/>
    </row>
    <row r="80" spans="1:71" s="216" customFormat="1">
      <c r="A80" s="215"/>
      <c r="E80" s="218"/>
      <c r="F80" s="218"/>
      <c r="G80" s="218"/>
      <c r="H80" s="218"/>
      <c r="I80" s="218"/>
      <c r="J80" s="218"/>
      <c r="K80" s="218"/>
      <c r="L80" s="218"/>
      <c r="M80" s="218"/>
      <c r="N80" s="218"/>
      <c r="O80" s="218"/>
      <c r="P80" s="218"/>
      <c r="Q80" s="218"/>
      <c r="R80" s="218"/>
      <c r="S80" s="218"/>
      <c r="T80" s="218"/>
      <c r="U80" s="218"/>
      <c r="V80" s="218"/>
      <c r="W80" s="218"/>
      <c r="X80" s="218"/>
      <c r="Y80" s="218"/>
      <c r="Z80" s="218"/>
      <c r="AA80" s="218"/>
      <c r="AB80" s="218"/>
      <c r="AC80" s="218"/>
      <c r="AD80" s="218"/>
      <c r="AE80" s="218"/>
      <c r="AF80" s="218"/>
      <c r="AG80" s="218"/>
      <c r="AH80" s="218"/>
      <c r="AI80" s="218"/>
      <c r="AJ80" s="218"/>
      <c r="AK80" s="218"/>
      <c r="AL80" s="218"/>
      <c r="AM80" s="218"/>
      <c r="AN80" s="218"/>
      <c r="AO80" s="218"/>
      <c r="AP80" s="218"/>
      <c r="AQ80" s="218"/>
      <c r="AR80" s="218"/>
      <c r="AS80" s="218"/>
      <c r="AT80" s="218"/>
      <c r="AU80" s="218"/>
      <c r="AV80" s="218"/>
      <c r="AW80" s="218"/>
      <c r="AX80" s="218"/>
      <c r="AY80" s="218"/>
      <c r="AZ80" s="218"/>
      <c r="BA80" s="218"/>
      <c r="BB80" s="218"/>
      <c r="BC80" s="218"/>
      <c r="BD80" s="218"/>
      <c r="BE80" s="218"/>
      <c r="BF80" s="218"/>
      <c r="BG80" s="218"/>
      <c r="BH80" s="218"/>
      <c r="BI80" s="218"/>
      <c r="BJ80" s="218"/>
      <c r="BK80" s="218"/>
      <c r="BL80" s="218"/>
      <c r="BM80" s="218"/>
      <c r="BN80" s="218"/>
      <c r="BO80" s="218"/>
      <c r="BS80" s="219"/>
    </row>
    <row r="81" spans="1:71" s="216" customFormat="1">
      <c r="A81" s="215"/>
      <c r="E81" s="218"/>
      <c r="F81" s="218"/>
      <c r="G81" s="218"/>
      <c r="H81" s="218"/>
      <c r="I81" s="218"/>
      <c r="J81" s="218"/>
      <c r="K81" s="218"/>
      <c r="L81" s="218"/>
      <c r="M81" s="218"/>
      <c r="N81" s="218"/>
      <c r="O81" s="218"/>
      <c r="P81" s="218"/>
      <c r="Q81" s="218"/>
      <c r="R81" s="218"/>
      <c r="S81" s="218"/>
      <c r="T81" s="218"/>
      <c r="U81" s="218"/>
      <c r="V81" s="218"/>
      <c r="W81" s="218"/>
      <c r="X81" s="218"/>
      <c r="Y81" s="218"/>
      <c r="Z81" s="218"/>
      <c r="AA81" s="218"/>
      <c r="AB81" s="218"/>
      <c r="AC81" s="218"/>
      <c r="AD81" s="218"/>
      <c r="AE81" s="218"/>
      <c r="AF81" s="218"/>
      <c r="AG81" s="218"/>
      <c r="AH81" s="218"/>
      <c r="AI81" s="218"/>
      <c r="AJ81" s="218"/>
      <c r="AK81" s="218"/>
      <c r="AL81" s="218"/>
      <c r="AM81" s="218"/>
      <c r="AN81" s="218"/>
      <c r="AO81" s="218"/>
      <c r="AP81" s="218"/>
      <c r="AQ81" s="218"/>
      <c r="AR81" s="218"/>
      <c r="AS81" s="218"/>
      <c r="AT81" s="218"/>
      <c r="AU81" s="218"/>
      <c r="AV81" s="218"/>
      <c r="AW81" s="218"/>
      <c r="AX81" s="218"/>
      <c r="AY81" s="218"/>
      <c r="AZ81" s="218"/>
      <c r="BA81" s="218"/>
      <c r="BB81" s="218"/>
      <c r="BC81" s="218"/>
      <c r="BD81" s="218"/>
      <c r="BE81" s="218"/>
      <c r="BF81" s="218"/>
      <c r="BG81" s="218"/>
      <c r="BH81" s="218"/>
      <c r="BI81" s="218"/>
      <c r="BJ81" s="218"/>
      <c r="BK81" s="218"/>
      <c r="BL81" s="218"/>
      <c r="BM81" s="218"/>
      <c r="BN81" s="218"/>
      <c r="BO81" s="218"/>
      <c r="BS81" s="219"/>
    </row>
    <row r="82" spans="1:71" s="216" customFormat="1">
      <c r="A82" s="215"/>
      <c r="E82" s="218"/>
      <c r="F82" s="218"/>
      <c r="G82" s="218"/>
      <c r="H82" s="218"/>
      <c r="I82" s="218"/>
      <c r="J82" s="218"/>
      <c r="K82" s="218"/>
      <c r="L82" s="218"/>
      <c r="M82" s="218"/>
      <c r="N82" s="218"/>
      <c r="O82" s="218"/>
      <c r="P82" s="218"/>
      <c r="Q82" s="218"/>
      <c r="R82" s="218"/>
      <c r="S82" s="218"/>
      <c r="T82" s="218"/>
      <c r="U82" s="218"/>
      <c r="V82" s="218"/>
      <c r="W82" s="218"/>
      <c r="X82" s="218"/>
      <c r="Y82" s="218"/>
      <c r="Z82" s="218"/>
      <c r="AA82" s="218"/>
      <c r="AB82" s="218"/>
      <c r="AC82" s="218"/>
      <c r="AD82" s="218"/>
      <c r="AE82" s="218"/>
      <c r="AF82" s="218"/>
      <c r="AG82" s="218"/>
      <c r="AH82" s="218"/>
      <c r="AI82" s="218"/>
      <c r="AJ82" s="218"/>
      <c r="AK82" s="218"/>
      <c r="AL82" s="218"/>
      <c r="AM82" s="218"/>
      <c r="AN82" s="218"/>
      <c r="AO82" s="218"/>
      <c r="AP82" s="218"/>
      <c r="AQ82" s="218"/>
      <c r="AR82" s="218"/>
      <c r="AS82" s="218"/>
      <c r="AT82" s="218"/>
      <c r="AU82" s="218"/>
      <c r="AV82" s="218"/>
      <c r="AW82" s="218"/>
      <c r="AX82" s="218"/>
      <c r="AY82" s="218"/>
      <c r="AZ82" s="218"/>
      <c r="BA82" s="218"/>
      <c r="BB82" s="218"/>
      <c r="BC82" s="218"/>
      <c r="BD82" s="218"/>
      <c r="BE82" s="218"/>
      <c r="BF82" s="218"/>
      <c r="BG82" s="218"/>
      <c r="BH82" s="218"/>
      <c r="BI82" s="218"/>
      <c r="BJ82" s="218"/>
      <c r="BK82" s="218"/>
      <c r="BL82" s="218"/>
      <c r="BM82" s="218"/>
      <c r="BN82" s="218"/>
      <c r="BO82" s="218"/>
      <c r="BS82" s="219"/>
    </row>
    <row r="83" spans="1:71" s="216" customFormat="1">
      <c r="A83" s="215"/>
      <c r="E83" s="218"/>
      <c r="F83" s="218"/>
      <c r="G83" s="218"/>
      <c r="H83" s="218"/>
      <c r="I83" s="218"/>
      <c r="J83" s="218"/>
      <c r="K83" s="218"/>
      <c r="L83" s="218"/>
      <c r="M83" s="218"/>
      <c r="N83" s="218"/>
      <c r="O83" s="218"/>
      <c r="P83" s="218"/>
      <c r="Q83" s="218"/>
      <c r="R83" s="218"/>
      <c r="S83" s="218"/>
      <c r="T83" s="218"/>
      <c r="U83" s="218"/>
      <c r="V83" s="218"/>
      <c r="W83" s="218"/>
      <c r="X83" s="218"/>
      <c r="Y83" s="218"/>
      <c r="Z83" s="218"/>
      <c r="AA83" s="218"/>
      <c r="AB83" s="218"/>
      <c r="AC83" s="218"/>
      <c r="AD83" s="218"/>
      <c r="AE83" s="218"/>
      <c r="AF83" s="218"/>
      <c r="AG83" s="218"/>
      <c r="AH83" s="218"/>
      <c r="AI83" s="218"/>
      <c r="AJ83" s="218"/>
      <c r="AK83" s="218"/>
      <c r="AL83" s="218"/>
      <c r="AM83" s="218"/>
      <c r="AN83" s="218"/>
      <c r="AO83" s="218"/>
      <c r="AP83" s="218"/>
      <c r="AQ83" s="218"/>
      <c r="AR83" s="218"/>
      <c r="AS83" s="218"/>
      <c r="AT83" s="218"/>
      <c r="AU83" s="218"/>
      <c r="AV83" s="218"/>
      <c r="AW83" s="218"/>
      <c r="AX83" s="218"/>
      <c r="AY83" s="218"/>
      <c r="AZ83" s="218"/>
      <c r="BA83" s="218"/>
      <c r="BB83" s="218"/>
      <c r="BC83" s="218"/>
      <c r="BD83" s="218"/>
      <c r="BE83" s="218"/>
      <c r="BF83" s="218"/>
      <c r="BG83" s="218"/>
      <c r="BH83" s="218"/>
      <c r="BI83" s="218"/>
      <c r="BJ83" s="218"/>
      <c r="BK83" s="218"/>
      <c r="BL83" s="218"/>
      <c r="BM83" s="218"/>
      <c r="BN83" s="218"/>
      <c r="BO83" s="218"/>
      <c r="BS83" s="219"/>
    </row>
    <row r="84" spans="1:71" s="216" customFormat="1">
      <c r="A84" s="215"/>
      <c r="E84" s="218"/>
      <c r="F84" s="218"/>
      <c r="G84" s="218"/>
      <c r="H84" s="218"/>
      <c r="I84" s="218"/>
      <c r="J84" s="218"/>
      <c r="K84" s="218"/>
      <c r="L84" s="218"/>
      <c r="M84" s="218"/>
      <c r="N84" s="218"/>
      <c r="O84" s="218"/>
      <c r="P84" s="218"/>
      <c r="Q84" s="218"/>
      <c r="R84" s="218"/>
      <c r="S84" s="218"/>
      <c r="T84" s="218"/>
      <c r="U84" s="218"/>
      <c r="V84" s="218"/>
      <c r="W84" s="218"/>
      <c r="X84" s="218"/>
      <c r="Y84" s="218"/>
      <c r="Z84" s="218"/>
      <c r="AA84" s="218"/>
      <c r="AB84" s="218"/>
      <c r="AC84" s="218"/>
      <c r="AD84" s="218"/>
      <c r="AE84" s="218"/>
      <c r="AF84" s="218"/>
      <c r="AG84" s="218"/>
      <c r="AH84" s="218"/>
      <c r="AI84" s="218"/>
      <c r="AJ84" s="218"/>
      <c r="AK84" s="218"/>
      <c r="AL84" s="218"/>
      <c r="AM84" s="218"/>
      <c r="AN84" s="218"/>
      <c r="AO84" s="218"/>
      <c r="AP84" s="218"/>
      <c r="AQ84" s="218"/>
      <c r="AR84" s="218"/>
      <c r="AS84" s="218"/>
      <c r="AT84" s="218"/>
      <c r="AU84" s="218"/>
      <c r="AV84" s="218"/>
      <c r="AW84" s="218"/>
      <c r="AX84" s="218"/>
      <c r="AY84" s="218"/>
      <c r="AZ84" s="218"/>
      <c r="BA84" s="218"/>
      <c r="BB84" s="218"/>
      <c r="BC84" s="218"/>
      <c r="BD84" s="218"/>
      <c r="BE84" s="218"/>
      <c r="BF84" s="218"/>
      <c r="BG84" s="218"/>
      <c r="BH84" s="218"/>
      <c r="BI84" s="218"/>
      <c r="BJ84" s="218"/>
      <c r="BK84" s="218"/>
      <c r="BL84" s="218"/>
      <c r="BM84" s="218"/>
      <c r="BN84" s="218"/>
      <c r="BO84" s="218"/>
      <c r="BS84" s="219"/>
    </row>
    <row r="85" spans="1:71" s="216" customFormat="1">
      <c r="A85" s="215"/>
      <c r="E85" s="218"/>
      <c r="F85" s="218"/>
      <c r="G85" s="218"/>
      <c r="H85" s="218"/>
      <c r="I85" s="218"/>
      <c r="J85" s="218"/>
      <c r="K85" s="218"/>
      <c r="L85" s="218"/>
      <c r="M85" s="218"/>
      <c r="N85" s="218"/>
      <c r="O85" s="218"/>
      <c r="P85" s="218"/>
      <c r="Q85" s="218"/>
      <c r="R85" s="218"/>
      <c r="S85" s="218"/>
      <c r="T85" s="218"/>
      <c r="U85" s="218"/>
      <c r="V85" s="218"/>
      <c r="W85" s="218"/>
      <c r="X85" s="218"/>
      <c r="Y85" s="218"/>
      <c r="Z85" s="218"/>
      <c r="AA85" s="218"/>
      <c r="AB85" s="218"/>
      <c r="AC85" s="218"/>
      <c r="AD85" s="218"/>
      <c r="AE85" s="218"/>
      <c r="AF85" s="218"/>
      <c r="AG85" s="218"/>
      <c r="AH85" s="218"/>
      <c r="AI85" s="218"/>
      <c r="AJ85" s="218"/>
      <c r="AK85" s="218"/>
      <c r="AL85" s="218"/>
      <c r="AM85" s="218"/>
      <c r="AN85" s="218"/>
      <c r="AO85" s="218"/>
      <c r="AP85" s="218"/>
      <c r="AQ85" s="218"/>
      <c r="AR85" s="218"/>
      <c r="AS85" s="218"/>
      <c r="AT85" s="218"/>
      <c r="AU85" s="218"/>
      <c r="AV85" s="218"/>
      <c r="AW85" s="218"/>
      <c r="AX85" s="218"/>
      <c r="AY85" s="218"/>
      <c r="AZ85" s="218"/>
      <c r="BA85" s="218"/>
      <c r="BB85" s="218"/>
      <c r="BC85" s="218"/>
      <c r="BD85" s="218"/>
      <c r="BE85" s="218"/>
      <c r="BF85" s="218"/>
      <c r="BG85" s="218"/>
      <c r="BH85" s="218"/>
      <c r="BI85" s="218"/>
      <c r="BJ85" s="218"/>
      <c r="BK85" s="218"/>
      <c r="BL85" s="218"/>
      <c r="BM85" s="218"/>
      <c r="BN85" s="218"/>
      <c r="BO85" s="218"/>
      <c r="BS85" s="219"/>
    </row>
    <row r="86" spans="1:71" s="216" customFormat="1">
      <c r="A86" s="215"/>
      <c r="E86" s="218"/>
      <c r="F86" s="218"/>
      <c r="G86" s="218"/>
      <c r="H86" s="218"/>
      <c r="I86" s="218"/>
      <c r="J86" s="218"/>
      <c r="K86" s="218"/>
      <c r="L86" s="218"/>
      <c r="M86" s="218"/>
      <c r="N86" s="218"/>
      <c r="O86" s="218"/>
      <c r="P86" s="218"/>
      <c r="Q86" s="218"/>
      <c r="R86" s="218"/>
      <c r="S86" s="218"/>
      <c r="T86" s="218"/>
      <c r="U86" s="218"/>
      <c r="V86" s="218"/>
      <c r="W86" s="218"/>
      <c r="X86" s="218"/>
      <c r="Y86" s="218"/>
      <c r="Z86" s="218"/>
      <c r="AA86" s="218"/>
      <c r="AB86" s="218"/>
      <c r="AC86" s="218"/>
      <c r="AD86" s="218"/>
      <c r="AE86" s="218"/>
      <c r="AF86" s="218"/>
      <c r="AG86" s="218"/>
      <c r="AH86" s="218"/>
      <c r="AI86" s="218"/>
      <c r="AJ86" s="218"/>
      <c r="AK86" s="218"/>
      <c r="AL86" s="218"/>
      <c r="AM86" s="218"/>
      <c r="AN86" s="218"/>
      <c r="AO86" s="218"/>
      <c r="AP86" s="218"/>
      <c r="AQ86" s="218"/>
      <c r="AR86" s="218"/>
      <c r="AS86" s="218"/>
      <c r="AT86" s="218"/>
      <c r="AU86" s="218"/>
      <c r="AV86" s="218"/>
      <c r="AW86" s="218"/>
      <c r="AX86" s="218"/>
      <c r="AY86" s="218"/>
      <c r="AZ86" s="218"/>
      <c r="BA86" s="218"/>
      <c r="BB86" s="218"/>
      <c r="BC86" s="218"/>
      <c r="BD86" s="218"/>
      <c r="BE86" s="218"/>
      <c r="BF86" s="218"/>
      <c r="BG86" s="218"/>
      <c r="BH86" s="218"/>
      <c r="BI86" s="218"/>
      <c r="BJ86" s="218"/>
      <c r="BK86" s="218"/>
      <c r="BL86" s="218"/>
      <c r="BM86" s="218"/>
      <c r="BN86" s="218"/>
      <c r="BO86" s="218"/>
      <c r="BS86" s="219"/>
    </row>
    <row r="87" spans="1:71" s="216" customFormat="1">
      <c r="A87" s="215"/>
      <c r="E87" s="218"/>
      <c r="F87" s="218"/>
      <c r="G87" s="218"/>
      <c r="H87" s="218"/>
      <c r="I87" s="218"/>
      <c r="J87" s="218"/>
      <c r="K87" s="218"/>
      <c r="L87" s="218"/>
      <c r="M87" s="218"/>
      <c r="N87" s="218"/>
      <c r="O87" s="218"/>
      <c r="P87" s="218"/>
      <c r="Q87" s="218"/>
      <c r="R87" s="218"/>
      <c r="S87" s="218"/>
      <c r="T87" s="218"/>
      <c r="U87" s="218"/>
      <c r="V87" s="218"/>
      <c r="W87" s="218"/>
      <c r="X87" s="218"/>
      <c r="Y87" s="218"/>
      <c r="Z87" s="218"/>
      <c r="AA87" s="218"/>
      <c r="AB87" s="218"/>
      <c r="AC87" s="218"/>
      <c r="AD87" s="218"/>
      <c r="AE87" s="218"/>
      <c r="AF87" s="218"/>
      <c r="AG87" s="218"/>
      <c r="AH87" s="218"/>
      <c r="AI87" s="218"/>
      <c r="AJ87" s="218"/>
      <c r="AK87" s="218"/>
      <c r="AL87" s="218"/>
      <c r="AM87" s="218"/>
      <c r="AN87" s="218"/>
      <c r="AO87" s="218"/>
      <c r="AP87" s="218"/>
      <c r="AQ87" s="218"/>
      <c r="AR87" s="218"/>
      <c r="AS87" s="218"/>
      <c r="AT87" s="218"/>
      <c r="AU87" s="218"/>
      <c r="AV87" s="218"/>
      <c r="AW87" s="218"/>
      <c r="AX87" s="218"/>
      <c r="AY87" s="218"/>
      <c r="AZ87" s="218"/>
      <c r="BA87" s="218"/>
      <c r="BB87" s="218"/>
      <c r="BC87" s="218"/>
      <c r="BD87" s="218"/>
      <c r="BE87" s="218"/>
      <c r="BF87" s="218"/>
      <c r="BG87" s="218"/>
      <c r="BH87" s="218"/>
      <c r="BI87" s="218"/>
      <c r="BJ87" s="218"/>
      <c r="BK87" s="218"/>
      <c r="BL87" s="218"/>
      <c r="BM87" s="218"/>
      <c r="BN87" s="218"/>
      <c r="BO87" s="218"/>
      <c r="BS87" s="219"/>
    </row>
    <row r="88" spans="1:71" s="216" customFormat="1">
      <c r="A88" s="215"/>
      <c r="E88" s="218"/>
      <c r="F88" s="218"/>
      <c r="G88" s="218"/>
      <c r="H88" s="218"/>
      <c r="I88" s="218"/>
      <c r="J88" s="218"/>
      <c r="K88" s="218"/>
      <c r="L88" s="218"/>
      <c r="M88" s="218"/>
      <c r="N88" s="218"/>
      <c r="O88" s="218"/>
      <c r="P88" s="218"/>
      <c r="Q88" s="218"/>
      <c r="R88" s="218"/>
      <c r="S88" s="218"/>
      <c r="T88" s="218"/>
      <c r="U88" s="218"/>
      <c r="V88" s="218"/>
      <c r="W88" s="218"/>
      <c r="X88" s="218"/>
      <c r="Y88" s="218"/>
      <c r="Z88" s="218"/>
      <c r="AA88" s="218"/>
      <c r="AB88" s="218"/>
      <c r="AC88" s="218"/>
      <c r="AD88" s="218"/>
      <c r="AE88" s="218"/>
      <c r="AF88" s="218"/>
      <c r="AG88" s="218"/>
      <c r="AH88" s="218"/>
      <c r="AI88" s="218"/>
      <c r="AJ88" s="218"/>
      <c r="AK88" s="218"/>
      <c r="AL88" s="218"/>
      <c r="AM88" s="218"/>
      <c r="AN88" s="218"/>
      <c r="AO88" s="218"/>
      <c r="AP88" s="218"/>
      <c r="AQ88" s="218"/>
      <c r="AR88" s="218"/>
      <c r="AS88" s="218"/>
      <c r="AT88" s="218"/>
      <c r="AU88" s="218"/>
      <c r="AV88" s="218"/>
      <c r="AW88" s="218"/>
      <c r="AX88" s="218"/>
      <c r="AY88" s="218"/>
      <c r="AZ88" s="218"/>
      <c r="BA88" s="218"/>
      <c r="BB88" s="218"/>
      <c r="BC88" s="218"/>
      <c r="BD88" s="218"/>
      <c r="BE88" s="218"/>
      <c r="BF88" s="218"/>
      <c r="BG88" s="218"/>
      <c r="BH88" s="218"/>
      <c r="BI88" s="218"/>
      <c r="BJ88" s="218"/>
      <c r="BK88" s="218"/>
      <c r="BL88" s="218"/>
      <c r="BM88" s="218"/>
      <c r="BN88" s="218"/>
      <c r="BO88" s="218"/>
      <c r="BS88" s="219"/>
    </row>
    <row r="89" spans="1:71" s="216" customFormat="1">
      <c r="A89" s="215"/>
      <c r="E89" s="218"/>
      <c r="F89" s="218"/>
      <c r="G89" s="218"/>
      <c r="H89" s="218"/>
      <c r="I89" s="218"/>
      <c r="J89" s="218"/>
      <c r="K89" s="218"/>
      <c r="L89" s="218"/>
      <c r="M89" s="218"/>
      <c r="N89" s="218"/>
      <c r="O89" s="218"/>
      <c r="P89" s="218"/>
      <c r="Q89" s="218"/>
      <c r="R89" s="218"/>
      <c r="S89" s="218"/>
      <c r="T89" s="218"/>
      <c r="U89" s="218"/>
      <c r="V89" s="218"/>
      <c r="W89" s="218"/>
      <c r="X89" s="218"/>
      <c r="Y89" s="218"/>
      <c r="Z89" s="218"/>
      <c r="AA89" s="218"/>
      <c r="AB89" s="218"/>
      <c r="AC89" s="218"/>
      <c r="AD89" s="218"/>
      <c r="AE89" s="218"/>
      <c r="AF89" s="218"/>
      <c r="AG89" s="218"/>
      <c r="AH89" s="218"/>
      <c r="AI89" s="218"/>
      <c r="AJ89" s="218"/>
      <c r="AK89" s="218"/>
      <c r="AL89" s="218"/>
      <c r="AM89" s="218"/>
      <c r="AN89" s="218"/>
      <c r="AO89" s="218"/>
      <c r="AP89" s="218"/>
      <c r="AQ89" s="218"/>
      <c r="AR89" s="218"/>
      <c r="AS89" s="218"/>
      <c r="AT89" s="218"/>
      <c r="AU89" s="218"/>
      <c r="AV89" s="218"/>
      <c r="AW89" s="218"/>
      <c r="AX89" s="218"/>
      <c r="AY89" s="218"/>
      <c r="AZ89" s="218"/>
      <c r="BA89" s="218"/>
      <c r="BB89" s="218"/>
      <c r="BC89" s="218"/>
      <c r="BD89" s="218"/>
      <c r="BE89" s="218"/>
      <c r="BF89" s="218"/>
      <c r="BG89" s="218"/>
      <c r="BH89" s="218"/>
      <c r="BI89" s="218"/>
      <c r="BJ89" s="218"/>
      <c r="BK89" s="218"/>
      <c r="BL89" s="218"/>
      <c r="BM89" s="218"/>
      <c r="BN89" s="218"/>
      <c r="BO89" s="218"/>
      <c r="BS89" s="219"/>
    </row>
    <row r="90" spans="1:71" s="216" customFormat="1">
      <c r="A90" s="215"/>
      <c r="E90" s="218"/>
      <c r="F90" s="218"/>
      <c r="G90" s="218"/>
      <c r="H90" s="218"/>
      <c r="I90" s="218"/>
      <c r="J90" s="218"/>
      <c r="K90" s="218"/>
      <c r="L90" s="218"/>
      <c r="M90" s="218"/>
      <c r="N90" s="218"/>
      <c r="O90" s="218"/>
      <c r="P90" s="218"/>
      <c r="Q90" s="218"/>
      <c r="R90" s="218"/>
      <c r="S90" s="218"/>
      <c r="T90" s="218"/>
      <c r="U90" s="218"/>
      <c r="V90" s="218"/>
      <c r="W90" s="218"/>
      <c r="X90" s="218"/>
      <c r="Y90" s="218"/>
      <c r="Z90" s="218"/>
      <c r="AA90" s="218"/>
      <c r="AB90" s="218"/>
      <c r="AC90" s="218"/>
      <c r="AD90" s="218"/>
      <c r="AE90" s="218"/>
      <c r="AF90" s="218"/>
      <c r="AG90" s="218"/>
      <c r="AH90" s="218"/>
      <c r="AI90" s="218"/>
      <c r="AJ90" s="218"/>
      <c r="AK90" s="218"/>
      <c r="AL90" s="218"/>
      <c r="AM90" s="218"/>
      <c r="AN90" s="218"/>
      <c r="AO90" s="218"/>
      <c r="AP90" s="218"/>
      <c r="AQ90" s="218"/>
      <c r="AR90" s="218"/>
      <c r="AS90" s="218"/>
      <c r="AT90" s="218"/>
      <c r="AU90" s="218"/>
      <c r="AV90" s="218"/>
      <c r="AW90" s="218"/>
      <c r="AX90" s="218"/>
      <c r="AY90" s="218"/>
      <c r="AZ90" s="218"/>
      <c r="BA90" s="218"/>
      <c r="BB90" s="218"/>
      <c r="BC90" s="218"/>
      <c r="BD90" s="218"/>
      <c r="BE90" s="218"/>
      <c r="BF90" s="218"/>
      <c r="BG90" s="218"/>
      <c r="BH90" s="218"/>
      <c r="BI90" s="218"/>
      <c r="BJ90" s="218"/>
      <c r="BK90" s="218"/>
      <c r="BL90" s="218"/>
      <c r="BM90" s="218"/>
      <c r="BN90" s="218"/>
      <c r="BO90" s="218"/>
      <c r="BS90" s="219"/>
    </row>
    <row r="91" spans="1:71" s="216" customFormat="1">
      <c r="A91" s="215"/>
      <c r="E91" s="218"/>
      <c r="F91" s="218"/>
      <c r="G91" s="218"/>
      <c r="H91" s="218"/>
      <c r="I91" s="218"/>
      <c r="J91" s="218"/>
      <c r="K91" s="218"/>
      <c r="L91" s="218"/>
      <c r="M91" s="218"/>
      <c r="N91" s="218"/>
      <c r="O91" s="218"/>
      <c r="P91" s="218"/>
      <c r="Q91" s="218"/>
      <c r="R91" s="218"/>
      <c r="S91" s="218"/>
      <c r="T91" s="218"/>
      <c r="U91" s="218"/>
      <c r="V91" s="218"/>
      <c r="W91" s="218"/>
      <c r="X91" s="218"/>
      <c r="Y91" s="218"/>
      <c r="Z91" s="218"/>
      <c r="AA91" s="218"/>
      <c r="AB91" s="218"/>
      <c r="AC91" s="218"/>
      <c r="AD91" s="218"/>
      <c r="AE91" s="218"/>
      <c r="AF91" s="218"/>
      <c r="AG91" s="218"/>
      <c r="AH91" s="218"/>
      <c r="AI91" s="218"/>
      <c r="AJ91" s="218"/>
      <c r="AK91" s="218"/>
      <c r="AL91" s="218"/>
      <c r="AM91" s="218"/>
      <c r="AN91" s="218"/>
      <c r="AO91" s="218"/>
      <c r="AP91" s="218"/>
      <c r="AQ91" s="218"/>
      <c r="AR91" s="218"/>
      <c r="AS91" s="218"/>
      <c r="AT91" s="218"/>
      <c r="AU91" s="218"/>
      <c r="AV91" s="218"/>
      <c r="AW91" s="218"/>
      <c r="AX91" s="218"/>
      <c r="AY91" s="218"/>
      <c r="AZ91" s="218"/>
      <c r="BA91" s="218"/>
      <c r="BB91" s="218"/>
      <c r="BC91" s="218"/>
      <c r="BD91" s="218"/>
      <c r="BE91" s="218"/>
      <c r="BF91" s="218"/>
      <c r="BG91" s="218"/>
      <c r="BH91" s="218"/>
      <c r="BI91" s="218"/>
      <c r="BJ91" s="218"/>
      <c r="BK91" s="218"/>
      <c r="BL91" s="218"/>
      <c r="BM91" s="218"/>
      <c r="BN91" s="218"/>
      <c r="BO91" s="218"/>
      <c r="BS91" s="219"/>
    </row>
    <row r="92" spans="1:71" s="216" customFormat="1">
      <c r="A92" s="215"/>
      <c r="B92" s="238"/>
      <c r="C92" s="218"/>
      <c r="D92" s="218"/>
      <c r="E92" s="218"/>
      <c r="F92" s="218"/>
      <c r="G92" s="218"/>
      <c r="H92" s="218"/>
      <c r="I92" s="218"/>
      <c r="J92" s="218"/>
      <c r="K92" s="218"/>
      <c r="L92" s="218"/>
      <c r="M92" s="218"/>
      <c r="N92" s="218"/>
      <c r="O92" s="218"/>
      <c r="P92" s="218"/>
      <c r="Q92" s="218"/>
      <c r="R92" s="218"/>
      <c r="S92" s="218"/>
      <c r="T92" s="218"/>
      <c r="U92" s="218"/>
      <c r="V92" s="218"/>
      <c r="W92" s="218"/>
      <c r="X92" s="218"/>
      <c r="Y92" s="218"/>
      <c r="Z92" s="218"/>
      <c r="AA92" s="218"/>
      <c r="AB92" s="218"/>
      <c r="AC92" s="218"/>
      <c r="AD92" s="218"/>
      <c r="AE92" s="218"/>
      <c r="AF92" s="218"/>
      <c r="AG92" s="218"/>
      <c r="AH92" s="218"/>
      <c r="AI92" s="218"/>
      <c r="AJ92" s="218"/>
      <c r="AK92" s="218"/>
      <c r="AL92" s="218"/>
      <c r="AM92" s="218"/>
      <c r="AN92" s="218"/>
      <c r="AO92" s="218"/>
      <c r="AP92" s="218"/>
      <c r="AQ92" s="218"/>
      <c r="AR92" s="218"/>
      <c r="AS92" s="218"/>
      <c r="AT92" s="218"/>
      <c r="AU92" s="218"/>
      <c r="AV92" s="218"/>
      <c r="AW92" s="218"/>
      <c r="AX92" s="218"/>
      <c r="AY92" s="218"/>
      <c r="AZ92" s="218"/>
      <c r="BA92" s="218"/>
      <c r="BB92" s="218"/>
      <c r="BC92" s="218"/>
      <c r="BD92" s="218"/>
      <c r="BE92" s="218"/>
      <c r="BF92" s="218"/>
      <c r="BG92" s="218"/>
      <c r="BH92" s="218"/>
      <c r="BI92" s="218"/>
      <c r="BJ92" s="218"/>
      <c r="BK92" s="218"/>
      <c r="BL92" s="218"/>
      <c r="BM92" s="218"/>
      <c r="BN92" s="218"/>
      <c r="BO92" s="218"/>
      <c r="BS92" s="219"/>
    </row>
    <row r="93" spans="1:71">
      <c r="C93" s="239"/>
      <c r="BO93" s="240"/>
    </row>
    <row r="94" spans="1:71">
      <c r="B94" s="238"/>
    </row>
  </sheetData>
  <mergeCells count="3">
    <mergeCell ref="D16:E16"/>
    <mergeCell ref="D17:E17"/>
    <mergeCell ref="D18:E18"/>
  </mergeCells>
  <conditionalFormatting sqref="C7:BN10">
    <cfRule type="cellIs" dxfId="66" priority="6" operator="equal">
      <formula>0</formula>
    </cfRule>
  </conditionalFormatting>
  <conditionalFormatting sqref="B49">
    <cfRule type="cellIs" dxfId="65" priority="3" operator="equal">
      <formula>$BT$7</formula>
    </cfRule>
    <cfRule type="cellIs" dxfId="64" priority="4" operator="greaterThan">
      <formula>$BT$7</formula>
    </cfRule>
    <cfRule type="cellIs" dxfId="63" priority="5" operator="lessThan">
      <formula>$BT$7</formula>
    </cfRule>
  </conditionalFormatting>
  <conditionalFormatting sqref="B56">
    <cfRule type="cellIs" dxfId="62" priority="1" operator="greaterThan">
      <formula>$BT$7</formula>
    </cfRule>
    <cfRule type="cellIs" dxfId="61" priority="2" operator="equal">
      <formula>$BT$7</formula>
    </cfRule>
  </conditionalFormatting>
  <pageMargins left="0.7" right="0.7" top="0.75" bottom="0.75" header="0.3" footer="0.3"/>
  <pageSetup scale="41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3">
    <tabColor rgb="FF00B050"/>
  </sheetPr>
  <dimension ref="A1:BW94"/>
  <sheetViews>
    <sheetView showGridLines="0" zoomScale="75" zoomScaleNormal="75" workbookViewId="0">
      <pane xSplit="2" ySplit="6" topLeftCell="AX7" activePane="bottomRight" state="frozen"/>
      <selection activeCell="B32" sqref="B32"/>
      <selection pane="topRight" activeCell="B32" sqref="B32"/>
      <selection pane="bottomLeft" activeCell="B32" sqref="B32"/>
      <selection pane="bottomRight" activeCell="BB8" sqref="BB8"/>
    </sheetView>
  </sheetViews>
  <sheetFormatPr defaultColWidth="9.140625" defaultRowHeight="15"/>
  <cols>
    <col min="1" max="1" width="6.28515625" style="210" customWidth="1"/>
    <col min="2" max="2" width="64.28515625" style="211" customWidth="1"/>
    <col min="3" max="3" width="13.85546875" style="211" bestFit="1" customWidth="1"/>
    <col min="4" max="51" width="12.7109375" style="211" customWidth="1"/>
    <col min="52" max="52" width="13.28515625" style="211" customWidth="1"/>
    <col min="53" max="57" width="12.7109375" style="211" customWidth="1"/>
    <col min="58" max="60" width="13.28515625" style="211" bestFit="1" customWidth="1"/>
    <col min="61" max="65" width="12.7109375" style="211" customWidth="1"/>
    <col min="66" max="66" width="15.42578125" style="211" customWidth="1"/>
    <col min="67" max="67" width="3.85546875" style="211" customWidth="1"/>
    <col min="68" max="68" width="30.140625" style="212" customWidth="1"/>
    <col min="69" max="69" width="14.5703125" style="212" customWidth="1"/>
    <col min="70" max="70" width="13.85546875" style="212" customWidth="1"/>
    <col min="71" max="71" width="15.42578125" style="213" customWidth="1"/>
    <col min="72" max="72" width="14.28515625" style="212" customWidth="1"/>
    <col min="73" max="73" width="13.5703125" style="212" customWidth="1"/>
    <col min="74" max="74" width="14.42578125" style="212" customWidth="1"/>
    <col min="75" max="16384" width="9.140625" style="212"/>
  </cols>
  <sheetData>
    <row r="1" spans="1:75" ht="15.75" thickBot="1"/>
    <row r="2" spans="1:75" ht="15.75" thickBot="1">
      <c r="B2" s="315" t="s">
        <v>188</v>
      </c>
      <c r="C2" s="314"/>
      <c r="D2" s="314"/>
      <c r="E2" s="314"/>
      <c r="F2" s="314"/>
      <c r="G2" s="314"/>
      <c r="H2" s="314"/>
      <c r="I2" s="314"/>
      <c r="J2" s="314"/>
      <c r="K2" s="314"/>
      <c r="L2" s="314"/>
      <c r="M2" s="314"/>
      <c r="N2" s="314"/>
      <c r="O2" s="314"/>
      <c r="P2" s="314"/>
      <c r="Q2" s="314"/>
      <c r="R2" s="314"/>
      <c r="S2" s="314"/>
      <c r="T2" s="314"/>
      <c r="U2" s="314"/>
      <c r="V2" s="314"/>
      <c r="W2" s="314"/>
      <c r="X2" s="314"/>
      <c r="Y2" s="314"/>
      <c r="Z2" s="314"/>
      <c r="AA2" s="314"/>
      <c r="AB2" s="314"/>
      <c r="AC2" s="314"/>
      <c r="AD2" s="314"/>
      <c r="AE2" s="314"/>
      <c r="AF2" s="314"/>
      <c r="AG2" s="314"/>
      <c r="AH2" s="314"/>
      <c r="AI2" s="314"/>
      <c r="AJ2" s="314"/>
      <c r="AK2" s="314"/>
      <c r="AL2" s="314"/>
      <c r="AM2" s="314"/>
      <c r="AN2" s="314"/>
      <c r="AO2" s="314"/>
      <c r="AP2" s="314"/>
      <c r="AQ2" s="314"/>
      <c r="AR2" s="314"/>
      <c r="AS2" s="314"/>
      <c r="AT2" s="314"/>
      <c r="AU2" s="314"/>
      <c r="AV2" s="314"/>
      <c r="AW2" s="314"/>
      <c r="AX2" s="314"/>
      <c r="AY2" s="314"/>
      <c r="AZ2" s="314"/>
      <c r="BA2" s="314"/>
      <c r="BB2" s="314"/>
      <c r="BC2" s="314"/>
      <c r="BD2" s="314"/>
      <c r="BE2" s="314"/>
      <c r="BF2" s="314"/>
      <c r="BG2" s="314"/>
      <c r="BH2" s="314"/>
      <c r="BI2" s="314"/>
      <c r="BJ2" s="314"/>
      <c r="BK2" s="314"/>
      <c r="BL2" s="314"/>
      <c r="BM2" s="314"/>
      <c r="BN2" s="314"/>
      <c r="BO2" s="242"/>
      <c r="BP2" s="359" t="s">
        <v>189</v>
      </c>
      <c r="BQ2" s="360"/>
      <c r="BR2" s="360"/>
      <c r="BS2" s="547"/>
      <c r="BT2" s="361"/>
    </row>
    <row r="3" spans="1:75">
      <c r="B3" s="226" t="s">
        <v>89</v>
      </c>
      <c r="C3" s="600">
        <f>+'Property Level Return Calcs'!C50</f>
        <v>47515</v>
      </c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  <c r="AF3" s="241"/>
      <c r="AG3" s="241"/>
      <c r="AH3" s="241"/>
      <c r="AI3" s="241"/>
      <c r="AJ3" s="241"/>
      <c r="AK3" s="241"/>
      <c r="AL3" s="241"/>
      <c r="AM3" s="241"/>
      <c r="AN3" s="241"/>
      <c r="AO3" s="241"/>
      <c r="AP3" s="241"/>
      <c r="AQ3" s="241"/>
      <c r="AR3" s="241"/>
      <c r="AS3" s="241"/>
      <c r="AT3" s="241"/>
      <c r="AU3" s="241"/>
      <c r="AV3" s="241"/>
      <c r="AW3" s="241"/>
      <c r="AX3" s="241"/>
      <c r="AY3" s="241"/>
      <c r="AZ3" s="241"/>
      <c r="BA3" s="241"/>
      <c r="BB3" s="241"/>
      <c r="BC3" s="241"/>
      <c r="BD3" s="241"/>
      <c r="BE3" s="241"/>
      <c r="BF3" s="241"/>
      <c r="BG3" s="241"/>
      <c r="BH3" s="241"/>
      <c r="BI3" s="241"/>
      <c r="BJ3" s="241"/>
      <c r="BK3" s="241"/>
      <c r="BL3" s="241"/>
      <c r="BO3" s="242"/>
      <c r="BP3" s="362"/>
      <c r="BQ3" s="356" t="s">
        <v>190</v>
      </c>
      <c r="BR3" s="356" t="s">
        <v>191</v>
      </c>
      <c r="BS3" s="549" t="s">
        <v>47</v>
      </c>
      <c r="BT3" s="363" t="s">
        <v>206</v>
      </c>
      <c r="BV3" s="216" t="s">
        <v>203</v>
      </c>
      <c r="BW3" s="216" t="s">
        <v>207</v>
      </c>
    </row>
    <row r="4" spans="1:75">
      <c r="B4" s="316" t="s">
        <v>81</v>
      </c>
      <c r="C4" s="601">
        <f>+'Property Level Return Calcs'!C51</f>
        <v>5.083333333333333</v>
      </c>
      <c r="D4" s="244"/>
      <c r="E4" s="244"/>
      <c r="F4" s="244"/>
      <c r="G4" s="244"/>
      <c r="H4" s="244"/>
      <c r="I4" s="244"/>
      <c r="J4" s="244"/>
      <c r="K4" s="244"/>
      <c r="L4" s="244"/>
      <c r="M4" s="244"/>
      <c r="N4" s="244"/>
      <c r="O4" s="244"/>
      <c r="P4" s="244"/>
      <c r="Q4" s="244"/>
      <c r="R4" s="244"/>
      <c r="S4" s="244"/>
      <c r="T4" s="244"/>
      <c r="U4" s="244"/>
      <c r="V4" s="244"/>
      <c r="W4" s="244"/>
      <c r="X4" s="244"/>
      <c r="Y4" s="244"/>
      <c r="Z4" s="244"/>
      <c r="AA4" s="244"/>
      <c r="AB4" s="244"/>
      <c r="AC4" s="244"/>
      <c r="AD4" s="244"/>
      <c r="AE4" s="244"/>
      <c r="AF4" s="244"/>
      <c r="AG4" s="244"/>
      <c r="AH4" s="244"/>
      <c r="AI4" s="244"/>
      <c r="AJ4" s="244"/>
      <c r="AK4" s="244"/>
      <c r="AL4" s="244"/>
      <c r="AM4" s="244"/>
      <c r="AN4" s="244"/>
      <c r="AO4" s="244"/>
      <c r="AP4" s="244"/>
      <c r="AQ4" s="244"/>
      <c r="AR4" s="244"/>
      <c r="AS4" s="244"/>
      <c r="AT4" s="244"/>
      <c r="AU4" s="244"/>
      <c r="AV4" s="244"/>
      <c r="AW4" s="244"/>
      <c r="AX4" s="244"/>
      <c r="AY4" s="244"/>
      <c r="AZ4" s="244"/>
      <c r="BA4" s="244"/>
      <c r="BB4" s="244"/>
      <c r="BC4" s="244"/>
      <c r="BD4" s="244"/>
      <c r="BE4" s="244"/>
      <c r="BF4" s="244"/>
      <c r="BG4" s="244"/>
      <c r="BH4" s="244"/>
      <c r="BI4" s="244"/>
      <c r="BJ4" s="244"/>
      <c r="BK4" s="244"/>
      <c r="BL4" s="244"/>
      <c r="BN4" s="580"/>
      <c r="BO4" s="248"/>
      <c r="BP4" s="251" t="s">
        <v>45</v>
      </c>
      <c r="BQ4" s="357">
        <f>+Dashboard!E14</f>
        <v>1</v>
      </c>
      <c r="BR4" s="357">
        <f>1-BQ4</f>
        <v>0</v>
      </c>
      <c r="BS4" s="357">
        <f>+Dashboard!F14</f>
        <v>0.1</v>
      </c>
      <c r="BT4" s="666" t="str">
        <f>+'Waterfall 4.0 Years'!BT4</f>
        <v>N/Ap</v>
      </c>
      <c r="BV4" s="487"/>
    </row>
    <row r="5" spans="1:75">
      <c r="B5" s="466" t="s">
        <v>41</v>
      </c>
      <c r="C5" s="551">
        <f>-SUM(C7:BN7)</f>
        <v>24033944.982098967</v>
      </c>
      <c r="D5" s="468"/>
      <c r="E5" s="468"/>
      <c r="F5" s="468"/>
      <c r="G5" s="468"/>
      <c r="H5" s="468"/>
      <c r="I5" s="468"/>
      <c r="J5" s="468"/>
      <c r="K5" s="468"/>
      <c r="L5" s="468"/>
      <c r="M5" s="468"/>
      <c r="N5" s="468"/>
      <c r="O5" s="468"/>
      <c r="P5" s="468"/>
      <c r="Q5" s="468"/>
      <c r="R5" s="468"/>
      <c r="S5" s="468"/>
      <c r="T5" s="468"/>
      <c r="U5" s="468"/>
      <c r="V5" s="468"/>
      <c r="W5" s="468"/>
      <c r="X5" s="468"/>
      <c r="Y5" s="468"/>
      <c r="Z5" s="468"/>
      <c r="AA5" s="468"/>
      <c r="AB5" s="468"/>
      <c r="AC5" s="468"/>
      <c r="AD5" s="468"/>
      <c r="AE5" s="468"/>
      <c r="AF5" s="468"/>
      <c r="AG5" s="468"/>
      <c r="AH5" s="468"/>
      <c r="AI5" s="468"/>
      <c r="AJ5" s="468"/>
      <c r="AK5" s="468"/>
      <c r="AL5" s="468"/>
      <c r="AM5" s="468"/>
      <c r="AN5" s="468"/>
      <c r="AO5" s="468"/>
      <c r="AP5" s="468"/>
      <c r="AQ5" s="468"/>
      <c r="AR5" s="468"/>
      <c r="AS5" s="468"/>
      <c r="AT5" s="468"/>
      <c r="AU5" s="468"/>
      <c r="AV5" s="468"/>
      <c r="AW5" s="468"/>
      <c r="AX5" s="468"/>
      <c r="AY5" s="468"/>
      <c r="AZ5" s="468"/>
      <c r="BA5" s="468"/>
      <c r="BB5" s="468"/>
      <c r="BC5" s="468"/>
      <c r="BD5" s="468"/>
      <c r="BE5" s="468"/>
      <c r="BF5" s="468"/>
      <c r="BG5" s="468"/>
      <c r="BH5" s="468"/>
      <c r="BI5" s="468"/>
      <c r="BJ5" s="468"/>
      <c r="BK5" s="468"/>
      <c r="BL5" s="468"/>
      <c r="BM5" s="468"/>
      <c r="BN5" s="468"/>
      <c r="BO5" s="248"/>
      <c r="BP5" s="364" t="s">
        <v>46</v>
      </c>
      <c r="BQ5" s="664"/>
      <c r="BR5" s="664"/>
      <c r="BS5" s="665"/>
      <c r="BT5" s="581"/>
      <c r="BV5" s="213"/>
    </row>
    <row r="6" spans="1:75">
      <c r="B6" s="245" t="s">
        <v>158</v>
      </c>
      <c r="C6" s="246">
        <f>+'Property Level Return Calcs'!D52</f>
        <v>45658</v>
      </c>
      <c r="D6" s="246">
        <f>EOMONTH(C6,0)</f>
        <v>45688</v>
      </c>
      <c r="E6" s="246">
        <f>IF(D6+1&gt;$C$3,EOMONTH(D6,1),IF(EOMONTH(D6,1)&lt;$C$3,EOMONTH('Waterfall 5.0 Years'!D6,1),$C$3))</f>
        <v>45716</v>
      </c>
      <c r="F6" s="246">
        <f>IF(E6+1&gt;$C$3,EOMONTH(E6,1),IF(EOMONTH(E6,1)&lt;$C$3,EOMONTH('Waterfall 5.0 Years'!E6,1),$C$3))</f>
        <v>45747</v>
      </c>
      <c r="G6" s="246">
        <f>IF(F6+1&gt;$C$3,EOMONTH(F6,1),IF(EOMONTH(F6,1)&lt;$C$3,EOMONTH('Waterfall 5.0 Years'!F6,1),$C$3))</f>
        <v>45777</v>
      </c>
      <c r="H6" s="246">
        <f>IF(G6+1&gt;$C$3,EOMONTH(G6,1),IF(EOMONTH(G6,1)&lt;$C$3,EOMONTH('Waterfall 5.0 Years'!G6,1),$C$3))</f>
        <v>45808</v>
      </c>
      <c r="I6" s="246">
        <f>IF(H6+1&gt;$C$3,EOMONTH(H6,1),IF(EOMONTH(H6,1)&lt;$C$3,EOMONTH('Waterfall 5.0 Years'!H6,1),$C$3))</f>
        <v>45838</v>
      </c>
      <c r="J6" s="246">
        <f>IF(I6+1&gt;$C$3,EOMONTH(I6,1),IF(EOMONTH(I6,1)&lt;$C$3,EOMONTH('Waterfall 5.0 Years'!I6,1),$C$3))</f>
        <v>45869</v>
      </c>
      <c r="K6" s="246">
        <f>IF(J6+1&gt;$C$3,EOMONTH(J6,1),IF(EOMONTH(J6,1)&lt;$C$3,EOMONTH('Waterfall 5.0 Years'!J6,1),$C$3))</f>
        <v>45900</v>
      </c>
      <c r="L6" s="246">
        <f>IF(K6+1&gt;$C$3,EOMONTH(K6,1),IF(EOMONTH(K6,1)&lt;$C$3,EOMONTH('Waterfall 5.0 Years'!K6,1),$C$3))</f>
        <v>45930</v>
      </c>
      <c r="M6" s="246">
        <f>IF(L6+1&gt;$C$3,EOMONTH(L6,1),IF(EOMONTH(L6,1)&lt;$C$3,EOMONTH('Waterfall 5.0 Years'!L6,1),$C$3))</f>
        <v>45961</v>
      </c>
      <c r="N6" s="246">
        <f>IF(M6+1&gt;$C$3,EOMONTH(M6,1),IF(EOMONTH(M6,1)&lt;$C$3,EOMONTH('Waterfall 5.0 Years'!M6,1),$C$3))</f>
        <v>45991</v>
      </c>
      <c r="O6" s="246">
        <f>IF(N6+1&gt;$C$3,EOMONTH(N6,1),IF(EOMONTH(N6,1)&lt;$C$3,EOMONTH('Waterfall 5.0 Years'!N6,1),$C$3))</f>
        <v>46022</v>
      </c>
      <c r="P6" s="246">
        <f>IF(O6+1&gt;$C$3,EOMONTH(O6,1),IF(EOMONTH(O6,1)&lt;$C$3,EOMONTH('Waterfall 5.0 Years'!O6,1),$C$3))</f>
        <v>46053</v>
      </c>
      <c r="Q6" s="246">
        <f>IF(P6+1&gt;$C$3,EOMONTH(P6,1),IF(EOMONTH(P6,1)&lt;$C$3,EOMONTH('Waterfall 5.0 Years'!P6,1),$C$3))</f>
        <v>46081</v>
      </c>
      <c r="R6" s="246">
        <f>IF(Q6+1&gt;$C$3,EOMONTH(Q6,1),IF(EOMONTH(Q6,1)&lt;$C$3,EOMONTH('Waterfall 5.0 Years'!Q6,1),$C$3))</f>
        <v>46112</v>
      </c>
      <c r="S6" s="246">
        <f>IF(R6+1&gt;$C$3,EOMONTH(R6,1),IF(EOMONTH(R6,1)&lt;$C$3,EOMONTH('Waterfall 5.0 Years'!R6,1),$C$3))</f>
        <v>46142</v>
      </c>
      <c r="T6" s="246">
        <f>IF(S6+1&gt;$C$3,EOMONTH(S6,1),IF(EOMONTH(S6,1)&lt;$C$3,EOMONTH('Waterfall 5.0 Years'!S6,1),$C$3))</f>
        <v>46173</v>
      </c>
      <c r="U6" s="246">
        <f>IF(T6+1&gt;$C$3,EOMONTH(T6,1),IF(EOMONTH(T6,1)&lt;$C$3,EOMONTH('Waterfall 5.0 Years'!T6,1),$C$3))</f>
        <v>46203</v>
      </c>
      <c r="V6" s="246">
        <f>IF(U6+1&gt;$C$3,EOMONTH(U6,1),IF(EOMONTH(U6,1)&lt;$C$3,EOMONTH('Waterfall 5.0 Years'!U6,1),$C$3))</f>
        <v>46234</v>
      </c>
      <c r="W6" s="246">
        <f>IF(V6+1&gt;$C$3,EOMONTH(V6,1),IF(EOMONTH(V6,1)&lt;$C$3,EOMONTH('Waterfall 5.0 Years'!V6,1),$C$3))</f>
        <v>46265</v>
      </c>
      <c r="X6" s="246">
        <f>IF(W6+1&gt;$C$3,EOMONTH(W6,1),IF(EOMONTH(W6,1)&lt;$C$3,EOMONTH('Waterfall 5.0 Years'!W6,1),$C$3))</f>
        <v>46295</v>
      </c>
      <c r="Y6" s="246">
        <f>IF(X6+1&gt;$C$3,EOMONTH(X6,1),IF(EOMONTH(X6,1)&lt;$C$3,EOMONTH('Waterfall 5.0 Years'!X6,1),$C$3))</f>
        <v>46326</v>
      </c>
      <c r="Z6" s="246">
        <f>IF(Y6+1&gt;$C$3,EOMONTH(Y6,1),IF(EOMONTH(Y6,1)&lt;$C$3,EOMONTH('Waterfall 5.0 Years'!Y6,1),$C$3))</f>
        <v>46356</v>
      </c>
      <c r="AA6" s="246">
        <f>IF(Z6+1&gt;$C$3,EOMONTH(Z6,1),IF(EOMONTH(Z6,1)&lt;$C$3,EOMONTH('Waterfall 5.0 Years'!Z6,1),$C$3))</f>
        <v>46387</v>
      </c>
      <c r="AB6" s="246">
        <f>IF(AA6+1&gt;$C$3,EOMONTH(AA6,1),IF(EOMONTH(AA6,1)&lt;$C$3,EOMONTH('Waterfall 5.0 Years'!AA6,1),$C$3))</f>
        <v>46418</v>
      </c>
      <c r="AC6" s="246">
        <f>IF(AB6+1&gt;$C$3,EOMONTH(AB6,1),IF(EOMONTH(AB6,1)&lt;$C$3,EOMONTH('Waterfall 5.0 Years'!AB6,1),$C$3))</f>
        <v>46446</v>
      </c>
      <c r="AD6" s="246">
        <f>IF(AC6+1&gt;$C$3,EOMONTH(AC6,1),IF(EOMONTH(AC6,1)&lt;$C$3,EOMONTH('Waterfall 5.0 Years'!AC6,1),$C$3))</f>
        <v>46477</v>
      </c>
      <c r="AE6" s="246">
        <f>IF(AD6+1&gt;$C$3,EOMONTH(AD6,1),IF(EOMONTH(AD6,1)&lt;$C$3,EOMONTH('Waterfall 5.0 Years'!AD6,1),$C$3))</f>
        <v>46507</v>
      </c>
      <c r="AF6" s="246">
        <f>IF(AE6+1&gt;$C$3,EOMONTH(AE6,1),IF(EOMONTH(AE6,1)&lt;$C$3,EOMONTH('Waterfall 5.0 Years'!AE6,1),$C$3))</f>
        <v>46538</v>
      </c>
      <c r="AG6" s="246">
        <f>IF(AF6+1&gt;$C$3,EOMONTH(AF6,1),IF(EOMONTH(AF6,1)&lt;$C$3,EOMONTH('Waterfall 5.0 Years'!AF6,1),$C$3))</f>
        <v>46568</v>
      </c>
      <c r="AH6" s="246">
        <f>IF(AG6+1&gt;$C$3,EOMONTH(AG6,1),IF(EOMONTH(AG6,1)&lt;$C$3,EOMONTH('Waterfall 5.0 Years'!AG6,1),$C$3))</f>
        <v>46599</v>
      </c>
      <c r="AI6" s="246">
        <f>IF(AH6+1&gt;$C$3,EOMONTH(AH6,1),IF(EOMONTH(AH6,1)&lt;$C$3,EOMONTH('Waterfall 5.0 Years'!AH6,1),$C$3))</f>
        <v>46630</v>
      </c>
      <c r="AJ6" s="246">
        <f>IF(AI6+1&gt;$C$3,EOMONTH(AI6,1),IF(EOMONTH(AI6,1)&lt;$C$3,EOMONTH('Waterfall 5.0 Years'!AI6,1),$C$3))</f>
        <v>46660</v>
      </c>
      <c r="AK6" s="246">
        <f>IF(AJ6+1&gt;$C$3,EOMONTH(AJ6,1),IF(EOMONTH(AJ6,1)&lt;$C$3,EOMONTH('Waterfall 5.0 Years'!AJ6,1),$C$3))</f>
        <v>46691</v>
      </c>
      <c r="AL6" s="246">
        <f>IF(AK6+1&gt;$C$3,EOMONTH(AK6,1),IF(EOMONTH(AK6,1)&lt;$C$3,EOMONTH('Waterfall 5.0 Years'!AK6,1),$C$3))</f>
        <v>46721</v>
      </c>
      <c r="AM6" s="246">
        <f>IF(AL6+1&gt;$C$3,EOMONTH(AL6,1),IF(EOMONTH(AL6,1)&lt;$C$3,EOMONTH('Waterfall 5.0 Years'!AL6,1),$C$3))</f>
        <v>46752</v>
      </c>
      <c r="AN6" s="246">
        <f>IF(AM6+1&gt;$C$3,EOMONTH(AM6,1),IF(EOMONTH(AM6,1)&lt;$C$3,EOMONTH('Waterfall 5.0 Years'!AM6,1),$C$3))</f>
        <v>46783</v>
      </c>
      <c r="AO6" s="246">
        <f>IF(AN6+1&gt;$C$3,EOMONTH(AN6,1),IF(EOMONTH(AN6,1)&lt;$C$3,EOMONTH('Waterfall 5.0 Years'!AN6,1),$C$3))</f>
        <v>46812</v>
      </c>
      <c r="AP6" s="246">
        <f>IF(AO6+1&gt;$C$3,EOMONTH(AO6,1),IF(EOMONTH(AO6,1)&lt;$C$3,EOMONTH('Waterfall 5.0 Years'!AO6,1),$C$3))</f>
        <v>46843</v>
      </c>
      <c r="AQ6" s="246">
        <f>IF(AP6+1&gt;$C$3,EOMONTH(AP6,1),IF(EOMONTH(AP6,1)&lt;$C$3,EOMONTH('Waterfall 5.0 Years'!AP6,1),$C$3))</f>
        <v>46873</v>
      </c>
      <c r="AR6" s="246">
        <f>IF(AQ6+1&gt;$C$3,EOMONTH(AQ6,1),IF(EOMONTH(AQ6,1)&lt;$C$3,EOMONTH('Waterfall 5.0 Years'!AQ6,1),$C$3))</f>
        <v>46904</v>
      </c>
      <c r="AS6" s="246">
        <f>IF(AR6+1&gt;$C$3,EOMONTH(AR6,1),IF(EOMONTH(AR6,1)&lt;$C$3,EOMONTH('Waterfall 5.0 Years'!AR6,1),$C$3))</f>
        <v>46934</v>
      </c>
      <c r="AT6" s="246">
        <f>IF(AS6+1&gt;$C$3,EOMONTH(AS6,1),IF(EOMONTH(AS6,1)&lt;$C$3,EOMONTH('Waterfall 5.0 Years'!AS6,1),$C$3))</f>
        <v>46965</v>
      </c>
      <c r="AU6" s="246">
        <f>IF(AT6+1&gt;$C$3,EOMONTH(AT6,1),IF(EOMONTH(AT6,1)&lt;$C$3,EOMONTH('Waterfall 5.0 Years'!AT6,1),$C$3))</f>
        <v>46996</v>
      </c>
      <c r="AV6" s="246">
        <f>IF(AU6+1&gt;$C$3,EOMONTH(AU6,1),IF(EOMONTH(AU6,1)&lt;$C$3,EOMONTH('Waterfall 5.0 Years'!AU6,1),$C$3))</f>
        <v>47026</v>
      </c>
      <c r="AW6" s="246">
        <f>IF(AV6+1&gt;$C$3,EOMONTH(AV6,1),IF(EOMONTH(AV6,1)&lt;$C$3,EOMONTH('Waterfall 5.0 Years'!AV6,1),$C$3))</f>
        <v>47057</v>
      </c>
      <c r="AX6" s="246">
        <f>IF(AW6+1&gt;$C$3,EOMONTH(AW6,1),IF(EOMONTH(AW6,1)&lt;$C$3,EOMONTH('Waterfall 5.0 Years'!AW6,1),$C$3))</f>
        <v>47087</v>
      </c>
      <c r="AY6" s="246">
        <f>IF(AX6+1&gt;$C$3,EOMONTH(AX6,1),IF(EOMONTH(AX6,1)&lt;$C$3,EOMONTH('Waterfall 5.0 Years'!AX6,1),$C$3))</f>
        <v>47118</v>
      </c>
      <c r="AZ6" s="246">
        <f>IF(AY6+1&gt;$C$3,EOMONTH(AY6,1),IF(EOMONTH(AY6,1)&lt;$C$3,EOMONTH('Waterfall 5.0 Years'!AY6,1),$C$3))</f>
        <v>47149</v>
      </c>
      <c r="BA6" s="246">
        <f>IF(AZ6+1&gt;$C$3,EOMONTH(AZ6,1),IF(EOMONTH(AZ6,1)&lt;$C$3,EOMONTH('Waterfall 5.0 Years'!AZ6,1),$C$3))</f>
        <v>47177</v>
      </c>
      <c r="BB6" s="246">
        <f>IF(BA6+1&gt;$C$3,EOMONTH(BA6,1),IF(EOMONTH(BA6,1)&lt;$C$3,EOMONTH('Waterfall 5.0 Years'!BA6,1),$C$3))</f>
        <v>47208</v>
      </c>
      <c r="BC6" s="246">
        <f>IF(BB6+1&gt;$C$3,EOMONTH(BB6,1),IF(EOMONTH(BB6,1)&lt;$C$3,EOMONTH('Waterfall 5.0 Years'!BB6,1),$C$3))</f>
        <v>47238</v>
      </c>
      <c r="BD6" s="246">
        <f>IF(BC6+1&gt;$C$3,EOMONTH(BC6,1),IF(EOMONTH(BC6,1)&lt;$C$3,EOMONTH('Waterfall 5.0 Years'!BC6,1),$C$3))</f>
        <v>47269</v>
      </c>
      <c r="BE6" s="246">
        <f>IF(BD6+1&gt;$C$3,EOMONTH(BD6,1),IF(EOMONTH(BD6,1)&lt;$C$3,EOMONTH('Waterfall 5.0 Years'!BD6,1),$C$3))</f>
        <v>47299</v>
      </c>
      <c r="BF6" s="246">
        <f>IF(BE6+1&gt;$C$3,EOMONTH(BE6,1),IF(EOMONTH(BE6,1)&lt;$C$3,EOMONTH('Waterfall 5.0 Years'!BE6,1),$C$3))</f>
        <v>47330</v>
      </c>
      <c r="BG6" s="246">
        <f>IF(BF6+1&gt;$C$3,EOMONTH(BF6,1),IF(EOMONTH(BF6,1)&lt;$C$3,EOMONTH('Waterfall 5.0 Years'!BF6,1),$C$3))</f>
        <v>47361</v>
      </c>
      <c r="BH6" s="246">
        <f>IF(BG6+1&gt;$C$3,EOMONTH(BG6,1),IF(EOMONTH(BG6,1)&lt;$C$3,EOMONTH('Waterfall 5.0 Years'!BG6,1),$C$3))</f>
        <v>47391</v>
      </c>
      <c r="BI6" s="246">
        <f>IF(BH6+1&gt;$C$3,EOMONTH(BH6,1),IF(EOMONTH(BH6,1)&lt;$C$3,EOMONTH('Waterfall 5.0 Years'!BH6,1),$C$3))</f>
        <v>47422</v>
      </c>
      <c r="BJ6" s="246">
        <f>IF(BI6+1&gt;$C$3,EOMONTH(BI6,1),IF(EOMONTH(BI6,1)&lt;$C$3,EOMONTH('Waterfall 5.0 Years'!BI6,1),$C$3))</f>
        <v>47452</v>
      </c>
      <c r="BK6" s="246">
        <f>IF(BJ6+1&gt;$C$3,EOMONTH(BJ6,1),IF(EOMONTH(BJ6,1)&lt;$C$3,EOMONTH('Waterfall 5.0 Years'!BJ6,1),$C$3))</f>
        <v>47483</v>
      </c>
      <c r="BL6" s="246">
        <f>IF(BK6+1&gt;$C$3,EOMONTH(BK6,1),IF(EOMONTH(BK6,1)&lt;$C$3,EOMONTH('Waterfall 5.0 Years'!BK6,1),$C$3))</f>
        <v>47514</v>
      </c>
      <c r="BM6" s="246">
        <f>IF(BL6+1&gt;$C$3,EOMONTH(BL6,1),IF(EOMONTH(BL6,1)&lt;$C$3,EOMONTH('Waterfall 5.0 Years'!BL6,1),$C$3))</f>
        <v>47515</v>
      </c>
      <c r="BN6" s="246">
        <f>IF(BM6+1&gt;$C$3,EOMONTH(BM6,1),IF(EOMONTH(BM6,1)&lt;$C$3,EOMONTH('Waterfall 5.0 Years'!BM6,1),$C$3))</f>
        <v>47573</v>
      </c>
      <c r="BO6" s="345"/>
      <c r="BP6" s="251" t="s">
        <v>214</v>
      </c>
      <c r="BQ6" s="357">
        <f>+Dashboard!E16</f>
        <v>0.85</v>
      </c>
      <c r="BR6" s="357">
        <f>1-BQ6</f>
        <v>0.15000000000000002</v>
      </c>
      <c r="BS6" s="357">
        <f>+Dashboard!F16</f>
        <v>0.18</v>
      </c>
      <c r="BT6" s="666" t="str">
        <f>+'Waterfall 4.0 Years'!BT6</f>
        <v>N/Ap</v>
      </c>
      <c r="BU6" s="214"/>
      <c r="BV6" s="552">
        <f>(1+BS6)^(1/12)</f>
        <v>1.0138884303484099</v>
      </c>
      <c r="BW6" s="212">
        <f>(1+BS6)^(1/365)</f>
        <v>1.0004535670454469</v>
      </c>
    </row>
    <row r="7" spans="1:75">
      <c r="B7" s="248" t="s">
        <v>164</v>
      </c>
      <c r="C7" s="553">
        <f>IFERROR(HLOOKUP(C$6,'Property Level Return Calcs'!$D$52:$BO$59,'Property Level Return Calcs'!$A$54,FALSE),0)</f>
        <v>-24033944.982098967</v>
      </c>
      <c r="D7" s="553">
        <f>IFERROR(HLOOKUP(D$6,'Property Level Return Calcs'!$D$52:$BO$59,'Property Level Return Calcs'!$A$54,FALSE),0)</f>
        <v>0</v>
      </c>
      <c r="E7" s="553">
        <f>IFERROR(HLOOKUP(E$6,'Property Level Return Calcs'!$D$52:$BO$59,'Property Level Return Calcs'!$A$54,FALSE),0)</f>
        <v>0</v>
      </c>
      <c r="F7" s="553">
        <f>IFERROR(HLOOKUP(F$6,'Property Level Return Calcs'!$D$52:$BO$59,'Property Level Return Calcs'!$A$54,FALSE),0)</f>
        <v>0</v>
      </c>
      <c r="G7" s="553">
        <f>IFERROR(HLOOKUP(G$6,'Property Level Return Calcs'!$D$52:$BO$59,'Property Level Return Calcs'!$A$54,FALSE),0)</f>
        <v>0</v>
      </c>
      <c r="H7" s="553">
        <f>IFERROR(HLOOKUP(H$6,'Property Level Return Calcs'!$D$52:$BO$59,'Property Level Return Calcs'!$A$54,FALSE),0)</f>
        <v>0</v>
      </c>
      <c r="I7" s="553">
        <f>IFERROR(HLOOKUP(I$6,'Property Level Return Calcs'!$D$52:$BO$59,'Property Level Return Calcs'!$A$54,FALSE),0)</f>
        <v>0</v>
      </c>
      <c r="J7" s="553">
        <f>IFERROR(HLOOKUP(J$6,'Property Level Return Calcs'!$D$52:$BO$59,'Property Level Return Calcs'!$A$54,FALSE),0)</f>
        <v>0</v>
      </c>
      <c r="K7" s="553">
        <f>IFERROR(HLOOKUP(K$6,'Property Level Return Calcs'!$D$52:$BO$59,'Property Level Return Calcs'!$A$54,FALSE),0)</f>
        <v>0</v>
      </c>
      <c r="L7" s="553">
        <f>IFERROR(HLOOKUP(L$6,'Property Level Return Calcs'!$D$52:$BO$59,'Property Level Return Calcs'!$A$54,FALSE),0)</f>
        <v>0</v>
      </c>
      <c r="M7" s="553">
        <f>IFERROR(HLOOKUP(M$6,'Property Level Return Calcs'!$D$52:$BO$59,'Property Level Return Calcs'!$A$54,FALSE),0)</f>
        <v>0</v>
      </c>
      <c r="N7" s="553">
        <f>IFERROR(HLOOKUP(N$6,'Property Level Return Calcs'!$D$52:$BO$59,'Property Level Return Calcs'!$A$54,FALSE),0)</f>
        <v>0</v>
      </c>
      <c r="O7" s="553">
        <f>IFERROR(HLOOKUP(O$6,'Property Level Return Calcs'!$D$52:$BO$59,'Property Level Return Calcs'!$A$54,FALSE),0)</f>
        <v>0</v>
      </c>
      <c r="P7" s="553">
        <f>IFERROR(HLOOKUP(P$6,'Property Level Return Calcs'!$D$52:$BO$59,'Property Level Return Calcs'!$A$54,FALSE),0)</f>
        <v>0</v>
      </c>
      <c r="Q7" s="553">
        <f>IFERROR(HLOOKUP(Q$6,'Property Level Return Calcs'!$D$52:$BO$59,'Property Level Return Calcs'!$A$54,FALSE),0)</f>
        <v>0</v>
      </c>
      <c r="R7" s="553">
        <f>IFERROR(HLOOKUP(R$6,'Property Level Return Calcs'!$D$52:$BO$59,'Property Level Return Calcs'!$A$54,FALSE),0)</f>
        <v>0</v>
      </c>
      <c r="S7" s="553">
        <f>IFERROR(HLOOKUP(S$6,'Property Level Return Calcs'!$D$52:$BO$59,'Property Level Return Calcs'!$A$54,FALSE),0)</f>
        <v>0</v>
      </c>
      <c r="T7" s="553">
        <f>IFERROR(HLOOKUP(T$6,'Property Level Return Calcs'!$D$52:$BO$59,'Property Level Return Calcs'!$A$54,FALSE),0)</f>
        <v>0</v>
      </c>
      <c r="U7" s="553">
        <f>IFERROR(HLOOKUP(U$6,'Property Level Return Calcs'!$D$52:$BO$59,'Property Level Return Calcs'!$A$54,FALSE),0)</f>
        <v>0</v>
      </c>
      <c r="V7" s="553">
        <f>IFERROR(HLOOKUP(V$6,'Property Level Return Calcs'!$D$52:$BO$59,'Property Level Return Calcs'!$A$54,FALSE),0)</f>
        <v>0</v>
      </c>
      <c r="W7" s="553">
        <f>IFERROR(HLOOKUP(W$6,'Property Level Return Calcs'!$D$52:$BO$59,'Property Level Return Calcs'!$A$54,FALSE),0)</f>
        <v>0</v>
      </c>
      <c r="X7" s="553">
        <f>IFERROR(HLOOKUP(X$6,'Property Level Return Calcs'!$D$52:$BO$59,'Property Level Return Calcs'!$A$54,FALSE),0)</f>
        <v>0</v>
      </c>
      <c r="Y7" s="553">
        <f>IFERROR(HLOOKUP(Y$6,'Property Level Return Calcs'!$D$52:$BO$59,'Property Level Return Calcs'!$A$54,FALSE),0)</f>
        <v>0</v>
      </c>
      <c r="Z7" s="553">
        <f>IFERROR(HLOOKUP(Z$6,'Property Level Return Calcs'!$D$52:$BO$59,'Property Level Return Calcs'!$A$54,FALSE),0)</f>
        <v>0</v>
      </c>
      <c r="AA7" s="553">
        <f>IFERROR(HLOOKUP(AA$6,'Property Level Return Calcs'!$D$52:$BO$59,'Property Level Return Calcs'!$A$54,FALSE),0)</f>
        <v>0</v>
      </c>
      <c r="AB7" s="553">
        <f>IFERROR(HLOOKUP(AB$6,'Property Level Return Calcs'!$D$52:$BO$59,'Property Level Return Calcs'!$A$54,FALSE),0)</f>
        <v>0</v>
      </c>
      <c r="AC7" s="553">
        <f>IFERROR(HLOOKUP(AC$6,'Property Level Return Calcs'!$D$52:$BO$59,'Property Level Return Calcs'!$A$54,FALSE),0)</f>
        <v>0</v>
      </c>
      <c r="AD7" s="553">
        <f>IFERROR(HLOOKUP(AD$6,'Property Level Return Calcs'!$D$52:$BO$59,'Property Level Return Calcs'!$A$54,FALSE),0)</f>
        <v>0</v>
      </c>
      <c r="AE7" s="553">
        <f>IFERROR(HLOOKUP(AE$6,'Property Level Return Calcs'!$D$52:$BO$59,'Property Level Return Calcs'!$A$54,FALSE),0)</f>
        <v>0</v>
      </c>
      <c r="AF7" s="553">
        <f>IFERROR(HLOOKUP(AF$6,'Property Level Return Calcs'!$D$52:$BO$59,'Property Level Return Calcs'!$A$54,FALSE),0)</f>
        <v>0</v>
      </c>
      <c r="AG7" s="553">
        <f>IFERROR(HLOOKUP(AG$6,'Property Level Return Calcs'!$D$52:$BO$59,'Property Level Return Calcs'!$A$54,FALSE),0)</f>
        <v>0</v>
      </c>
      <c r="AH7" s="553">
        <f>IFERROR(HLOOKUP(AH$6,'Property Level Return Calcs'!$D$52:$BO$59,'Property Level Return Calcs'!$A$54,FALSE),0)</f>
        <v>0</v>
      </c>
      <c r="AI7" s="553">
        <f>IFERROR(HLOOKUP(AI$6,'Property Level Return Calcs'!$D$52:$BO$59,'Property Level Return Calcs'!$A$54,FALSE),0)</f>
        <v>0</v>
      </c>
      <c r="AJ7" s="553">
        <f>IFERROR(HLOOKUP(AJ$6,'Property Level Return Calcs'!$D$52:$BO$59,'Property Level Return Calcs'!$A$54,FALSE),0)</f>
        <v>0</v>
      </c>
      <c r="AK7" s="553">
        <f>IFERROR(HLOOKUP(AK$6,'Property Level Return Calcs'!$D$52:$BO$59,'Property Level Return Calcs'!$A$54,FALSE),0)</f>
        <v>0</v>
      </c>
      <c r="AL7" s="553">
        <f>IFERROR(HLOOKUP(AL$6,'Property Level Return Calcs'!$D$52:$BO$59,'Property Level Return Calcs'!$A$54,FALSE),0)</f>
        <v>0</v>
      </c>
      <c r="AM7" s="553">
        <f>IFERROR(HLOOKUP(AM$6,'Property Level Return Calcs'!$D$52:$BO$59,'Property Level Return Calcs'!$A$54,FALSE),0)</f>
        <v>0</v>
      </c>
      <c r="AN7" s="553">
        <f>IFERROR(HLOOKUP(AN$6,'Property Level Return Calcs'!$D$52:$BO$59,'Property Level Return Calcs'!$A$54,FALSE),0)</f>
        <v>0</v>
      </c>
      <c r="AO7" s="553">
        <f>IFERROR(HLOOKUP(AO$6,'Property Level Return Calcs'!$D$52:$BO$59,'Property Level Return Calcs'!$A$54,FALSE),0)</f>
        <v>0</v>
      </c>
      <c r="AP7" s="553">
        <f>IFERROR(HLOOKUP(AP$6,'Property Level Return Calcs'!$D$52:$BO$59,'Property Level Return Calcs'!$A$54,FALSE),0)</f>
        <v>0</v>
      </c>
      <c r="AQ7" s="553">
        <f>IFERROR(HLOOKUP(AQ$6,'Property Level Return Calcs'!$D$52:$BO$59,'Property Level Return Calcs'!$A$54,FALSE),0)</f>
        <v>0</v>
      </c>
      <c r="AR7" s="553">
        <f>IFERROR(HLOOKUP(AR$6,'Property Level Return Calcs'!$D$52:$BO$59,'Property Level Return Calcs'!$A$54,FALSE),0)</f>
        <v>0</v>
      </c>
      <c r="AS7" s="553">
        <f>IFERROR(HLOOKUP(AS$6,'Property Level Return Calcs'!$D$52:$BO$59,'Property Level Return Calcs'!$A$54,FALSE),0)</f>
        <v>0</v>
      </c>
      <c r="AT7" s="553">
        <f>IFERROR(HLOOKUP(AT$6,'Property Level Return Calcs'!$D$52:$BO$59,'Property Level Return Calcs'!$A$54,FALSE),0)</f>
        <v>0</v>
      </c>
      <c r="AU7" s="553">
        <f>IFERROR(HLOOKUP(AU$6,'Property Level Return Calcs'!$D$52:$BO$59,'Property Level Return Calcs'!$A$54,FALSE),0)</f>
        <v>0</v>
      </c>
      <c r="AV7" s="553">
        <f>IFERROR(HLOOKUP(AV$6,'Property Level Return Calcs'!$D$52:$BO$59,'Property Level Return Calcs'!$A$54,FALSE),0)</f>
        <v>0</v>
      </c>
      <c r="AW7" s="553">
        <f>IFERROR(HLOOKUP(AW$6,'Property Level Return Calcs'!$D$52:$BO$59,'Property Level Return Calcs'!$A$54,FALSE),0)</f>
        <v>0</v>
      </c>
      <c r="AX7" s="553">
        <f>IFERROR(HLOOKUP(AX$6,'Property Level Return Calcs'!$D$52:$BO$59,'Property Level Return Calcs'!$A$54,FALSE),0)</f>
        <v>0</v>
      </c>
      <c r="AY7" s="553">
        <f>IFERROR(HLOOKUP(AY$6,'Property Level Return Calcs'!$D$52:$BO$59,'Property Level Return Calcs'!$A$54,FALSE),0)</f>
        <v>0</v>
      </c>
      <c r="AZ7" s="553">
        <f>IFERROR(HLOOKUP(AZ$6,'Property Level Return Calcs'!$D$52:$BO$59,'Property Level Return Calcs'!$A$54,FALSE),0)</f>
        <v>0</v>
      </c>
      <c r="BA7" s="553">
        <f>IFERROR(HLOOKUP(BA$6,'Property Level Return Calcs'!$D$52:$BO$59,'Property Level Return Calcs'!$A$54,FALSE),0)</f>
        <v>0</v>
      </c>
      <c r="BB7" s="553">
        <f>IFERROR(HLOOKUP(BB$6,'Property Level Return Calcs'!$D$52:$BO$59,'Property Level Return Calcs'!$A$54,FALSE),0)</f>
        <v>0</v>
      </c>
      <c r="BC7" s="553">
        <f>IFERROR(HLOOKUP(BC$6,'Property Level Return Calcs'!$D$52:$BO$59,'Property Level Return Calcs'!$A$54,FALSE),0)</f>
        <v>0</v>
      </c>
      <c r="BD7" s="553">
        <f>IFERROR(HLOOKUP(BD$6,'Property Level Return Calcs'!$D$52:$BO$59,'Property Level Return Calcs'!$A$54,FALSE),0)</f>
        <v>0</v>
      </c>
      <c r="BE7" s="553">
        <f>IFERROR(HLOOKUP(BE$6,'Property Level Return Calcs'!$D$52:$BO$59,'Property Level Return Calcs'!$A$54,FALSE),0)</f>
        <v>0</v>
      </c>
      <c r="BF7" s="553">
        <f>IFERROR(HLOOKUP(BF$6,'Property Level Return Calcs'!$D$52:$BO$59,'Property Level Return Calcs'!$A$54,FALSE),0)</f>
        <v>0</v>
      </c>
      <c r="BG7" s="553">
        <f>IFERROR(HLOOKUP(BG$6,'Property Level Return Calcs'!$D$52:$BO$59,'Property Level Return Calcs'!$A$54,FALSE),0)</f>
        <v>0</v>
      </c>
      <c r="BH7" s="553">
        <f>IFERROR(HLOOKUP(BH$6,'Property Level Return Calcs'!$D$52:$BO$59,'Property Level Return Calcs'!$A$54,FALSE),0)</f>
        <v>0</v>
      </c>
      <c r="BI7" s="553">
        <f>IFERROR(HLOOKUP(BI$6,'Property Level Return Calcs'!$D$52:$BO$59,'Property Level Return Calcs'!$A$54,FALSE),0)</f>
        <v>0</v>
      </c>
      <c r="BJ7" s="553">
        <f>IFERROR(HLOOKUP(BJ$6,'Property Level Return Calcs'!$D$52:$BO$59,'Property Level Return Calcs'!$A$54,FALSE),0)</f>
        <v>0</v>
      </c>
      <c r="BK7" s="553">
        <f>IFERROR(HLOOKUP(BK$6,'Property Level Return Calcs'!$D$52:$BO$59,'Property Level Return Calcs'!$A$54,FALSE),0)</f>
        <v>0</v>
      </c>
      <c r="BL7" s="553">
        <f>IFERROR(HLOOKUP(BL$6,'Property Level Return Calcs'!$D$52:$BO$59,'Property Level Return Calcs'!$A$54,FALSE),0)</f>
        <v>0</v>
      </c>
      <c r="BM7" s="553">
        <f>IFERROR(HLOOKUP(BM$6,'Property Level Return Calcs'!$D$52:$BO$59,'Property Level Return Calcs'!$A$54,FALSE),0)</f>
        <v>0</v>
      </c>
      <c r="BN7" s="553">
        <f>IFERROR(HLOOKUP(BN$6,'Property Level Return Calcs'!$D$52:$BO$59,'Property Level Return Calcs'!$A$54,FALSE),0)</f>
        <v>0</v>
      </c>
      <c r="BO7" s="346"/>
      <c r="BP7" s="251" t="s">
        <v>215</v>
      </c>
      <c r="BQ7" s="357">
        <f>+Dashboard!E18</f>
        <v>0.75</v>
      </c>
      <c r="BR7" s="357">
        <f t="shared" ref="BR7:BR8" si="0">1-BQ7</f>
        <v>0.25</v>
      </c>
      <c r="BS7" s="357">
        <f>+Dashboard!F18</f>
        <v>0.22</v>
      </c>
      <c r="BT7" s="666">
        <f>+'Waterfall 4.0 Years'!BT7</f>
        <v>0</v>
      </c>
      <c r="BV7" s="552">
        <f>(1+BS7)^(1/12)</f>
        <v>1.0167089638731281</v>
      </c>
      <c r="BW7" s="554">
        <f>(1+BS7)^(1/365)</f>
        <v>1.0005449453020443</v>
      </c>
    </row>
    <row r="8" spans="1:75" ht="15.75" thickBot="1">
      <c r="B8" s="248" t="s">
        <v>165</v>
      </c>
      <c r="C8" s="553">
        <f>IFERROR(HLOOKUP(C$6,'Property Level Return Calcs'!$D$52:$BO$59,'Property Level Return Calcs'!$A$57,FALSE),0)</f>
        <v>0</v>
      </c>
      <c r="D8" s="553">
        <f>IFERROR(HLOOKUP(D$6,'Property Level Return Calcs'!$D$52:$BO$59,'Property Level Return Calcs'!$A$57,FALSE),0)</f>
        <v>0</v>
      </c>
      <c r="E8" s="553">
        <f>IFERROR(HLOOKUP(E$6,'Property Level Return Calcs'!$D$52:$BO$59,'Property Level Return Calcs'!$A$57,FALSE),0)</f>
        <v>0</v>
      </c>
      <c r="F8" s="553">
        <f>IFERROR(HLOOKUP(F$6,'Property Level Return Calcs'!$D$52:$BO$59,'Property Level Return Calcs'!$A$57,FALSE),0)</f>
        <v>0</v>
      </c>
      <c r="G8" s="553">
        <f>IFERROR(HLOOKUP(G$6,'Property Level Return Calcs'!$D$52:$BO$59,'Property Level Return Calcs'!$A$57,FALSE),0)</f>
        <v>0</v>
      </c>
      <c r="H8" s="553">
        <f>IFERROR(HLOOKUP(H$6,'Property Level Return Calcs'!$D$52:$BO$59,'Property Level Return Calcs'!$A$57,FALSE),0)</f>
        <v>0</v>
      </c>
      <c r="I8" s="553">
        <f>IFERROR(HLOOKUP(I$6,'Property Level Return Calcs'!$D$52:$BO$59,'Property Level Return Calcs'!$A$57,FALSE),0)</f>
        <v>0</v>
      </c>
      <c r="J8" s="553">
        <f>IFERROR(HLOOKUP(J$6,'Property Level Return Calcs'!$D$52:$BO$59,'Property Level Return Calcs'!$A$57,FALSE),0)</f>
        <v>0</v>
      </c>
      <c r="K8" s="553">
        <f>IFERROR(HLOOKUP(K$6,'Property Level Return Calcs'!$D$52:$BO$59,'Property Level Return Calcs'!$A$57,FALSE),0)</f>
        <v>0</v>
      </c>
      <c r="L8" s="553">
        <f>IFERROR(HLOOKUP(L$6,'Property Level Return Calcs'!$D$52:$BO$59,'Property Level Return Calcs'!$A$57,FALSE),0)</f>
        <v>0</v>
      </c>
      <c r="M8" s="553">
        <f>IFERROR(HLOOKUP(M$6,'Property Level Return Calcs'!$D$52:$BO$59,'Property Level Return Calcs'!$A$57,FALSE),0)</f>
        <v>0</v>
      </c>
      <c r="N8" s="553">
        <f>IFERROR(HLOOKUP(N$6,'Property Level Return Calcs'!$D$52:$BO$59,'Property Level Return Calcs'!$A$57,FALSE),0)</f>
        <v>0</v>
      </c>
      <c r="O8" s="553">
        <f>IFERROR(HLOOKUP(O$6,'Property Level Return Calcs'!$D$52:$BO$59,'Property Level Return Calcs'!$A$57,FALSE),0)</f>
        <v>0</v>
      </c>
      <c r="P8" s="553">
        <f>IFERROR(HLOOKUP(P$6,'Property Level Return Calcs'!$D$52:$BO$59,'Property Level Return Calcs'!$A$57,FALSE),0)</f>
        <v>0</v>
      </c>
      <c r="Q8" s="553">
        <f>IFERROR(HLOOKUP(Q$6,'Property Level Return Calcs'!$D$52:$BO$59,'Property Level Return Calcs'!$A$57,FALSE),0)</f>
        <v>0</v>
      </c>
      <c r="R8" s="553">
        <f>IFERROR(HLOOKUP(R$6,'Property Level Return Calcs'!$D$52:$BO$59,'Property Level Return Calcs'!$A$57,FALSE),0)</f>
        <v>0</v>
      </c>
      <c r="S8" s="553">
        <f>IFERROR(HLOOKUP(S$6,'Property Level Return Calcs'!$D$52:$BO$59,'Property Level Return Calcs'!$A$57,FALSE),0)</f>
        <v>0</v>
      </c>
      <c r="T8" s="553">
        <f>IFERROR(HLOOKUP(T$6,'Property Level Return Calcs'!$D$52:$BO$59,'Property Level Return Calcs'!$A$57,FALSE),0)</f>
        <v>0</v>
      </c>
      <c r="U8" s="553">
        <f>IFERROR(HLOOKUP(U$6,'Property Level Return Calcs'!$D$52:$BO$59,'Property Level Return Calcs'!$A$57,FALSE),0)</f>
        <v>0</v>
      </c>
      <c r="V8" s="553">
        <f>IFERROR(HLOOKUP(V$6,'Property Level Return Calcs'!$D$52:$BO$59,'Property Level Return Calcs'!$A$57,FALSE),0)</f>
        <v>0</v>
      </c>
      <c r="W8" s="553">
        <f>IFERROR(HLOOKUP(W$6,'Property Level Return Calcs'!$D$52:$BO$59,'Property Level Return Calcs'!$A$57,FALSE),0)</f>
        <v>0</v>
      </c>
      <c r="X8" s="553">
        <f>IFERROR(HLOOKUP(X$6,'Property Level Return Calcs'!$D$52:$BO$59,'Property Level Return Calcs'!$A$57,FALSE),0)</f>
        <v>55865.937070519256</v>
      </c>
      <c r="Y8" s="553">
        <f>IFERROR(HLOOKUP(Y$6,'Property Level Return Calcs'!$D$52:$BO$59,'Property Level Return Calcs'!$A$57,FALSE),0)</f>
        <v>55865.937070519256</v>
      </c>
      <c r="Z8" s="553">
        <f>IFERROR(HLOOKUP(Z$6,'Property Level Return Calcs'!$D$52:$BO$59,'Property Level Return Calcs'!$A$57,FALSE),0)</f>
        <v>55865.937070519256</v>
      </c>
      <c r="AA8" s="553">
        <f>IFERROR(HLOOKUP(AA$6,'Property Level Return Calcs'!$D$52:$BO$59,'Property Level Return Calcs'!$A$57,FALSE),0)</f>
        <v>1567865.9370705192</v>
      </c>
      <c r="AB8" s="553">
        <f>IFERROR(HLOOKUP(AB$6,'Property Level Return Calcs'!$D$52:$BO$59,'Property Level Return Calcs'!$A$57,FALSE),0)</f>
        <v>55865.937070519256</v>
      </c>
      <c r="AC8" s="553">
        <f>IFERROR(HLOOKUP(AC$6,'Property Level Return Calcs'!$D$52:$BO$59,'Property Level Return Calcs'!$A$57,FALSE),0)</f>
        <v>55865.937070519256</v>
      </c>
      <c r="AD8" s="553">
        <f>IFERROR(HLOOKUP(AD$6,'Property Level Return Calcs'!$D$52:$BO$59,'Property Level Return Calcs'!$A$57,FALSE),0)</f>
        <v>160402.43820649723</v>
      </c>
      <c r="AE8" s="553">
        <f>IFERROR(HLOOKUP(AE$6,'Property Level Return Calcs'!$D$52:$BO$59,'Property Level Return Calcs'!$A$57,FALSE),0)</f>
        <v>160402.43820649723</v>
      </c>
      <c r="AF8" s="553">
        <f>IFERROR(HLOOKUP(AF$6,'Property Level Return Calcs'!$D$52:$BO$59,'Property Level Return Calcs'!$A$57,FALSE),0)</f>
        <v>160402.43820649723</v>
      </c>
      <c r="AG8" s="553">
        <f>IFERROR(HLOOKUP(AG$6,'Property Level Return Calcs'!$D$52:$BO$59,'Property Level Return Calcs'!$A$57,FALSE),0)</f>
        <v>160402.43820649723</v>
      </c>
      <c r="AH8" s="553">
        <f>IFERROR(HLOOKUP(AH$6,'Property Level Return Calcs'!$D$52:$BO$59,'Property Level Return Calcs'!$A$57,FALSE),0)</f>
        <v>160402.43820649723</v>
      </c>
      <c r="AI8" s="553">
        <f>IFERROR(HLOOKUP(AI$6,'Property Level Return Calcs'!$D$52:$BO$59,'Property Level Return Calcs'!$A$57,FALSE),0)</f>
        <v>160402.43820649723</v>
      </c>
      <c r="AJ8" s="553">
        <f>IFERROR(HLOOKUP(AJ$6,'Property Level Return Calcs'!$D$52:$BO$59,'Property Level Return Calcs'!$A$57,FALSE),0)</f>
        <v>174756.336958414</v>
      </c>
      <c r="AK8" s="553">
        <f>IFERROR(HLOOKUP(AK$6,'Property Level Return Calcs'!$D$52:$BO$59,'Property Level Return Calcs'!$A$57,FALSE),0)</f>
        <v>174756.336958414</v>
      </c>
      <c r="AL8" s="553">
        <f>IFERROR(HLOOKUP(AL$6,'Property Level Return Calcs'!$D$52:$BO$59,'Property Level Return Calcs'!$A$57,FALSE),0)</f>
        <v>174756.336958414</v>
      </c>
      <c r="AM8" s="553">
        <f>IFERROR(HLOOKUP(AM$6,'Property Level Return Calcs'!$D$52:$BO$59,'Property Level Return Calcs'!$A$57,FALSE),0)</f>
        <v>174756.336958414</v>
      </c>
      <c r="AN8" s="553">
        <f>IFERROR(HLOOKUP(AN$6,'Property Level Return Calcs'!$D$52:$BO$59,'Property Level Return Calcs'!$A$57,FALSE),0)</f>
        <v>174756.336958414</v>
      </c>
      <c r="AO8" s="553">
        <f>IFERROR(HLOOKUP(AO$6,'Property Level Return Calcs'!$D$52:$BO$59,'Property Level Return Calcs'!$A$57,FALSE),0)</f>
        <v>174756.336958414</v>
      </c>
      <c r="AP8" s="553">
        <f>IFERROR(HLOOKUP(AP$6,'Property Level Return Calcs'!$D$52:$BO$59,'Property Level Return Calcs'!$A$57,FALSE),0)</f>
        <v>93471.925282638869</v>
      </c>
      <c r="AQ8" s="553">
        <f>IFERROR(HLOOKUP(AQ$6,'Property Level Return Calcs'!$D$52:$BO$59,'Property Level Return Calcs'!$A$57,FALSE),0)</f>
        <v>93471.925282638811</v>
      </c>
      <c r="AR8" s="553">
        <f>IFERROR(HLOOKUP(AR$6,'Property Level Return Calcs'!$D$52:$BO$59,'Property Level Return Calcs'!$A$57,FALSE),0)</f>
        <v>93471.925282638811</v>
      </c>
      <c r="AS8" s="553">
        <f>IFERROR(HLOOKUP(AS$6,'Property Level Return Calcs'!$D$52:$BO$59,'Property Level Return Calcs'!$A$57,FALSE),0)</f>
        <v>93471.925282638811</v>
      </c>
      <c r="AT8" s="553">
        <f>IFERROR(HLOOKUP(AT$6,'Property Level Return Calcs'!$D$52:$BO$59,'Property Level Return Calcs'!$A$57,FALSE),0)</f>
        <v>93471.925282638811</v>
      </c>
      <c r="AU8" s="553">
        <f>IFERROR(HLOOKUP(AU$6,'Property Level Return Calcs'!$D$52:$BO$59,'Property Level Return Calcs'!$A$57,FALSE),0)</f>
        <v>93471.925282638869</v>
      </c>
      <c r="AV8" s="553">
        <f>IFERROR(HLOOKUP(AV$6,'Property Level Return Calcs'!$D$52:$BO$59,'Property Level Return Calcs'!$A$57,FALSE),0)</f>
        <v>108277.02087538387</v>
      </c>
      <c r="AW8" s="553">
        <f>IFERROR(HLOOKUP(AW$6,'Property Level Return Calcs'!$D$52:$BO$59,'Property Level Return Calcs'!$A$57,FALSE),0)</f>
        <v>108277.02087538387</v>
      </c>
      <c r="AX8" s="553">
        <f>IFERROR(HLOOKUP(AX$6,'Property Level Return Calcs'!$D$52:$BO$59,'Property Level Return Calcs'!$A$57,FALSE),0)</f>
        <v>108277.02087538387</v>
      </c>
      <c r="AY8" s="553">
        <f>IFERROR(HLOOKUP(AY$6,'Property Level Return Calcs'!$D$52:$BO$59,'Property Level Return Calcs'!$A$57,FALSE),0)</f>
        <v>108277.02087538387</v>
      </c>
      <c r="AZ8" s="553">
        <f>IFERROR(HLOOKUP(AZ$6,'Property Level Return Calcs'!$D$52:$BO$59,'Property Level Return Calcs'!$A$57,FALSE),0)</f>
        <v>108277.02087538387</v>
      </c>
      <c r="BA8" s="553">
        <f>IFERROR(HLOOKUP(BA$6,'Property Level Return Calcs'!$D$52:$BO$59,'Property Level Return Calcs'!$A$57,FALSE),0)</f>
        <v>108277.02087538387</v>
      </c>
      <c r="BB8" s="553">
        <f>IFERROR(HLOOKUP(BB$6,'Property Level Return Calcs'!$D$52:$BO$59,'Property Level Return Calcs'!$A$57,FALSE),0)</f>
        <v>108277.02087538387</v>
      </c>
      <c r="BC8" s="553">
        <f>IFERROR(HLOOKUP(BC$6,'Property Level Return Calcs'!$D$52:$BO$59,'Property Level Return Calcs'!$A$57,FALSE),0)</f>
        <v>108277.02087538387</v>
      </c>
      <c r="BD8" s="553">
        <f>IFERROR(HLOOKUP(BD$6,'Property Level Return Calcs'!$D$52:$BO$59,'Property Level Return Calcs'!$A$57,FALSE),0)</f>
        <v>108277.02087538387</v>
      </c>
      <c r="BE8" s="553">
        <f>IFERROR(HLOOKUP(BE$6,'Property Level Return Calcs'!$D$52:$BO$59,'Property Level Return Calcs'!$A$57,FALSE),0)</f>
        <v>108277.02087538387</v>
      </c>
      <c r="BF8" s="553">
        <f>IFERROR(HLOOKUP(BF$6,'Property Level Return Calcs'!$D$52:$BO$59,'Property Level Return Calcs'!$A$57,FALSE),0)</f>
        <v>108277.02087538387</v>
      </c>
      <c r="BG8" s="553">
        <f>IFERROR(HLOOKUP(BG$6,'Property Level Return Calcs'!$D$52:$BO$59,'Property Level Return Calcs'!$A$57,FALSE),0)</f>
        <v>108277.02087538387</v>
      </c>
      <c r="BH8" s="553">
        <f>IFERROR(HLOOKUP(BH$6,'Property Level Return Calcs'!$D$52:$BO$59,'Property Level Return Calcs'!$A$57,FALSE),0)</f>
        <v>123547.2608117474</v>
      </c>
      <c r="BI8" s="553">
        <f>IFERROR(HLOOKUP(BI$6,'Property Level Return Calcs'!$D$52:$BO$59,'Property Level Return Calcs'!$A$57,FALSE),0)</f>
        <v>123547.2608117474</v>
      </c>
      <c r="BJ8" s="553">
        <f>IFERROR(HLOOKUP(BJ$6,'Property Level Return Calcs'!$D$52:$BO$59,'Property Level Return Calcs'!$A$57,FALSE),0)</f>
        <v>123547.26081174746</v>
      </c>
      <c r="BK8" s="553">
        <f>IFERROR(HLOOKUP(BK$6,'Property Level Return Calcs'!$D$52:$BO$59,'Property Level Return Calcs'!$A$57,FALSE),0)</f>
        <v>123547.26081174746</v>
      </c>
      <c r="BL8" s="553">
        <f>IFERROR(HLOOKUP(BL$6,'Property Level Return Calcs'!$D$52:$BO$59,'Property Level Return Calcs'!$A$57,FALSE),0)</f>
        <v>123547.2608117474</v>
      </c>
      <c r="BM8" s="553">
        <f>IFERROR(HLOOKUP(BM$6,'Property Level Return Calcs'!$D$52:$BO$59,'Property Level Return Calcs'!$A$57,FALSE),0)</f>
        <v>0</v>
      </c>
      <c r="BN8" s="553">
        <f>IFERROR(HLOOKUP(BN$6,'Property Level Return Calcs'!$D$52:$BO$59,'Property Level Return Calcs'!$A$57,FALSE),0)</f>
        <v>0</v>
      </c>
      <c r="BO8" s="322"/>
      <c r="BP8" s="555" t="s">
        <v>216</v>
      </c>
      <c r="BQ8" s="556">
        <f>+Dashboard!E20</f>
        <v>0.65</v>
      </c>
      <c r="BR8" s="556">
        <f t="shared" si="0"/>
        <v>0.35</v>
      </c>
      <c r="BS8" s="556">
        <f>+Dashboard!F20</f>
        <v>2</v>
      </c>
      <c r="BT8" s="667" t="str">
        <f>+'Waterfall 4.0 Years'!BT8</f>
        <v>N/Ap</v>
      </c>
      <c r="BV8" s="487"/>
    </row>
    <row r="9" spans="1:75">
      <c r="B9" s="248" t="s">
        <v>156</v>
      </c>
      <c r="C9" s="553">
        <f>IFERROR(HLOOKUP(C$6,'Property Level Return Calcs'!$D$52:$BO$59,'Property Level Return Calcs'!$A$58,FALSE),0)</f>
        <v>0</v>
      </c>
      <c r="D9" s="553">
        <f>IFERROR(HLOOKUP(D$6,'Property Level Return Calcs'!$D$52:$BO$59,'Property Level Return Calcs'!$A$58,FALSE),0)</f>
        <v>0</v>
      </c>
      <c r="E9" s="553">
        <f>IFERROR(HLOOKUP(E$6,'Property Level Return Calcs'!$D$52:$BO$59,'Property Level Return Calcs'!$A$58,FALSE),0)</f>
        <v>0</v>
      </c>
      <c r="F9" s="553">
        <f>IFERROR(HLOOKUP(F$6,'Property Level Return Calcs'!$D$52:$BO$59,'Property Level Return Calcs'!$A$58,FALSE),0)</f>
        <v>0</v>
      </c>
      <c r="G9" s="553">
        <f>IFERROR(HLOOKUP(G$6,'Property Level Return Calcs'!$D$52:$BO$59,'Property Level Return Calcs'!$A$58,FALSE),0)</f>
        <v>0</v>
      </c>
      <c r="H9" s="553">
        <f>IFERROR(HLOOKUP(H$6,'Property Level Return Calcs'!$D$52:$BO$59,'Property Level Return Calcs'!$A$58,FALSE),0)</f>
        <v>0</v>
      </c>
      <c r="I9" s="553">
        <f>IFERROR(HLOOKUP(I$6,'Property Level Return Calcs'!$D$52:$BO$59,'Property Level Return Calcs'!$A$58,FALSE),0)</f>
        <v>0</v>
      </c>
      <c r="J9" s="553">
        <f>IFERROR(HLOOKUP(J$6,'Property Level Return Calcs'!$D$52:$BO$59,'Property Level Return Calcs'!$A$58,FALSE),0)</f>
        <v>0</v>
      </c>
      <c r="K9" s="553">
        <f>IFERROR(HLOOKUP(K$6,'Property Level Return Calcs'!$D$52:$BO$59,'Property Level Return Calcs'!$A$58,FALSE),0)</f>
        <v>0</v>
      </c>
      <c r="L9" s="553">
        <f>IFERROR(HLOOKUP(L$6,'Property Level Return Calcs'!$D$52:$BO$59,'Property Level Return Calcs'!$A$58,FALSE),0)</f>
        <v>0</v>
      </c>
      <c r="M9" s="553">
        <f>IFERROR(HLOOKUP(M$6,'Property Level Return Calcs'!$D$52:$BO$59,'Property Level Return Calcs'!$A$58,FALSE),0)</f>
        <v>0</v>
      </c>
      <c r="N9" s="553">
        <f>IFERROR(HLOOKUP(N$6,'Property Level Return Calcs'!$D$52:$BO$59,'Property Level Return Calcs'!$A$58,FALSE),0)</f>
        <v>0</v>
      </c>
      <c r="O9" s="553">
        <f>IFERROR(HLOOKUP(O$6,'Property Level Return Calcs'!$D$52:$BO$59,'Property Level Return Calcs'!$A$58,FALSE),0)</f>
        <v>0</v>
      </c>
      <c r="P9" s="553">
        <f>IFERROR(HLOOKUP(P$6,'Property Level Return Calcs'!$D$52:$BO$59,'Property Level Return Calcs'!$A$58,FALSE),0)</f>
        <v>0</v>
      </c>
      <c r="Q9" s="553">
        <f>IFERROR(HLOOKUP(Q$6,'Property Level Return Calcs'!$D$52:$BO$59,'Property Level Return Calcs'!$A$58,FALSE),0)</f>
        <v>0</v>
      </c>
      <c r="R9" s="553">
        <f>IFERROR(HLOOKUP(R$6,'Property Level Return Calcs'!$D$52:$BO$59,'Property Level Return Calcs'!$A$58,FALSE),0)</f>
        <v>0</v>
      </c>
      <c r="S9" s="553">
        <f>IFERROR(HLOOKUP(S$6,'Property Level Return Calcs'!$D$52:$BO$59,'Property Level Return Calcs'!$A$58,FALSE),0)</f>
        <v>0</v>
      </c>
      <c r="T9" s="553">
        <f>IFERROR(HLOOKUP(T$6,'Property Level Return Calcs'!$D$52:$BO$59,'Property Level Return Calcs'!$A$58,FALSE),0)</f>
        <v>0</v>
      </c>
      <c r="U9" s="553">
        <f>IFERROR(HLOOKUP(U$6,'Property Level Return Calcs'!$D$52:$BO$59,'Property Level Return Calcs'!$A$58,FALSE),0)</f>
        <v>0</v>
      </c>
      <c r="V9" s="553">
        <f>IFERROR(HLOOKUP(V$6,'Property Level Return Calcs'!$D$52:$BO$59,'Property Level Return Calcs'!$A$58,FALSE),0)</f>
        <v>0</v>
      </c>
      <c r="W9" s="553">
        <f>IFERROR(HLOOKUP(W$6,'Property Level Return Calcs'!$D$52:$BO$59,'Property Level Return Calcs'!$A$58,FALSE),0)</f>
        <v>0</v>
      </c>
      <c r="X9" s="553">
        <f>IFERROR(HLOOKUP(X$6,'Property Level Return Calcs'!$D$52:$BO$59,'Property Level Return Calcs'!$A$58,FALSE),0)</f>
        <v>0</v>
      </c>
      <c r="Y9" s="553">
        <f>IFERROR(HLOOKUP(Y$6,'Property Level Return Calcs'!$D$52:$BO$59,'Property Level Return Calcs'!$A$58,FALSE),0)</f>
        <v>0</v>
      </c>
      <c r="Z9" s="553">
        <f>IFERROR(HLOOKUP(Z$6,'Property Level Return Calcs'!$D$52:$BO$59,'Property Level Return Calcs'!$A$58,FALSE),0)</f>
        <v>0</v>
      </c>
      <c r="AA9" s="553">
        <f>IFERROR(HLOOKUP(AA$6,'Property Level Return Calcs'!$D$52:$BO$59,'Property Level Return Calcs'!$A$58,FALSE),0)</f>
        <v>0</v>
      </c>
      <c r="AB9" s="553">
        <f>IFERROR(HLOOKUP(AB$6,'Property Level Return Calcs'!$D$52:$BO$59,'Property Level Return Calcs'!$A$58,FALSE),0)</f>
        <v>0</v>
      </c>
      <c r="AC9" s="553">
        <f>IFERROR(HLOOKUP(AC$6,'Property Level Return Calcs'!$D$52:$BO$59,'Property Level Return Calcs'!$A$58,FALSE),0)</f>
        <v>0</v>
      </c>
      <c r="AD9" s="553">
        <f>IFERROR(HLOOKUP(AD$6,'Property Level Return Calcs'!$D$52:$BO$59,'Property Level Return Calcs'!$A$58,FALSE),0)</f>
        <v>-1381023.3589114696</v>
      </c>
      <c r="AE9" s="553">
        <f>IFERROR(HLOOKUP(AE$6,'Property Level Return Calcs'!$D$52:$BO$59,'Property Level Return Calcs'!$A$58,FALSE),0)</f>
        <v>0</v>
      </c>
      <c r="AF9" s="553">
        <f>IFERROR(HLOOKUP(AF$6,'Property Level Return Calcs'!$D$52:$BO$59,'Property Level Return Calcs'!$A$58,FALSE),0)</f>
        <v>0</v>
      </c>
      <c r="AG9" s="553">
        <f>IFERROR(HLOOKUP(AG$6,'Property Level Return Calcs'!$D$52:$BO$59,'Property Level Return Calcs'!$A$58,FALSE),0)</f>
        <v>0</v>
      </c>
      <c r="AH9" s="553">
        <f>IFERROR(HLOOKUP(AH$6,'Property Level Return Calcs'!$D$52:$BO$59,'Property Level Return Calcs'!$A$58,FALSE),0)</f>
        <v>0</v>
      </c>
      <c r="AI9" s="553">
        <f>IFERROR(HLOOKUP(AI$6,'Property Level Return Calcs'!$D$52:$BO$59,'Property Level Return Calcs'!$A$58,FALSE),0)</f>
        <v>0</v>
      </c>
      <c r="AJ9" s="553">
        <f>IFERROR(HLOOKUP(AJ$6,'Property Level Return Calcs'!$D$52:$BO$59,'Property Level Return Calcs'!$A$58,FALSE),0)</f>
        <v>0</v>
      </c>
      <c r="AK9" s="553">
        <f>IFERROR(HLOOKUP(AK$6,'Property Level Return Calcs'!$D$52:$BO$59,'Property Level Return Calcs'!$A$58,FALSE),0)</f>
        <v>0</v>
      </c>
      <c r="AL9" s="553">
        <f>IFERROR(HLOOKUP(AL$6,'Property Level Return Calcs'!$D$52:$BO$59,'Property Level Return Calcs'!$A$58,FALSE),0)</f>
        <v>0</v>
      </c>
      <c r="AM9" s="553">
        <f>IFERROR(HLOOKUP(AM$6,'Property Level Return Calcs'!$D$52:$BO$59,'Property Level Return Calcs'!$A$58,FALSE),0)</f>
        <v>0</v>
      </c>
      <c r="AN9" s="553">
        <f>IFERROR(HLOOKUP(AN$6,'Property Level Return Calcs'!$D$52:$BO$59,'Property Level Return Calcs'!$A$58,FALSE),0)</f>
        <v>0</v>
      </c>
      <c r="AO9" s="553">
        <f>IFERROR(HLOOKUP(AO$6,'Property Level Return Calcs'!$D$52:$BO$59,'Property Level Return Calcs'!$A$58,FALSE),0)</f>
        <v>0</v>
      </c>
      <c r="AP9" s="553">
        <f>IFERROR(HLOOKUP(AP$6,'Property Level Return Calcs'!$D$52:$BO$59,'Property Level Return Calcs'!$A$58,FALSE),0)</f>
        <v>0</v>
      </c>
      <c r="AQ9" s="553">
        <f>IFERROR(HLOOKUP(AQ$6,'Property Level Return Calcs'!$D$52:$BO$59,'Property Level Return Calcs'!$A$58,FALSE),0)</f>
        <v>0</v>
      </c>
      <c r="AR9" s="553">
        <f>IFERROR(HLOOKUP(AR$6,'Property Level Return Calcs'!$D$52:$BO$59,'Property Level Return Calcs'!$A$58,FALSE),0)</f>
        <v>0</v>
      </c>
      <c r="AS9" s="553">
        <f>IFERROR(HLOOKUP(AS$6,'Property Level Return Calcs'!$D$52:$BO$59,'Property Level Return Calcs'!$A$58,FALSE),0)</f>
        <v>0</v>
      </c>
      <c r="AT9" s="553">
        <f>IFERROR(HLOOKUP(AT$6,'Property Level Return Calcs'!$D$52:$BO$59,'Property Level Return Calcs'!$A$58,FALSE),0)</f>
        <v>0</v>
      </c>
      <c r="AU9" s="553">
        <f>IFERROR(HLOOKUP(AU$6,'Property Level Return Calcs'!$D$52:$BO$59,'Property Level Return Calcs'!$A$58,FALSE),0)</f>
        <v>0</v>
      </c>
      <c r="AV9" s="553">
        <f>IFERROR(HLOOKUP(AV$6,'Property Level Return Calcs'!$D$52:$BO$59,'Property Level Return Calcs'!$A$58,FALSE),0)</f>
        <v>0</v>
      </c>
      <c r="AW9" s="553">
        <f>IFERROR(HLOOKUP(AW$6,'Property Level Return Calcs'!$D$52:$BO$59,'Property Level Return Calcs'!$A$58,FALSE),0)</f>
        <v>0</v>
      </c>
      <c r="AX9" s="553">
        <f>IFERROR(HLOOKUP(AX$6,'Property Level Return Calcs'!$D$52:$BO$59,'Property Level Return Calcs'!$A$58,FALSE),0)</f>
        <v>0</v>
      </c>
      <c r="AY9" s="553">
        <f>IFERROR(HLOOKUP(AY$6,'Property Level Return Calcs'!$D$52:$BO$59,'Property Level Return Calcs'!$A$58,FALSE),0)</f>
        <v>0</v>
      </c>
      <c r="AZ9" s="553">
        <f>IFERROR(HLOOKUP(AZ$6,'Property Level Return Calcs'!$D$52:$BO$59,'Property Level Return Calcs'!$A$58,FALSE),0)</f>
        <v>0</v>
      </c>
      <c r="BA9" s="553">
        <f>IFERROR(HLOOKUP(BA$6,'Property Level Return Calcs'!$D$52:$BO$59,'Property Level Return Calcs'!$A$58,FALSE),0)</f>
        <v>0</v>
      </c>
      <c r="BB9" s="553">
        <f>IFERROR(HLOOKUP(BB$6,'Property Level Return Calcs'!$D$52:$BO$59,'Property Level Return Calcs'!$A$58,FALSE),0)</f>
        <v>0</v>
      </c>
      <c r="BC9" s="553">
        <f>IFERROR(HLOOKUP(BC$6,'Property Level Return Calcs'!$D$52:$BO$59,'Property Level Return Calcs'!$A$58,FALSE),0)</f>
        <v>0</v>
      </c>
      <c r="BD9" s="553">
        <f>IFERROR(HLOOKUP(BD$6,'Property Level Return Calcs'!$D$52:$BO$59,'Property Level Return Calcs'!$A$58,FALSE),0)</f>
        <v>0</v>
      </c>
      <c r="BE9" s="553">
        <f>IFERROR(HLOOKUP(BE$6,'Property Level Return Calcs'!$D$52:$BO$59,'Property Level Return Calcs'!$A$58,FALSE),0)</f>
        <v>0</v>
      </c>
      <c r="BF9" s="553">
        <f>IFERROR(HLOOKUP(BF$6,'Property Level Return Calcs'!$D$52:$BO$59,'Property Level Return Calcs'!$A$58,FALSE),0)</f>
        <v>0</v>
      </c>
      <c r="BG9" s="553">
        <f>IFERROR(HLOOKUP(BG$6,'Property Level Return Calcs'!$D$52:$BO$59,'Property Level Return Calcs'!$A$58,FALSE),0)</f>
        <v>0</v>
      </c>
      <c r="BH9" s="553">
        <f>IFERROR(HLOOKUP(BH$6,'Property Level Return Calcs'!$D$52:$BO$59,'Property Level Return Calcs'!$A$58,FALSE),0)</f>
        <v>0</v>
      </c>
      <c r="BI9" s="553">
        <f>IFERROR(HLOOKUP(BI$6,'Property Level Return Calcs'!$D$52:$BO$59,'Property Level Return Calcs'!$A$58,FALSE),0)</f>
        <v>0</v>
      </c>
      <c r="BJ9" s="553">
        <f>IFERROR(HLOOKUP(BJ$6,'Property Level Return Calcs'!$D$52:$BO$59,'Property Level Return Calcs'!$A$58,FALSE),0)</f>
        <v>0</v>
      </c>
      <c r="BK9" s="553">
        <f>IFERROR(HLOOKUP(BK$6,'Property Level Return Calcs'!$D$52:$BO$59,'Property Level Return Calcs'!$A$58,FALSE),0)</f>
        <v>0</v>
      </c>
      <c r="BL9" s="553">
        <f>IFERROR(HLOOKUP(BL$6,'Property Level Return Calcs'!$D$52:$BO$59,'Property Level Return Calcs'!$A$58,FALSE),0)</f>
        <v>0</v>
      </c>
      <c r="BM9" s="553">
        <f>IFERROR(HLOOKUP(BM$6,'Property Level Return Calcs'!$D$52:$BO$59,'Property Level Return Calcs'!$A$58,FALSE),0)</f>
        <v>0</v>
      </c>
      <c r="BN9" s="553">
        <f>IFERROR(HLOOKUP(BN$6,'Property Level Return Calcs'!$D$52:$BO$59,'Property Level Return Calcs'!$A$58,FALSE),0)</f>
        <v>0</v>
      </c>
      <c r="BO9" s="347"/>
    </row>
    <row r="10" spans="1:75" s="216" customFormat="1">
      <c r="A10" s="215"/>
      <c r="B10" s="255" t="s">
        <v>166</v>
      </c>
      <c r="C10" s="553">
        <f>IFERROR(HLOOKUP(C$6,'Property Level Return Calcs'!$D$52:$BO$59,'Property Level Return Calcs'!$A$59,FALSE),0)</f>
        <v>0</v>
      </c>
      <c r="D10" s="553">
        <f>IFERROR(HLOOKUP(D$6,'Property Level Return Calcs'!$D$52:$BO$59,'Property Level Return Calcs'!$A$59,FALSE),0)</f>
        <v>0</v>
      </c>
      <c r="E10" s="553">
        <f>IFERROR(HLOOKUP(E$6,'Property Level Return Calcs'!$D$52:$BO$59,'Property Level Return Calcs'!$A$59,FALSE),0)</f>
        <v>0</v>
      </c>
      <c r="F10" s="553">
        <f>IFERROR(HLOOKUP(F$6,'Property Level Return Calcs'!$D$52:$BO$59,'Property Level Return Calcs'!$A$59,FALSE),0)</f>
        <v>0</v>
      </c>
      <c r="G10" s="553">
        <f>IFERROR(HLOOKUP(G$6,'Property Level Return Calcs'!$D$52:$BO$59,'Property Level Return Calcs'!$A$59,FALSE),0)</f>
        <v>0</v>
      </c>
      <c r="H10" s="553">
        <f>IFERROR(HLOOKUP(H$6,'Property Level Return Calcs'!$D$52:$BO$59,'Property Level Return Calcs'!$A$59,FALSE),0)</f>
        <v>0</v>
      </c>
      <c r="I10" s="553">
        <f>IFERROR(HLOOKUP(I$6,'Property Level Return Calcs'!$D$52:$BO$59,'Property Level Return Calcs'!$A$59,FALSE),0)</f>
        <v>0</v>
      </c>
      <c r="J10" s="553">
        <f>IFERROR(HLOOKUP(J$6,'Property Level Return Calcs'!$D$52:$BO$59,'Property Level Return Calcs'!$A$59,FALSE),0)</f>
        <v>0</v>
      </c>
      <c r="K10" s="553">
        <f>IFERROR(HLOOKUP(K$6,'Property Level Return Calcs'!$D$52:$BO$59,'Property Level Return Calcs'!$A$59,FALSE),0)</f>
        <v>0</v>
      </c>
      <c r="L10" s="553">
        <f>IFERROR(HLOOKUP(L$6,'Property Level Return Calcs'!$D$52:$BO$59,'Property Level Return Calcs'!$A$59,FALSE),0)</f>
        <v>0</v>
      </c>
      <c r="M10" s="553">
        <f>IFERROR(HLOOKUP(M$6,'Property Level Return Calcs'!$D$52:$BO$59,'Property Level Return Calcs'!$A$59,FALSE),0)</f>
        <v>0</v>
      </c>
      <c r="N10" s="553">
        <f>IFERROR(HLOOKUP(N$6,'Property Level Return Calcs'!$D$52:$BO$59,'Property Level Return Calcs'!$A$59,FALSE),0)</f>
        <v>0</v>
      </c>
      <c r="O10" s="553">
        <f>IFERROR(HLOOKUP(O$6,'Property Level Return Calcs'!$D$52:$BO$59,'Property Level Return Calcs'!$A$59,FALSE),0)</f>
        <v>0</v>
      </c>
      <c r="P10" s="553">
        <f>IFERROR(HLOOKUP(P$6,'Property Level Return Calcs'!$D$52:$BO$59,'Property Level Return Calcs'!$A$59,FALSE),0)</f>
        <v>0</v>
      </c>
      <c r="Q10" s="553">
        <f>IFERROR(HLOOKUP(Q$6,'Property Level Return Calcs'!$D$52:$BO$59,'Property Level Return Calcs'!$A$59,FALSE),0)</f>
        <v>0</v>
      </c>
      <c r="R10" s="553">
        <f>IFERROR(HLOOKUP(R$6,'Property Level Return Calcs'!$D$52:$BO$59,'Property Level Return Calcs'!$A$59,FALSE),0)</f>
        <v>0</v>
      </c>
      <c r="S10" s="553">
        <f>IFERROR(HLOOKUP(S$6,'Property Level Return Calcs'!$D$52:$BO$59,'Property Level Return Calcs'!$A$59,FALSE),0)</f>
        <v>0</v>
      </c>
      <c r="T10" s="553">
        <f>IFERROR(HLOOKUP(T$6,'Property Level Return Calcs'!$D$52:$BO$59,'Property Level Return Calcs'!$A$59,FALSE),0)</f>
        <v>0</v>
      </c>
      <c r="U10" s="553">
        <f>IFERROR(HLOOKUP(U$6,'Property Level Return Calcs'!$D$52:$BO$59,'Property Level Return Calcs'!$A$59,FALSE),0)</f>
        <v>0</v>
      </c>
      <c r="V10" s="553">
        <f>IFERROR(HLOOKUP(V$6,'Property Level Return Calcs'!$D$52:$BO$59,'Property Level Return Calcs'!$A$59,FALSE),0)</f>
        <v>0</v>
      </c>
      <c r="W10" s="553">
        <f>IFERROR(HLOOKUP(W$6,'Property Level Return Calcs'!$D$52:$BO$59,'Property Level Return Calcs'!$A$59,FALSE),0)</f>
        <v>0</v>
      </c>
      <c r="X10" s="553">
        <f>IFERROR(HLOOKUP(X$6,'Property Level Return Calcs'!$D$52:$BO$59,'Property Level Return Calcs'!$A$59,FALSE),0)</f>
        <v>0</v>
      </c>
      <c r="Y10" s="553">
        <f>IFERROR(HLOOKUP(Y$6,'Property Level Return Calcs'!$D$52:$BO$59,'Property Level Return Calcs'!$A$59,FALSE),0)</f>
        <v>0</v>
      </c>
      <c r="Z10" s="553">
        <f>IFERROR(HLOOKUP(Z$6,'Property Level Return Calcs'!$D$52:$BO$59,'Property Level Return Calcs'!$A$59,FALSE),0)</f>
        <v>0</v>
      </c>
      <c r="AA10" s="553">
        <f>IFERROR(HLOOKUP(AA$6,'Property Level Return Calcs'!$D$52:$BO$59,'Property Level Return Calcs'!$A$59,FALSE),0)</f>
        <v>0</v>
      </c>
      <c r="AB10" s="553">
        <f>IFERROR(HLOOKUP(AB$6,'Property Level Return Calcs'!$D$52:$BO$59,'Property Level Return Calcs'!$A$59,FALSE),0)</f>
        <v>0</v>
      </c>
      <c r="AC10" s="553">
        <f>IFERROR(HLOOKUP(AC$6,'Property Level Return Calcs'!$D$52:$BO$59,'Property Level Return Calcs'!$A$59,FALSE),0)</f>
        <v>0</v>
      </c>
      <c r="AD10" s="553">
        <f>IFERROR(HLOOKUP(AD$6,'Property Level Return Calcs'!$D$52:$BO$59,'Property Level Return Calcs'!$A$59,FALSE),0)</f>
        <v>0</v>
      </c>
      <c r="AE10" s="553">
        <f>IFERROR(HLOOKUP(AE$6,'Property Level Return Calcs'!$D$52:$BO$59,'Property Level Return Calcs'!$A$59,FALSE),0)</f>
        <v>0</v>
      </c>
      <c r="AF10" s="553">
        <f>IFERROR(HLOOKUP(AF$6,'Property Level Return Calcs'!$D$52:$BO$59,'Property Level Return Calcs'!$A$59,FALSE),0)</f>
        <v>0</v>
      </c>
      <c r="AG10" s="553">
        <f>IFERROR(HLOOKUP(AG$6,'Property Level Return Calcs'!$D$52:$BO$59,'Property Level Return Calcs'!$A$59,FALSE),0)</f>
        <v>0</v>
      </c>
      <c r="AH10" s="553">
        <f>IFERROR(HLOOKUP(AH$6,'Property Level Return Calcs'!$D$52:$BO$59,'Property Level Return Calcs'!$A$59,FALSE),0)</f>
        <v>0</v>
      </c>
      <c r="AI10" s="553">
        <f>IFERROR(HLOOKUP(AI$6,'Property Level Return Calcs'!$D$52:$BO$59,'Property Level Return Calcs'!$A$59,FALSE),0)</f>
        <v>0</v>
      </c>
      <c r="AJ10" s="553">
        <f>IFERROR(HLOOKUP(AJ$6,'Property Level Return Calcs'!$D$52:$BO$59,'Property Level Return Calcs'!$A$59,FALSE),0)</f>
        <v>0</v>
      </c>
      <c r="AK10" s="553">
        <f>IFERROR(HLOOKUP(AK$6,'Property Level Return Calcs'!$D$52:$BO$59,'Property Level Return Calcs'!$A$59,FALSE),0)</f>
        <v>0</v>
      </c>
      <c r="AL10" s="553">
        <f>IFERROR(HLOOKUP(AL$6,'Property Level Return Calcs'!$D$52:$BO$59,'Property Level Return Calcs'!$A$59,FALSE),0)</f>
        <v>0</v>
      </c>
      <c r="AM10" s="553">
        <f>IFERROR(HLOOKUP(AM$6,'Property Level Return Calcs'!$D$52:$BO$59,'Property Level Return Calcs'!$A$59,FALSE),0)</f>
        <v>0</v>
      </c>
      <c r="AN10" s="553">
        <f>IFERROR(HLOOKUP(AN$6,'Property Level Return Calcs'!$D$52:$BO$59,'Property Level Return Calcs'!$A$59,FALSE),0)</f>
        <v>0</v>
      </c>
      <c r="AO10" s="553">
        <f>IFERROR(HLOOKUP(AO$6,'Property Level Return Calcs'!$D$52:$BO$59,'Property Level Return Calcs'!$A$59,FALSE),0)</f>
        <v>0</v>
      </c>
      <c r="AP10" s="553">
        <f>IFERROR(HLOOKUP(AP$6,'Property Level Return Calcs'!$D$52:$BO$59,'Property Level Return Calcs'!$A$59,FALSE),0)</f>
        <v>0</v>
      </c>
      <c r="AQ10" s="553">
        <f>IFERROR(HLOOKUP(AQ$6,'Property Level Return Calcs'!$D$52:$BO$59,'Property Level Return Calcs'!$A$59,FALSE),0)</f>
        <v>0</v>
      </c>
      <c r="AR10" s="553">
        <f>IFERROR(HLOOKUP(AR$6,'Property Level Return Calcs'!$D$52:$BO$59,'Property Level Return Calcs'!$A$59,FALSE),0)</f>
        <v>0</v>
      </c>
      <c r="AS10" s="553">
        <f>IFERROR(HLOOKUP(AS$6,'Property Level Return Calcs'!$D$52:$BO$59,'Property Level Return Calcs'!$A$59,FALSE),0)</f>
        <v>0</v>
      </c>
      <c r="AT10" s="553">
        <f>IFERROR(HLOOKUP(AT$6,'Property Level Return Calcs'!$D$52:$BO$59,'Property Level Return Calcs'!$A$59,FALSE),0)</f>
        <v>0</v>
      </c>
      <c r="AU10" s="553">
        <f>IFERROR(HLOOKUP(AU$6,'Property Level Return Calcs'!$D$52:$BO$59,'Property Level Return Calcs'!$A$59,FALSE),0)</f>
        <v>0</v>
      </c>
      <c r="AV10" s="553">
        <f>IFERROR(HLOOKUP(AV$6,'Property Level Return Calcs'!$D$52:$BO$59,'Property Level Return Calcs'!$A$59,FALSE),0)</f>
        <v>0</v>
      </c>
      <c r="AW10" s="553">
        <f>IFERROR(HLOOKUP(AW$6,'Property Level Return Calcs'!$D$52:$BO$59,'Property Level Return Calcs'!$A$59,FALSE),0)</f>
        <v>0</v>
      </c>
      <c r="AX10" s="553">
        <f>IFERROR(HLOOKUP(AX$6,'Property Level Return Calcs'!$D$52:$BO$59,'Property Level Return Calcs'!$A$59,FALSE),0)</f>
        <v>0</v>
      </c>
      <c r="AY10" s="553">
        <f>IFERROR(HLOOKUP(AY$6,'Property Level Return Calcs'!$D$52:$BO$59,'Property Level Return Calcs'!$A$59,FALSE),0)</f>
        <v>0</v>
      </c>
      <c r="AZ10" s="553">
        <f>IFERROR(HLOOKUP(AZ$6,'Property Level Return Calcs'!$D$52:$BO$59,'Property Level Return Calcs'!$A$59,FALSE),0)</f>
        <v>0</v>
      </c>
      <c r="BA10" s="553">
        <f>IFERROR(HLOOKUP(BA$6,'Property Level Return Calcs'!$D$52:$BO$59,'Property Level Return Calcs'!$A$59,FALSE),0)</f>
        <v>0</v>
      </c>
      <c r="BB10" s="553">
        <f>IFERROR(HLOOKUP(BB$6,'Property Level Return Calcs'!$D$52:$BO$59,'Property Level Return Calcs'!$A$59,FALSE),0)</f>
        <v>0</v>
      </c>
      <c r="BC10" s="553">
        <f>IFERROR(HLOOKUP(BC$6,'Property Level Return Calcs'!$D$52:$BO$59,'Property Level Return Calcs'!$A$59,FALSE),0)</f>
        <v>0</v>
      </c>
      <c r="BD10" s="553">
        <f>IFERROR(HLOOKUP(BD$6,'Property Level Return Calcs'!$D$52:$BO$59,'Property Level Return Calcs'!$A$59,FALSE),0)</f>
        <v>0</v>
      </c>
      <c r="BE10" s="553">
        <f>IFERROR(HLOOKUP(BE$6,'Property Level Return Calcs'!$D$52:$BO$59,'Property Level Return Calcs'!$A$59,FALSE),0)</f>
        <v>0</v>
      </c>
      <c r="BF10" s="553">
        <f>IFERROR(HLOOKUP(BF$6,'Property Level Return Calcs'!$D$52:$BO$59,'Property Level Return Calcs'!$A$59,FALSE),0)</f>
        <v>0</v>
      </c>
      <c r="BG10" s="553">
        <f>IFERROR(HLOOKUP(BG$6,'Property Level Return Calcs'!$D$52:$BO$59,'Property Level Return Calcs'!$A$59,FALSE),0)</f>
        <v>0</v>
      </c>
      <c r="BH10" s="553">
        <f>IFERROR(HLOOKUP(BH$6,'Property Level Return Calcs'!$D$52:$BO$59,'Property Level Return Calcs'!$A$59,FALSE),0)</f>
        <v>0</v>
      </c>
      <c r="BI10" s="553">
        <f>IFERROR(HLOOKUP(BI$6,'Property Level Return Calcs'!$D$52:$BO$59,'Property Level Return Calcs'!$A$59,FALSE),0)</f>
        <v>0</v>
      </c>
      <c r="BJ10" s="553">
        <f>IFERROR(HLOOKUP(BJ$6,'Property Level Return Calcs'!$D$52:$BO$59,'Property Level Return Calcs'!$A$59,FALSE),0)</f>
        <v>0</v>
      </c>
      <c r="BK10" s="553">
        <f>IFERROR(HLOOKUP(BK$6,'Property Level Return Calcs'!$D$52:$BO$59,'Property Level Return Calcs'!$A$59,FALSE),0)</f>
        <v>0</v>
      </c>
      <c r="BL10" s="553">
        <f>IFERROR(HLOOKUP(BL$6,'Property Level Return Calcs'!$D$52:$BO$59,'Property Level Return Calcs'!$A$59,FALSE),0)</f>
        <v>0</v>
      </c>
      <c r="BM10" s="553">
        <f>IFERROR(HLOOKUP(BM$6,'Property Level Return Calcs'!$D$52:$BO$59,'Property Level Return Calcs'!$A$59,FALSE),0)</f>
        <v>47798762.401759155</v>
      </c>
      <c r="BN10" s="553">
        <f>IFERROR(HLOOKUP(BN$6,'Property Level Return Calcs'!$D$52:$BO$59,'Property Level Return Calcs'!$A$59,FALSE),0)</f>
        <v>0</v>
      </c>
      <c r="BO10" s="348"/>
    </row>
    <row r="11" spans="1:75" s="216" customFormat="1">
      <c r="A11" s="215"/>
      <c r="B11" s="226" t="s">
        <v>167</v>
      </c>
      <c r="C11" s="557">
        <f>SUM(C7:C10)</f>
        <v>-24033944.982098967</v>
      </c>
      <c r="D11" s="557">
        <f>SUM(D7:D10)</f>
        <v>0</v>
      </c>
      <c r="E11" s="557">
        <f t="shared" ref="E11:BM11" si="1">SUM(E7:E10)</f>
        <v>0</v>
      </c>
      <c r="F11" s="557">
        <f t="shared" si="1"/>
        <v>0</v>
      </c>
      <c r="G11" s="557">
        <f t="shared" si="1"/>
        <v>0</v>
      </c>
      <c r="H11" s="557">
        <f t="shared" si="1"/>
        <v>0</v>
      </c>
      <c r="I11" s="557">
        <f t="shared" si="1"/>
        <v>0</v>
      </c>
      <c r="J11" s="557">
        <f t="shared" si="1"/>
        <v>0</v>
      </c>
      <c r="K11" s="557">
        <f t="shared" si="1"/>
        <v>0</v>
      </c>
      <c r="L11" s="557">
        <f t="shared" si="1"/>
        <v>0</v>
      </c>
      <c r="M11" s="557">
        <f t="shared" si="1"/>
        <v>0</v>
      </c>
      <c r="N11" s="557">
        <f t="shared" si="1"/>
        <v>0</v>
      </c>
      <c r="O11" s="557">
        <f t="shared" si="1"/>
        <v>0</v>
      </c>
      <c r="P11" s="557">
        <f t="shared" si="1"/>
        <v>0</v>
      </c>
      <c r="Q11" s="557">
        <f t="shared" si="1"/>
        <v>0</v>
      </c>
      <c r="R11" s="557">
        <f t="shared" si="1"/>
        <v>0</v>
      </c>
      <c r="S11" s="557">
        <f t="shared" si="1"/>
        <v>0</v>
      </c>
      <c r="T11" s="557">
        <f t="shared" si="1"/>
        <v>0</v>
      </c>
      <c r="U11" s="557">
        <f t="shared" si="1"/>
        <v>0</v>
      </c>
      <c r="V11" s="557">
        <f t="shared" si="1"/>
        <v>0</v>
      </c>
      <c r="W11" s="557">
        <f t="shared" si="1"/>
        <v>0</v>
      </c>
      <c r="X11" s="557">
        <f t="shared" si="1"/>
        <v>55865.937070519256</v>
      </c>
      <c r="Y11" s="557">
        <f t="shared" si="1"/>
        <v>55865.937070519256</v>
      </c>
      <c r="Z11" s="557">
        <f t="shared" si="1"/>
        <v>55865.937070519256</v>
      </c>
      <c r="AA11" s="557">
        <f t="shared" si="1"/>
        <v>1567865.9370705192</v>
      </c>
      <c r="AB11" s="557">
        <f t="shared" si="1"/>
        <v>55865.937070519256</v>
      </c>
      <c r="AC11" s="557">
        <f t="shared" si="1"/>
        <v>55865.937070519256</v>
      </c>
      <c r="AD11" s="557">
        <f t="shared" si="1"/>
        <v>-1220620.9207049725</v>
      </c>
      <c r="AE11" s="557">
        <f t="shared" si="1"/>
        <v>160402.43820649723</v>
      </c>
      <c r="AF11" s="557">
        <f t="shared" si="1"/>
        <v>160402.43820649723</v>
      </c>
      <c r="AG11" s="557">
        <f t="shared" si="1"/>
        <v>160402.43820649723</v>
      </c>
      <c r="AH11" s="557">
        <f t="shared" si="1"/>
        <v>160402.43820649723</v>
      </c>
      <c r="AI11" s="557">
        <f t="shared" si="1"/>
        <v>160402.43820649723</v>
      </c>
      <c r="AJ11" s="557">
        <f t="shared" si="1"/>
        <v>174756.336958414</v>
      </c>
      <c r="AK11" s="557">
        <f t="shared" si="1"/>
        <v>174756.336958414</v>
      </c>
      <c r="AL11" s="557">
        <f t="shared" si="1"/>
        <v>174756.336958414</v>
      </c>
      <c r="AM11" s="557">
        <f t="shared" si="1"/>
        <v>174756.336958414</v>
      </c>
      <c r="AN11" s="557">
        <f t="shared" si="1"/>
        <v>174756.336958414</v>
      </c>
      <c r="AO11" s="557">
        <f t="shared" si="1"/>
        <v>174756.336958414</v>
      </c>
      <c r="AP11" s="557">
        <f t="shared" si="1"/>
        <v>93471.925282638869</v>
      </c>
      <c r="AQ11" s="557">
        <f t="shared" si="1"/>
        <v>93471.925282638811</v>
      </c>
      <c r="AR11" s="557">
        <f t="shared" si="1"/>
        <v>93471.925282638811</v>
      </c>
      <c r="AS11" s="557">
        <f t="shared" si="1"/>
        <v>93471.925282638811</v>
      </c>
      <c r="AT11" s="557">
        <f t="shared" si="1"/>
        <v>93471.925282638811</v>
      </c>
      <c r="AU11" s="557">
        <f t="shared" si="1"/>
        <v>93471.925282638869</v>
      </c>
      <c r="AV11" s="557">
        <f t="shared" si="1"/>
        <v>108277.02087538387</v>
      </c>
      <c r="AW11" s="557">
        <f t="shared" si="1"/>
        <v>108277.02087538387</v>
      </c>
      <c r="AX11" s="557">
        <f t="shared" si="1"/>
        <v>108277.02087538387</v>
      </c>
      <c r="AY11" s="557">
        <f t="shared" si="1"/>
        <v>108277.02087538387</v>
      </c>
      <c r="AZ11" s="557">
        <f t="shared" si="1"/>
        <v>108277.02087538387</v>
      </c>
      <c r="BA11" s="557">
        <f t="shared" si="1"/>
        <v>108277.02087538387</v>
      </c>
      <c r="BB11" s="557">
        <f t="shared" si="1"/>
        <v>108277.02087538387</v>
      </c>
      <c r="BC11" s="557">
        <f t="shared" si="1"/>
        <v>108277.02087538387</v>
      </c>
      <c r="BD11" s="557">
        <f t="shared" si="1"/>
        <v>108277.02087538387</v>
      </c>
      <c r="BE11" s="557">
        <f t="shared" si="1"/>
        <v>108277.02087538387</v>
      </c>
      <c r="BF11" s="557">
        <f t="shared" si="1"/>
        <v>108277.02087538387</v>
      </c>
      <c r="BG11" s="557">
        <f t="shared" si="1"/>
        <v>108277.02087538387</v>
      </c>
      <c r="BH11" s="557">
        <f t="shared" si="1"/>
        <v>123547.2608117474</v>
      </c>
      <c r="BI11" s="557">
        <f t="shared" si="1"/>
        <v>123547.2608117474</v>
      </c>
      <c r="BJ11" s="557">
        <f t="shared" si="1"/>
        <v>123547.26081174746</v>
      </c>
      <c r="BK11" s="557">
        <f t="shared" si="1"/>
        <v>123547.26081174746</v>
      </c>
      <c r="BL11" s="557">
        <f t="shared" si="1"/>
        <v>123547.2608117474</v>
      </c>
      <c r="BM11" s="557">
        <f t="shared" si="1"/>
        <v>47798762.401759155</v>
      </c>
      <c r="BN11" s="557">
        <f>SUM(BN7:BN10)</f>
        <v>0</v>
      </c>
      <c r="BO11" s="349"/>
    </row>
    <row r="12" spans="1:75">
      <c r="B12" s="248"/>
      <c r="C12" s="213"/>
      <c r="D12" s="324"/>
      <c r="E12" s="324"/>
      <c r="F12" s="324"/>
      <c r="G12" s="324"/>
      <c r="H12" s="324"/>
      <c r="I12" s="324"/>
      <c r="J12" s="324"/>
      <c r="K12" s="324"/>
      <c r="L12" s="324"/>
      <c r="M12" s="324"/>
      <c r="N12" s="324"/>
      <c r="O12" s="324"/>
      <c r="P12" s="324"/>
      <c r="Q12" s="324"/>
      <c r="R12" s="324"/>
      <c r="S12" s="324"/>
      <c r="T12" s="324"/>
      <c r="U12" s="324"/>
      <c r="V12" s="324"/>
      <c r="W12" s="324"/>
      <c r="X12" s="324"/>
      <c r="Y12" s="324"/>
      <c r="Z12" s="324"/>
      <c r="AA12" s="324"/>
      <c r="AB12" s="324"/>
      <c r="AC12" s="324"/>
      <c r="AD12" s="324"/>
      <c r="AE12" s="324"/>
      <c r="AF12" s="324"/>
      <c r="AG12" s="324"/>
      <c r="AH12" s="324"/>
      <c r="AI12" s="324"/>
      <c r="AJ12" s="324"/>
      <c r="AK12" s="324"/>
      <c r="AL12" s="324"/>
      <c r="AM12" s="324"/>
      <c r="AN12" s="324"/>
      <c r="AO12" s="324"/>
      <c r="AP12" s="324"/>
      <c r="AQ12" s="324"/>
      <c r="AR12" s="324"/>
      <c r="AS12" s="324"/>
      <c r="AT12" s="324"/>
      <c r="AU12" s="324"/>
      <c r="AV12" s="324"/>
      <c r="AW12" s="324"/>
      <c r="AX12" s="324"/>
      <c r="AY12" s="324"/>
      <c r="AZ12" s="324"/>
      <c r="BA12" s="324"/>
      <c r="BB12" s="324"/>
      <c r="BC12" s="324"/>
      <c r="BD12" s="324"/>
      <c r="BE12" s="324"/>
      <c r="BF12" s="324"/>
      <c r="BG12" s="324"/>
      <c r="BH12" s="324"/>
      <c r="BI12" s="324"/>
      <c r="BJ12" s="324"/>
      <c r="BK12" s="324"/>
      <c r="BL12" s="324"/>
      <c r="BM12" s="324"/>
      <c r="BN12" s="324"/>
      <c r="BO12" s="248"/>
    </row>
    <row r="13" spans="1:75" s="216" customFormat="1">
      <c r="A13" s="215"/>
      <c r="B13" s="226" t="s">
        <v>91</v>
      </c>
      <c r="C13" s="327">
        <f>XIRR(C11:BN11,C6:BN6)</f>
        <v>0.17446634173393252</v>
      </c>
      <c r="D13" s="326"/>
      <c r="E13" s="326"/>
      <c r="F13" s="326"/>
      <c r="G13" s="326"/>
      <c r="H13" s="326"/>
      <c r="I13" s="326"/>
      <c r="J13" s="326"/>
      <c r="K13" s="326"/>
      <c r="L13" s="326"/>
      <c r="M13" s="326"/>
      <c r="N13" s="326"/>
      <c r="O13" s="326"/>
      <c r="P13" s="326"/>
      <c r="Q13" s="326"/>
      <c r="R13" s="326"/>
      <c r="S13" s="326"/>
      <c r="T13" s="326"/>
      <c r="U13" s="326"/>
      <c r="V13" s="326"/>
      <c r="W13" s="326"/>
      <c r="X13" s="326"/>
      <c r="Y13" s="326"/>
      <c r="Z13" s="326"/>
      <c r="AA13" s="326"/>
      <c r="AB13" s="326"/>
      <c r="AC13" s="326"/>
      <c r="AD13" s="326"/>
      <c r="AE13" s="326"/>
      <c r="AF13" s="326"/>
      <c r="AG13" s="326"/>
      <c r="AH13" s="326"/>
      <c r="AI13" s="326"/>
      <c r="AJ13" s="326"/>
      <c r="AK13" s="326"/>
      <c r="AL13" s="326"/>
      <c r="AM13" s="326"/>
      <c r="AN13" s="326"/>
      <c r="AO13" s="326"/>
      <c r="AP13" s="326"/>
      <c r="AQ13" s="326"/>
      <c r="AR13" s="326"/>
      <c r="AS13" s="326"/>
      <c r="AT13" s="326"/>
      <c r="AU13" s="326"/>
      <c r="AV13" s="326"/>
      <c r="AW13" s="326"/>
      <c r="AX13" s="326"/>
      <c r="AY13" s="326"/>
      <c r="AZ13" s="326"/>
      <c r="BA13" s="326"/>
      <c r="BB13" s="326"/>
      <c r="BC13" s="326"/>
      <c r="BD13" s="326"/>
      <c r="BE13" s="326"/>
      <c r="BF13" s="326"/>
      <c r="BG13" s="326"/>
      <c r="BH13" s="326"/>
      <c r="BI13" s="326"/>
      <c r="BJ13" s="326"/>
      <c r="BK13" s="326"/>
      <c r="BL13" s="326"/>
      <c r="BM13" s="326"/>
      <c r="BO13" s="226"/>
    </row>
    <row r="14" spans="1:75">
      <c r="B14" s="226" t="s">
        <v>168</v>
      </c>
      <c r="C14" s="329">
        <f>SUM(D11:BN11)/-C11</f>
        <v>2.1949696340659708</v>
      </c>
      <c r="D14" s="224"/>
      <c r="E14" s="224"/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  <c r="R14" s="224"/>
      <c r="S14" s="224"/>
      <c r="T14" s="224"/>
      <c r="U14" s="224"/>
      <c r="V14" s="224"/>
      <c r="W14" s="224"/>
      <c r="X14" s="224"/>
      <c r="Y14" s="224"/>
      <c r="Z14" s="224"/>
      <c r="AA14" s="224"/>
      <c r="AB14" s="224"/>
      <c r="AC14" s="224"/>
      <c r="AD14" s="224"/>
      <c r="AE14" s="224"/>
      <c r="AF14" s="224"/>
      <c r="AG14" s="224"/>
      <c r="AH14" s="224"/>
      <c r="AI14" s="224"/>
      <c r="AJ14" s="224"/>
      <c r="AK14" s="224"/>
      <c r="AL14" s="224"/>
      <c r="AM14" s="224"/>
      <c r="AN14" s="224"/>
      <c r="AO14" s="224"/>
      <c r="AP14" s="224"/>
      <c r="AQ14" s="224"/>
      <c r="AR14" s="224"/>
      <c r="AS14" s="224"/>
      <c r="AT14" s="224"/>
      <c r="AU14" s="224"/>
      <c r="AV14" s="224"/>
      <c r="AW14" s="224"/>
      <c r="AX14" s="224"/>
      <c r="AY14" s="224"/>
      <c r="AZ14" s="224"/>
      <c r="BA14" s="224"/>
      <c r="BB14" s="224"/>
      <c r="BC14" s="224"/>
      <c r="BD14" s="224"/>
      <c r="BE14" s="224"/>
      <c r="BF14" s="224"/>
      <c r="BG14" s="224"/>
      <c r="BH14" s="224"/>
      <c r="BI14" s="224"/>
      <c r="BJ14" s="224"/>
      <c r="BK14" s="224"/>
      <c r="BL14" s="224"/>
      <c r="BM14" s="224"/>
      <c r="BO14" s="276"/>
    </row>
    <row r="15" spans="1:75" ht="15.75" thickBot="1">
      <c r="B15" s="470" t="s">
        <v>169</v>
      </c>
      <c r="C15" s="558">
        <f>SUM(D11:BN11)</f>
        <v>52753779.422519445</v>
      </c>
      <c r="D15" s="471"/>
      <c r="E15" s="471"/>
      <c r="F15" s="471"/>
      <c r="G15" s="471"/>
      <c r="H15" s="471"/>
      <c r="I15" s="471"/>
      <c r="J15" s="471"/>
      <c r="K15" s="471"/>
      <c r="L15" s="471"/>
      <c r="M15" s="471"/>
      <c r="N15" s="471"/>
      <c r="O15" s="471"/>
      <c r="P15" s="471"/>
      <c r="Q15" s="471"/>
      <c r="R15" s="471"/>
      <c r="S15" s="471"/>
      <c r="T15" s="471"/>
      <c r="U15" s="471"/>
      <c r="V15" s="471"/>
      <c r="W15" s="471"/>
      <c r="X15" s="471"/>
      <c r="Y15" s="471"/>
      <c r="Z15" s="471"/>
      <c r="AA15" s="471"/>
      <c r="AB15" s="471"/>
      <c r="AC15" s="471"/>
      <c r="AD15" s="471"/>
      <c r="AE15" s="471"/>
      <c r="AF15" s="471"/>
      <c r="AG15" s="471"/>
      <c r="AH15" s="471"/>
      <c r="AI15" s="471"/>
      <c r="AJ15" s="471"/>
      <c r="AK15" s="471"/>
      <c r="AL15" s="471"/>
      <c r="AM15" s="471"/>
      <c r="AN15" s="471"/>
      <c r="AO15" s="471"/>
      <c r="AP15" s="471"/>
      <c r="AQ15" s="471"/>
      <c r="AR15" s="471"/>
      <c r="AS15" s="471"/>
      <c r="AT15" s="471"/>
      <c r="AU15" s="471"/>
      <c r="AV15" s="471"/>
      <c r="AW15" s="471"/>
      <c r="AX15" s="471"/>
      <c r="AY15" s="471"/>
      <c r="AZ15" s="471"/>
      <c r="BA15" s="471"/>
      <c r="BB15" s="471"/>
      <c r="BC15" s="471"/>
      <c r="BD15" s="471"/>
      <c r="BE15" s="471"/>
      <c r="BF15" s="471"/>
      <c r="BG15" s="471"/>
      <c r="BH15" s="471"/>
      <c r="BI15" s="471"/>
      <c r="BJ15" s="471"/>
      <c r="BK15" s="471"/>
      <c r="BL15" s="471"/>
      <c r="BM15" s="471"/>
      <c r="BN15" s="471"/>
      <c r="BO15" s="248"/>
      <c r="BP15" s="266"/>
      <c r="BQ15" s="254"/>
      <c r="BR15" s="461"/>
    </row>
    <row r="16" spans="1:75" ht="15.75" thickTop="1">
      <c r="B16" s="242" t="s">
        <v>170</v>
      </c>
      <c r="C16" s="292" t="s">
        <v>171</v>
      </c>
      <c r="D16" s="1149">
        <f>C5</f>
        <v>24033944.982098967</v>
      </c>
      <c r="E16" s="1149"/>
      <c r="F16" s="293"/>
      <c r="G16" s="293"/>
      <c r="H16" s="293"/>
      <c r="I16" s="293"/>
      <c r="J16" s="293"/>
      <c r="K16" s="293"/>
      <c r="L16" s="293"/>
      <c r="M16" s="293"/>
      <c r="N16" s="293"/>
      <c r="O16" s="293"/>
      <c r="P16" s="293"/>
      <c r="Q16" s="293"/>
      <c r="R16" s="293"/>
      <c r="S16" s="293"/>
      <c r="T16" s="293"/>
      <c r="U16" s="293"/>
      <c r="V16" s="293"/>
      <c r="W16" s="293"/>
      <c r="X16" s="293"/>
      <c r="Y16" s="293"/>
      <c r="Z16" s="293"/>
      <c r="AA16" s="293"/>
      <c r="AB16" s="293"/>
      <c r="AC16" s="293"/>
      <c r="AD16" s="293"/>
      <c r="AE16" s="293"/>
      <c r="AF16" s="293"/>
      <c r="AG16" s="293"/>
      <c r="AH16" s="293"/>
      <c r="AI16" s="293"/>
      <c r="AJ16" s="293"/>
      <c r="AK16" s="293"/>
      <c r="AL16" s="293"/>
      <c r="AM16" s="293"/>
      <c r="AN16" s="293"/>
      <c r="AO16" s="293"/>
      <c r="AP16" s="293"/>
      <c r="AQ16" s="293"/>
      <c r="AR16" s="293"/>
      <c r="AS16" s="293"/>
      <c r="AT16" s="293"/>
      <c r="AU16" s="293"/>
      <c r="AV16" s="293"/>
      <c r="AW16" s="293"/>
      <c r="AX16" s="293"/>
      <c r="AY16" s="293"/>
      <c r="AZ16" s="293"/>
      <c r="BA16" s="293"/>
      <c r="BB16" s="293"/>
      <c r="BC16" s="293"/>
      <c r="BD16" s="293"/>
      <c r="BE16" s="293"/>
      <c r="BF16" s="293"/>
      <c r="BG16" s="293"/>
      <c r="BH16" s="293"/>
      <c r="BI16" s="293"/>
      <c r="BJ16" s="293"/>
      <c r="BK16" s="293"/>
      <c r="BL16" s="293"/>
      <c r="BM16" s="293"/>
      <c r="BO16" s="248"/>
      <c r="BP16" s="266"/>
      <c r="BR16" s="461"/>
      <c r="BS16" s="220"/>
    </row>
    <row r="17" spans="1:74">
      <c r="B17" s="248" t="s">
        <v>373</v>
      </c>
      <c r="C17" s="559">
        <f>Dashboard!$E$9</f>
        <v>0.85</v>
      </c>
      <c r="D17" s="1150">
        <f>D16*C17</f>
        <v>20428853.234784123</v>
      </c>
      <c r="E17" s="1150"/>
      <c r="F17" s="293"/>
      <c r="G17" s="293"/>
      <c r="H17" s="293"/>
      <c r="I17" s="293"/>
      <c r="J17" s="293"/>
      <c r="K17" s="293"/>
      <c r="L17" s="293"/>
      <c r="M17" s="293"/>
      <c r="N17" s="293"/>
      <c r="O17" s="293"/>
      <c r="P17" s="293"/>
      <c r="Q17" s="293"/>
      <c r="R17" s="293"/>
      <c r="S17" s="293"/>
      <c r="T17" s="293"/>
      <c r="U17" s="293"/>
      <c r="V17" s="293"/>
      <c r="W17" s="293"/>
      <c r="X17" s="293"/>
      <c r="Y17" s="293"/>
      <c r="Z17" s="293"/>
      <c r="AA17" s="293"/>
      <c r="AB17" s="293"/>
      <c r="AC17" s="293"/>
      <c r="AD17" s="293"/>
      <c r="AE17" s="293"/>
      <c r="AF17" s="293"/>
      <c r="AG17" s="293"/>
      <c r="AH17" s="293"/>
      <c r="AI17" s="293"/>
      <c r="AJ17" s="293"/>
      <c r="AK17" s="293"/>
      <c r="AL17" s="293"/>
      <c r="AM17" s="293"/>
      <c r="AN17" s="293"/>
      <c r="AO17" s="293"/>
      <c r="AP17" s="293"/>
      <c r="AQ17" s="293"/>
      <c r="AR17" s="293"/>
      <c r="AS17" s="293"/>
      <c r="AT17" s="293"/>
      <c r="AU17" s="293"/>
      <c r="AV17" s="293"/>
      <c r="AW17" s="293"/>
      <c r="AX17" s="293"/>
      <c r="AY17" s="293"/>
      <c r="AZ17" s="293"/>
      <c r="BA17" s="293"/>
      <c r="BB17" s="293"/>
      <c r="BC17" s="293"/>
      <c r="BD17" s="293"/>
      <c r="BE17" s="293"/>
      <c r="BF17" s="293"/>
      <c r="BG17" s="293"/>
      <c r="BH17" s="293"/>
      <c r="BI17" s="293"/>
      <c r="BJ17" s="293"/>
      <c r="BK17" s="293"/>
      <c r="BL17" s="293"/>
      <c r="BM17" s="293"/>
      <c r="BO17" s="248"/>
      <c r="BP17" s="266"/>
      <c r="BQ17" s="254"/>
      <c r="BR17" s="254"/>
    </row>
    <row r="18" spans="1:74">
      <c r="B18" s="248" t="s">
        <v>172</v>
      </c>
      <c r="C18" s="560">
        <f>1-C17</f>
        <v>0.15000000000000002</v>
      </c>
      <c r="D18" s="1150">
        <f>D16*C18</f>
        <v>3605091.7473148457</v>
      </c>
      <c r="E18" s="1150"/>
      <c r="F18" s="293"/>
      <c r="G18" s="293"/>
      <c r="H18" s="293"/>
      <c r="I18" s="293"/>
      <c r="J18" s="293"/>
      <c r="K18" s="293"/>
      <c r="L18" s="293"/>
      <c r="M18" s="293"/>
      <c r="N18" s="293"/>
      <c r="O18" s="293"/>
      <c r="P18" s="293"/>
      <c r="Q18" s="293"/>
      <c r="R18" s="293"/>
      <c r="S18" s="293"/>
      <c r="T18" s="293"/>
      <c r="U18" s="293"/>
      <c r="V18" s="293"/>
      <c r="W18" s="293"/>
      <c r="X18" s="293"/>
      <c r="Y18" s="293"/>
      <c r="Z18" s="293"/>
      <c r="AA18" s="293"/>
      <c r="AB18" s="293"/>
      <c r="AC18" s="293"/>
      <c r="AD18" s="293"/>
      <c r="AE18" s="293"/>
      <c r="AF18" s="293"/>
      <c r="AG18" s="293"/>
      <c r="AH18" s="293"/>
      <c r="AI18" s="293"/>
      <c r="AJ18" s="293"/>
      <c r="AK18" s="293"/>
      <c r="AL18" s="293"/>
      <c r="AM18" s="293"/>
      <c r="AN18" s="293"/>
      <c r="AO18" s="293"/>
      <c r="AP18" s="293"/>
      <c r="AQ18" s="293"/>
      <c r="AR18" s="293"/>
      <c r="AS18" s="293"/>
      <c r="AT18" s="293"/>
      <c r="AU18" s="293"/>
      <c r="AV18" s="293"/>
      <c r="AW18" s="293"/>
      <c r="AX18" s="293"/>
      <c r="AY18" s="293"/>
      <c r="AZ18" s="293"/>
      <c r="BA18" s="293"/>
      <c r="BB18" s="293"/>
      <c r="BC18" s="293"/>
      <c r="BD18" s="293"/>
      <c r="BE18" s="293"/>
      <c r="BF18" s="293"/>
      <c r="BG18" s="293"/>
      <c r="BH18" s="293"/>
      <c r="BI18" s="293"/>
      <c r="BJ18" s="293"/>
      <c r="BK18" s="293"/>
      <c r="BL18" s="293"/>
      <c r="BM18" s="293"/>
      <c r="BO18" s="248"/>
      <c r="BP18" s="266"/>
    </row>
    <row r="19" spans="1:74" s="216" customFormat="1" ht="15.75" thickBot="1">
      <c r="A19" s="215"/>
      <c r="B19" s="462"/>
      <c r="C19" s="407"/>
      <c r="D19" s="407"/>
      <c r="E19" s="407"/>
      <c r="F19" s="407"/>
      <c r="G19" s="407"/>
      <c r="H19" s="407"/>
      <c r="I19" s="407"/>
      <c r="J19" s="407"/>
      <c r="K19" s="407"/>
      <c r="L19" s="407"/>
      <c r="M19" s="407"/>
      <c r="N19" s="407"/>
      <c r="O19" s="407"/>
      <c r="P19" s="407"/>
      <c r="Q19" s="407"/>
      <c r="R19" s="407"/>
      <c r="S19" s="407"/>
      <c r="T19" s="407"/>
      <c r="U19" s="407"/>
      <c r="V19" s="407"/>
      <c r="W19" s="407"/>
      <c r="X19" s="407"/>
      <c r="Y19" s="407"/>
      <c r="Z19" s="407"/>
      <c r="AA19" s="407"/>
      <c r="AB19" s="407"/>
      <c r="AC19" s="407"/>
      <c r="AD19" s="407"/>
      <c r="AE19" s="407"/>
      <c r="AF19" s="407"/>
      <c r="AG19" s="407"/>
      <c r="AH19" s="407"/>
      <c r="AI19" s="407"/>
      <c r="AJ19" s="407"/>
      <c r="AK19" s="407"/>
      <c r="AL19" s="407"/>
      <c r="AM19" s="407"/>
      <c r="AN19" s="407"/>
      <c r="AO19" s="407"/>
      <c r="AP19" s="407"/>
      <c r="AQ19" s="407"/>
      <c r="AR19" s="407"/>
      <c r="AS19" s="407"/>
      <c r="AT19" s="407"/>
      <c r="AU19" s="407"/>
      <c r="AV19" s="407"/>
      <c r="AW19" s="407"/>
      <c r="AX19" s="407"/>
      <c r="AY19" s="407"/>
      <c r="AZ19" s="407"/>
      <c r="BA19" s="407"/>
      <c r="BB19" s="407"/>
      <c r="BC19" s="407"/>
      <c r="BD19" s="407"/>
      <c r="BE19" s="407"/>
      <c r="BF19" s="407"/>
      <c r="BG19" s="407"/>
      <c r="BH19" s="407"/>
      <c r="BI19" s="407"/>
      <c r="BJ19" s="407"/>
      <c r="BK19" s="407"/>
      <c r="BL19" s="407"/>
      <c r="BM19" s="407"/>
      <c r="BN19" s="463"/>
      <c r="BO19" s="226"/>
      <c r="BP19" s="266"/>
      <c r="BS19" s="219"/>
    </row>
    <row r="20" spans="1:74" s="216" customFormat="1">
      <c r="A20" s="215"/>
      <c r="B20" s="315" t="s">
        <v>173</v>
      </c>
      <c r="C20" s="373"/>
      <c r="D20" s="373"/>
      <c r="E20" s="373"/>
      <c r="F20" s="373"/>
      <c r="G20" s="373"/>
      <c r="H20" s="373"/>
      <c r="I20" s="373"/>
      <c r="J20" s="373"/>
      <c r="K20" s="373"/>
      <c r="L20" s="373"/>
      <c r="M20" s="373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373"/>
      <c r="AE20" s="373"/>
      <c r="AF20" s="373"/>
      <c r="AG20" s="373"/>
      <c r="AH20" s="373"/>
      <c r="AI20" s="373"/>
      <c r="AJ20" s="373"/>
      <c r="AK20" s="373"/>
      <c r="AL20" s="373"/>
      <c r="AM20" s="373"/>
      <c r="AN20" s="373"/>
      <c r="AO20" s="373"/>
      <c r="AP20" s="373"/>
      <c r="AQ20" s="373"/>
      <c r="AR20" s="373"/>
      <c r="AS20" s="373"/>
      <c r="AT20" s="373"/>
      <c r="AU20" s="373"/>
      <c r="AV20" s="373"/>
      <c r="AW20" s="373"/>
      <c r="AX20" s="373"/>
      <c r="AY20" s="373"/>
      <c r="AZ20" s="373"/>
      <c r="BA20" s="373"/>
      <c r="BB20" s="373"/>
      <c r="BC20" s="373"/>
      <c r="BD20" s="373"/>
      <c r="BE20" s="373"/>
      <c r="BF20" s="373"/>
      <c r="BG20" s="373"/>
      <c r="BH20" s="373"/>
      <c r="BI20" s="373"/>
      <c r="BJ20" s="373"/>
      <c r="BK20" s="373"/>
      <c r="BL20" s="373"/>
      <c r="BM20" s="373"/>
      <c r="BN20" s="373"/>
      <c r="BO20" s="276"/>
      <c r="BP20" s="266"/>
      <c r="BS20" s="219"/>
    </row>
    <row r="21" spans="1:74" s="216" customFormat="1">
      <c r="A21" s="215"/>
      <c r="B21" s="434" t="s">
        <v>174</v>
      </c>
      <c r="C21" s="435"/>
      <c r="D21" s="435"/>
      <c r="E21" s="435"/>
      <c r="F21" s="435"/>
      <c r="G21" s="435"/>
      <c r="H21" s="435"/>
      <c r="I21" s="435"/>
      <c r="J21" s="435"/>
      <c r="K21" s="435"/>
      <c r="L21" s="435"/>
      <c r="M21" s="435"/>
      <c r="N21" s="435"/>
      <c r="O21" s="435"/>
      <c r="P21" s="435"/>
      <c r="Q21" s="435"/>
      <c r="R21" s="435"/>
      <c r="S21" s="435"/>
      <c r="T21" s="435"/>
      <c r="U21" s="435"/>
      <c r="V21" s="435"/>
      <c r="W21" s="435"/>
      <c r="X21" s="435"/>
      <c r="Y21" s="435"/>
      <c r="Z21" s="435"/>
      <c r="AA21" s="435"/>
      <c r="AB21" s="435"/>
      <c r="AC21" s="435"/>
      <c r="AD21" s="435"/>
      <c r="AE21" s="435"/>
      <c r="AF21" s="435"/>
      <c r="AG21" s="435"/>
      <c r="AH21" s="435"/>
      <c r="AI21" s="435"/>
      <c r="AJ21" s="435"/>
      <c r="AK21" s="435"/>
      <c r="AL21" s="435"/>
      <c r="AM21" s="435"/>
      <c r="AN21" s="435"/>
      <c r="AO21" s="435"/>
      <c r="AP21" s="435"/>
      <c r="AQ21" s="435"/>
      <c r="AR21" s="435"/>
      <c r="AS21" s="435"/>
      <c r="AT21" s="435"/>
      <c r="AU21" s="435"/>
      <c r="AV21" s="435"/>
      <c r="AW21" s="435"/>
      <c r="AX21" s="435"/>
      <c r="AY21" s="435"/>
      <c r="AZ21" s="435"/>
      <c r="BA21" s="435"/>
      <c r="BB21" s="435"/>
      <c r="BC21" s="435"/>
      <c r="BD21" s="435"/>
      <c r="BE21" s="435"/>
      <c r="BF21" s="435"/>
      <c r="BG21" s="435"/>
      <c r="BH21" s="435"/>
      <c r="BI21" s="435"/>
      <c r="BJ21" s="435"/>
      <c r="BK21" s="435"/>
      <c r="BL21" s="435"/>
      <c r="BM21" s="435"/>
      <c r="BN21" s="436"/>
      <c r="BO21" s="279"/>
      <c r="BP21" s="561"/>
      <c r="BS21" s="219"/>
    </row>
    <row r="22" spans="1:74" s="216" customFormat="1">
      <c r="A22" s="215"/>
      <c r="B22" s="281" t="s">
        <v>208</v>
      </c>
      <c r="C22" s="282"/>
      <c r="D22" s="488">
        <f t="shared" ref="D22:BN22" si="2">+MIN(D11,(-C34*($BS$4/12)))</f>
        <v>0</v>
      </c>
      <c r="E22" s="488">
        <f>+MIN(E11,(-D34*($BS$4/12)))</f>
        <v>0</v>
      </c>
      <c r="F22" s="488">
        <f t="shared" si="2"/>
        <v>0</v>
      </c>
      <c r="G22" s="488">
        <f t="shared" si="2"/>
        <v>0</v>
      </c>
      <c r="H22" s="488">
        <f t="shared" si="2"/>
        <v>0</v>
      </c>
      <c r="I22" s="488">
        <f t="shared" si="2"/>
        <v>0</v>
      </c>
      <c r="J22" s="488">
        <f t="shared" si="2"/>
        <v>0</v>
      </c>
      <c r="K22" s="488">
        <f t="shared" si="2"/>
        <v>0</v>
      </c>
      <c r="L22" s="488">
        <f t="shared" si="2"/>
        <v>0</v>
      </c>
      <c r="M22" s="488">
        <f t="shared" si="2"/>
        <v>0</v>
      </c>
      <c r="N22" s="488">
        <f t="shared" si="2"/>
        <v>0</v>
      </c>
      <c r="O22" s="488">
        <f t="shared" si="2"/>
        <v>0</v>
      </c>
      <c r="P22" s="488">
        <f t="shared" si="2"/>
        <v>0</v>
      </c>
      <c r="Q22" s="488">
        <f t="shared" si="2"/>
        <v>0</v>
      </c>
      <c r="R22" s="488">
        <f t="shared" si="2"/>
        <v>0</v>
      </c>
      <c r="S22" s="488">
        <f>+MIN(S11,(-R34*($BS$4/12)))</f>
        <v>0</v>
      </c>
      <c r="T22" s="488">
        <f t="shared" si="2"/>
        <v>0</v>
      </c>
      <c r="U22" s="488">
        <f t="shared" si="2"/>
        <v>0</v>
      </c>
      <c r="V22" s="488">
        <f t="shared" si="2"/>
        <v>0</v>
      </c>
      <c r="W22" s="488">
        <f t="shared" si="2"/>
        <v>0</v>
      </c>
      <c r="X22" s="488">
        <f t="shared" si="2"/>
        <v>55865.937070519256</v>
      </c>
      <c r="Y22" s="488">
        <f t="shared" si="2"/>
        <v>55865.937070519256</v>
      </c>
      <c r="Z22" s="488">
        <f t="shared" si="2"/>
        <v>55865.937070519256</v>
      </c>
      <c r="AA22" s="488">
        <f t="shared" si="2"/>
        <v>200282.87485082471</v>
      </c>
      <c r="AB22" s="488">
        <f t="shared" si="2"/>
        <v>55865.937070519256</v>
      </c>
      <c r="AC22" s="488">
        <f t="shared" si="2"/>
        <v>55865.937070519256</v>
      </c>
      <c r="AD22" s="488">
        <f t="shared" si="2"/>
        <v>-1220620.9207049725</v>
      </c>
      <c r="AE22" s="488">
        <f t="shared" si="2"/>
        <v>160402.43820649723</v>
      </c>
      <c r="AF22" s="488">
        <f t="shared" si="2"/>
        <v>160402.43820649723</v>
      </c>
      <c r="AG22" s="488">
        <f t="shared" si="2"/>
        <v>160402.43820649723</v>
      </c>
      <c r="AH22" s="488">
        <f t="shared" si="2"/>
        <v>160402.43820649723</v>
      </c>
      <c r="AI22" s="488">
        <f t="shared" si="2"/>
        <v>160402.43820649723</v>
      </c>
      <c r="AJ22" s="488">
        <f t="shared" si="2"/>
        <v>174756.336958414</v>
      </c>
      <c r="AK22" s="488">
        <f t="shared" si="2"/>
        <v>174756.336958414</v>
      </c>
      <c r="AL22" s="488">
        <f t="shared" si="2"/>
        <v>174756.336958414</v>
      </c>
      <c r="AM22" s="488">
        <f t="shared" si="2"/>
        <v>174756.336958414</v>
      </c>
      <c r="AN22" s="488">
        <f t="shared" si="2"/>
        <v>174756.336958414</v>
      </c>
      <c r="AO22" s="488">
        <f t="shared" si="2"/>
        <v>174756.336958414</v>
      </c>
      <c r="AP22" s="488">
        <f t="shared" si="2"/>
        <v>93471.925282638869</v>
      </c>
      <c r="AQ22" s="488">
        <f t="shared" si="2"/>
        <v>93471.925282638811</v>
      </c>
      <c r="AR22" s="488">
        <f t="shared" si="2"/>
        <v>93471.925282638811</v>
      </c>
      <c r="AS22" s="488">
        <f t="shared" si="2"/>
        <v>93471.925282638811</v>
      </c>
      <c r="AT22" s="488">
        <f t="shared" si="2"/>
        <v>93471.925282638811</v>
      </c>
      <c r="AU22" s="488">
        <f t="shared" si="2"/>
        <v>93471.925282638869</v>
      </c>
      <c r="AV22" s="488">
        <f t="shared" si="2"/>
        <v>108277.02087538387</v>
      </c>
      <c r="AW22" s="488">
        <f t="shared" si="2"/>
        <v>108277.02087538387</v>
      </c>
      <c r="AX22" s="488">
        <f t="shared" si="2"/>
        <v>108277.02087538387</v>
      </c>
      <c r="AY22" s="488">
        <f t="shared" si="2"/>
        <v>108277.02087538387</v>
      </c>
      <c r="AZ22" s="488">
        <f t="shared" si="2"/>
        <v>108277.02087538387</v>
      </c>
      <c r="BA22" s="488">
        <f t="shared" si="2"/>
        <v>108277.02087538387</v>
      </c>
      <c r="BB22" s="488">
        <f t="shared" si="2"/>
        <v>108277.02087538387</v>
      </c>
      <c r="BC22" s="488">
        <f t="shared" si="2"/>
        <v>108277.02087538387</v>
      </c>
      <c r="BD22" s="488">
        <f t="shared" si="2"/>
        <v>108277.02087538387</v>
      </c>
      <c r="BE22" s="488">
        <f t="shared" si="2"/>
        <v>108277.02087538387</v>
      </c>
      <c r="BF22" s="488">
        <f>+MIN(BF11,(-BE34*($BS$4/12)))</f>
        <v>108277.02087538387</v>
      </c>
      <c r="BG22" s="488">
        <f t="shared" si="2"/>
        <v>108277.02087538387</v>
      </c>
      <c r="BH22" s="488">
        <f t="shared" si="2"/>
        <v>123547.2608117474</v>
      </c>
      <c r="BI22" s="488">
        <f t="shared" si="2"/>
        <v>123547.2608117474</v>
      </c>
      <c r="BJ22" s="488">
        <f t="shared" si="2"/>
        <v>123547.26081174746</v>
      </c>
      <c r="BK22" s="488">
        <f t="shared" si="2"/>
        <v>123547.26081174746</v>
      </c>
      <c r="BL22" s="488">
        <f t="shared" si="2"/>
        <v>123547.2608117474</v>
      </c>
      <c r="BM22" s="488">
        <f t="shared" si="2"/>
        <v>200282.87485082471</v>
      </c>
      <c r="BN22" s="488">
        <f t="shared" si="2"/>
        <v>0</v>
      </c>
      <c r="BO22" s="283"/>
      <c r="BS22" s="219"/>
    </row>
    <row r="23" spans="1:74" s="216" customFormat="1">
      <c r="A23" s="215"/>
      <c r="B23" s="281" t="s">
        <v>209</v>
      </c>
      <c r="C23" s="282"/>
      <c r="D23" s="562">
        <f t="shared" ref="D23:R23" si="3">MIN(D11-D22,C35)</f>
        <v>0</v>
      </c>
      <c r="E23" s="562">
        <f t="shared" si="3"/>
        <v>0</v>
      </c>
      <c r="F23" s="562">
        <f t="shared" si="3"/>
        <v>0</v>
      </c>
      <c r="G23" s="562">
        <f t="shared" si="3"/>
        <v>0</v>
      </c>
      <c r="H23" s="562">
        <f t="shared" si="3"/>
        <v>0</v>
      </c>
      <c r="I23" s="562">
        <f t="shared" si="3"/>
        <v>0</v>
      </c>
      <c r="J23" s="562">
        <f t="shared" si="3"/>
        <v>0</v>
      </c>
      <c r="K23" s="562">
        <f t="shared" si="3"/>
        <v>0</v>
      </c>
      <c r="L23" s="562">
        <f t="shared" si="3"/>
        <v>0</v>
      </c>
      <c r="M23" s="562">
        <f t="shared" si="3"/>
        <v>0</v>
      </c>
      <c r="N23" s="562">
        <f t="shared" si="3"/>
        <v>0</v>
      </c>
      <c r="O23" s="562">
        <f t="shared" si="3"/>
        <v>0</v>
      </c>
      <c r="P23" s="562">
        <f t="shared" si="3"/>
        <v>0</v>
      </c>
      <c r="Q23" s="562">
        <f t="shared" si="3"/>
        <v>0</v>
      </c>
      <c r="R23" s="562">
        <f t="shared" si="3"/>
        <v>0</v>
      </c>
      <c r="S23" s="562">
        <f>MIN(S11-S22,R35)</f>
        <v>0</v>
      </c>
      <c r="T23" s="562">
        <f t="shared" ref="T23:BN23" si="4">MIN(T11-T22,S35)</f>
        <v>0</v>
      </c>
      <c r="U23" s="562">
        <f t="shared" si="4"/>
        <v>0</v>
      </c>
      <c r="V23" s="562">
        <f t="shared" si="4"/>
        <v>0</v>
      </c>
      <c r="W23" s="562">
        <f t="shared" si="4"/>
        <v>0</v>
      </c>
      <c r="X23" s="562">
        <f t="shared" si="4"/>
        <v>0</v>
      </c>
      <c r="Y23" s="562">
        <f t="shared" si="4"/>
        <v>0</v>
      </c>
      <c r="Z23" s="562">
        <f t="shared" si="4"/>
        <v>0</v>
      </c>
      <c r="AA23" s="562">
        <f t="shared" si="4"/>
        <v>1367583.0622196945</v>
      </c>
      <c r="AB23" s="562">
        <f t="shared" si="4"/>
        <v>0</v>
      </c>
      <c r="AC23" s="562">
        <f t="shared" si="4"/>
        <v>0</v>
      </c>
      <c r="AD23" s="562">
        <f t="shared" si="4"/>
        <v>0</v>
      </c>
      <c r="AE23" s="562">
        <f t="shared" si="4"/>
        <v>0</v>
      </c>
      <c r="AF23" s="562">
        <f t="shared" si="4"/>
        <v>0</v>
      </c>
      <c r="AG23" s="562">
        <f t="shared" si="4"/>
        <v>0</v>
      </c>
      <c r="AH23" s="562">
        <f t="shared" si="4"/>
        <v>0</v>
      </c>
      <c r="AI23" s="562">
        <f t="shared" si="4"/>
        <v>0</v>
      </c>
      <c r="AJ23" s="562">
        <f t="shared" si="4"/>
        <v>0</v>
      </c>
      <c r="AK23" s="562">
        <f t="shared" si="4"/>
        <v>0</v>
      </c>
      <c r="AL23" s="562">
        <f t="shared" si="4"/>
        <v>0</v>
      </c>
      <c r="AM23" s="562">
        <f t="shared" si="4"/>
        <v>0</v>
      </c>
      <c r="AN23" s="562">
        <f t="shared" si="4"/>
        <v>0</v>
      </c>
      <c r="AO23" s="562">
        <f t="shared" si="4"/>
        <v>0</v>
      </c>
      <c r="AP23" s="562">
        <f t="shared" si="4"/>
        <v>0</v>
      </c>
      <c r="AQ23" s="562">
        <f t="shared" si="4"/>
        <v>0</v>
      </c>
      <c r="AR23" s="562">
        <f t="shared" si="4"/>
        <v>0</v>
      </c>
      <c r="AS23" s="562">
        <f t="shared" si="4"/>
        <v>0</v>
      </c>
      <c r="AT23" s="562">
        <f t="shared" si="4"/>
        <v>0</v>
      </c>
      <c r="AU23" s="562">
        <f t="shared" si="4"/>
        <v>0</v>
      </c>
      <c r="AV23" s="562">
        <f t="shared" si="4"/>
        <v>0</v>
      </c>
      <c r="AW23" s="562">
        <f t="shared" si="4"/>
        <v>0</v>
      </c>
      <c r="AX23" s="562">
        <f t="shared" si="4"/>
        <v>0</v>
      </c>
      <c r="AY23" s="562">
        <f t="shared" si="4"/>
        <v>0</v>
      </c>
      <c r="AZ23" s="562">
        <f t="shared" si="4"/>
        <v>0</v>
      </c>
      <c r="BA23" s="562">
        <f t="shared" si="4"/>
        <v>0</v>
      </c>
      <c r="BB23" s="562">
        <f t="shared" si="4"/>
        <v>0</v>
      </c>
      <c r="BC23" s="562">
        <f t="shared" si="4"/>
        <v>0</v>
      </c>
      <c r="BD23" s="562">
        <f t="shared" si="4"/>
        <v>0</v>
      </c>
      <c r="BE23" s="562">
        <f t="shared" si="4"/>
        <v>0</v>
      </c>
      <c r="BF23" s="562">
        <f t="shared" si="4"/>
        <v>0</v>
      </c>
      <c r="BG23" s="562">
        <f t="shared" si="4"/>
        <v>0</v>
      </c>
      <c r="BH23" s="562">
        <f t="shared" si="4"/>
        <v>0</v>
      </c>
      <c r="BI23" s="562">
        <f t="shared" si="4"/>
        <v>0</v>
      </c>
      <c r="BJ23" s="562">
        <f t="shared" si="4"/>
        <v>0</v>
      </c>
      <c r="BK23" s="562">
        <f t="shared" si="4"/>
        <v>0</v>
      </c>
      <c r="BL23" s="562">
        <f t="shared" si="4"/>
        <v>0</v>
      </c>
      <c r="BM23" s="562">
        <f t="shared" si="4"/>
        <v>7262238.3451400222</v>
      </c>
      <c r="BN23" s="562">
        <f t="shared" si="4"/>
        <v>0</v>
      </c>
      <c r="BO23" s="283"/>
      <c r="BS23" s="219"/>
    </row>
    <row r="24" spans="1:74" s="216" customFormat="1">
      <c r="A24" s="215"/>
      <c r="B24" s="582" t="s">
        <v>210</v>
      </c>
      <c r="C24" s="282"/>
      <c r="D24" s="563">
        <f>SUM(D22:D23)</f>
        <v>0</v>
      </c>
      <c r="E24" s="563">
        <f t="shared" ref="E24:R24" si="5">SUM(E22:E23)</f>
        <v>0</v>
      </c>
      <c r="F24" s="563">
        <f t="shared" si="5"/>
        <v>0</v>
      </c>
      <c r="G24" s="563">
        <f t="shared" si="5"/>
        <v>0</v>
      </c>
      <c r="H24" s="563">
        <f t="shared" si="5"/>
        <v>0</v>
      </c>
      <c r="I24" s="563">
        <f t="shared" si="5"/>
        <v>0</v>
      </c>
      <c r="J24" s="563">
        <f t="shared" si="5"/>
        <v>0</v>
      </c>
      <c r="K24" s="563">
        <f t="shared" si="5"/>
        <v>0</v>
      </c>
      <c r="L24" s="563">
        <f t="shared" si="5"/>
        <v>0</v>
      </c>
      <c r="M24" s="563">
        <f t="shared" si="5"/>
        <v>0</v>
      </c>
      <c r="N24" s="563">
        <f t="shared" si="5"/>
        <v>0</v>
      </c>
      <c r="O24" s="563">
        <f t="shared" si="5"/>
        <v>0</v>
      </c>
      <c r="P24" s="563">
        <f t="shared" si="5"/>
        <v>0</v>
      </c>
      <c r="Q24" s="563">
        <f t="shared" si="5"/>
        <v>0</v>
      </c>
      <c r="R24" s="563">
        <f t="shared" si="5"/>
        <v>0</v>
      </c>
      <c r="S24" s="563">
        <f>SUM(S22:S23)</f>
        <v>0</v>
      </c>
      <c r="T24" s="563">
        <f t="shared" ref="T24:BN24" si="6">SUM(T22:T23)</f>
        <v>0</v>
      </c>
      <c r="U24" s="563">
        <f t="shared" si="6"/>
        <v>0</v>
      </c>
      <c r="V24" s="563">
        <f>SUM(V22:V23)</f>
        <v>0</v>
      </c>
      <c r="W24" s="563">
        <f t="shared" si="6"/>
        <v>0</v>
      </c>
      <c r="X24" s="563">
        <f t="shared" si="6"/>
        <v>55865.937070519256</v>
      </c>
      <c r="Y24" s="563">
        <f t="shared" si="6"/>
        <v>55865.937070519256</v>
      </c>
      <c r="Z24" s="563">
        <f t="shared" si="6"/>
        <v>55865.937070519256</v>
      </c>
      <c r="AA24" s="563">
        <f t="shared" si="6"/>
        <v>1567865.9370705192</v>
      </c>
      <c r="AB24" s="563">
        <f t="shared" si="6"/>
        <v>55865.937070519256</v>
      </c>
      <c r="AC24" s="563">
        <f t="shared" si="6"/>
        <v>55865.937070519256</v>
      </c>
      <c r="AD24" s="563">
        <f t="shared" si="6"/>
        <v>-1220620.9207049725</v>
      </c>
      <c r="AE24" s="563">
        <f t="shared" si="6"/>
        <v>160402.43820649723</v>
      </c>
      <c r="AF24" s="563">
        <f t="shared" si="6"/>
        <v>160402.43820649723</v>
      </c>
      <c r="AG24" s="563">
        <f t="shared" si="6"/>
        <v>160402.43820649723</v>
      </c>
      <c r="AH24" s="563">
        <f t="shared" si="6"/>
        <v>160402.43820649723</v>
      </c>
      <c r="AI24" s="563">
        <f t="shared" si="6"/>
        <v>160402.43820649723</v>
      </c>
      <c r="AJ24" s="563">
        <f t="shared" si="6"/>
        <v>174756.336958414</v>
      </c>
      <c r="AK24" s="563">
        <f t="shared" si="6"/>
        <v>174756.336958414</v>
      </c>
      <c r="AL24" s="563">
        <f t="shared" si="6"/>
        <v>174756.336958414</v>
      </c>
      <c r="AM24" s="563">
        <f t="shared" si="6"/>
        <v>174756.336958414</v>
      </c>
      <c r="AN24" s="563">
        <f t="shared" si="6"/>
        <v>174756.336958414</v>
      </c>
      <c r="AO24" s="563">
        <f t="shared" si="6"/>
        <v>174756.336958414</v>
      </c>
      <c r="AP24" s="563">
        <f t="shared" si="6"/>
        <v>93471.925282638869</v>
      </c>
      <c r="AQ24" s="563">
        <f t="shared" si="6"/>
        <v>93471.925282638811</v>
      </c>
      <c r="AR24" s="563">
        <f t="shared" si="6"/>
        <v>93471.925282638811</v>
      </c>
      <c r="AS24" s="563">
        <f t="shared" si="6"/>
        <v>93471.925282638811</v>
      </c>
      <c r="AT24" s="563">
        <f t="shared" si="6"/>
        <v>93471.925282638811</v>
      </c>
      <c r="AU24" s="563">
        <f t="shared" si="6"/>
        <v>93471.925282638869</v>
      </c>
      <c r="AV24" s="563">
        <f t="shared" si="6"/>
        <v>108277.02087538387</v>
      </c>
      <c r="AW24" s="563">
        <f t="shared" si="6"/>
        <v>108277.02087538387</v>
      </c>
      <c r="AX24" s="563">
        <f t="shared" si="6"/>
        <v>108277.02087538387</v>
      </c>
      <c r="AY24" s="563">
        <f t="shared" si="6"/>
        <v>108277.02087538387</v>
      </c>
      <c r="AZ24" s="563">
        <f t="shared" si="6"/>
        <v>108277.02087538387</v>
      </c>
      <c r="BA24" s="563">
        <f t="shared" si="6"/>
        <v>108277.02087538387</v>
      </c>
      <c r="BB24" s="563">
        <f t="shared" si="6"/>
        <v>108277.02087538387</v>
      </c>
      <c r="BC24" s="563">
        <f t="shared" si="6"/>
        <v>108277.02087538387</v>
      </c>
      <c r="BD24" s="563">
        <f t="shared" si="6"/>
        <v>108277.02087538387</v>
      </c>
      <c r="BE24" s="563">
        <f t="shared" si="6"/>
        <v>108277.02087538387</v>
      </c>
      <c r="BF24" s="563">
        <f>SUM(BF22:BF23)</f>
        <v>108277.02087538387</v>
      </c>
      <c r="BG24" s="563">
        <f t="shared" si="6"/>
        <v>108277.02087538387</v>
      </c>
      <c r="BH24" s="563">
        <f t="shared" si="6"/>
        <v>123547.2608117474</v>
      </c>
      <c r="BI24" s="563">
        <f t="shared" si="6"/>
        <v>123547.2608117474</v>
      </c>
      <c r="BJ24" s="563">
        <f t="shared" si="6"/>
        <v>123547.26081174746</v>
      </c>
      <c r="BK24" s="563">
        <f t="shared" si="6"/>
        <v>123547.26081174746</v>
      </c>
      <c r="BL24" s="563">
        <f t="shared" si="6"/>
        <v>123547.2608117474</v>
      </c>
      <c r="BM24" s="563">
        <f t="shared" si="6"/>
        <v>7462521.2199908467</v>
      </c>
      <c r="BN24" s="563">
        <f t="shared" si="6"/>
        <v>0</v>
      </c>
      <c r="BO24" s="283"/>
      <c r="BS24" s="219"/>
    </row>
    <row r="25" spans="1:74" s="216" customFormat="1">
      <c r="A25" s="215"/>
      <c r="B25" s="281"/>
      <c r="C25" s="282"/>
      <c r="D25" s="488"/>
      <c r="E25" s="488"/>
      <c r="F25" s="488"/>
      <c r="G25" s="488"/>
      <c r="H25" s="488"/>
      <c r="I25" s="488"/>
      <c r="J25" s="488"/>
      <c r="K25" s="488"/>
      <c r="L25" s="488"/>
      <c r="M25" s="488"/>
      <c r="N25" s="488"/>
      <c r="O25" s="488"/>
      <c r="P25" s="488"/>
      <c r="Q25" s="488"/>
      <c r="R25" s="488"/>
      <c r="S25" s="488"/>
      <c r="T25" s="488"/>
      <c r="U25" s="488"/>
      <c r="V25" s="488"/>
      <c r="W25" s="488"/>
      <c r="X25" s="488"/>
      <c r="Y25" s="488"/>
      <c r="Z25" s="488"/>
      <c r="AA25" s="488"/>
      <c r="AB25" s="488"/>
      <c r="AC25" s="488"/>
      <c r="AD25" s="488"/>
      <c r="AE25" s="488"/>
      <c r="AF25" s="488"/>
      <c r="AG25" s="488"/>
      <c r="AH25" s="488"/>
      <c r="AI25" s="488"/>
      <c r="AJ25" s="488"/>
      <c r="AK25" s="488"/>
      <c r="AL25" s="488"/>
      <c r="AM25" s="488"/>
      <c r="AN25" s="488"/>
      <c r="AO25" s="488"/>
      <c r="AP25" s="488"/>
      <c r="AQ25" s="488"/>
      <c r="AR25" s="488"/>
      <c r="AS25" s="488"/>
      <c r="AT25" s="488"/>
      <c r="AU25" s="488"/>
      <c r="AV25" s="488"/>
      <c r="AW25" s="488"/>
      <c r="AX25" s="488"/>
      <c r="AY25" s="488"/>
      <c r="AZ25" s="488"/>
      <c r="BA25" s="488"/>
      <c r="BB25" s="488"/>
      <c r="BC25" s="488"/>
      <c r="BD25" s="488"/>
      <c r="BE25" s="488"/>
      <c r="BF25" s="488"/>
      <c r="BG25" s="488"/>
      <c r="BH25" s="488"/>
      <c r="BI25" s="488"/>
      <c r="BJ25" s="488"/>
      <c r="BK25" s="488"/>
      <c r="BL25" s="488"/>
      <c r="BM25" s="488"/>
      <c r="BN25" s="488"/>
      <c r="BO25" s="283"/>
      <c r="BS25" s="219"/>
    </row>
    <row r="26" spans="1:74" s="216" customFormat="1">
      <c r="A26" s="215"/>
      <c r="B26" s="281" t="s">
        <v>204</v>
      </c>
      <c r="C26" s="282"/>
      <c r="D26" s="488">
        <f t="shared" ref="D26:BN26" si="7">IF(-((+C34*($BS$4/12))+D22)&lt;0,0,-((+C34*($BS$4/12))+D22))</f>
        <v>200282.87485082471</v>
      </c>
      <c r="E26" s="488">
        <f t="shared" si="7"/>
        <v>200282.87485082471</v>
      </c>
      <c r="F26" s="488">
        <f t="shared" si="7"/>
        <v>200282.87485082471</v>
      </c>
      <c r="G26" s="488">
        <f t="shared" si="7"/>
        <v>200282.87485082471</v>
      </c>
      <c r="H26" s="488">
        <f t="shared" si="7"/>
        <v>200282.87485082471</v>
      </c>
      <c r="I26" s="488">
        <f t="shared" si="7"/>
        <v>200282.87485082471</v>
      </c>
      <c r="J26" s="488">
        <f t="shared" si="7"/>
        <v>200282.87485082471</v>
      </c>
      <c r="K26" s="488">
        <f t="shared" si="7"/>
        <v>200282.87485082471</v>
      </c>
      <c r="L26" s="488">
        <f t="shared" si="7"/>
        <v>200282.87485082471</v>
      </c>
      <c r="M26" s="488">
        <f t="shared" si="7"/>
        <v>200282.87485082471</v>
      </c>
      <c r="N26" s="488">
        <f t="shared" si="7"/>
        <v>200282.87485082471</v>
      </c>
      <c r="O26" s="488">
        <f t="shared" si="7"/>
        <v>200282.87485082471</v>
      </c>
      <c r="P26" s="488">
        <f t="shared" si="7"/>
        <v>200282.87485082471</v>
      </c>
      <c r="Q26" s="488">
        <f t="shared" si="7"/>
        <v>200282.87485082471</v>
      </c>
      <c r="R26" s="488">
        <f t="shared" si="7"/>
        <v>200282.87485082471</v>
      </c>
      <c r="S26" s="488">
        <f>IF(-((+R34*($BS$4/12))+S22)&lt;0,0,-((+R34*($BS$4/12))+S22))</f>
        <v>200282.87485082471</v>
      </c>
      <c r="T26" s="488">
        <f t="shared" si="7"/>
        <v>200282.87485082471</v>
      </c>
      <c r="U26" s="488">
        <f t="shared" si="7"/>
        <v>200282.87485082471</v>
      </c>
      <c r="V26" s="488">
        <f t="shared" si="7"/>
        <v>200282.87485082471</v>
      </c>
      <c r="W26" s="488">
        <f t="shared" si="7"/>
        <v>200282.87485082471</v>
      </c>
      <c r="X26" s="488">
        <f t="shared" si="7"/>
        <v>144416.93778030545</v>
      </c>
      <c r="Y26" s="488">
        <f t="shared" si="7"/>
        <v>144416.93778030545</v>
      </c>
      <c r="Z26" s="488">
        <f t="shared" si="7"/>
        <v>144416.93778030545</v>
      </c>
      <c r="AA26" s="488">
        <f t="shared" si="7"/>
        <v>0</v>
      </c>
      <c r="AB26" s="488">
        <f t="shared" si="7"/>
        <v>144416.93778030545</v>
      </c>
      <c r="AC26" s="488">
        <f t="shared" si="7"/>
        <v>144416.93778030545</v>
      </c>
      <c r="AD26" s="488">
        <f t="shared" si="7"/>
        <v>1420903.7955557972</v>
      </c>
      <c r="AE26" s="488">
        <f t="shared" si="7"/>
        <v>39880.436644327478</v>
      </c>
      <c r="AF26" s="488">
        <f t="shared" si="7"/>
        <v>39880.436644327478</v>
      </c>
      <c r="AG26" s="488">
        <f t="shared" si="7"/>
        <v>39880.436644327478</v>
      </c>
      <c r="AH26" s="488">
        <f t="shared" si="7"/>
        <v>39880.436644327478</v>
      </c>
      <c r="AI26" s="488">
        <f t="shared" si="7"/>
        <v>39880.436644327478</v>
      </c>
      <c r="AJ26" s="488">
        <f t="shared" si="7"/>
        <v>25526.537892410706</v>
      </c>
      <c r="AK26" s="488">
        <f t="shared" si="7"/>
        <v>25526.537892410706</v>
      </c>
      <c r="AL26" s="488">
        <f t="shared" si="7"/>
        <v>25526.537892410706</v>
      </c>
      <c r="AM26" s="488">
        <f t="shared" si="7"/>
        <v>25526.537892410706</v>
      </c>
      <c r="AN26" s="488">
        <f t="shared" si="7"/>
        <v>25526.537892410706</v>
      </c>
      <c r="AO26" s="488">
        <f t="shared" si="7"/>
        <v>25526.537892410706</v>
      </c>
      <c r="AP26" s="488">
        <f t="shared" si="7"/>
        <v>106810.94956818584</v>
      </c>
      <c r="AQ26" s="488">
        <f t="shared" si="7"/>
        <v>106810.9495681859</v>
      </c>
      <c r="AR26" s="488">
        <f t="shared" si="7"/>
        <v>106810.9495681859</v>
      </c>
      <c r="AS26" s="488">
        <f t="shared" si="7"/>
        <v>106810.9495681859</v>
      </c>
      <c r="AT26" s="488">
        <f t="shared" si="7"/>
        <v>106810.9495681859</v>
      </c>
      <c r="AU26" s="488">
        <f t="shared" si="7"/>
        <v>106810.94956818584</v>
      </c>
      <c r="AV26" s="488">
        <f t="shared" si="7"/>
        <v>92005.853975440841</v>
      </c>
      <c r="AW26" s="488">
        <f t="shared" si="7"/>
        <v>92005.853975440841</v>
      </c>
      <c r="AX26" s="488">
        <f t="shared" si="7"/>
        <v>92005.853975440841</v>
      </c>
      <c r="AY26" s="488">
        <f t="shared" si="7"/>
        <v>92005.853975440841</v>
      </c>
      <c r="AZ26" s="488">
        <f t="shared" si="7"/>
        <v>92005.853975440841</v>
      </c>
      <c r="BA26" s="488">
        <f t="shared" si="7"/>
        <v>92005.853975440841</v>
      </c>
      <c r="BB26" s="488">
        <f t="shared" si="7"/>
        <v>92005.853975440841</v>
      </c>
      <c r="BC26" s="488">
        <f t="shared" si="7"/>
        <v>92005.853975440841</v>
      </c>
      <c r="BD26" s="488">
        <f t="shared" si="7"/>
        <v>92005.853975440841</v>
      </c>
      <c r="BE26" s="488">
        <f t="shared" si="7"/>
        <v>92005.853975440841</v>
      </c>
      <c r="BF26" s="488">
        <f>IF(-((+BE34*($BS$4/12))+BF22)&lt;0,0,-((+BE34*($BS$4/12))+BF22))</f>
        <v>92005.853975440841</v>
      </c>
      <c r="BG26" s="488">
        <f t="shared" si="7"/>
        <v>92005.853975440841</v>
      </c>
      <c r="BH26" s="488">
        <f t="shared" si="7"/>
        <v>76735.614039077307</v>
      </c>
      <c r="BI26" s="488">
        <f t="shared" si="7"/>
        <v>76735.614039077307</v>
      </c>
      <c r="BJ26" s="488">
        <f t="shared" si="7"/>
        <v>76735.614039077249</v>
      </c>
      <c r="BK26" s="488">
        <f t="shared" si="7"/>
        <v>76735.614039077249</v>
      </c>
      <c r="BL26" s="488">
        <f t="shared" si="7"/>
        <v>76735.614039077307</v>
      </c>
      <c r="BM26" s="488">
        <f t="shared" si="7"/>
        <v>0</v>
      </c>
      <c r="BN26" s="488">
        <f t="shared" si="7"/>
        <v>0</v>
      </c>
      <c r="BO26" s="283"/>
      <c r="BR26" s="223"/>
      <c r="BS26" s="223"/>
      <c r="BT26" s="223"/>
      <c r="BU26" s="223"/>
      <c r="BV26" s="223"/>
    </row>
    <row r="27" spans="1:74" s="216" customFormat="1">
      <c r="A27" s="215"/>
      <c r="B27" s="284" t="s">
        <v>177</v>
      </c>
      <c r="C27" s="562"/>
      <c r="D27" s="562">
        <f t="shared" ref="D27:R27" si="8">IF(D11&gt;D24,+MIN(-C34,D11-D24),0)</f>
        <v>0</v>
      </c>
      <c r="E27" s="562">
        <f t="shared" si="8"/>
        <v>0</v>
      </c>
      <c r="F27" s="562">
        <f t="shared" si="8"/>
        <v>0</v>
      </c>
      <c r="G27" s="562">
        <f t="shared" si="8"/>
        <v>0</v>
      </c>
      <c r="H27" s="562">
        <f t="shared" si="8"/>
        <v>0</v>
      </c>
      <c r="I27" s="562">
        <f t="shared" si="8"/>
        <v>0</v>
      </c>
      <c r="J27" s="562">
        <f t="shared" si="8"/>
        <v>0</v>
      </c>
      <c r="K27" s="562">
        <f t="shared" si="8"/>
        <v>0</v>
      </c>
      <c r="L27" s="562">
        <f t="shared" si="8"/>
        <v>0</v>
      </c>
      <c r="M27" s="562">
        <f t="shared" si="8"/>
        <v>0</v>
      </c>
      <c r="N27" s="562">
        <f t="shared" si="8"/>
        <v>0</v>
      </c>
      <c r="O27" s="562">
        <f t="shared" si="8"/>
        <v>0</v>
      </c>
      <c r="P27" s="562">
        <f t="shared" si="8"/>
        <v>0</v>
      </c>
      <c r="Q27" s="562">
        <f t="shared" si="8"/>
        <v>0</v>
      </c>
      <c r="R27" s="562">
        <f t="shared" si="8"/>
        <v>0</v>
      </c>
      <c r="S27" s="562">
        <f>IF(S11&gt;S24,+MIN(-R34,S11-S24),0)</f>
        <v>0</v>
      </c>
      <c r="T27" s="562">
        <f t="shared" ref="T27:BN27" si="9">IF(T11&gt;T24,+MIN(-S34,T11-T24),0)</f>
        <v>0</v>
      </c>
      <c r="U27" s="562">
        <f t="shared" si="9"/>
        <v>0</v>
      </c>
      <c r="V27" s="562">
        <f>IF(V11&gt;V24,+MIN(-U34,V11-V24),0)</f>
        <v>0</v>
      </c>
      <c r="W27" s="562">
        <f t="shared" si="9"/>
        <v>0</v>
      </c>
      <c r="X27" s="562">
        <f t="shared" si="9"/>
        <v>0</v>
      </c>
      <c r="Y27" s="562">
        <f t="shared" si="9"/>
        <v>0</v>
      </c>
      <c r="Z27" s="562">
        <f t="shared" si="9"/>
        <v>0</v>
      </c>
      <c r="AA27" s="562">
        <f t="shared" si="9"/>
        <v>0</v>
      </c>
      <c r="AB27" s="562">
        <f t="shared" si="9"/>
        <v>0</v>
      </c>
      <c r="AC27" s="562">
        <f t="shared" si="9"/>
        <v>0</v>
      </c>
      <c r="AD27" s="562">
        <f t="shared" si="9"/>
        <v>0</v>
      </c>
      <c r="AE27" s="562">
        <f t="shared" si="9"/>
        <v>0</v>
      </c>
      <c r="AF27" s="562">
        <f t="shared" si="9"/>
        <v>0</v>
      </c>
      <c r="AG27" s="562">
        <f t="shared" si="9"/>
        <v>0</v>
      </c>
      <c r="AH27" s="562">
        <f t="shared" si="9"/>
        <v>0</v>
      </c>
      <c r="AI27" s="562">
        <f t="shared" si="9"/>
        <v>0</v>
      </c>
      <c r="AJ27" s="562">
        <f t="shared" si="9"/>
        <v>0</v>
      </c>
      <c r="AK27" s="562">
        <f t="shared" si="9"/>
        <v>0</v>
      </c>
      <c r="AL27" s="562">
        <f t="shared" si="9"/>
        <v>0</v>
      </c>
      <c r="AM27" s="562">
        <f t="shared" si="9"/>
        <v>0</v>
      </c>
      <c r="AN27" s="562">
        <f t="shared" si="9"/>
        <v>0</v>
      </c>
      <c r="AO27" s="562">
        <f t="shared" si="9"/>
        <v>0</v>
      </c>
      <c r="AP27" s="562">
        <f t="shared" si="9"/>
        <v>0</v>
      </c>
      <c r="AQ27" s="562">
        <f t="shared" si="9"/>
        <v>0</v>
      </c>
      <c r="AR27" s="562">
        <f t="shared" si="9"/>
        <v>0</v>
      </c>
      <c r="AS27" s="562">
        <f t="shared" si="9"/>
        <v>0</v>
      </c>
      <c r="AT27" s="562">
        <f t="shared" si="9"/>
        <v>0</v>
      </c>
      <c r="AU27" s="562">
        <f t="shared" si="9"/>
        <v>0</v>
      </c>
      <c r="AV27" s="562">
        <f t="shared" si="9"/>
        <v>0</v>
      </c>
      <c r="AW27" s="562">
        <f t="shared" si="9"/>
        <v>0</v>
      </c>
      <c r="AX27" s="562">
        <f t="shared" si="9"/>
        <v>0</v>
      </c>
      <c r="AY27" s="562">
        <f t="shared" si="9"/>
        <v>0</v>
      </c>
      <c r="AZ27" s="562">
        <f t="shared" si="9"/>
        <v>0</v>
      </c>
      <c r="BA27" s="562">
        <f t="shared" si="9"/>
        <v>0</v>
      </c>
      <c r="BB27" s="562">
        <f t="shared" si="9"/>
        <v>0</v>
      </c>
      <c r="BC27" s="562">
        <f t="shared" si="9"/>
        <v>0</v>
      </c>
      <c r="BD27" s="562">
        <f t="shared" si="9"/>
        <v>0</v>
      </c>
      <c r="BE27" s="562">
        <f t="shared" si="9"/>
        <v>0</v>
      </c>
      <c r="BF27" s="562">
        <f>IF(BF11&gt;BF24,+MIN(-BE34,BF11-BF24),0)</f>
        <v>0</v>
      </c>
      <c r="BG27" s="562">
        <f t="shared" si="9"/>
        <v>0</v>
      </c>
      <c r="BH27" s="562">
        <f t="shared" si="9"/>
        <v>0</v>
      </c>
      <c r="BI27" s="562">
        <f t="shared" si="9"/>
        <v>0</v>
      </c>
      <c r="BJ27" s="562">
        <f t="shared" si="9"/>
        <v>0</v>
      </c>
      <c r="BK27" s="562">
        <f t="shared" si="9"/>
        <v>0</v>
      </c>
      <c r="BL27" s="562">
        <f t="shared" si="9"/>
        <v>0</v>
      </c>
      <c r="BM27" s="562">
        <f t="shared" si="9"/>
        <v>24033944.982098967</v>
      </c>
      <c r="BN27" s="562">
        <f t="shared" si="9"/>
        <v>0</v>
      </c>
      <c r="BO27" s="286"/>
      <c r="BR27" s="223"/>
      <c r="BS27" s="223"/>
      <c r="BT27" s="223"/>
      <c r="BU27" s="223"/>
      <c r="BV27" s="223"/>
    </row>
    <row r="28" spans="1:74" s="216" customFormat="1">
      <c r="A28" s="215"/>
      <c r="B28" s="279" t="s">
        <v>205</v>
      </c>
      <c r="C28" s="223"/>
      <c r="D28" s="563">
        <f t="shared" ref="D28:R28" si="10">D11-D24-D27</f>
        <v>0</v>
      </c>
      <c r="E28" s="563">
        <f t="shared" si="10"/>
        <v>0</v>
      </c>
      <c r="F28" s="563">
        <f t="shared" si="10"/>
        <v>0</v>
      </c>
      <c r="G28" s="563">
        <f t="shared" si="10"/>
        <v>0</v>
      </c>
      <c r="H28" s="563">
        <f t="shared" si="10"/>
        <v>0</v>
      </c>
      <c r="I28" s="563">
        <f t="shared" si="10"/>
        <v>0</v>
      </c>
      <c r="J28" s="563">
        <f t="shared" si="10"/>
        <v>0</v>
      </c>
      <c r="K28" s="563">
        <f t="shared" si="10"/>
        <v>0</v>
      </c>
      <c r="L28" s="563">
        <f t="shared" si="10"/>
        <v>0</v>
      </c>
      <c r="M28" s="563">
        <f t="shared" si="10"/>
        <v>0</v>
      </c>
      <c r="N28" s="563">
        <f t="shared" si="10"/>
        <v>0</v>
      </c>
      <c r="O28" s="563">
        <f t="shared" si="10"/>
        <v>0</v>
      </c>
      <c r="P28" s="563">
        <f t="shared" si="10"/>
        <v>0</v>
      </c>
      <c r="Q28" s="563">
        <f t="shared" si="10"/>
        <v>0</v>
      </c>
      <c r="R28" s="563">
        <f t="shared" si="10"/>
        <v>0</v>
      </c>
      <c r="S28" s="563">
        <f>S11-S24-S27</f>
        <v>0</v>
      </c>
      <c r="T28" s="563">
        <f>T11-T24-T27</f>
        <v>0</v>
      </c>
      <c r="U28" s="563">
        <f t="shared" ref="U28:BM28" si="11">U11-U24-U27</f>
        <v>0</v>
      </c>
      <c r="V28" s="563">
        <f t="shared" si="11"/>
        <v>0</v>
      </c>
      <c r="W28" s="563">
        <f t="shared" si="11"/>
        <v>0</v>
      </c>
      <c r="X28" s="563">
        <f t="shared" si="11"/>
        <v>0</v>
      </c>
      <c r="Y28" s="563">
        <f t="shared" si="11"/>
        <v>0</v>
      </c>
      <c r="Z28" s="563">
        <f t="shared" si="11"/>
        <v>0</v>
      </c>
      <c r="AA28" s="563">
        <f t="shared" si="11"/>
        <v>0</v>
      </c>
      <c r="AB28" s="563">
        <f t="shared" si="11"/>
        <v>0</v>
      </c>
      <c r="AC28" s="563">
        <f t="shared" si="11"/>
        <v>0</v>
      </c>
      <c r="AD28" s="563">
        <f t="shared" si="11"/>
        <v>0</v>
      </c>
      <c r="AE28" s="563">
        <f t="shared" si="11"/>
        <v>0</v>
      </c>
      <c r="AF28" s="563">
        <f t="shared" si="11"/>
        <v>0</v>
      </c>
      <c r="AG28" s="563">
        <f t="shared" si="11"/>
        <v>0</v>
      </c>
      <c r="AH28" s="563">
        <f t="shared" si="11"/>
        <v>0</v>
      </c>
      <c r="AI28" s="563">
        <f t="shared" si="11"/>
        <v>0</v>
      </c>
      <c r="AJ28" s="563">
        <f t="shared" si="11"/>
        <v>0</v>
      </c>
      <c r="AK28" s="563">
        <f t="shared" si="11"/>
        <v>0</v>
      </c>
      <c r="AL28" s="563">
        <f t="shared" si="11"/>
        <v>0</v>
      </c>
      <c r="AM28" s="563">
        <f t="shared" si="11"/>
        <v>0</v>
      </c>
      <c r="AN28" s="563">
        <f t="shared" si="11"/>
        <v>0</v>
      </c>
      <c r="AO28" s="563">
        <f t="shared" si="11"/>
        <v>0</v>
      </c>
      <c r="AP28" s="563">
        <f t="shared" si="11"/>
        <v>0</v>
      </c>
      <c r="AQ28" s="563">
        <f t="shared" si="11"/>
        <v>0</v>
      </c>
      <c r="AR28" s="563">
        <f t="shared" si="11"/>
        <v>0</v>
      </c>
      <c r="AS28" s="563">
        <f t="shared" si="11"/>
        <v>0</v>
      </c>
      <c r="AT28" s="563">
        <f t="shared" si="11"/>
        <v>0</v>
      </c>
      <c r="AU28" s="563">
        <f t="shared" si="11"/>
        <v>0</v>
      </c>
      <c r="AV28" s="563">
        <f>AV11-AV24-AV27</f>
        <v>0</v>
      </c>
      <c r="AW28" s="563">
        <f t="shared" si="11"/>
        <v>0</v>
      </c>
      <c r="AX28" s="563">
        <f t="shared" si="11"/>
        <v>0</v>
      </c>
      <c r="AY28" s="563">
        <f>AY11-AY24-AY27</f>
        <v>0</v>
      </c>
      <c r="AZ28" s="563">
        <f t="shared" si="11"/>
        <v>0</v>
      </c>
      <c r="BA28" s="563">
        <f>BA11-BA24-BA27</f>
        <v>0</v>
      </c>
      <c r="BB28" s="563">
        <f t="shared" si="11"/>
        <v>0</v>
      </c>
      <c r="BC28" s="563">
        <f t="shared" si="11"/>
        <v>0</v>
      </c>
      <c r="BD28" s="563">
        <f t="shared" si="11"/>
        <v>0</v>
      </c>
      <c r="BE28" s="563">
        <f t="shared" si="11"/>
        <v>0</v>
      </c>
      <c r="BF28" s="563">
        <f>BF11-BF24-BF27</f>
        <v>0</v>
      </c>
      <c r="BG28" s="563">
        <f t="shared" si="11"/>
        <v>0</v>
      </c>
      <c r="BH28" s="563">
        <f t="shared" si="11"/>
        <v>0</v>
      </c>
      <c r="BI28" s="563">
        <f t="shared" si="11"/>
        <v>0</v>
      </c>
      <c r="BJ28" s="563">
        <f t="shared" si="11"/>
        <v>0</v>
      </c>
      <c r="BK28" s="563">
        <f t="shared" si="11"/>
        <v>0</v>
      </c>
      <c r="BL28" s="563">
        <f t="shared" si="11"/>
        <v>0</v>
      </c>
      <c r="BM28" s="563">
        <f t="shared" si="11"/>
        <v>16302296.199669339</v>
      </c>
      <c r="BN28" s="563">
        <f>BN11-BN24-BN27</f>
        <v>0</v>
      </c>
      <c r="BO28" s="287"/>
      <c r="BR28" s="223"/>
      <c r="BS28" s="219"/>
      <c r="BV28" s="224"/>
    </row>
    <row r="29" spans="1:74" s="216" customFormat="1">
      <c r="A29" s="215"/>
      <c r="B29" s="279"/>
      <c r="C29" s="223"/>
      <c r="D29" s="563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3"/>
      <c r="BE29" s="563"/>
      <c r="BF29" s="563"/>
      <c r="BG29" s="563"/>
      <c r="BH29" s="563"/>
      <c r="BI29" s="563"/>
      <c r="BJ29" s="563"/>
      <c r="BK29" s="563"/>
      <c r="BL29" s="563"/>
      <c r="BM29" s="563"/>
      <c r="BN29" s="563"/>
      <c r="BO29" s="287"/>
      <c r="BR29" s="223"/>
      <c r="BS29" s="219"/>
      <c r="BV29" s="224"/>
    </row>
    <row r="30" spans="1:74" s="216" customFormat="1">
      <c r="A30" s="215"/>
      <c r="B30" s="902">
        <f>Dashboard!C54</f>
        <v>0.03</v>
      </c>
      <c r="C30" s="223"/>
      <c r="D30" s="563">
        <f>+IF(D28&lt;0,0,MIN($B$30,D$28))</f>
        <v>0</v>
      </c>
      <c r="E30" s="563">
        <f>IF(SUM($D30:D30)&lt;$B$30,MIN(E28,$B$30-SUM($D30:D30)),0)</f>
        <v>0</v>
      </c>
      <c r="F30" s="563">
        <f>IF(SUM($D30:E30)&lt;$B$30,MIN(F28,$B$30-SUM($D30:E30)),0)</f>
        <v>0</v>
      </c>
      <c r="G30" s="563">
        <f>IF(SUM($D30:F30)&lt;$B$30,MIN(G28,$B$30-SUM($D30:F30)),0)</f>
        <v>0</v>
      </c>
      <c r="H30" s="563">
        <f>IF(SUM($D30:G30)&lt;$B$30,MIN(H28,$B$30-SUM($D30:G30)),0)</f>
        <v>0</v>
      </c>
      <c r="I30" s="563">
        <f>IF(SUM($D30:H30)&lt;$B$30,MIN(I28,$B$30-SUM($D30:H30)),0)</f>
        <v>0</v>
      </c>
      <c r="J30" s="563">
        <f>IF(SUM($D30:I30)&lt;$B$30,MIN(J28,$B$30-SUM($D30:I30)),0)</f>
        <v>0</v>
      </c>
      <c r="K30" s="563">
        <f>IF(SUM($D30:J30)&lt;$B$30,MIN(K28,$B$30-SUM($D30:J30)),0)</f>
        <v>0</v>
      </c>
      <c r="L30" s="563">
        <f>IF(SUM($D30:K30)&lt;$B$30,MIN(L28,$B$30-SUM($D30:K30)),0)</f>
        <v>0</v>
      </c>
      <c r="M30" s="563">
        <f>IF(SUM($D30:L30)&lt;$B$30,MIN(M28,$B$30-SUM($D30:L30)),0)</f>
        <v>0</v>
      </c>
      <c r="N30" s="563">
        <f>IF(SUM($D30:M30)&lt;$B$30,MIN(N28,$B$30-SUM($D30:M30)),0)</f>
        <v>0</v>
      </c>
      <c r="O30" s="563">
        <f>IF(SUM($D30:N30)&lt;$B$30,MIN(O28,$B$30-SUM($D30:N30)),0)</f>
        <v>0</v>
      </c>
      <c r="P30" s="563">
        <f>IF(SUM($D30:O30)&lt;$B$30,MIN(P28,$B$30-SUM($D30:O30)),0)</f>
        <v>0</v>
      </c>
      <c r="Q30" s="563">
        <f>IF(SUM($D30:P30)&lt;$B$30,MIN(Q28,$B$30-SUM($D30:P30)),0)</f>
        <v>0</v>
      </c>
      <c r="R30" s="563">
        <f>IF(SUM($D30:Q30)&lt;$B$30,MIN(R28,$B$30-SUM($D30:Q30)),0)</f>
        <v>0</v>
      </c>
      <c r="S30" s="563">
        <f>IF(SUM($D30:R30)&lt;$B$30,MIN(S28,$B$30-SUM($D30:R30)),0)</f>
        <v>0</v>
      </c>
      <c r="T30" s="563">
        <f>IF(SUM($D30:S30)&lt;$B$30,MIN(T28,$B$30-SUM($D30:S30)),0)</f>
        <v>0</v>
      </c>
      <c r="U30" s="563">
        <f>IF(SUM($D30:T30)&lt;$B$30,MIN(U28,$B$30-SUM($D30:T30)),0)</f>
        <v>0</v>
      </c>
      <c r="V30" s="563">
        <f>IF(SUM($D30:U30)&lt;$B$30,MIN(V28,$B$30-SUM($D30:U30)),0)</f>
        <v>0</v>
      </c>
      <c r="W30" s="563">
        <f>IF(SUM($D30:V30)&lt;$B$30,MIN(W28,$B$30-SUM($D30:V30)),0)</f>
        <v>0</v>
      </c>
      <c r="X30" s="563">
        <f>IF(SUM($D30:W30)&lt;$B$30,MIN(X28,$B$30-SUM($D30:W30)),0)</f>
        <v>0</v>
      </c>
      <c r="Y30" s="563">
        <f>IF(SUM($D30:X30)&lt;$B$30,MIN(Y28,$B$30-SUM($D30:X30)),0)</f>
        <v>0</v>
      </c>
      <c r="Z30" s="563">
        <f>IF(SUM($D30:Y30)&lt;$B$30,MIN(Z28,$B$30-SUM($D30:Y30)),0)</f>
        <v>0</v>
      </c>
      <c r="AA30" s="563">
        <f>IF(SUM($D30:Z30)&lt;$B$30,MIN(AA28,$B$30-SUM($D30:Z30)),0)</f>
        <v>0</v>
      </c>
      <c r="AB30" s="563">
        <f>IF(SUM($D30:AA30)&lt;$B$30,MIN(AB28,$B$30-SUM($D30:AA30)),0)</f>
        <v>0</v>
      </c>
      <c r="AC30" s="563">
        <f>IF(SUM($D30:AB30)&lt;$B$30,MIN(AC28,$B$30-SUM($D30:AB30)),0)</f>
        <v>0</v>
      </c>
      <c r="AD30" s="563">
        <f>IF(SUM($D30:AC30)&lt;$B$30,MIN(AD28,$B$30-SUM($D30:AC30)),0)</f>
        <v>0</v>
      </c>
      <c r="AE30" s="563">
        <f>IF(SUM($D30:AD30)&lt;$B$30,MIN(AE28,$B$30-SUM($D30:AD30)),0)</f>
        <v>0</v>
      </c>
      <c r="AF30" s="563">
        <f>IF(SUM($D30:AE30)&lt;$B$30,MIN(AF28,$B$30-SUM($D30:AE30)),0)</f>
        <v>0</v>
      </c>
      <c r="AG30" s="563">
        <f>IF(SUM($D30:AF30)&lt;$B$30,MIN(AG28,$B$30-SUM($D30:AF30)),0)</f>
        <v>0</v>
      </c>
      <c r="AH30" s="563">
        <f>IF(SUM($D30:AG30)&lt;$B$30,MIN(AH28,$B$30-SUM($D30:AG30)),0)</f>
        <v>0</v>
      </c>
      <c r="AI30" s="563">
        <f>IF(SUM($D30:AH30)&lt;$B$30,MIN(AI28,$B$30-SUM($D30:AH30)),0)</f>
        <v>0</v>
      </c>
      <c r="AJ30" s="563">
        <f>IF(SUM($D30:AI30)&lt;$B$30,MIN(AJ28,$B$30-SUM($D30:AI30)),0)</f>
        <v>0</v>
      </c>
      <c r="AK30" s="563">
        <f>IF(SUM($D30:AJ30)&lt;$B$30,MIN(AK28,$B$30-SUM($D30:AJ30)),0)</f>
        <v>0</v>
      </c>
      <c r="AL30" s="563">
        <f>IF(SUM($D30:AK30)&lt;$B$30,MIN(AL28,$B$30-SUM($D30:AK30)),0)</f>
        <v>0</v>
      </c>
      <c r="AM30" s="563">
        <f>IF(SUM($D30:AL30)&lt;$B$30,MIN(AM28,$B$30-SUM($D30:AL30)),0)</f>
        <v>0</v>
      </c>
      <c r="AN30" s="563">
        <f>IF(SUM($D30:AM30)&lt;$B$30,MIN(AN28,$B$30-SUM($D30:AM30)),0)</f>
        <v>0</v>
      </c>
      <c r="AO30" s="563">
        <f>IF(SUM($D30:AN30)&lt;$B$30,MIN(AO28,$B$30-SUM($D30:AN30)),0)</f>
        <v>0</v>
      </c>
      <c r="AP30" s="563">
        <f>IF(SUM($D30:AO30)&lt;$B$30,MIN(AP28,$B$30-SUM($D30:AO30)),0)</f>
        <v>0</v>
      </c>
      <c r="AQ30" s="563">
        <f>IF(SUM($D30:AP30)&lt;$B$30,MIN(AQ28,$B$30-SUM($D30:AP30)),0)</f>
        <v>0</v>
      </c>
      <c r="AR30" s="563">
        <f>IF(SUM($D30:AQ30)&lt;$B$30,MIN(AR28,$B$30-SUM($D30:AQ30)),0)</f>
        <v>0</v>
      </c>
      <c r="AS30" s="563">
        <f>IF(SUM($D30:AR30)&lt;$B$30,MIN(AS28,$B$30-SUM($D30:AR30)),0)</f>
        <v>0</v>
      </c>
      <c r="AT30" s="563">
        <f>IF(SUM($D30:AS30)&lt;$B$30,MIN(AT28,$B$30-SUM($D30:AS30)),0)</f>
        <v>0</v>
      </c>
      <c r="AU30" s="563">
        <f>IF(SUM($D30:AT30)&lt;$B$30,MIN(AU28,$B$30-SUM($D30:AT30)),0)</f>
        <v>0</v>
      </c>
      <c r="AV30" s="563">
        <f>IF(SUM($D30:AU30)&lt;$B$30,MIN(AV28,$B$30-SUM($D30:AU30)),0)</f>
        <v>0</v>
      </c>
      <c r="AW30" s="563">
        <f>IF(SUM($D30:AV30)&lt;$B$30,MIN(AW28,$B$30-SUM($D30:AV30)),0)</f>
        <v>0</v>
      </c>
      <c r="AX30" s="563">
        <f>IF(SUM($D30:AW30)&lt;$B$30,MIN(AX28,$B$30-SUM($D30:AW30)),0)</f>
        <v>0</v>
      </c>
      <c r="AY30" s="563">
        <f>IF(SUM($D30:AX30)&lt;$B$30,MIN(AY28,$B$30-SUM($D30:AX30)),0)</f>
        <v>0</v>
      </c>
      <c r="AZ30" s="563">
        <f>IF(SUM($D30:AY30)&lt;$B$30,MIN(AZ28,$B$30-SUM($D30:AY30)),0)</f>
        <v>0</v>
      </c>
      <c r="BA30" s="563">
        <f>IF(SUM($D30:AZ30)&lt;$B$30,MIN(BA28,$B$30-SUM($D30:AZ30)),0)</f>
        <v>0</v>
      </c>
      <c r="BB30" s="563">
        <f>IF(SUM($D30:BA30)&lt;$B$30,MIN(BB28,$B$30-SUM($D30:BA30)),0)</f>
        <v>0</v>
      </c>
      <c r="BC30" s="563">
        <f>IF(SUM($D30:BB30)&lt;$B$30,MIN(BC28,$B$30-SUM($D30:BB30)),0)</f>
        <v>0</v>
      </c>
      <c r="BD30" s="563">
        <f>IF(SUM($D30:BC30)&lt;$B$30,MIN(BD28,$B$30-SUM($D30:BC30)),0)</f>
        <v>0</v>
      </c>
      <c r="BE30" s="563">
        <f>IF(SUM($D30:BD30)&lt;$B$30,MIN(BE28,$B$30-SUM($D30:BD30)),0)</f>
        <v>0</v>
      </c>
      <c r="BF30" s="563">
        <f>IF(SUM($D30:BE30)&lt;$B$30,MIN(BF28,$B$30-SUM($D30:BE30)),0)</f>
        <v>0</v>
      </c>
      <c r="BG30" s="563">
        <f>IF(SUM($D30:BF30)&lt;$B$30,MIN(BG28,$B$30-SUM($D30:BF30)),0)</f>
        <v>0</v>
      </c>
      <c r="BH30" s="563">
        <f>IF(SUM($D30:BG30)&lt;$B$30,MIN(BH28,$B$30-SUM($D30:BG30)),0)</f>
        <v>0</v>
      </c>
      <c r="BI30" s="563">
        <f>IF(SUM($D30:BH30)&lt;$B$30,MIN(BI28,$B$30-SUM($D30:BH30)),0)</f>
        <v>0</v>
      </c>
      <c r="BJ30" s="563">
        <f>IF(SUM($D30:BI30)&lt;$B$30,MIN(BJ28,$B$30-SUM($D30:BI30)),0)</f>
        <v>0</v>
      </c>
      <c r="BK30" s="563">
        <f>IF(SUM($D30:BJ30)&lt;$B$30,MIN(BK28,$B$30-SUM($D30:BJ30)),0)</f>
        <v>0</v>
      </c>
      <c r="BL30" s="563">
        <f>IF(SUM($D30:BK30)&lt;$B$30,MIN(BL28,$B$30-SUM($D30:BK30)),0)</f>
        <v>0</v>
      </c>
      <c r="BM30" s="563">
        <f>IF(SUM($D30:BL30)&lt;$B$30,MIN(BM28,$B$30-SUM($D30:BL30)),0)</f>
        <v>0.03</v>
      </c>
      <c r="BN30" s="563">
        <f>IF(SUM($D30:BM30)&lt;$B$30,MIN(BN28,$B$30-SUM($D30:BM30)),0)</f>
        <v>0</v>
      </c>
      <c r="BO30" s="287"/>
      <c r="BR30" s="223"/>
      <c r="BS30" s="219"/>
      <c r="BV30" s="224"/>
    </row>
    <row r="31" spans="1:74" s="216" customFormat="1">
      <c r="A31" s="215"/>
      <c r="B31" s="288" t="s">
        <v>377</v>
      </c>
      <c r="C31" s="489">
        <f>+-B30</f>
        <v>-0.03</v>
      </c>
      <c r="D31" s="489">
        <f>+C31+D30</f>
        <v>-0.03</v>
      </c>
      <c r="E31" s="489">
        <f t="shared" ref="E31:BN31" si="12">+D31+E30</f>
        <v>-0.03</v>
      </c>
      <c r="F31" s="489">
        <f t="shared" si="12"/>
        <v>-0.03</v>
      </c>
      <c r="G31" s="489">
        <f t="shared" si="12"/>
        <v>-0.03</v>
      </c>
      <c r="H31" s="489">
        <f t="shared" si="12"/>
        <v>-0.03</v>
      </c>
      <c r="I31" s="489">
        <f t="shared" si="12"/>
        <v>-0.03</v>
      </c>
      <c r="J31" s="489">
        <f t="shared" si="12"/>
        <v>-0.03</v>
      </c>
      <c r="K31" s="489">
        <f t="shared" si="12"/>
        <v>-0.03</v>
      </c>
      <c r="L31" s="489">
        <f t="shared" si="12"/>
        <v>-0.03</v>
      </c>
      <c r="M31" s="489">
        <f t="shared" si="12"/>
        <v>-0.03</v>
      </c>
      <c r="N31" s="489">
        <f t="shared" si="12"/>
        <v>-0.03</v>
      </c>
      <c r="O31" s="489">
        <f t="shared" si="12"/>
        <v>-0.03</v>
      </c>
      <c r="P31" s="489">
        <f t="shared" si="12"/>
        <v>-0.03</v>
      </c>
      <c r="Q31" s="489">
        <f t="shared" si="12"/>
        <v>-0.03</v>
      </c>
      <c r="R31" s="489">
        <f t="shared" si="12"/>
        <v>-0.03</v>
      </c>
      <c r="S31" s="489">
        <f t="shared" si="12"/>
        <v>-0.03</v>
      </c>
      <c r="T31" s="489">
        <f t="shared" si="12"/>
        <v>-0.03</v>
      </c>
      <c r="U31" s="489">
        <f t="shared" si="12"/>
        <v>-0.03</v>
      </c>
      <c r="V31" s="489">
        <f t="shared" si="12"/>
        <v>-0.03</v>
      </c>
      <c r="W31" s="489">
        <f t="shared" si="12"/>
        <v>-0.03</v>
      </c>
      <c r="X31" s="489">
        <f t="shared" si="12"/>
        <v>-0.03</v>
      </c>
      <c r="Y31" s="489">
        <f t="shared" si="12"/>
        <v>-0.03</v>
      </c>
      <c r="Z31" s="489">
        <f t="shared" si="12"/>
        <v>-0.03</v>
      </c>
      <c r="AA31" s="489">
        <f t="shared" si="12"/>
        <v>-0.03</v>
      </c>
      <c r="AB31" s="489">
        <f t="shared" si="12"/>
        <v>-0.03</v>
      </c>
      <c r="AC31" s="489">
        <f t="shared" si="12"/>
        <v>-0.03</v>
      </c>
      <c r="AD31" s="489">
        <f t="shared" si="12"/>
        <v>-0.03</v>
      </c>
      <c r="AE31" s="489">
        <f t="shared" si="12"/>
        <v>-0.03</v>
      </c>
      <c r="AF31" s="489">
        <f t="shared" si="12"/>
        <v>-0.03</v>
      </c>
      <c r="AG31" s="489">
        <f t="shared" si="12"/>
        <v>-0.03</v>
      </c>
      <c r="AH31" s="489">
        <f t="shared" si="12"/>
        <v>-0.03</v>
      </c>
      <c r="AI31" s="489">
        <f t="shared" si="12"/>
        <v>-0.03</v>
      </c>
      <c r="AJ31" s="489">
        <f t="shared" si="12"/>
        <v>-0.03</v>
      </c>
      <c r="AK31" s="489">
        <f t="shared" si="12"/>
        <v>-0.03</v>
      </c>
      <c r="AL31" s="489">
        <f t="shared" si="12"/>
        <v>-0.03</v>
      </c>
      <c r="AM31" s="489">
        <f t="shared" si="12"/>
        <v>-0.03</v>
      </c>
      <c r="AN31" s="489">
        <f t="shared" si="12"/>
        <v>-0.03</v>
      </c>
      <c r="AO31" s="489">
        <f t="shared" si="12"/>
        <v>-0.03</v>
      </c>
      <c r="AP31" s="489">
        <f t="shared" si="12"/>
        <v>-0.03</v>
      </c>
      <c r="AQ31" s="489">
        <f t="shared" si="12"/>
        <v>-0.03</v>
      </c>
      <c r="AR31" s="489">
        <f t="shared" si="12"/>
        <v>-0.03</v>
      </c>
      <c r="AS31" s="489">
        <f t="shared" si="12"/>
        <v>-0.03</v>
      </c>
      <c r="AT31" s="489">
        <f t="shared" si="12"/>
        <v>-0.03</v>
      </c>
      <c r="AU31" s="489">
        <f t="shared" si="12"/>
        <v>-0.03</v>
      </c>
      <c r="AV31" s="489">
        <f t="shared" si="12"/>
        <v>-0.03</v>
      </c>
      <c r="AW31" s="489">
        <f t="shared" si="12"/>
        <v>-0.03</v>
      </c>
      <c r="AX31" s="489">
        <f t="shared" si="12"/>
        <v>-0.03</v>
      </c>
      <c r="AY31" s="489">
        <f t="shared" si="12"/>
        <v>-0.03</v>
      </c>
      <c r="AZ31" s="489">
        <f t="shared" si="12"/>
        <v>-0.03</v>
      </c>
      <c r="BA31" s="489">
        <f t="shared" si="12"/>
        <v>-0.03</v>
      </c>
      <c r="BB31" s="489">
        <f t="shared" si="12"/>
        <v>-0.03</v>
      </c>
      <c r="BC31" s="489">
        <f t="shared" si="12"/>
        <v>-0.03</v>
      </c>
      <c r="BD31" s="489">
        <f t="shared" si="12"/>
        <v>-0.03</v>
      </c>
      <c r="BE31" s="489">
        <f t="shared" si="12"/>
        <v>-0.03</v>
      </c>
      <c r="BF31" s="489">
        <f t="shared" si="12"/>
        <v>-0.03</v>
      </c>
      <c r="BG31" s="489">
        <f t="shared" si="12"/>
        <v>-0.03</v>
      </c>
      <c r="BH31" s="489">
        <f t="shared" si="12"/>
        <v>-0.03</v>
      </c>
      <c r="BI31" s="489">
        <f t="shared" si="12"/>
        <v>-0.03</v>
      </c>
      <c r="BJ31" s="489">
        <f t="shared" si="12"/>
        <v>-0.03</v>
      </c>
      <c r="BK31" s="489">
        <f t="shared" si="12"/>
        <v>-0.03</v>
      </c>
      <c r="BL31" s="489">
        <f t="shared" si="12"/>
        <v>-0.03</v>
      </c>
      <c r="BM31" s="489">
        <f t="shared" si="12"/>
        <v>0</v>
      </c>
      <c r="BN31" s="489">
        <f t="shared" si="12"/>
        <v>0</v>
      </c>
      <c r="BO31" s="287"/>
      <c r="BR31" s="223"/>
      <c r="BS31" s="219"/>
      <c r="BV31" s="224"/>
    </row>
    <row r="32" spans="1:74" s="216" customFormat="1">
      <c r="A32" s="215"/>
      <c r="B32" s="657" t="s">
        <v>237</v>
      </c>
      <c r="C32" s="658"/>
      <c r="D32" s="659">
        <f>+D28-D30</f>
        <v>0</v>
      </c>
      <c r="E32" s="659">
        <f t="shared" ref="E32:BN32" si="13">+E28-E30</f>
        <v>0</v>
      </c>
      <c r="F32" s="659">
        <f t="shared" si="13"/>
        <v>0</v>
      </c>
      <c r="G32" s="659">
        <f t="shared" si="13"/>
        <v>0</v>
      </c>
      <c r="H32" s="659">
        <f t="shared" si="13"/>
        <v>0</v>
      </c>
      <c r="I32" s="659">
        <f t="shared" si="13"/>
        <v>0</v>
      </c>
      <c r="J32" s="659">
        <f t="shared" si="13"/>
        <v>0</v>
      </c>
      <c r="K32" s="659">
        <f t="shared" si="13"/>
        <v>0</v>
      </c>
      <c r="L32" s="659">
        <f t="shared" si="13"/>
        <v>0</v>
      </c>
      <c r="M32" s="659">
        <f t="shared" si="13"/>
        <v>0</v>
      </c>
      <c r="N32" s="659">
        <f t="shared" si="13"/>
        <v>0</v>
      </c>
      <c r="O32" s="659">
        <f t="shared" si="13"/>
        <v>0</v>
      </c>
      <c r="P32" s="659">
        <f t="shared" si="13"/>
        <v>0</v>
      </c>
      <c r="Q32" s="659">
        <f t="shared" si="13"/>
        <v>0</v>
      </c>
      <c r="R32" s="659">
        <f t="shared" si="13"/>
        <v>0</v>
      </c>
      <c r="S32" s="659">
        <f t="shared" si="13"/>
        <v>0</v>
      </c>
      <c r="T32" s="659">
        <f t="shared" si="13"/>
        <v>0</v>
      </c>
      <c r="U32" s="659">
        <f t="shared" si="13"/>
        <v>0</v>
      </c>
      <c r="V32" s="659">
        <f t="shared" si="13"/>
        <v>0</v>
      </c>
      <c r="W32" s="659">
        <f t="shared" si="13"/>
        <v>0</v>
      </c>
      <c r="X32" s="659">
        <f t="shared" si="13"/>
        <v>0</v>
      </c>
      <c r="Y32" s="659">
        <f t="shared" si="13"/>
        <v>0</v>
      </c>
      <c r="Z32" s="659">
        <f t="shared" si="13"/>
        <v>0</v>
      </c>
      <c r="AA32" s="659">
        <f t="shared" si="13"/>
        <v>0</v>
      </c>
      <c r="AB32" s="659">
        <f t="shared" si="13"/>
        <v>0</v>
      </c>
      <c r="AC32" s="659">
        <f t="shared" si="13"/>
        <v>0</v>
      </c>
      <c r="AD32" s="659">
        <f t="shared" si="13"/>
        <v>0</v>
      </c>
      <c r="AE32" s="659">
        <f t="shared" si="13"/>
        <v>0</v>
      </c>
      <c r="AF32" s="659">
        <f t="shared" si="13"/>
        <v>0</v>
      </c>
      <c r="AG32" s="659">
        <f t="shared" si="13"/>
        <v>0</v>
      </c>
      <c r="AH32" s="659">
        <f t="shared" si="13"/>
        <v>0</v>
      </c>
      <c r="AI32" s="659">
        <f t="shared" si="13"/>
        <v>0</v>
      </c>
      <c r="AJ32" s="659">
        <f t="shared" si="13"/>
        <v>0</v>
      </c>
      <c r="AK32" s="659">
        <f t="shared" si="13"/>
        <v>0</v>
      </c>
      <c r="AL32" s="659">
        <f t="shared" si="13"/>
        <v>0</v>
      </c>
      <c r="AM32" s="659">
        <f t="shared" si="13"/>
        <v>0</v>
      </c>
      <c r="AN32" s="659">
        <f t="shared" si="13"/>
        <v>0</v>
      </c>
      <c r="AO32" s="659">
        <f t="shared" si="13"/>
        <v>0</v>
      </c>
      <c r="AP32" s="659">
        <f t="shared" si="13"/>
        <v>0</v>
      </c>
      <c r="AQ32" s="659">
        <f t="shared" si="13"/>
        <v>0</v>
      </c>
      <c r="AR32" s="659">
        <f t="shared" si="13"/>
        <v>0</v>
      </c>
      <c r="AS32" s="659">
        <f t="shared" si="13"/>
        <v>0</v>
      </c>
      <c r="AT32" s="659">
        <f t="shared" si="13"/>
        <v>0</v>
      </c>
      <c r="AU32" s="659">
        <f t="shared" si="13"/>
        <v>0</v>
      </c>
      <c r="AV32" s="659">
        <f t="shared" si="13"/>
        <v>0</v>
      </c>
      <c r="AW32" s="659">
        <f t="shared" si="13"/>
        <v>0</v>
      </c>
      <c r="AX32" s="659">
        <f t="shared" si="13"/>
        <v>0</v>
      </c>
      <c r="AY32" s="659">
        <f t="shared" si="13"/>
        <v>0</v>
      </c>
      <c r="AZ32" s="659">
        <f t="shared" si="13"/>
        <v>0</v>
      </c>
      <c r="BA32" s="659">
        <f t="shared" si="13"/>
        <v>0</v>
      </c>
      <c r="BB32" s="659">
        <f t="shared" si="13"/>
        <v>0</v>
      </c>
      <c r="BC32" s="659">
        <f t="shared" si="13"/>
        <v>0</v>
      </c>
      <c r="BD32" s="659">
        <f t="shared" si="13"/>
        <v>0</v>
      </c>
      <c r="BE32" s="659">
        <f t="shared" si="13"/>
        <v>0</v>
      </c>
      <c r="BF32" s="659">
        <f t="shared" si="13"/>
        <v>0</v>
      </c>
      <c r="BG32" s="659">
        <f t="shared" si="13"/>
        <v>0</v>
      </c>
      <c r="BH32" s="659">
        <f t="shared" si="13"/>
        <v>0</v>
      </c>
      <c r="BI32" s="659">
        <f t="shared" si="13"/>
        <v>0</v>
      </c>
      <c r="BJ32" s="659">
        <f t="shared" si="13"/>
        <v>0</v>
      </c>
      <c r="BK32" s="659">
        <f t="shared" si="13"/>
        <v>0</v>
      </c>
      <c r="BL32" s="659">
        <f t="shared" si="13"/>
        <v>0</v>
      </c>
      <c r="BM32" s="659">
        <f t="shared" si="13"/>
        <v>16302296.169669339</v>
      </c>
      <c r="BN32" s="659">
        <f t="shared" si="13"/>
        <v>0</v>
      </c>
      <c r="BO32" s="287"/>
      <c r="BR32" s="223"/>
      <c r="BS32" s="219"/>
      <c r="BV32" s="224"/>
    </row>
    <row r="33" spans="1:75" s="216" customFormat="1">
      <c r="A33" s="215"/>
      <c r="B33" s="279"/>
      <c r="C33" s="223"/>
      <c r="D33" s="563"/>
      <c r="E33" s="563"/>
      <c r="F33" s="563"/>
      <c r="G33" s="563"/>
      <c r="H33" s="563"/>
      <c r="I33" s="563"/>
      <c r="J33" s="563"/>
      <c r="K33" s="563"/>
      <c r="L33" s="563"/>
      <c r="M33" s="563"/>
      <c r="N33" s="563"/>
      <c r="O33" s="563"/>
      <c r="P33" s="563"/>
      <c r="Q33" s="563"/>
      <c r="R33" s="563"/>
      <c r="S33" s="563"/>
      <c r="T33" s="563"/>
      <c r="U33" s="563"/>
      <c r="V33" s="563"/>
      <c r="W33" s="563"/>
      <c r="X33" s="563"/>
      <c r="Y33" s="563"/>
      <c r="Z33" s="563"/>
      <c r="AA33" s="563"/>
      <c r="AB33" s="563"/>
      <c r="AC33" s="563"/>
      <c r="AD33" s="563"/>
      <c r="AE33" s="563"/>
      <c r="AF33" s="563"/>
      <c r="AG33" s="563"/>
      <c r="AH33" s="563"/>
      <c r="AI33" s="563"/>
      <c r="AJ33" s="563"/>
      <c r="AK33" s="563"/>
      <c r="AL33" s="563"/>
      <c r="AM33" s="563"/>
      <c r="AN33" s="563"/>
      <c r="AO33" s="563"/>
      <c r="AP33" s="563"/>
      <c r="AQ33" s="563"/>
      <c r="AR33" s="563"/>
      <c r="AS33" s="563"/>
      <c r="AT33" s="563"/>
      <c r="AU33" s="563"/>
      <c r="AV33" s="563"/>
      <c r="AW33" s="563"/>
      <c r="AX33" s="563"/>
      <c r="AY33" s="563"/>
      <c r="AZ33" s="563"/>
      <c r="BA33" s="563"/>
      <c r="BB33" s="563"/>
      <c r="BC33" s="563"/>
      <c r="BD33" s="563"/>
      <c r="BE33" s="563"/>
      <c r="BF33" s="563"/>
      <c r="BG33" s="563"/>
      <c r="BH33" s="563"/>
      <c r="BI33" s="563"/>
      <c r="BJ33" s="563"/>
      <c r="BK33" s="563"/>
      <c r="BL33" s="563"/>
      <c r="BM33" s="563"/>
      <c r="BN33" s="563"/>
      <c r="BO33" s="287"/>
      <c r="BR33" s="223"/>
      <c r="BS33" s="219"/>
      <c r="BV33" s="224"/>
    </row>
    <row r="34" spans="1:75" s="216" customFormat="1">
      <c r="A34" s="215"/>
      <c r="B34" s="288" t="s">
        <v>179</v>
      </c>
      <c r="C34" s="289">
        <f>-D16</f>
        <v>-24033944.982098967</v>
      </c>
      <c r="D34" s="489">
        <f t="shared" ref="D34:BN34" si="14">C34+D27</f>
        <v>-24033944.982098967</v>
      </c>
      <c r="E34" s="489">
        <f t="shared" si="14"/>
        <v>-24033944.982098967</v>
      </c>
      <c r="F34" s="489">
        <f t="shared" si="14"/>
        <v>-24033944.982098967</v>
      </c>
      <c r="G34" s="489">
        <f t="shared" si="14"/>
        <v>-24033944.982098967</v>
      </c>
      <c r="H34" s="489">
        <f t="shared" si="14"/>
        <v>-24033944.982098967</v>
      </c>
      <c r="I34" s="489">
        <f t="shared" si="14"/>
        <v>-24033944.982098967</v>
      </c>
      <c r="J34" s="489">
        <f t="shared" si="14"/>
        <v>-24033944.982098967</v>
      </c>
      <c r="K34" s="489">
        <f t="shared" si="14"/>
        <v>-24033944.982098967</v>
      </c>
      <c r="L34" s="489">
        <f t="shared" si="14"/>
        <v>-24033944.982098967</v>
      </c>
      <c r="M34" s="489">
        <f t="shared" si="14"/>
        <v>-24033944.982098967</v>
      </c>
      <c r="N34" s="489">
        <f t="shared" si="14"/>
        <v>-24033944.982098967</v>
      </c>
      <c r="O34" s="489">
        <f t="shared" si="14"/>
        <v>-24033944.982098967</v>
      </c>
      <c r="P34" s="489">
        <f t="shared" si="14"/>
        <v>-24033944.982098967</v>
      </c>
      <c r="Q34" s="489">
        <f t="shared" si="14"/>
        <v>-24033944.982098967</v>
      </c>
      <c r="R34" s="489">
        <f t="shared" si="14"/>
        <v>-24033944.982098967</v>
      </c>
      <c r="S34" s="489">
        <f t="shared" si="14"/>
        <v>-24033944.982098967</v>
      </c>
      <c r="T34" s="489">
        <f t="shared" si="14"/>
        <v>-24033944.982098967</v>
      </c>
      <c r="U34" s="489">
        <f t="shared" si="14"/>
        <v>-24033944.982098967</v>
      </c>
      <c r="V34" s="489">
        <f t="shared" si="14"/>
        <v>-24033944.982098967</v>
      </c>
      <c r="W34" s="489">
        <f t="shared" si="14"/>
        <v>-24033944.982098967</v>
      </c>
      <c r="X34" s="489">
        <f t="shared" si="14"/>
        <v>-24033944.982098967</v>
      </c>
      <c r="Y34" s="489">
        <f t="shared" si="14"/>
        <v>-24033944.982098967</v>
      </c>
      <c r="Z34" s="489">
        <f t="shared" si="14"/>
        <v>-24033944.982098967</v>
      </c>
      <c r="AA34" s="489">
        <f t="shared" si="14"/>
        <v>-24033944.982098967</v>
      </c>
      <c r="AB34" s="489">
        <f t="shared" si="14"/>
        <v>-24033944.982098967</v>
      </c>
      <c r="AC34" s="489">
        <f t="shared" si="14"/>
        <v>-24033944.982098967</v>
      </c>
      <c r="AD34" s="489">
        <f t="shared" si="14"/>
        <v>-24033944.982098967</v>
      </c>
      <c r="AE34" s="489">
        <f t="shared" si="14"/>
        <v>-24033944.982098967</v>
      </c>
      <c r="AF34" s="489">
        <f t="shared" si="14"/>
        <v>-24033944.982098967</v>
      </c>
      <c r="AG34" s="489">
        <f t="shared" si="14"/>
        <v>-24033944.982098967</v>
      </c>
      <c r="AH34" s="489">
        <f t="shared" si="14"/>
        <v>-24033944.982098967</v>
      </c>
      <c r="AI34" s="489">
        <f t="shared" si="14"/>
        <v>-24033944.982098967</v>
      </c>
      <c r="AJ34" s="489">
        <f t="shared" si="14"/>
        <v>-24033944.982098967</v>
      </c>
      <c r="AK34" s="489">
        <f t="shared" si="14"/>
        <v>-24033944.982098967</v>
      </c>
      <c r="AL34" s="489">
        <f t="shared" si="14"/>
        <v>-24033944.982098967</v>
      </c>
      <c r="AM34" s="489">
        <f t="shared" si="14"/>
        <v>-24033944.982098967</v>
      </c>
      <c r="AN34" s="489">
        <f t="shared" si="14"/>
        <v>-24033944.982098967</v>
      </c>
      <c r="AO34" s="489">
        <f t="shared" si="14"/>
        <v>-24033944.982098967</v>
      </c>
      <c r="AP34" s="489">
        <f t="shared" si="14"/>
        <v>-24033944.982098967</v>
      </c>
      <c r="AQ34" s="489">
        <f t="shared" si="14"/>
        <v>-24033944.982098967</v>
      </c>
      <c r="AR34" s="489">
        <f t="shared" si="14"/>
        <v>-24033944.982098967</v>
      </c>
      <c r="AS34" s="489">
        <f t="shared" si="14"/>
        <v>-24033944.982098967</v>
      </c>
      <c r="AT34" s="489">
        <f t="shared" si="14"/>
        <v>-24033944.982098967</v>
      </c>
      <c r="AU34" s="489">
        <f t="shared" si="14"/>
        <v>-24033944.982098967</v>
      </c>
      <c r="AV34" s="489">
        <f t="shared" si="14"/>
        <v>-24033944.982098967</v>
      </c>
      <c r="AW34" s="489">
        <f t="shared" si="14"/>
        <v>-24033944.982098967</v>
      </c>
      <c r="AX34" s="489">
        <f t="shared" si="14"/>
        <v>-24033944.982098967</v>
      </c>
      <c r="AY34" s="489">
        <f t="shared" si="14"/>
        <v>-24033944.982098967</v>
      </c>
      <c r="AZ34" s="489">
        <f t="shared" si="14"/>
        <v>-24033944.982098967</v>
      </c>
      <c r="BA34" s="489">
        <f t="shared" si="14"/>
        <v>-24033944.982098967</v>
      </c>
      <c r="BB34" s="489">
        <f t="shared" si="14"/>
        <v>-24033944.982098967</v>
      </c>
      <c r="BC34" s="489">
        <f t="shared" si="14"/>
        <v>-24033944.982098967</v>
      </c>
      <c r="BD34" s="489">
        <f t="shared" si="14"/>
        <v>-24033944.982098967</v>
      </c>
      <c r="BE34" s="489">
        <f t="shared" si="14"/>
        <v>-24033944.982098967</v>
      </c>
      <c r="BF34" s="489">
        <f t="shared" si="14"/>
        <v>-24033944.982098967</v>
      </c>
      <c r="BG34" s="489">
        <f t="shared" si="14"/>
        <v>-24033944.982098967</v>
      </c>
      <c r="BH34" s="489">
        <f t="shared" si="14"/>
        <v>-24033944.982098967</v>
      </c>
      <c r="BI34" s="489">
        <f t="shared" si="14"/>
        <v>-24033944.982098967</v>
      </c>
      <c r="BJ34" s="489">
        <f t="shared" si="14"/>
        <v>-24033944.982098967</v>
      </c>
      <c r="BK34" s="489">
        <f t="shared" si="14"/>
        <v>-24033944.982098967</v>
      </c>
      <c r="BL34" s="489">
        <f t="shared" si="14"/>
        <v>-24033944.982098967</v>
      </c>
      <c r="BM34" s="489">
        <f t="shared" si="14"/>
        <v>0</v>
      </c>
      <c r="BN34" s="489">
        <f t="shared" si="14"/>
        <v>0</v>
      </c>
      <c r="BO34" s="290"/>
      <c r="BQ34" s="223"/>
      <c r="BR34" s="223"/>
      <c r="BS34" s="223"/>
      <c r="BT34" s="223"/>
      <c r="BU34" s="223"/>
      <c r="BV34" s="223"/>
      <c r="BW34" s="225"/>
    </row>
    <row r="35" spans="1:75" s="216" customFormat="1">
      <c r="A35" s="215"/>
      <c r="B35" s="288" t="s">
        <v>211</v>
      </c>
      <c r="C35" s="289"/>
      <c r="D35" s="489">
        <f>-((+C34*($BS$4/12))+D24)</f>
        <v>200282.87485082471</v>
      </c>
      <c r="E35" s="489">
        <f>D35+-((+D34*($BS$4/12))+E24)</f>
        <v>400565.74970164942</v>
      </c>
      <c r="F35" s="489">
        <f>E35+-((+E34*($BS$4/12))+F24)</f>
        <v>600848.62455247412</v>
      </c>
      <c r="G35" s="489">
        <f t="shared" ref="G35:R35" si="15">F35+-((+F34*($BS$4/12))+G24)</f>
        <v>801131.49940329883</v>
      </c>
      <c r="H35" s="489">
        <f t="shared" si="15"/>
        <v>1001414.3742541235</v>
      </c>
      <c r="I35" s="489">
        <f t="shared" si="15"/>
        <v>1201697.2491049482</v>
      </c>
      <c r="J35" s="489">
        <f t="shared" si="15"/>
        <v>1401980.123955773</v>
      </c>
      <c r="K35" s="489">
        <f t="shared" si="15"/>
        <v>1602262.9988065977</v>
      </c>
      <c r="L35" s="489">
        <f t="shared" si="15"/>
        <v>1802545.8736574224</v>
      </c>
      <c r="M35" s="489">
        <f t="shared" si="15"/>
        <v>2002828.7485082471</v>
      </c>
      <c r="N35" s="489">
        <f t="shared" si="15"/>
        <v>2203111.623359072</v>
      </c>
      <c r="O35" s="489">
        <f t="shared" si="15"/>
        <v>2403394.4982098965</v>
      </c>
      <c r="P35" s="489">
        <f t="shared" si="15"/>
        <v>2603677.373060721</v>
      </c>
      <c r="Q35" s="489">
        <f t="shared" si="15"/>
        <v>2803960.2479115454</v>
      </c>
      <c r="R35" s="489">
        <f t="shared" si="15"/>
        <v>3004243.1227623699</v>
      </c>
      <c r="S35" s="489">
        <f>R35+-((+R34*($BS$4/12))+S24)</f>
        <v>3204525.9976131944</v>
      </c>
      <c r="T35" s="489">
        <f t="shared" ref="T35:BN35" si="16">S35+-((+S34*($BS$4/12))+T24)</f>
        <v>3404808.8724640189</v>
      </c>
      <c r="U35" s="489">
        <f t="shared" si="16"/>
        <v>3605091.7473148433</v>
      </c>
      <c r="V35" s="489">
        <f t="shared" si="16"/>
        <v>3805374.6221656678</v>
      </c>
      <c r="W35" s="489">
        <f t="shared" si="16"/>
        <v>4005657.4970164923</v>
      </c>
      <c r="X35" s="489">
        <f t="shared" si="16"/>
        <v>4150074.4347967976</v>
      </c>
      <c r="Y35" s="489">
        <f t="shared" si="16"/>
        <v>4294491.3725771029</v>
      </c>
      <c r="Z35" s="489">
        <f t="shared" si="16"/>
        <v>4438908.3103574086</v>
      </c>
      <c r="AA35" s="489">
        <f t="shared" si="16"/>
        <v>3071325.2481377143</v>
      </c>
      <c r="AB35" s="489">
        <f t="shared" si="16"/>
        <v>3215742.1859180196</v>
      </c>
      <c r="AC35" s="489">
        <f t="shared" si="16"/>
        <v>3360159.1236983249</v>
      </c>
      <c r="AD35" s="489">
        <f t="shared" si="16"/>
        <v>4781062.9192541223</v>
      </c>
      <c r="AE35" s="489">
        <f t="shared" si="16"/>
        <v>4820943.3558984501</v>
      </c>
      <c r="AF35" s="489">
        <f t="shared" si="16"/>
        <v>4860823.792542778</v>
      </c>
      <c r="AG35" s="489">
        <f t="shared" si="16"/>
        <v>4900704.2291871058</v>
      </c>
      <c r="AH35" s="489">
        <f t="shared" si="16"/>
        <v>4940584.6658314336</v>
      </c>
      <c r="AI35" s="489">
        <f t="shared" si="16"/>
        <v>4980465.1024757614</v>
      </c>
      <c r="AJ35" s="489">
        <f t="shared" si="16"/>
        <v>5005991.640368172</v>
      </c>
      <c r="AK35" s="489">
        <f t="shared" si="16"/>
        <v>5031518.1782605825</v>
      </c>
      <c r="AL35" s="489">
        <f t="shared" si="16"/>
        <v>5057044.716152993</v>
      </c>
      <c r="AM35" s="489">
        <f t="shared" si="16"/>
        <v>5082571.2540454036</v>
      </c>
      <c r="AN35" s="489">
        <f t="shared" si="16"/>
        <v>5108097.7919378141</v>
      </c>
      <c r="AO35" s="489">
        <f t="shared" si="16"/>
        <v>5133624.3298302246</v>
      </c>
      <c r="AP35" s="489">
        <f t="shared" si="16"/>
        <v>5240435.2793984106</v>
      </c>
      <c r="AQ35" s="489">
        <f t="shared" si="16"/>
        <v>5347246.2289665965</v>
      </c>
      <c r="AR35" s="489">
        <f t="shared" si="16"/>
        <v>5454057.1785347825</v>
      </c>
      <c r="AS35" s="489">
        <f t="shared" si="16"/>
        <v>5560868.1281029684</v>
      </c>
      <c r="AT35" s="489">
        <f t="shared" si="16"/>
        <v>5667679.0776711544</v>
      </c>
      <c r="AU35" s="489">
        <f t="shared" si="16"/>
        <v>5774490.0272393404</v>
      </c>
      <c r="AV35" s="489">
        <f t="shared" si="16"/>
        <v>5866495.8812147807</v>
      </c>
      <c r="AW35" s="489">
        <f t="shared" si="16"/>
        <v>5958501.735190222</v>
      </c>
      <c r="AX35" s="489">
        <f t="shared" si="16"/>
        <v>6050507.5891656633</v>
      </c>
      <c r="AY35" s="489">
        <f t="shared" si="16"/>
        <v>6142513.4431411047</v>
      </c>
      <c r="AZ35" s="489">
        <f t="shared" si="16"/>
        <v>6234519.297116546</v>
      </c>
      <c r="BA35" s="489">
        <f t="shared" si="16"/>
        <v>6326525.1510919873</v>
      </c>
      <c r="BB35" s="489">
        <f t="shared" si="16"/>
        <v>6418531.0050674286</v>
      </c>
      <c r="BC35" s="489">
        <f t="shared" si="16"/>
        <v>6510536.8590428699</v>
      </c>
      <c r="BD35" s="489">
        <f t="shared" si="16"/>
        <v>6602542.7130183112</v>
      </c>
      <c r="BE35" s="489">
        <f t="shared" si="16"/>
        <v>6694548.5669937525</v>
      </c>
      <c r="BF35" s="489">
        <f t="shared" si="16"/>
        <v>6786554.4209691938</v>
      </c>
      <c r="BG35" s="489">
        <f t="shared" si="16"/>
        <v>6878560.2749446351</v>
      </c>
      <c r="BH35" s="489">
        <f t="shared" si="16"/>
        <v>6955295.8889837125</v>
      </c>
      <c r="BI35" s="489">
        <f t="shared" si="16"/>
        <v>7032031.50302279</v>
      </c>
      <c r="BJ35" s="489">
        <f t="shared" si="16"/>
        <v>7108767.1170618674</v>
      </c>
      <c r="BK35" s="489">
        <f t="shared" si="16"/>
        <v>7185502.7311009448</v>
      </c>
      <c r="BL35" s="489">
        <f t="shared" si="16"/>
        <v>7262238.3451400222</v>
      </c>
      <c r="BM35" s="489">
        <f t="shared" si="16"/>
        <v>0</v>
      </c>
      <c r="BN35" s="489">
        <f t="shared" si="16"/>
        <v>0</v>
      </c>
      <c r="BO35" s="290"/>
      <c r="BQ35" s="223"/>
      <c r="BR35" s="223"/>
      <c r="BS35" s="223"/>
      <c r="BT35" s="223"/>
      <c r="BU35" s="223"/>
      <c r="BV35" s="223"/>
      <c r="BW35" s="225"/>
    </row>
    <row r="36" spans="1:75" s="216" customFormat="1">
      <c r="A36" s="215"/>
      <c r="B36" s="226"/>
      <c r="C36" s="224"/>
      <c r="D36" s="224"/>
      <c r="E36" s="224"/>
      <c r="F36" s="224"/>
      <c r="G36" s="224"/>
      <c r="H36" s="224"/>
      <c r="I36" s="224"/>
      <c r="J36" s="224"/>
      <c r="K36" s="224"/>
      <c r="L36" s="224"/>
      <c r="M36" s="224"/>
      <c r="N36" s="224"/>
      <c r="O36" s="224"/>
      <c r="P36" s="224"/>
      <c r="Q36" s="224"/>
      <c r="R36" s="224"/>
      <c r="S36" s="224"/>
      <c r="T36" s="224"/>
      <c r="U36" s="224"/>
      <c r="V36" s="224"/>
      <c r="W36" s="224"/>
      <c r="X36" s="224"/>
      <c r="Y36" s="224"/>
      <c r="Z36" s="224"/>
      <c r="AA36" s="224"/>
      <c r="AB36" s="224"/>
      <c r="AC36" s="224"/>
      <c r="AD36" s="224"/>
      <c r="AE36" s="224"/>
      <c r="AF36" s="224"/>
      <c r="AG36" s="224"/>
      <c r="AH36" s="224"/>
      <c r="AI36" s="224"/>
      <c r="AJ36" s="224"/>
      <c r="AK36" s="224"/>
      <c r="AL36" s="224"/>
      <c r="AM36" s="224"/>
      <c r="AN36" s="224"/>
      <c r="AO36" s="224"/>
      <c r="AP36" s="224"/>
      <c r="AQ36" s="224"/>
      <c r="AR36" s="224"/>
      <c r="AS36" s="224"/>
      <c r="AT36" s="224"/>
      <c r="AU36" s="224"/>
      <c r="AV36" s="224"/>
      <c r="AW36" s="224"/>
      <c r="AX36" s="224"/>
      <c r="AY36" s="224"/>
      <c r="AZ36" s="224"/>
      <c r="BA36" s="224"/>
      <c r="BB36" s="224"/>
      <c r="BC36" s="224"/>
      <c r="BD36" s="224"/>
      <c r="BE36" s="224"/>
      <c r="BF36" s="224"/>
      <c r="BG36" s="224"/>
      <c r="BH36" s="224"/>
      <c r="BI36" s="224"/>
      <c r="BJ36" s="224"/>
      <c r="BK36" s="224"/>
      <c r="BL36" s="224"/>
      <c r="BM36" s="224"/>
      <c r="BN36" s="224"/>
      <c r="BO36" s="276"/>
      <c r="BS36" s="219"/>
    </row>
    <row r="37" spans="1:75" s="216" customFormat="1">
      <c r="A37" s="215"/>
      <c r="B37" s="434" t="str">
        <f>BP6</f>
        <v>3rd Priority Split (60/40)</v>
      </c>
      <c r="C37" s="435"/>
      <c r="D37" s="435"/>
      <c r="E37" s="435"/>
      <c r="F37" s="435"/>
      <c r="G37" s="435"/>
      <c r="H37" s="435"/>
      <c r="I37" s="435"/>
      <c r="J37" s="435"/>
      <c r="K37" s="435"/>
      <c r="L37" s="435"/>
      <c r="M37" s="435"/>
      <c r="N37" s="435"/>
      <c r="O37" s="435"/>
      <c r="P37" s="435"/>
      <c r="Q37" s="435"/>
      <c r="R37" s="435"/>
      <c r="S37" s="435"/>
      <c r="T37" s="435"/>
      <c r="U37" s="435"/>
      <c r="V37" s="435"/>
      <c r="W37" s="435"/>
      <c r="X37" s="435"/>
      <c r="Y37" s="435"/>
      <c r="Z37" s="435"/>
      <c r="AA37" s="435"/>
      <c r="AB37" s="435"/>
      <c r="AC37" s="435"/>
      <c r="AD37" s="435"/>
      <c r="AE37" s="435"/>
      <c r="AF37" s="435"/>
      <c r="AG37" s="435"/>
      <c r="AH37" s="435"/>
      <c r="AI37" s="435"/>
      <c r="AJ37" s="435"/>
      <c r="AK37" s="435"/>
      <c r="AL37" s="435"/>
      <c r="AM37" s="435"/>
      <c r="AN37" s="435"/>
      <c r="AO37" s="435"/>
      <c r="AP37" s="435"/>
      <c r="AQ37" s="435"/>
      <c r="AR37" s="435"/>
      <c r="AS37" s="435"/>
      <c r="AT37" s="435"/>
      <c r="AU37" s="435"/>
      <c r="AV37" s="435"/>
      <c r="AW37" s="435"/>
      <c r="AX37" s="435"/>
      <c r="AY37" s="435"/>
      <c r="AZ37" s="435"/>
      <c r="BA37" s="435"/>
      <c r="BB37" s="435"/>
      <c r="BC37" s="435"/>
      <c r="BD37" s="435"/>
      <c r="BE37" s="435"/>
      <c r="BF37" s="435"/>
      <c r="BG37" s="435"/>
      <c r="BH37" s="435"/>
      <c r="BI37" s="435"/>
      <c r="BJ37" s="435"/>
      <c r="BK37" s="435"/>
      <c r="BL37" s="435"/>
      <c r="BM37" s="435"/>
      <c r="BN37" s="436"/>
      <c r="BO37" s="226"/>
      <c r="BS37" s="219"/>
    </row>
    <row r="38" spans="1:75" s="216" customFormat="1">
      <c r="A38" s="215"/>
      <c r="B38" s="291" t="s">
        <v>181</v>
      </c>
      <c r="D38" s="289">
        <f>+MIN(+$BQ$6*D32,D39)</f>
        <v>0</v>
      </c>
      <c r="E38" s="289">
        <f t="shared" ref="E38:BN38" si="17">+MIN(+$BQ$6*E32,E39)</f>
        <v>0</v>
      </c>
      <c r="F38" s="289">
        <f t="shared" si="17"/>
        <v>0</v>
      </c>
      <c r="G38" s="289">
        <f t="shared" si="17"/>
        <v>0</v>
      </c>
      <c r="H38" s="289">
        <f t="shared" si="17"/>
        <v>0</v>
      </c>
      <c r="I38" s="289">
        <f t="shared" si="17"/>
        <v>0</v>
      </c>
      <c r="J38" s="289">
        <f t="shared" si="17"/>
        <v>0</v>
      </c>
      <c r="K38" s="289">
        <f t="shared" si="17"/>
        <v>0</v>
      </c>
      <c r="L38" s="289">
        <f t="shared" si="17"/>
        <v>0</v>
      </c>
      <c r="M38" s="289">
        <f t="shared" si="17"/>
        <v>0</v>
      </c>
      <c r="N38" s="289">
        <f t="shared" si="17"/>
        <v>0</v>
      </c>
      <c r="O38" s="289">
        <f t="shared" si="17"/>
        <v>0</v>
      </c>
      <c r="P38" s="289">
        <f t="shared" si="17"/>
        <v>0</v>
      </c>
      <c r="Q38" s="289">
        <f t="shared" si="17"/>
        <v>0</v>
      </c>
      <c r="R38" s="289">
        <f t="shared" si="17"/>
        <v>0</v>
      </c>
      <c r="S38" s="289">
        <f t="shared" si="17"/>
        <v>0</v>
      </c>
      <c r="T38" s="289">
        <f t="shared" si="17"/>
        <v>0</v>
      </c>
      <c r="U38" s="289">
        <f t="shared" si="17"/>
        <v>0</v>
      </c>
      <c r="V38" s="289">
        <f t="shared" si="17"/>
        <v>0</v>
      </c>
      <c r="W38" s="289">
        <f t="shared" si="17"/>
        <v>0</v>
      </c>
      <c r="X38" s="289">
        <f t="shared" si="17"/>
        <v>0</v>
      </c>
      <c r="Y38" s="289">
        <f t="shared" si="17"/>
        <v>0</v>
      </c>
      <c r="Z38" s="289">
        <f t="shared" si="17"/>
        <v>0</v>
      </c>
      <c r="AA38" s="289">
        <f t="shared" si="17"/>
        <v>0</v>
      </c>
      <c r="AB38" s="289">
        <f t="shared" si="17"/>
        <v>0</v>
      </c>
      <c r="AC38" s="289">
        <f t="shared" si="17"/>
        <v>0</v>
      </c>
      <c r="AD38" s="289">
        <f t="shared" si="17"/>
        <v>0</v>
      </c>
      <c r="AE38" s="289">
        <f t="shared" si="17"/>
        <v>0</v>
      </c>
      <c r="AF38" s="289">
        <f t="shared" si="17"/>
        <v>0</v>
      </c>
      <c r="AG38" s="289">
        <f t="shared" si="17"/>
        <v>0</v>
      </c>
      <c r="AH38" s="289">
        <f t="shared" si="17"/>
        <v>0</v>
      </c>
      <c r="AI38" s="289">
        <f t="shared" si="17"/>
        <v>0</v>
      </c>
      <c r="AJ38" s="289">
        <f t="shared" si="17"/>
        <v>0</v>
      </c>
      <c r="AK38" s="289">
        <f t="shared" si="17"/>
        <v>0</v>
      </c>
      <c r="AL38" s="289">
        <f t="shared" si="17"/>
        <v>0</v>
      </c>
      <c r="AM38" s="289">
        <f t="shared" si="17"/>
        <v>0</v>
      </c>
      <c r="AN38" s="289">
        <f t="shared" si="17"/>
        <v>0</v>
      </c>
      <c r="AO38" s="289">
        <f t="shared" si="17"/>
        <v>0</v>
      </c>
      <c r="AP38" s="289">
        <f t="shared" si="17"/>
        <v>0</v>
      </c>
      <c r="AQ38" s="289">
        <f t="shared" si="17"/>
        <v>0</v>
      </c>
      <c r="AR38" s="289">
        <f t="shared" si="17"/>
        <v>0</v>
      </c>
      <c r="AS38" s="289">
        <f t="shared" si="17"/>
        <v>0</v>
      </c>
      <c r="AT38" s="289">
        <f t="shared" si="17"/>
        <v>0</v>
      </c>
      <c r="AU38" s="289">
        <f t="shared" si="17"/>
        <v>0</v>
      </c>
      <c r="AV38" s="289">
        <f t="shared" si="17"/>
        <v>0</v>
      </c>
      <c r="AW38" s="289">
        <f t="shared" si="17"/>
        <v>0</v>
      </c>
      <c r="AX38" s="289">
        <f t="shared" si="17"/>
        <v>0</v>
      </c>
      <c r="AY38" s="289">
        <f t="shared" si="17"/>
        <v>0</v>
      </c>
      <c r="AZ38" s="289">
        <f t="shared" si="17"/>
        <v>0</v>
      </c>
      <c r="BA38" s="289">
        <f t="shared" si="17"/>
        <v>0</v>
      </c>
      <c r="BB38" s="289">
        <f t="shared" si="17"/>
        <v>0</v>
      </c>
      <c r="BC38" s="289">
        <f t="shared" si="17"/>
        <v>0</v>
      </c>
      <c r="BD38" s="289">
        <f t="shared" si="17"/>
        <v>0</v>
      </c>
      <c r="BE38" s="289">
        <f t="shared" si="17"/>
        <v>0</v>
      </c>
      <c r="BF38" s="289">
        <f t="shared" si="17"/>
        <v>0</v>
      </c>
      <c r="BG38" s="289">
        <f t="shared" si="17"/>
        <v>0</v>
      </c>
      <c r="BH38" s="289">
        <f t="shared" si="17"/>
        <v>0</v>
      </c>
      <c r="BI38" s="289">
        <f t="shared" si="17"/>
        <v>0</v>
      </c>
      <c r="BJ38" s="289">
        <f t="shared" si="17"/>
        <v>0</v>
      </c>
      <c r="BK38" s="289">
        <f t="shared" si="17"/>
        <v>0</v>
      </c>
      <c r="BL38" s="289">
        <f t="shared" si="17"/>
        <v>0</v>
      </c>
      <c r="BM38" s="289">
        <f t="shared" si="17"/>
        <v>13856951.744218938</v>
      </c>
      <c r="BN38" s="289">
        <f t="shared" si="17"/>
        <v>0</v>
      </c>
      <c r="BO38" s="290"/>
      <c r="BS38" s="219"/>
    </row>
    <row r="39" spans="1:75" s="216" customFormat="1">
      <c r="A39" s="215"/>
      <c r="B39" s="291" t="s">
        <v>212</v>
      </c>
      <c r="C39" s="292" t="s">
        <v>171</v>
      </c>
      <c r="D39" s="289">
        <f>-C34*(IF(D6-C6=1,$BW$6,$BV$6))-D24-D27</f>
        <v>24367738.752980363</v>
      </c>
      <c r="E39" s="289">
        <f>(D39-D38)*(IF(E6-D6=1,$BW$6,$BV$6))-E24-E27</f>
        <v>24706168.39539938</v>
      </c>
      <c r="F39" s="289">
        <f t="shared" ref="F39:BE39" si="18">(E39-E38)*(IF(F6-E6=1,$BW$6,$BV$6))-F24-F27</f>
        <v>25049298.29433497</v>
      </c>
      <c r="G39" s="289">
        <f t="shared" si="18"/>
        <v>25397193.728972387</v>
      </c>
      <c r="H39" s="289">
        <f t="shared" si="18"/>
        <v>25749920.885122292</v>
      </c>
      <c r="I39" s="289">
        <f t="shared" si="18"/>
        <v>26107546.86781238</v>
      </c>
      <c r="J39" s="289">
        <f t="shared" si="18"/>
        <v>26470139.714053839</v>
      </c>
      <c r="K39" s="289">
        <f t="shared" si="18"/>
        <v>26837768.405785155</v>
      </c>
      <c r="L39" s="289">
        <f t="shared" si="18"/>
        <v>27210502.882995658</v>
      </c>
      <c r="M39" s="289">
        <f t="shared" si="18"/>
        <v>27588414.057031348</v>
      </c>
      <c r="N39" s="289">
        <f t="shared" si="18"/>
        <v>27971573.824085522</v>
      </c>
      <c r="O39" s="289">
        <f t="shared" si="18"/>
        <v>28360055.078876741</v>
      </c>
      <c r="P39" s="289">
        <f t="shared" si="18"/>
        <v>28753931.728516791</v>
      </c>
      <c r="Q39" s="289">
        <f t="shared" si="18"/>
        <v>29153278.706571229</v>
      </c>
      <c r="R39" s="289">
        <f t="shared" si="18"/>
        <v>29558171.987315226</v>
      </c>
      <c r="S39" s="289">
        <f t="shared" si="18"/>
        <v>29968688.600187376</v>
      </c>
      <c r="T39" s="289">
        <f t="shared" si="18"/>
        <v>30384906.644444264</v>
      </c>
      <c r="U39" s="289">
        <f t="shared" si="18"/>
        <v>30806905.304018568</v>
      </c>
      <c r="V39" s="289">
        <f t="shared" si="18"/>
        <v>31234764.862583492</v>
      </c>
      <c r="W39" s="289">
        <f t="shared" si="18"/>
        <v>31668566.718826443</v>
      </c>
      <c r="X39" s="289">
        <f t="shared" si="18"/>
        <v>32052527.464864317</v>
      </c>
      <c r="Y39" s="289">
        <f t="shared" si="18"/>
        <v>32441820.822980061</v>
      </c>
      <c r="Z39" s="289">
        <f t="shared" si="18"/>
        <v>32836520.854785096</v>
      </c>
      <c r="AA39" s="289">
        <f t="shared" si="18"/>
        <v>31724702.65049037</v>
      </c>
      <c r="AB39" s="289">
        <f t="shared" si="18"/>
        <v>32109443.036505204</v>
      </c>
      <c r="AC39" s="289">
        <f t="shared" si="18"/>
        <v>32499526.862573422</v>
      </c>
      <c r="AD39" s="289">
        <f t="shared" si="18"/>
        <v>34171515.198465526</v>
      </c>
      <c r="AE39" s="289">
        <f t="shared" si="18"/>
        <v>34485701.468992554</v>
      </c>
      <c r="AF39" s="289">
        <f t="shared" si="18"/>
        <v>34804251.293654218</v>
      </c>
      <c r="AG39" s="289">
        <f t="shared" si="18"/>
        <v>35127225.275368199</v>
      </c>
      <c r="AH39" s="289">
        <f t="shared" si="18"/>
        <v>35454684.85873156</v>
      </c>
      <c r="AI39" s="289">
        <f t="shared" si="18"/>
        <v>35786692.341710381</v>
      </c>
      <c r="AJ39" s="289">
        <f t="shared" si="18"/>
        <v>36108956.988739781</v>
      </c>
      <c r="AK39" s="289">
        <f t="shared" si="18"/>
        <v>36435697.385873206</v>
      </c>
      <c r="AL39" s="289">
        <f t="shared" si="18"/>
        <v>36766975.694254234</v>
      </c>
      <c r="AM39" s="289">
        <f t="shared" si="18"/>
        <v>37102854.938347146</v>
      </c>
      <c r="AN39" s="289">
        <f t="shared" si="18"/>
        <v>37443399.017927125</v>
      </c>
      <c r="AO39" s="289">
        <f t="shared" si="18"/>
        <v>37788672.720236912</v>
      </c>
      <c r="AP39" s="289">
        <f t="shared" si="18"/>
        <v>38220026.14398814</v>
      </c>
      <c r="AQ39" s="289">
        <f t="shared" si="18"/>
        <v>38657370.389720686</v>
      </c>
      <c r="AR39" s="289">
        <f t="shared" si="18"/>
        <v>39100788.660548367</v>
      </c>
      <c r="AS39" s="289">
        <f t="shared" si="18"/>
        <v>39550365.315145649</v>
      </c>
      <c r="AT39" s="289">
        <f t="shared" si="18"/>
        <v>40006185.883796573</v>
      </c>
      <c r="AU39" s="289">
        <f t="shared" si="18"/>
        <v>40468337.08466658</v>
      </c>
      <c r="AV39" s="289">
        <f t="shared" si="18"/>
        <v>40922101.744707562</v>
      </c>
      <c r="AW39" s="289">
        <f t="shared" si="18"/>
        <v>41382168.483624093</v>
      </c>
      <c r="AX39" s="289">
        <f t="shared" si="18"/>
        <v>41848624.827399686</v>
      </c>
      <c r="AY39" s="289">
        <f t="shared" si="18"/>
        <v>42321559.517616376</v>
      </c>
      <c r="AZ39" s="289">
        <f t="shared" si="18"/>
        <v>42801062.528337486</v>
      </c>
      <c r="BA39" s="289">
        <f t="shared" si="18"/>
        <v>43287225.083224855</v>
      </c>
      <c r="BB39" s="289">
        <f t="shared" si="18"/>
        <v>43780139.672893777</v>
      </c>
      <c r="BC39" s="289">
        <f t="shared" si="18"/>
        <v>44279900.072509035</v>
      </c>
      <c r="BD39" s="289">
        <f t="shared" si="18"/>
        <v>44786601.359625243</v>
      </c>
      <c r="BE39" s="289">
        <f t="shared" si="18"/>
        <v>45300339.932275012</v>
      </c>
      <c r="BF39" s="289">
        <f>(BE39-BE38)*(IF(BF6-BE6=1,$BW$6,$BV$6))-BF24-BF27</f>
        <v>45821213.527308322</v>
      </c>
      <c r="BG39" s="289">
        <f>(BF39-BF38)*(IF(BG6-BF6=1,$BW$6,$BV$6))-BG24-BG27</f>
        <v>46349321.238986574</v>
      </c>
      <c r="BH39" s="289">
        <f t="shared" ref="BH39:BN39" si="19">(BG39-BG38)*(IF(BH6-BG6=1,$BW$6,$BV$6))-BH24-BH27</f>
        <v>46869493.297898568</v>
      </c>
      <c r="BI39" s="289">
        <f t="shared" si="19"/>
        <v>47396889.730219953</v>
      </c>
      <c r="BJ39" s="289">
        <f t="shared" si="19"/>
        <v>47931610.871157631</v>
      </c>
      <c r="BK39" s="289">
        <f t="shared" si="19"/>
        <v>48473758.449417047</v>
      </c>
      <c r="BL39" s="289">
        <f t="shared" si="19"/>
        <v>49023435.606555678</v>
      </c>
      <c r="BM39" s="289">
        <f t="shared" si="19"/>
        <v>17549204.819311582</v>
      </c>
      <c r="BN39" s="289">
        <f t="shared" si="19"/>
        <v>3743532.67475477</v>
      </c>
      <c r="BO39" s="290"/>
      <c r="BS39" s="219"/>
    </row>
    <row r="40" spans="1:75" s="216" customFormat="1">
      <c r="A40" s="215"/>
      <c r="B40" s="248" t="s">
        <v>41</v>
      </c>
      <c r="C40" s="214">
        <f>$BQ$6</f>
        <v>0.85</v>
      </c>
      <c r="D40" s="293">
        <f>D38</f>
        <v>0</v>
      </c>
      <c r="E40" s="293">
        <f>E38</f>
        <v>0</v>
      </c>
      <c r="F40" s="293">
        <f>F38</f>
        <v>0</v>
      </c>
      <c r="G40" s="293">
        <f t="shared" ref="G40:BN40" si="20">G38</f>
        <v>0</v>
      </c>
      <c r="H40" s="293">
        <f t="shared" si="20"/>
        <v>0</v>
      </c>
      <c r="I40" s="293">
        <f t="shared" si="20"/>
        <v>0</v>
      </c>
      <c r="J40" s="293">
        <f t="shared" si="20"/>
        <v>0</v>
      </c>
      <c r="K40" s="293">
        <f t="shared" si="20"/>
        <v>0</v>
      </c>
      <c r="L40" s="293">
        <f t="shared" si="20"/>
        <v>0</v>
      </c>
      <c r="M40" s="293">
        <f t="shared" si="20"/>
        <v>0</v>
      </c>
      <c r="N40" s="293">
        <f t="shared" si="20"/>
        <v>0</v>
      </c>
      <c r="O40" s="293">
        <f t="shared" si="20"/>
        <v>0</v>
      </c>
      <c r="P40" s="293">
        <f t="shared" si="20"/>
        <v>0</v>
      </c>
      <c r="Q40" s="293">
        <f t="shared" si="20"/>
        <v>0</v>
      </c>
      <c r="R40" s="293">
        <f t="shared" si="20"/>
        <v>0</v>
      </c>
      <c r="S40" s="293">
        <f t="shared" si="20"/>
        <v>0</v>
      </c>
      <c r="T40" s="293">
        <f t="shared" si="20"/>
        <v>0</v>
      </c>
      <c r="U40" s="293">
        <f t="shared" si="20"/>
        <v>0</v>
      </c>
      <c r="V40" s="293">
        <f t="shared" si="20"/>
        <v>0</v>
      </c>
      <c r="W40" s="293">
        <f t="shared" si="20"/>
        <v>0</v>
      </c>
      <c r="X40" s="293">
        <f t="shared" si="20"/>
        <v>0</v>
      </c>
      <c r="Y40" s="293">
        <f t="shared" si="20"/>
        <v>0</v>
      </c>
      <c r="Z40" s="293">
        <f t="shared" si="20"/>
        <v>0</v>
      </c>
      <c r="AA40" s="293">
        <f t="shared" si="20"/>
        <v>0</v>
      </c>
      <c r="AB40" s="293">
        <f t="shared" si="20"/>
        <v>0</v>
      </c>
      <c r="AC40" s="293">
        <f t="shared" si="20"/>
        <v>0</v>
      </c>
      <c r="AD40" s="293">
        <f t="shared" si="20"/>
        <v>0</v>
      </c>
      <c r="AE40" s="293">
        <f t="shared" si="20"/>
        <v>0</v>
      </c>
      <c r="AF40" s="293">
        <f t="shared" si="20"/>
        <v>0</v>
      </c>
      <c r="AG40" s="293">
        <f t="shared" si="20"/>
        <v>0</v>
      </c>
      <c r="AH40" s="293">
        <f t="shared" si="20"/>
        <v>0</v>
      </c>
      <c r="AI40" s="293">
        <f t="shared" si="20"/>
        <v>0</v>
      </c>
      <c r="AJ40" s="293">
        <f t="shared" si="20"/>
        <v>0</v>
      </c>
      <c r="AK40" s="293">
        <f t="shared" si="20"/>
        <v>0</v>
      </c>
      <c r="AL40" s="293">
        <f t="shared" si="20"/>
        <v>0</v>
      </c>
      <c r="AM40" s="293">
        <f t="shared" si="20"/>
        <v>0</v>
      </c>
      <c r="AN40" s="293">
        <f t="shared" si="20"/>
        <v>0</v>
      </c>
      <c r="AO40" s="293">
        <f t="shared" si="20"/>
        <v>0</v>
      </c>
      <c r="AP40" s="293">
        <f t="shared" si="20"/>
        <v>0</v>
      </c>
      <c r="AQ40" s="293">
        <f t="shared" si="20"/>
        <v>0</v>
      </c>
      <c r="AR40" s="293">
        <f t="shared" si="20"/>
        <v>0</v>
      </c>
      <c r="AS40" s="293">
        <f t="shared" si="20"/>
        <v>0</v>
      </c>
      <c r="AT40" s="293">
        <f t="shared" si="20"/>
        <v>0</v>
      </c>
      <c r="AU40" s="293">
        <f t="shared" si="20"/>
        <v>0</v>
      </c>
      <c r="AV40" s="293">
        <f t="shared" si="20"/>
        <v>0</v>
      </c>
      <c r="AW40" s="293">
        <f t="shared" si="20"/>
        <v>0</v>
      </c>
      <c r="AX40" s="293">
        <f t="shared" si="20"/>
        <v>0</v>
      </c>
      <c r="AY40" s="293">
        <f t="shared" si="20"/>
        <v>0</v>
      </c>
      <c r="AZ40" s="293">
        <f t="shared" si="20"/>
        <v>0</v>
      </c>
      <c r="BA40" s="293">
        <f t="shared" si="20"/>
        <v>0</v>
      </c>
      <c r="BB40" s="293">
        <f t="shared" si="20"/>
        <v>0</v>
      </c>
      <c r="BC40" s="293">
        <f t="shared" si="20"/>
        <v>0</v>
      </c>
      <c r="BD40" s="293">
        <f t="shared" si="20"/>
        <v>0</v>
      </c>
      <c r="BE40" s="293">
        <f t="shared" si="20"/>
        <v>0</v>
      </c>
      <c r="BF40" s="293">
        <f t="shared" si="20"/>
        <v>0</v>
      </c>
      <c r="BG40" s="293">
        <f t="shared" si="20"/>
        <v>0</v>
      </c>
      <c r="BH40" s="293">
        <f t="shared" si="20"/>
        <v>0</v>
      </c>
      <c r="BI40" s="293">
        <f t="shared" si="20"/>
        <v>0</v>
      </c>
      <c r="BJ40" s="293">
        <f t="shared" si="20"/>
        <v>0</v>
      </c>
      <c r="BK40" s="293">
        <f t="shared" si="20"/>
        <v>0</v>
      </c>
      <c r="BL40" s="293">
        <f t="shared" si="20"/>
        <v>0</v>
      </c>
      <c r="BM40" s="293">
        <f t="shared" si="20"/>
        <v>13856951.744218938</v>
      </c>
      <c r="BN40" s="293">
        <f t="shared" si="20"/>
        <v>0</v>
      </c>
      <c r="BO40" s="294"/>
      <c r="BS40" s="219"/>
    </row>
    <row r="41" spans="1:75" s="216" customFormat="1">
      <c r="A41" s="215"/>
      <c r="B41" s="248" t="s">
        <v>150</v>
      </c>
      <c r="C41" s="214">
        <f>100%-C40</f>
        <v>0.15000000000000002</v>
      </c>
      <c r="D41" s="293">
        <f>((D40/$C$40)*$C$41)</f>
        <v>0</v>
      </c>
      <c r="E41" s="293">
        <f>((E40/$C$40)*$C$41)</f>
        <v>0</v>
      </c>
      <c r="F41" s="293">
        <f>((F40/$C$40)*$C$41)</f>
        <v>0</v>
      </c>
      <c r="G41" s="293">
        <f t="shared" ref="G41:BF41" si="21">((G40/$C$40)*$C$41)</f>
        <v>0</v>
      </c>
      <c r="H41" s="293">
        <f t="shared" si="21"/>
        <v>0</v>
      </c>
      <c r="I41" s="293">
        <f t="shared" si="21"/>
        <v>0</v>
      </c>
      <c r="J41" s="293">
        <f t="shared" si="21"/>
        <v>0</v>
      </c>
      <c r="K41" s="293">
        <f t="shared" si="21"/>
        <v>0</v>
      </c>
      <c r="L41" s="293">
        <f t="shared" si="21"/>
        <v>0</v>
      </c>
      <c r="M41" s="293">
        <f t="shared" si="21"/>
        <v>0</v>
      </c>
      <c r="N41" s="293">
        <f t="shared" si="21"/>
        <v>0</v>
      </c>
      <c r="O41" s="293">
        <f t="shared" si="21"/>
        <v>0</v>
      </c>
      <c r="P41" s="293">
        <f t="shared" si="21"/>
        <v>0</v>
      </c>
      <c r="Q41" s="293">
        <f t="shared" si="21"/>
        <v>0</v>
      </c>
      <c r="R41" s="293">
        <f t="shared" si="21"/>
        <v>0</v>
      </c>
      <c r="S41" s="293">
        <f t="shared" si="21"/>
        <v>0</v>
      </c>
      <c r="T41" s="293">
        <f t="shared" si="21"/>
        <v>0</v>
      </c>
      <c r="U41" s="293">
        <f t="shared" si="21"/>
        <v>0</v>
      </c>
      <c r="V41" s="293">
        <f t="shared" si="21"/>
        <v>0</v>
      </c>
      <c r="W41" s="293">
        <f t="shared" si="21"/>
        <v>0</v>
      </c>
      <c r="X41" s="293">
        <f t="shared" si="21"/>
        <v>0</v>
      </c>
      <c r="Y41" s="293">
        <f t="shared" si="21"/>
        <v>0</v>
      </c>
      <c r="Z41" s="293">
        <f t="shared" si="21"/>
        <v>0</v>
      </c>
      <c r="AA41" s="293">
        <f t="shared" si="21"/>
        <v>0</v>
      </c>
      <c r="AB41" s="293">
        <f t="shared" si="21"/>
        <v>0</v>
      </c>
      <c r="AC41" s="293">
        <f t="shared" si="21"/>
        <v>0</v>
      </c>
      <c r="AD41" s="293">
        <f t="shared" si="21"/>
        <v>0</v>
      </c>
      <c r="AE41" s="293">
        <f t="shared" si="21"/>
        <v>0</v>
      </c>
      <c r="AF41" s="293">
        <f t="shared" si="21"/>
        <v>0</v>
      </c>
      <c r="AG41" s="293">
        <f t="shared" si="21"/>
        <v>0</v>
      </c>
      <c r="AH41" s="293">
        <f t="shared" si="21"/>
        <v>0</v>
      </c>
      <c r="AI41" s="293">
        <f t="shared" si="21"/>
        <v>0</v>
      </c>
      <c r="AJ41" s="293">
        <f t="shared" si="21"/>
        <v>0</v>
      </c>
      <c r="AK41" s="293">
        <f t="shared" si="21"/>
        <v>0</v>
      </c>
      <c r="AL41" s="293">
        <f t="shared" si="21"/>
        <v>0</v>
      </c>
      <c r="AM41" s="293">
        <f t="shared" si="21"/>
        <v>0</v>
      </c>
      <c r="AN41" s="293">
        <f t="shared" si="21"/>
        <v>0</v>
      </c>
      <c r="AO41" s="293">
        <f t="shared" si="21"/>
        <v>0</v>
      </c>
      <c r="AP41" s="293">
        <f t="shared" si="21"/>
        <v>0</v>
      </c>
      <c r="AQ41" s="293">
        <f t="shared" si="21"/>
        <v>0</v>
      </c>
      <c r="AR41" s="293">
        <f t="shared" si="21"/>
        <v>0</v>
      </c>
      <c r="AS41" s="293">
        <f t="shared" si="21"/>
        <v>0</v>
      </c>
      <c r="AT41" s="293">
        <f t="shared" si="21"/>
        <v>0</v>
      </c>
      <c r="AU41" s="293">
        <f t="shared" si="21"/>
        <v>0</v>
      </c>
      <c r="AV41" s="293">
        <f t="shared" si="21"/>
        <v>0</v>
      </c>
      <c r="AW41" s="293">
        <f t="shared" si="21"/>
        <v>0</v>
      </c>
      <c r="AX41" s="293">
        <f t="shared" si="21"/>
        <v>0</v>
      </c>
      <c r="AY41" s="293">
        <f t="shared" si="21"/>
        <v>0</v>
      </c>
      <c r="AZ41" s="293">
        <f t="shared" si="21"/>
        <v>0</v>
      </c>
      <c r="BA41" s="293">
        <f t="shared" si="21"/>
        <v>0</v>
      </c>
      <c r="BB41" s="293">
        <f t="shared" si="21"/>
        <v>0</v>
      </c>
      <c r="BC41" s="293">
        <f t="shared" si="21"/>
        <v>0</v>
      </c>
      <c r="BD41" s="293">
        <f t="shared" si="21"/>
        <v>0</v>
      </c>
      <c r="BE41" s="293">
        <f t="shared" si="21"/>
        <v>0</v>
      </c>
      <c r="BF41" s="293">
        <f t="shared" si="21"/>
        <v>0</v>
      </c>
      <c r="BG41" s="293">
        <f>((BG40/$C$40)*$C$41)</f>
        <v>0</v>
      </c>
      <c r="BH41" s="293">
        <f t="shared" ref="BH41:BN41" si="22">((BH40/$C$40)*$C$41)</f>
        <v>0</v>
      </c>
      <c r="BI41" s="293">
        <f t="shared" si="22"/>
        <v>0</v>
      </c>
      <c r="BJ41" s="293">
        <f t="shared" si="22"/>
        <v>0</v>
      </c>
      <c r="BK41" s="293">
        <f t="shared" si="22"/>
        <v>0</v>
      </c>
      <c r="BL41" s="293">
        <f t="shared" si="22"/>
        <v>0</v>
      </c>
      <c r="BM41" s="293">
        <f t="shared" si="22"/>
        <v>2445344.4254504014</v>
      </c>
      <c r="BN41" s="293">
        <f t="shared" si="22"/>
        <v>0</v>
      </c>
      <c r="BO41" s="294"/>
      <c r="BQ41" s="224"/>
      <c r="BS41" s="219"/>
    </row>
    <row r="42" spans="1:75" s="216" customFormat="1">
      <c r="A42" s="215"/>
      <c r="B42" s="226"/>
      <c r="C42" s="224"/>
      <c r="D42" s="224"/>
      <c r="E42" s="224"/>
      <c r="F42" s="224"/>
      <c r="G42" s="224"/>
      <c r="H42" s="224"/>
      <c r="I42" s="224"/>
      <c r="J42" s="224"/>
      <c r="K42" s="224"/>
      <c r="L42" s="224"/>
      <c r="M42" s="224"/>
      <c r="N42" s="224"/>
      <c r="O42" s="224"/>
      <c r="P42" s="224"/>
      <c r="Q42" s="224"/>
      <c r="R42" s="224"/>
      <c r="S42" s="224"/>
      <c r="T42" s="224"/>
      <c r="U42" s="224"/>
      <c r="V42" s="224"/>
      <c r="W42" s="224"/>
      <c r="X42" s="224"/>
      <c r="Y42" s="224"/>
      <c r="Z42" s="224"/>
      <c r="AA42" s="224"/>
      <c r="AB42" s="224"/>
      <c r="AC42" s="224"/>
      <c r="AD42" s="224"/>
      <c r="AE42" s="224"/>
      <c r="AF42" s="224"/>
      <c r="AG42" s="224"/>
      <c r="AH42" s="224"/>
      <c r="AI42" s="224"/>
      <c r="AJ42" s="224"/>
      <c r="AK42" s="224"/>
      <c r="AL42" s="224"/>
      <c r="AM42" s="224"/>
      <c r="AN42" s="224"/>
      <c r="AO42" s="224"/>
      <c r="AP42" s="224"/>
      <c r="AQ42" s="224"/>
      <c r="AR42" s="224"/>
      <c r="AS42" s="224"/>
      <c r="AT42" s="224"/>
      <c r="AU42" s="224"/>
      <c r="AV42" s="224"/>
      <c r="AW42" s="224"/>
      <c r="AX42" s="224"/>
      <c r="AY42" s="224"/>
      <c r="AZ42" s="224"/>
      <c r="BA42" s="224"/>
      <c r="BB42" s="224"/>
      <c r="BC42" s="224"/>
      <c r="BD42" s="224"/>
      <c r="BE42" s="224"/>
      <c r="BF42" s="224"/>
      <c r="BG42" s="224"/>
      <c r="BH42" s="224"/>
      <c r="BI42" s="224"/>
      <c r="BJ42" s="224"/>
      <c r="BK42" s="224"/>
      <c r="BL42" s="224"/>
      <c r="BM42" s="224"/>
      <c r="BN42" s="224"/>
      <c r="BO42" s="276"/>
      <c r="BQ42" s="224"/>
      <c r="BS42" s="219"/>
    </row>
    <row r="43" spans="1:75" s="216" customFormat="1">
      <c r="A43" s="215"/>
      <c r="B43" s="434" t="str">
        <f>BP7</f>
        <v>4th Priority Split (50/50)</v>
      </c>
      <c r="C43" s="435"/>
      <c r="D43" s="435"/>
      <c r="E43" s="435"/>
      <c r="F43" s="435"/>
      <c r="G43" s="435"/>
      <c r="H43" s="435"/>
      <c r="I43" s="435"/>
      <c r="J43" s="435"/>
      <c r="K43" s="435"/>
      <c r="L43" s="435"/>
      <c r="M43" s="435"/>
      <c r="N43" s="435"/>
      <c r="O43" s="435"/>
      <c r="P43" s="435"/>
      <c r="Q43" s="435"/>
      <c r="R43" s="435"/>
      <c r="S43" s="435"/>
      <c r="T43" s="435"/>
      <c r="U43" s="435"/>
      <c r="V43" s="435"/>
      <c r="W43" s="435"/>
      <c r="X43" s="435"/>
      <c r="Y43" s="435"/>
      <c r="Z43" s="435"/>
      <c r="AA43" s="435"/>
      <c r="AB43" s="435"/>
      <c r="AC43" s="435"/>
      <c r="AD43" s="435"/>
      <c r="AE43" s="435"/>
      <c r="AF43" s="435"/>
      <c r="AG43" s="435"/>
      <c r="AH43" s="435"/>
      <c r="AI43" s="435"/>
      <c r="AJ43" s="435"/>
      <c r="AK43" s="435"/>
      <c r="AL43" s="435"/>
      <c r="AM43" s="435"/>
      <c r="AN43" s="435"/>
      <c r="AO43" s="435"/>
      <c r="AP43" s="435"/>
      <c r="AQ43" s="435"/>
      <c r="AR43" s="435"/>
      <c r="AS43" s="435"/>
      <c r="AT43" s="435"/>
      <c r="AU43" s="435"/>
      <c r="AV43" s="435"/>
      <c r="AW43" s="435"/>
      <c r="AX43" s="435"/>
      <c r="AY43" s="435"/>
      <c r="AZ43" s="435"/>
      <c r="BA43" s="435"/>
      <c r="BB43" s="435"/>
      <c r="BC43" s="435"/>
      <c r="BD43" s="435"/>
      <c r="BE43" s="435"/>
      <c r="BF43" s="435"/>
      <c r="BG43" s="435"/>
      <c r="BH43" s="435"/>
      <c r="BI43" s="435"/>
      <c r="BJ43" s="435"/>
      <c r="BK43" s="435"/>
      <c r="BL43" s="435"/>
      <c r="BM43" s="435"/>
      <c r="BN43" s="436"/>
      <c r="BO43" s="226"/>
      <c r="BQ43" s="224"/>
      <c r="BS43" s="219"/>
    </row>
    <row r="44" spans="1:75" s="216" customFormat="1">
      <c r="A44" s="215"/>
      <c r="B44" s="291" t="s">
        <v>181</v>
      </c>
      <c r="C44" s="292"/>
      <c r="D44" s="489">
        <f>+MIN(+$BQ$7*(D32-D40-D41),D45)</f>
        <v>0</v>
      </c>
      <c r="E44" s="489">
        <f t="shared" ref="E44:BN44" si="23">+MIN(+$BQ$7*(E32-E40-E41),E45)</f>
        <v>0</v>
      </c>
      <c r="F44" s="489">
        <f t="shared" si="23"/>
        <v>0</v>
      </c>
      <c r="G44" s="489">
        <f t="shared" si="23"/>
        <v>0</v>
      </c>
      <c r="H44" s="489">
        <f t="shared" si="23"/>
        <v>0</v>
      </c>
      <c r="I44" s="489">
        <f t="shared" si="23"/>
        <v>0</v>
      </c>
      <c r="J44" s="489">
        <f t="shared" si="23"/>
        <v>0</v>
      </c>
      <c r="K44" s="489">
        <f t="shared" si="23"/>
        <v>0</v>
      </c>
      <c r="L44" s="489">
        <f t="shared" si="23"/>
        <v>0</v>
      </c>
      <c r="M44" s="489">
        <f t="shared" si="23"/>
        <v>0</v>
      </c>
      <c r="N44" s="489">
        <f t="shared" si="23"/>
        <v>0</v>
      </c>
      <c r="O44" s="489">
        <f t="shared" si="23"/>
        <v>0</v>
      </c>
      <c r="P44" s="489">
        <f t="shared" si="23"/>
        <v>0</v>
      </c>
      <c r="Q44" s="489">
        <f t="shared" si="23"/>
        <v>0</v>
      </c>
      <c r="R44" s="489">
        <f t="shared" si="23"/>
        <v>0</v>
      </c>
      <c r="S44" s="489">
        <f t="shared" si="23"/>
        <v>0</v>
      </c>
      <c r="T44" s="489">
        <f t="shared" si="23"/>
        <v>0</v>
      </c>
      <c r="U44" s="489">
        <f t="shared" si="23"/>
        <v>0</v>
      </c>
      <c r="V44" s="489">
        <f t="shared" si="23"/>
        <v>0</v>
      </c>
      <c r="W44" s="489">
        <f t="shared" si="23"/>
        <v>0</v>
      </c>
      <c r="X44" s="489">
        <f t="shared" si="23"/>
        <v>0</v>
      </c>
      <c r="Y44" s="489">
        <f t="shared" si="23"/>
        <v>0</v>
      </c>
      <c r="Z44" s="489">
        <f t="shared" si="23"/>
        <v>0</v>
      </c>
      <c r="AA44" s="489">
        <f t="shared" si="23"/>
        <v>0</v>
      </c>
      <c r="AB44" s="489">
        <f t="shared" si="23"/>
        <v>0</v>
      </c>
      <c r="AC44" s="489">
        <f t="shared" si="23"/>
        <v>0</v>
      </c>
      <c r="AD44" s="489">
        <f t="shared" si="23"/>
        <v>0</v>
      </c>
      <c r="AE44" s="489">
        <f t="shared" si="23"/>
        <v>0</v>
      </c>
      <c r="AF44" s="489">
        <f t="shared" si="23"/>
        <v>0</v>
      </c>
      <c r="AG44" s="489">
        <f t="shared" si="23"/>
        <v>0</v>
      </c>
      <c r="AH44" s="489">
        <f t="shared" si="23"/>
        <v>0</v>
      </c>
      <c r="AI44" s="489">
        <f t="shared" si="23"/>
        <v>0</v>
      </c>
      <c r="AJ44" s="489">
        <f t="shared" si="23"/>
        <v>0</v>
      </c>
      <c r="AK44" s="489">
        <f t="shared" si="23"/>
        <v>0</v>
      </c>
      <c r="AL44" s="489">
        <f t="shared" si="23"/>
        <v>0</v>
      </c>
      <c r="AM44" s="489">
        <f t="shared" si="23"/>
        <v>0</v>
      </c>
      <c r="AN44" s="489">
        <f t="shared" si="23"/>
        <v>0</v>
      </c>
      <c r="AO44" s="489">
        <f t="shared" si="23"/>
        <v>0</v>
      </c>
      <c r="AP44" s="489">
        <f t="shared" si="23"/>
        <v>0</v>
      </c>
      <c r="AQ44" s="489">
        <f t="shared" si="23"/>
        <v>0</v>
      </c>
      <c r="AR44" s="489">
        <f t="shared" si="23"/>
        <v>0</v>
      </c>
      <c r="AS44" s="489">
        <f t="shared" si="23"/>
        <v>0</v>
      </c>
      <c r="AT44" s="489">
        <f t="shared" si="23"/>
        <v>0</v>
      </c>
      <c r="AU44" s="489">
        <f t="shared" si="23"/>
        <v>0</v>
      </c>
      <c r="AV44" s="489">
        <f t="shared" si="23"/>
        <v>0</v>
      </c>
      <c r="AW44" s="489">
        <f t="shared" si="23"/>
        <v>0</v>
      </c>
      <c r="AX44" s="578">
        <f t="shared" si="23"/>
        <v>0</v>
      </c>
      <c r="AY44" s="489">
        <f t="shared" si="23"/>
        <v>0</v>
      </c>
      <c r="AZ44" s="489">
        <f t="shared" si="23"/>
        <v>0</v>
      </c>
      <c r="BA44" s="489">
        <f t="shared" si="23"/>
        <v>0</v>
      </c>
      <c r="BB44" s="489">
        <f t="shared" si="23"/>
        <v>0</v>
      </c>
      <c r="BC44" s="489">
        <f t="shared" si="23"/>
        <v>0</v>
      </c>
      <c r="BD44" s="489">
        <f t="shared" si="23"/>
        <v>0</v>
      </c>
      <c r="BE44" s="489">
        <f t="shared" si="23"/>
        <v>0</v>
      </c>
      <c r="BF44" s="489">
        <f t="shared" si="23"/>
        <v>0</v>
      </c>
      <c r="BG44" s="489">
        <f t="shared" si="23"/>
        <v>0</v>
      </c>
      <c r="BH44" s="489">
        <f t="shared" si="23"/>
        <v>0</v>
      </c>
      <c r="BI44" s="489">
        <f t="shared" si="23"/>
        <v>0</v>
      </c>
      <c r="BJ44" s="489">
        <f t="shared" si="23"/>
        <v>0</v>
      </c>
      <c r="BK44" s="489">
        <f t="shared" si="23"/>
        <v>0</v>
      </c>
      <c r="BL44" s="489">
        <f t="shared" si="23"/>
        <v>0</v>
      </c>
      <c r="BM44" s="489">
        <f t="shared" si="23"/>
        <v>0</v>
      </c>
      <c r="BN44" s="489">
        <f t="shared" si="23"/>
        <v>0</v>
      </c>
      <c r="BO44" s="290"/>
      <c r="BS44" s="219"/>
    </row>
    <row r="45" spans="1:75" s="216" customFormat="1">
      <c r="A45" s="215"/>
      <c r="B45" s="291" t="s">
        <v>182</v>
      </c>
      <c r="C45" s="292" t="s">
        <v>171</v>
      </c>
      <c r="D45" s="289">
        <f>-C34*(IF(E6-D6=1,$BW$7,$BV$7))-D24-D27-D40</f>
        <v>24435527.300533608</v>
      </c>
      <c r="E45" s="289">
        <f>(D45-D46)*(IF(E6-D6=1,$BW$7,$BV$7))-E24-E27-E40</f>
        <v>24843819.643419061</v>
      </c>
      <c r="F45" s="289">
        <f t="shared" ref="F45:BN45" si="24">(E45-E46)*(IF(F6-E6=1,$BW$7,$BV$7))-F24-F27-F40</f>
        <v>25258934.128311463</v>
      </c>
      <c r="G45" s="289">
        <f t="shared" si="24"/>
        <v>25680984.746135142</v>
      </c>
      <c r="H45" s="289">
        <f t="shared" si="24"/>
        <v>26110087.392484669</v>
      </c>
      <c r="I45" s="289">
        <f t="shared" si="24"/>
        <v>26546359.899449915</v>
      </c>
      <c r="J45" s="289">
        <f t="shared" si="24"/>
        <v>26989922.06797288</v>
      </c>
      <c r="K45" s="289">
        <f t="shared" si="24"/>
        <v>27440895.700745184</v>
      </c>
      <c r="L45" s="289">
        <f t="shared" si="24"/>
        <v>27899404.635655213</v>
      </c>
      <c r="M45" s="289">
        <f t="shared" si="24"/>
        <v>28365574.77979416</v>
      </c>
      <c r="N45" s="289">
        <f t="shared" si="24"/>
        <v>28839534.144030254</v>
      </c>
      <c r="O45" s="289">
        <f t="shared" si="24"/>
        <v>29321412.8781607</v>
      </c>
      <c r="P45" s="289">
        <f t="shared" si="24"/>
        <v>29811343.306650963</v>
      </c>
      <c r="Q45" s="289">
        <f t="shared" si="24"/>
        <v>30309459.964971215</v>
      </c>
      <c r="R45" s="289">
        <f t="shared" si="24"/>
        <v>30815899.636539944</v>
      </c>
      <c r="S45" s="289">
        <f t="shared" si="24"/>
        <v>31330801.390284833</v>
      </c>
      <c r="T45" s="289">
        <f t="shared" si="24"/>
        <v>31854306.618831255</v>
      </c>
      <c r="U45" s="289">
        <f t="shared" si="24"/>
        <v>32386559.077328853</v>
      </c>
      <c r="V45" s="289">
        <f t="shared" si="24"/>
        <v>32927704.922926873</v>
      </c>
      <c r="W45" s="289">
        <f t="shared" si="24"/>
        <v>33477892.754909083</v>
      </c>
      <c r="X45" s="289">
        <f t="shared" si="24"/>
        <v>33981407.718428798</v>
      </c>
      <c r="Y45" s="289">
        <f t="shared" si="24"/>
        <v>34493335.895283543</v>
      </c>
      <c r="Z45" s="289">
        <f t="shared" si="24"/>
        <v>35013817.861550994</v>
      </c>
      <c r="AA45" s="289">
        <f t="shared" si="24"/>
        <v>34030996.542189419</v>
      </c>
      <c r="AB45" s="289">
        <f t="shared" si="24"/>
        <v>34543753.296908893</v>
      </c>
      <c r="AC45" s="289">
        <f t="shared" si="24"/>
        <v>35065077.685718678</v>
      </c>
      <c r="AD45" s="289">
        <f t="shared" si="24"/>
        <v>36871599.722682759</v>
      </c>
      <c r="AE45" s="289">
        <f t="shared" si="24"/>
        <v>37327283.512187012</v>
      </c>
      <c r="AF45" s="289">
        <f t="shared" si="24"/>
        <v>37790581.305667661</v>
      </c>
      <c r="AG45" s="289">
        <f t="shared" si="24"/>
        <v>38261620.32524208</v>
      </c>
      <c r="AH45" s="289">
        <f t="shared" si="24"/>
        <v>38740529.918777399</v>
      </c>
      <c r="AI45" s="289">
        <f t="shared" si="24"/>
        <v>39227441.595409594</v>
      </c>
      <c r="AJ45" s="289">
        <f t="shared" si="24"/>
        <v>39708135.162904121</v>
      </c>
      <c r="AK45" s="289">
        <f t="shared" si="24"/>
        <v>40196860.621851958</v>
      </c>
      <c r="AL45" s="289">
        <f t="shared" si="24"/>
        <v>40693752.176837236</v>
      </c>
      <c r="AM45" s="289">
        <f t="shared" si="24"/>
        <v>41198946.274863623</v>
      </c>
      <c r="AN45" s="289">
        <f t="shared" si="24"/>
        <v>41712581.642822854</v>
      </c>
      <c r="AO45" s="289">
        <f t="shared" si="24"/>
        <v>42234799.325589277</v>
      </c>
      <c r="AP45" s="289">
        <f t="shared" si="24"/>
        <v>42847027.136426724</v>
      </c>
      <c r="AQ45" s="289">
        <f t="shared" si="24"/>
        <v>43469484.639637575</v>
      </c>
      <c r="AR45" s="289">
        <f t="shared" si="24"/>
        <v>44102342.762782134</v>
      </c>
      <c r="AS45" s="289">
        <f t="shared" si="24"/>
        <v>44745775.289443135</v>
      </c>
      <c r="AT45" s="289">
        <f t="shared" si="24"/>
        <v>45399958.906946905</v>
      </c>
      <c r="AU45" s="289">
        <f t="shared" si="24"/>
        <v>46065073.254881941</v>
      </c>
      <c r="AV45" s="289">
        <f t="shared" si="24"/>
        <v>46726495.87883538</v>
      </c>
      <c r="AW45" s="289">
        <f t="shared" si="24"/>
        <v>47398970.189517327</v>
      </c>
      <c r="AX45" s="289">
        <f t="shared" si="24"/>
        <v>48082680.849162064</v>
      </c>
      <c r="AY45" s="289">
        <f t="shared" si="24"/>
        <v>48777815.605518475</v>
      </c>
      <c r="AZ45" s="289">
        <f t="shared" si="24"/>
        <v>49484565.343405806</v>
      </c>
      <c r="BA45" s="289">
        <f t="shared" si="24"/>
        <v>50203124.137130834</v>
      </c>
      <c r="BB45" s="289">
        <f t="shared" si="24"/>
        <v>50933689.303780936</v>
      </c>
      <c r="BC45" s="289">
        <f t="shared" si="24"/>
        <v>51676461.457407556</v>
      </c>
      <c r="BD45" s="289">
        <f t="shared" si="24"/>
        <v>52431644.564115092</v>
      </c>
      <c r="BE45" s="289">
        <f t="shared" si="24"/>
        <v>53199445.998070203</v>
      </c>
      <c r="BF45" s="289">
        <f t="shared" si="24"/>
        <v>53980076.598447002</v>
      </c>
      <c r="BG45" s="289">
        <f t="shared" si="24"/>
        <v>54773750.727323756</v>
      </c>
      <c r="BH45" s="289">
        <f t="shared" si="24"/>
        <v>55565416.08861059</v>
      </c>
      <c r="BI45" s="289">
        <f t="shared" si="24"/>
        <v>56370309.357818775</v>
      </c>
      <c r="BJ45" s="289">
        <f t="shared" si="24"/>
        <v>57188651.55958388</v>
      </c>
      <c r="BK45" s="289">
        <f t="shared" si="24"/>
        <v>58020667.411634132</v>
      </c>
      <c r="BL45" s="289">
        <f t="shared" si="24"/>
        <v>58866585.386498168</v>
      </c>
      <c r="BM45" s="289">
        <f t="shared" si="24"/>
        <v>13545246.509343177</v>
      </c>
      <c r="BN45" s="289">
        <f t="shared" si="24"/>
        <v>13771573.543920407</v>
      </c>
      <c r="BO45" s="290"/>
      <c r="BS45" s="219"/>
    </row>
    <row r="46" spans="1:75" s="216" customFormat="1">
      <c r="A46" s="215"/>
      <c r="B46" s="248" t="s">
        <v>41</v>
      </c>
      <c r="C46" s="214">
        <f>$BQ$7</f>
        <v>0.75</v>
      </c>
      <c r="D46" s="293">
        <f>MIN((D32-D40-D41)*$C$46,D45)</f>
        <v>0</v>
      </c>
      <c r="E46" s="293">
        <f t="shared" ref="E46:BN46" si="25">MIN((E32-E40-E41)*$C$46,E45)</f>
        <v>0</v>
      </c>
      <c r="F46" s="293">
        <f t="shared" si="25"/>
        <v>0</v>
      </c>
      <c r="G46" s="293">
        <f t="shared" si="25"/>
        <v>0</v>
      </c>
      <c r="H46" s="293">
        <f t="shared" si="25"/>
        <v>0</v>
      </c>
      <c r="I46" s="293">
        <f t="shared" si="25"/>
        <v>0</v>
      </c>
      <c r="J46" s="293">
        <f t="shared" si="25"/>
        <v>0</v>
      </c>
      <c r="K46" s="293">
        <f t="shared" si="25"/>
        <v>0</v>
      </c>
      <c r="L46" s="293">
        <f t="shared" si="25"/>
        <v>0</v>
      </c>
      <c r="M46" s="293">
        <f t="shared" si="25"/>
        <v>0</v>
      </c>
      <c r="N46" s="293">
        <f t="shared" si="25"/>
        <v>0</v>
      </c>
      <c r="O46" s="293">
        <f t="shared" si="25"/>
        <v>0</v>
      </c>
      <c r="P46" s="293">
        <f t="shared" si="25"/>
        <v>0</v>
      </c>
      <c r="Q46" s="293">
        <f t="shared" si="25"/>
        <v>0</v>
      </c>
      <c r="R46" s="293">
        <f t="shared" si="25"/>
        <v>0</v>
      </c>
      <c r="S46" s="293">
        <f t="shared" si="25"/>
        <v>0</v>
      </c>
      <c r="T46" s="293">
        <f t="shared" si="25"/>
        <v>0</v>
      </c>
      <c r="U46" s="293">
        <f t="shared" si="25"/>
        <v>0</v>
      </c>
      <c r="V46" s="293">
        <f t="shared" si="25"/>
        <v>0</v>
      </c>
      <c r="W46" s="293">
        <f t="shared" si="25"/>
        <v>0</v>
      </c>
      <c r="X46" s="293">
        <f t="shared" si="25"/>
        <v>0</v>
      </c>
      <c r="Y46" s="293">
        <f t="shared" si="25"/>
        <v>0</v>
      </c>
      <c r="Z46" s="293">
        <f t="shared" si="25"/>
        <v>0</v>
      </c>
      <c r="AA46" s="293">
        <f t="shared" si="25"/>
        <v>0</v>
      </c>
      <c r="AB46" s="293">
        <f t="shared" si="25"/>
        <v>0</v>
      </c>
      <c r="AC46" s="293">
        <f t="shared" si="25"/>
        <v>0</v>
      </c>
      <c r="AD46" s="293">
        <f t="shared" si="25"/>
        <v>0</v>
      </c>
      <c r="AE46" s="293">
        <f t="shared" si="25"/>
        <v>0</v>
      </c>
      <c r="AF46" s="293">
        <f t="shared" si="25"/>
        <v>0</v>
      </c>
      <c r="AG46" s="293">
        <f t="shared" si="25"/>
        <v>0</v>
      </c>
      <c r="AH46" s="293">
        <f t="shared" si="25"/>
        <v>0</v>
      </c>
      <c r="AI46" s="293">
        <f t="shared" si="25"/>
        <v>0</v>
      </c>
      <c r="AJ46" s="293">
        <f t="shared" si="25"/>
        <v>0</v>
      </c>
      <c r="AK46" s="293">
        <f t="shared" si="25"/>
        <v>0</v>
      </c>
      <c r="AL46" s="293">
        <f t="shared" si="25"/>
        <v>0</v>
      </c>
      <c r="AM46" s="293">
        <f t="shared" si="25"/>
        <v>0</v>
      </c>
      <c r="AN46" s="293">
        <f t="shared" si="25"/>
        <v>0</v>
      </c>
      <c r="AO46" s="293">
        <f t="shared" si="25"/>
        <v>0</v>
      </c>
      <c r="AP46" s="293">
        <f t="shared" si="25"/>
        <v>0</v>
      </c>
      <c r="AQ46" s="293">
        <f t="shared" si="25"/>
        <v>0</v>
      </c>
      <c r="AR46" s="293">
        <f t="shared" si="25"/>
        <v>0</v>
      </c>
      <c r="AS46" s="293">
        <f t="shared" si="25"/>
        <v>0</v>
      </c>
      <c r="AT46" s="293">
        <f t="shared" si="25"/>
        <v>0</v>
      </c>
      <c r="AU46" s="293">
        <f t="shared" si="25"/>
        <v>0</v>
      </c>
      <c r="AV46" s="293">
        <f t="shared" si="25"/>
        <v>0</v>
      </c>
      <c r="AW46" s="293">
        <f t="shared" si="25"/>
        <v>0</v>
      </c>
      <c r="AX46" s="579">
        <f t="shared" si="25"/>
        <v>0</v>
      </c>
      <c r="AY46" s="293">
        <f t="shared" si="25"/>
        <v>0</v>
      </c>
      <c r="AZ46" s="293">
        <f t="shared" si="25"/>
        <v>0</v>
      </c>
      <c r="BA46" s="293">
        <f t="shared" si="25"/>
        <v>0</v>
      </c>
      <c r="BB46" s="293">
        <f t="shared" si="25"/>
        <v>0</v>
      </c>
      <c r="BC46" s="293">
        <f t="shared" si="25"/>
        <v>0</v>
      </c>
      <c r="BD46" s="293">
        <f t="shared" si="25"/>
        <v>0</v>
      </c>
      <c r="BE46" s="293">
        <f t="shared" si="25"/>
        <v>0</v>
      </c>
      <c r="BF46" s="293">
        <f t="shared" si="25"/>
        <v>0</v>
      </c>
      <c r="BG46" s="293">
        <f t="shared" si="25"/>
        <v>0</v>
      </c>
      <c r="BH46" s="293">
        <f t="shared" si="25"/>
        <v>0</v>
      </c>
      <c r="BI46" s="293">
        <f t="shared" si="25"/>
        <v>0</v>
      </c>
      <c r="BJ46" s="293">
        <f t="shared" si="25"/>
        <v>0</v>
      </c>
      <c r="BK46" s="293">
        <f t="shared" si="25"/>
        <v>0</v>
      </c>
      <c r="BL46" s="293">
        <f t="shared" si="25"/>
        <v>0</v>
      </c>
      <c r="BM46" s="293">
        <f t="shared" si="25"/>
        <v>0</v>
      </c>
      <c r="BN46" s="293">
        <f t="shared" si="25"/>
        <v>0</v>
      </c>
      <c r="BO46" s="294"/>
      <c r="BS46" s="219"/>
    </row>
    <row r="47" spans="1:75" s="216" customFormat="1">
      <c r="A47" s="215"/>
      <c r="B47" s="248" t="s">
        <v>150</v>
      </c>
      <c r="C47" s="214">
        <f>100%-C46</f>
        <v>0.25</v>
      </c>
      <c r="D47" s="293">
        <f>((D46/$C$46)*$C$47)</f>
        <v>0</v>
      </c>
      <c r="E47" s="293">
        <f t="shared" ref="E47:BN47" si="26">((E46/$C$46)*$C$47)</f>
        <v>0</v>
      </c>
      <c r="F47" s="293">
        <f t="shared" si="26"/>
        <v>0</v>
      </c>
      <c r="G47" s="293">
        <f t="shared" si="26"/>
        <v>0</v>
      </c>
      <c r="H47" s="293">
        <f t="shared" si="26"/>
        <v>0</v>
      </c>
      <c r="I47" s="293">
        <f t="shared" si="26"/>
        <v>0</v>
      </c>
      <c r="J47" s="293">
        <f>((J46/$C$46)*$C$47)</f>
        <v>0</v>
      </c>
      <c r="K47" s="293">
        <f>((K46/$C$46)*$C$47)</f>
        <v>0</v>
      </c>
      <c r="L47" s="293">
        <f t="shared" si="26"/>
        <v>0</v>
      </c>
      <c r="M47" s="293">
        <f t="shared" si="26"/>
        <v>0</v>
      </c>
      <c r="N47" s="293">
        <f t="shared" si="26"/>
        <v>0</v>
      </c>
      <c r="O47" s="293">
        <f t="shared" si="26"/>
        <v>0</v>
      </c>
      <c r="P47" s="293">
        <f t="shared" si="26"/>
        <v>0</v>
      </c>
      <c r="Q47" s="293">
        <f t="shared" si="26"/>
        <v>0</v>
      </c>
      <c r="R47" s="293">
        <f t="shared" si="26"/>
        <v>0</v>
      </c>
      <c r="S47" s="293">
        <f t="shared" si="26"/>
        <v>0</v>
      </c>
      <c r="T47" s="293">
        <f t="shared" si="26"/>
        <v>0</v>
      </c>
      <c r="U47" s="293">
        <f t="shared" si="26"/>
        <v>0</v>
      </c>
      <c r="V47" s="293">
        <f t="shared" si="26"/>
        <v>0</v>
      </c>
      <c r="W47" s="293">
        <f t="shared" si="26"/>
        <v>0</v>
      </c>
      <c r="X47" s="293">
        <f t="shared" si="26"/>
        <v>0</v>
      </c>
      <c r="Y47" s="293">
        <f t="shared" si="26"/>
        <v>0</v>
      </c>
      <c r="Z47" s="293">
        <f t="shared" si="26"/>
        <v>0</v>
      </c>
      <c r="AA47" s="293">
        <f t="shared" si="26"/>
        <v>0</v>
      </c>
      <c r="AB47" s="293">
        <f t="shared" si="26"/>
        <v>0</v>
      </c>
      <c r="AC47" s="293">
        <f t="shared" si="26"/>
        <v>0</v>
      </c>
      <c r="AD47" s="293">
        <f t="shared" si="26"/>
        <v>0</v>
      </c>
      <c r="AE47" s="293">
        <f t="shared" si="26"/>
        <v>0</v>
      </c>
      <c r="AF47" s="293">
        <f t="shared" si="26"/>
        <v>0</v>
      </c>
      <c r="AG47" s="293">
        <f t="shared" si="26"/>
        <v>0</v>
      </c>
      <c r="AH47" s="293">
        <f t="shared" si="26"/>
        <v>0</v>
      </c>
      <c r="AI47" s="293">
        <f t="shared" si="26"/>
        <v>0</v>
      </c>
      <c r="AJ47" s="293">
        <f t="shared" si="26"/>
        <v>0</v>
      </c>
      <c r="AK47" s="293">
        <f t="shared" si="26"/>
        <v>0</v>
      </c>
      <c r="AL47" s="293">
        <f t="shared" si="26"/>
        <v>0</v>
      </c>
      <c r="AM47" s="293">
        <f t="shared" si="26"/>
        <v>0</v>
      </c>
      <c r="AN47" s="293">
        <f t="shared" si="26"/>
        <v>0</v>
      </c>
      <c r="AO47" s="293">
        <f t="shared" si="26"/>
        <v>0</v>
      </c>
      <c r="AP47" s="293">
        <f t="shared" si="26"/>
        <v>0</v>
      </c>
      <c r="AQ47" s="293">
        <f t="shared" si="26"/>
        <v>0</v>
      </c>
      <c r="AR47" s="293">
        <f t="shared" si="26"/>
        <v>0</v>
      </c>
      <c r="AS47" s="293">
        <f t="shared" si="26"/>
        <v>0</v>
      </c>
      <c r="AT47" s="293">
        <f t="shared" si="26"/>
        <v>0</v>
      </c>
      <c r="AU47" s="293">
        <f t="shared" si="26"/>
        <v>0</v>
      </c>
      <c r="AV47" s="293">
        <f t="shared" si="26"/>
        <v>0</v>
      </c>
      <c r="AW47" s="293">
        <f t="shared" si="26"/>
        <v>0</v>
      </c>
      <c r="AX47" s="579">
        <f t="shared" si="26"/>
        <v>0</v>
      </c>
      <c r="AY47" s="293">
        <f t="shared" si="26"/>
        <v>0</v>
      </c>
      <c r="AZ47" s="293">
        <f t="shared" si="26"/>
        <v>0</v>
      </c>
      <c r="BA47" s="293">
        <f t="shared" si="26"/>
        <v>0</v>
      </c>
      <c r="BB47" s="293">
        <f t="shared" si="26"/>
        <v>0</v>
      </c>
      <c r="BC47" s="293">
        <f t="shared" si="26"/>
        <v>0</v>
      </c>
      <c r="BD47" s="293">
        <f t="shared" si="26"/>
        <v>0</v>
      </c>
      <c r="BE47" s="293">
        <f t="shared" si="26"/>
        <v>0</v>
      </c>
      <c r="BF47" s="293">
        <f t="shared" si="26"/>
        <v>0</v>
      </c>
      <c r="BG47" s="293">
        <f t="shared" si="26"/>
        <v>0</v>
      </c>
      <c r="BH47" s="293">
        <f t="shared" si="26"/>
        <v>0</v>
      </c>
      <c r="BI47" s="293">
        <f t="shared" si="26"/>
        <v>0</v>
      </c>
      <c r="BJ47" s="293">
        <f t="shared" si="26"/>
        <v>0</v>
      </c>
      <c r="BK47" s="293">
        <f t="shared" si="26"/>
        <v>0</v>
      </c>
      <c r="BL47" s="293">
        <f t="shared" si="26"/>
        <v>0</v>
      </c>
      <c r="BM47" s="293">
        <f t="shared" si="26"/>
        <v>0</v>
      </c>
      <c r="BN47" s="293">
        <f t="shared" si="26"/>
        <v>0</v>
      </c>
      <c r="BO47" s="294"/>
      <c r="BS47" s="219"/>
    </row>
    <row r="48" spans="1:75" s="216" customFormat="1">
      <c r="A48" s="215"/>
      <c r="B48" s="248"/>
      <c r="C48" s="214"/>
      <c r="D48" s="293"/>
      <c r="E48" s="293"/>
      <c r="F48" s="293"/>
      <c r="G48" s="293"/>
      <c r="H48" s="293"/>
      <c r="I48" s="293"/>
      <c r="J48" s="293"/>
      <c r="K48" s="293"/>
      <c r="L48" s="293"/>
      <c r="M48" s="293"/>
      <c r="N48" s="293"/>
      <c r="O48" s="293"/>
      <c r="P48" s="293"/>
      <c r="Q48" s="293"/>
      <c r="R48" s="293"/>
      <c r="S48" s="293"/>
      <c r="T48" s="293"/>
      <c r="U48" s="293"/>
      <c r="V48" s="293"/>
      <c r="W48" s="293"/>
      <c r="X48" s="293"/>
      <c r="Y48" s="293"/>
      <c r="Z48" s="293"/>
      <c r="AA48" s="293"/>
      <c r="AB48" s="293"/>
      <c r="AC48" s="293"/>
      <c r="AD48" s="293"/>
      <c r="AE48" s="293"/>
      <c r="AF48" s="293"/>
      <c r="AG48" s="293"/>
      <c r="AH48" s="293"/>
      <c r="AI48" s="293"/>
      <c r="AJ48" s="293"/>
      <c r="AK48" s="293"/>
      <c r="AL48" s="293"/>
      <c r="AM48" s="293"/>
      <c r="AN48" s="293"/>
      <c r="AO48" s="293"/>
      <c r="AP48" s="293"/>
      <c r="AQ48" s="293"/>
      <c r="AR48" s="293"/>
      <c r="AS48" s="293"/>
      <c r="AT48" s="293"/>
      <c r="AU48" s="293"/>
      <c r="AV48" s="293"/>
      <c r="AW48" s="293"/>
      <c r="AX48" s="293"/>
      <c r="AY48" s="293"/>
      <c r="AZ48" s="293"/>
      <c r="BA48" s="293"/>
      <c r="BB48" s="293"/>
      <c r="BC48" s="293"/>
      <c r="BD48" s="293"/>
      <c r="BE48" s="293"/>
      <c r="BF48" s="293"/>
      <c r="BG48" s="293"/>
      <c r="BH48" s="293"/>
      <c r="BI48" s="293"/>
      <c r="BJ48" s="293"/>
      <c r="BK48" s="293"/>
      <c r="BL48" s="293"/>
      <c r="BM48" s="293"/>
      <c r="BN48" s="293"/>
      <c r="BO48" s="294"/>
      <c r="BS48" s="219"/>
    </row>
    <row r="49" spans="1:71" s="216" customFormat="1">
      <c r="A49" s="215"/>
      <c r="B49" s="583">
        <f>SUM(D24:BN24,D27:BN27,D40:BN40,D46:BN46)/$C$5</f>
        <v>2.0932241878950757</v>
      </c>
      <c r="C49" s="214"/>
      <c r="D49" s="293"/>
      <c r="E49" s="293"/>
      <c r="F49" s="293"/>
      <c r="G49" s="293"/>
      <c r="H49" s="293"/>
      <c r="I49" s="293"/>
      <c r="J49" s="293"/>
      <c r="K49" s="293"/>
      <c r="L49" s="293"/>
      <c r="M49" s="293"/>
      <c r="N49" s="293"/>
      <c r="O49" s="293"/>
      <c r="P49" s="293"/>
      <c r="Q49" s="293"/>
      <c r="R49" s="293"/>
      <c r="S49" s="293"/>
      <c r="T49" s="293"/>
      <c r="U49" s="293"/>
      <c r="V49" s="293"/>
      <c r="W49" s="293"/>
      <c r="X49" s="293"/>
      <c r="Y49" s="293"/>
      <c r="Z49" s="293"/>
      <c r="AA49" s="293"/>
      <c r="AB49" s="293"/>
      <c r="AC49" s="293"/>
      <c r="AD49" s="293"/>
      <c r="AE49" s="293"/>
      <c r="AF49" s="293"/>
      <c r="AG49" s="293"/>
      <c r="AH49" s="293"/>
      <c r="AI49" s="293"/>
      <c r="AJ49" s="293"/>
      <c r="AK49" s="293"/>
      <c r="AL49" s="293"/>
      <c r="AM49" s="293"/>
      <c r="AN49" s="293"/>
      <c r="AO49" s="293"/>
      <c r="AP49" s="293"/>
      <c r="AQ49" s="293"/>
      <c r="AR49" s="293"/>
      <c r="AS49" s="293"/>
      <c r="AT49" s="293"/>
      <c r="AU49" s="293"/>
      <c r="AV49" s="293"/>
      <c r="AW49" s="293"/>
      <c r="AX49" s="293"/>
      <c r="AY49" s="293"/>
      <c r="AZ49" s="293"/>
      <c r="BA49" s="293"/>
      <c r="BB49" s="293"/>
      <c r="BC49" s="293"/>
      <c r="BD49" s="293"/>
      <c r="BE49" s="293"/>
      <c r="BF49" s="293"/>
      <c r="BG49" s="293"/>
      <c r="BH49" s="293"/>
      <c r="BI49" s="293"/>
      <c r="BJ49" s="293"/>
      <c r="BK49" s="293"/>
      <c r="BL49" s="293"/>
      <c r="BM49" s="293"/>
      <c r="BN49" s="293"/>
      <c r="BO49" s="294"/>
      <c r="BS49" s="219"/>
    </row>
    <row r="50" spans="1:71" s="216" customFormat="1">
      <c r="A50" s="215"/>
      <c r="B50" s="584">
        <f>IF(($C$5*$BT$7)-SUM(D24:BN24,D27:BN27,D40:BN40,D46:BN46)&lt;0,0,($C$5*$BT$7)-SUM(D24:BN24,D27:BN27,D40:BN40,D46:BN46))</f>
        <v>0</v>
      </c>
      <c r="C50" s="585"/>
      <c r="D50" s="271"/>
      <c r="E50" s="271"/>
      <c r="F50" s="271"/>
      <c r="G50" s="271"/>
      <c r="H50" s="271"/>
      <c r="I50" s="271"/>
      <c r="J50" s="271"/>
      <c r="K50" s="271"/>
      <c r="L50" s="271"/>
      <c r="M50" s="271"/>
      <c r="N50" s="271"/>
      <c r="O50" s="271"/>
      <c r="P50" s="271"/>
      <c r="Q50" s="271"/>
      <c r="R50" s="271"/>
      <c r="S50" s="271"/>
      <c r="T50" s="271"/>
      <c r="U50" s="271"/>
      <c r="V50" s="271"/>
      <c r="W50" s="271"/>
      <c r="X50" s="271"/>
      <c r="Y50" s="271"/>
      <c r="Z50" s="271"/>
      <c r="AA50" s="271"/>
      <c r="AB50" s="271"/>
      <c r="AC50" s="271"/>
      <c r="AD50" s="271"/>
      <c r="AE50" s="271"/>
      <c r="AF50" s="271"/>
      <c r="AG50" s="271"/>
      <c r="AH50" s="271"/>
      <c r="AI50" s="271"/>
      <c r="AJ50" s="271"/>
      <c r="AK50" s="271"/>
      <c r="AL50" s="271"/>
      <c r="AM50" s="271"/>
      <c r="AN50" s="271"/>
      <c r="AO50" s="271"/>
      <c r="AP50" s="271"/>
      <c r="AQ50" s="271"/>
      <c r="AR50" s="271"/>
      <c r="AS50" s="271"/>
      <c r="AT50" s="271"/>
      <c r="AU50" s="271"/>
      <c r="AV50" s="271"/>
      <c r="AW50" s="271"/>
      <c r="AX50" s="586"/>
      <c r="AY50" s="271"/>
      <c r="AZ50" s="271"/>
      <c r="BA50" s="271"/>
      <c r="BB50" s="271"/>
      <c r="BC50" s="271"/>
      <c r="BD50" s="271"/>
      <c r="BE50" s="271"/>
      <c r="BF50" s="271"/>
      <c r="BG50" s="271"/>
      <c r="BH50" s="271"/>
      <c r="BI50" s="271"/>
      <c r="BJ50" s="271"/>
      <c r="BK50" s="271"/>
      <c r="BL50" s="271"/>
      <c r="BM50" s="271"/>
      <c r="BN50" s="271"/>
      <c r="BO50" s="294"/>
      <c r="BS50" s="219"/>
    </row>
    <row r="51" spans="1:71" s="216" customFormat="1">
      <c r="A51" s="215"/>
      <c r="B51" s="587"/>
      <c r="C51" s="214"/>
      <c r="D51" s="293"/>
      <c r="E51" s="293"/>
      <c r="F51" s="293"/>
      <c r="G51" s="293"/>
      <c r="H51" s="293"/>
      <c r="I51" s="293"/>
      <c r="J51" s="293"/>
      <c r="K51" s="293"/>
      <c r="L51" s="293"/>
      <c r="M51" s="293"/>
      <c r="N51" s="293"/>
      <c r="O51" s="293"/>
      <c r="P51" s="293"/>
      <c r="Q51" s="293"/>
      <c r="R51" s="293"/>
      <c r="S51" s="293"/>
      <c r="T51" s="293"/>
      <c r="U51" s="293"/>
      <c r="V51" s="293"/>
      <c r="W51" s="293"/>
      <c r="X51" s="293"/>
      <c r="Y51" s="293"/>
      <c r="Z51" s="293"/>
      <c r="AA51" s="293"/>
      <c r="AB51" s="293"/>
      <c r="AC51" s="293"/>
      <c r="AD51" s="293"/>
      <c r="AE51" s="293"/>
      <c r="AF51" s="293"/>
      <c r="AG51" s="293"/>
      <c r="AH51" s="293"/>
      <c r="AI51" s="293"/>
      <c r="AJ51" s="293"/>
      <c r="AK51" s="293"/>
      <c r="AL51" s="293"/>
      <c r="AM51" s="293"/>
      <c r="AN51" s="293"/>
      <c r="AO51" s="293"/>
      <c r="AP51" s="293"/>
      <c r="AQ51" s="293"/>
      <c r="AR51" s="293"/>
      <c r="AS51" s="293"/>
      <c r="AT51" s="293"/>
      <c r="AU51" s="293"/>
      <c r="AV51" s="293"/>
      <c r="AW51" s="293"/>
      <c r="AX51" s="293"/>
      <c r="AY51" s="293"/>
      <c r="AZ51" s="293"/>
      <c r="BA51" s="293"/>
      <c r="BB51" s="293"/>
      <c r="BC51" s="293"/>
      <c r="BD51" s="293"/>
      <c r="BE51" s="293"/>
      <c r="BF51" s="293"/>
      <c r="BG51" s="293"/>
      <c r="BH51" s="293"/>
      <c r="BI51" s="293"/>
      <c r="BJ51" s="293"/>
      <c r="BK51" s="293"/>
      <c r="BL51" s="293"/>
      <c r="BM51" s="293"/>
      <c r="BN51" s="293"/>
      <c r="BO51" s="294"/>
      <c r="BS51" s="219"/>
    </row>
    <row r="52" spans="1:71" s="216" customFormat="1">
      <c r="A52" s="215"/>
      <c r="B52" s="588" t="s">
        <v>213</v>
      </c>
      <c r="C52" s="292" t="s">
        <v>171</v>
      </c>
      <c r="D52" s="293"/>
      <c r="E52" s="293"/>
      <c r="F52" s="293"/>
      <c r="G52" s="293"/>
      <c r="H52" s="293"/>
      <c r="I52" s="293"/>
      <c r="J52" s="293"/>
      <c r="K52" s="293"/>
      <c r="L52" s="293"/>
      <c r="M52" s="293"/>
      <c r="N52" s="293"/>
      <c r="O52" s="293"/>
      <c r="P52" s="293"/>
      <c r="Q52" s="293"/>
      <c r="R52" s="293"/>
      <c r="S52" s="293"/>
      <c r="T52" s="293"/>
      <c r="U52" s="293"/>
      <c r="V52" s="293"/>
      <c r="W52" s="293"/>
      <c r="X52" s="293"/>
      <c r="Y52" s="293"/>
      <c r="Z52" s="293"/>
      <c r="AA52" s="293"/>
      <c r="AB52" s="293"/>
      <c r="AC52" s="293"/>
      <c r="AD52" s="293"/>
      <c r="AE52" s="293"/>
      <c r="AF52" s="293"/>
      <c r="AG52" s="293"/>
      <c r="AH52" s="293"/>
      <c r="AI52" s="293"/>
      <c r="AJ52" s="293"/>
      <c r="AK52" s="293"/>
      <c r="AL52" s="293"/>
      <c r="AM52" s="293"/>
      <c r="AN52" s="293"/>
      <c r="AO52" s="293"/>
      <c r="AP52" s="293"/>
      <c r="AQ52" s="293"/>
      <c r="AR52" s="293"/>
      <c r="AS52" s="293"/>
      <c r="AT52" s="293"/>
      <c r="AU52" s="293"/>
      <c r="AV52" s="293"/>
      <c r="AW52" s="293"/>
      <c r="AX52" s="293"/>
      <c r="AY52" s="293"/>
      <c r="AZ52" s="293"/>
      <c r="BA52" s="293"/>
      <c r="BB52" s="293"/>
      <c r="BC52" s="293"/>
      <c r="BD52" s="293"/>
      <c r="BE52" s="293"/>
      <c r="BF52" s="293"/>
      <c r="BG52" s="293"/>
      <c r="BH52" s="293"/>
      <c r="BI52" s="293"/>
      <c r="BJ52" s="293"/>
      <c r="BK52" s="293"/>
      <c r="BL52" s="293"/>
      <c r="BM52" s="293"/>
      <c r="BN52" s="293"/>
      <c r="BO52" s="294"/>
      <c r="BS52" s="219"/>
    </row>
    <row r="53" spans="1:71" s="216" customFormat="1">
      <c r="A53" s="215"/>
      <c r="B53" s="584" t="str">
        <f>B46</f>
        <v>Equity</v>
      </c>
      <c r="C53" s="214">
        <f>$BQ$7</f>
        <v>0.75</v>
      </c>
      <c r="D53" s="589">
        <f>IF(AND(D6=$C$3,$B$49&lt;$BT$7),(MIN($B$50,(D32-D40-D41-D46-D47)*$C$53))+D46,D46)</f>
        <v>0</v>
      </c>
      <c r="E53" s="589">
        <f t="shared" ref="E53:BN53" si="27">IF(AND(E6=$C$3,$B$49&lt;$BT$7),(MIN($B$50,(E32-E40-E41-E46-E47)*$C$53))+E46,E46)</f>
        <v>0</v>
      </c>
      <c r="F53" s="589">
        <f t="shared" si="27"/>
        <v>0</v>
      </c>
      <c r="G53" s="589">
        <f t="shared" si="27"/>
        <v>0</v>
      </c>
      <c r="H53" s="589">
        <f t="shared" si="27"/>
        <v>0</v>
      </c>
      <c r="I53" s="589">
        <f t="shared" si="27"/>
        <v>0</v>
      </c>
      <c r="J53" s="589">
        <f t="shared" si="27"/>
        <v>0</v>
      </c>
      <c r="K53" s="589">
        <f t="shared" si="27"/>
        <v>0</v>
      </c>
      <c r="L53" s="589">
        <f t="shared" si="27"/>
        <v>0</v>
      </c>
      <c r="M53" s="589">
        <f t="shared" si="27"/>
        <v>0</v>
      </c>
      <c r="N53" s="589">
        <f t="shared" si="27"/>
        <v>0</v>
      </c>
      <c r="O53" s="589">
        <f t="shared" si="27"/>
        <v>0</v>
      </c>
      <c r="P53" s="589">
        <f t="shared" si="27"/>
        <v>0</v>
      </c>
      <c r="Q53" s="589">
        <f t="shared" si="27"/>
        <v>0</v>
      </c>
      <c r="R53" s="589">
        <f t="shared" si="27"/>
        <v>0</v>
      </c>
      <c r="S53" s="589">
        <f t="shared" si="27"/>
        <v>0</v>
      </c>
      <c r="T53" s="589">
        <f t="shared" si="27"/>
        <v>0</v>
      </c>
      <c r="U53" s="589">
        <f t="shared" si="27"/>
        <v>0</v>
      </c>
      <c r="V53" s="589">
        <f t="shared" si="27"/>
        <v>0</v>
      </c>
      <c r="W53" s="589">
        <f t="shared" si="27"/>
        <v>0</v>
      </c>
      <c r="X53" s="589">
        <f t="shared" si="27"/>
        <v>0</v>
      </c>
      <c r="Y53" s="589">
        <f t="shared" si="27"/>
        <v>0</v>
      </c>
      <c r="Z53" s="589">
        <f t="shared" si="27"/>
        <v>0</v>
      </c>
      <c r="AA53" s="589">
        <f t="shared" si="27"/>
        <v>0</v>
      </c>
      <c r="AB53" s="589">
        <f t="shared" si="27"/>
        <v>0</v>
      </c>
      <c r="AC53" s="589">
        <f t="shared" si="27"/>
        <v>0</v>
      </c>
      <c r="AD53" s="589">
        <f t="shared" si="27"/>
        <v>0</v>
      </c>
      <c r="AE53" s="589">
        <f t="shared" si="27"/>
        <v>0</v>
      </c>
      <c r="AF53" s="589">
        <f t="shared" si="27"/>
        <v>0</v>
      </c>
      <c r="AG53" s="589">
        <f t="shared" si="27"/>
        <v>0</v>
      </c>
      <c r="AH53" s="589">
        <f t="shared" si="27"/>
        <v>0</v>
      </c>
      <c r="AI53" s="589">
        <f t="shared" si="27"/>
        <v>0</v>
      </c>
      <c r="AJ53" s="589">
        <f t="shared" si="27"/>
        <v>0</v>
      </c>
      <c r="AK53" s="589">
        <f t="shared" si="27"/>
        <v>0</v>
      </c>
      <c r="AL53" s="589">
        <f t="shared" si="27"/>
        <v>0</v>
      </c>
      <c r="AM53" s="589">
        <f t="shared" si="27"/>
        <v>0</v>
      </c>
      <c r="AN53" s="589">
        <f t="shared" si="27"/>
        <v>0</v>
      </c>
      <c r="AO53" s="589">
        <f t="shared" si="27"/>
        <v>0</v>
      </c>
      <c r="AP53" s="589">
        <f t="shared" si="27"/>
        <v>0</v>
      </c>
      <c r="AQ53" s="589">
        <f t="shared" si="27"/>
        <v>0</v>
      </c>
      <c r="AR53" s="589">
        <f t="shared" si="27"/>
        <v>0</v>
      </c>
      <c r="AS53" s="589">
        <f t="shared" si="27"/>
        <v>0</v>
      </c>
      <c r="AT53" s="589">
        <f t="shared" si="27"/>
        <v>0</v>
      </c>
      <c r="AU53" s="589">
        <f t="shared" si="27"/>
        <v>0</v>
      </c>
      <c r="AV53" s="589">
        <f t="shared" si="27"/>
        <v>0</v>
      </c>
      <c r="AW53" s="589">
        <f t="shared" si="27"/>
        <v>0</v>
      </c>
      <c r="AX53" s="590">
        <f t="shared" si="27"/>
        <v>0</v>
      </c>
      <c r="AY53" s="589">
        <f t="shared" si="27"/>
        <v>0</v>
      </c>
      <c r="AZ53" s="589">
        <f t="shared" si="27"/>
        <v>0</v>
      </c>
      <c r="BA53" s="589">
        <f t="shared" si="27"/>
        <v>0</v>
      </c>
      <c r="BB53" s="589">
        <f t="shared" si="27"/>
        <v>0</v>
      </c>
      <c r="BC53" s="589">
        <f t="shared" si="27"/>
        <v>0</v>
      </c>
      <c r="BD53" s="589">
        <f t="shared" si="27"/>
        <v>0</v>
      </c>
      <c r="BE53" s="589">
        <f t="shared" si="27"/>
        <v>0</v>
      </c>
      <c r="BF53" s="589">
        <f t="shared" si="27"/>
        <v>0</v>
      </c>
      <c r="BG53" s="589">
        <f t="shared" si="27"/>
        <v>0</v>
      </c>
      <c r="BH53" s="589">
        <f t="shared" si="27"/>
        <v>0</v>
      </c>
      <c r="BI53" s="589">
        <f t="shared" si="27"/>
        <v>0</v>
      </c>
      <c r="BJ53" s="589">
        <f t="shared" si="27"/>
        <v>0</v>
      </c>
      <c r="BK53" s="589">
        <f t="shared" si="27"/>
        <v>0</v>
      </c>
      <c r="BL53" s="589">
        <f t="shared" si="27"/>
        <v>0</v>
      </c>
      <c r="BM53" s="589">
        <f t="shared" si="27"/>
        <v>0</v>
      </c>
      <c r="BN53" s="589">
        <f t="shared" si="27"/>
        <v>0</v>
      </c>
      <c r="BO53" s="294"/>
      <c r="BS53" s="219"/>
    </row>
    <row r="54" spans="1:71" s="216" customFormat="1">
      <c r="A54" s="215"/>
      <c r="B54" s="584" t="str">
        <f>B47</f>
        <v>Sponsor</v>
      </c>
      <c r="C54" s="214">
        <f>100%-C53</f>
        <v>0.25</v>
      </c>
      <c r="D54" s="293">
        <f t="shared" ref="D54:U54" si="28">((D53/$C$53)*$C$54)</f>
        <v>0</v>
      </c>
      <c r="E54" s="293">
        <f t="shared" si="28"/>
        <v>0</v>
      </c>
      <c r="F54" s="293">
        <f t="shared" si="28"/>
        <v>0</v>
      </c>
      <c r="G54" s="293">
        <f t="shared" si="28"/>
        <v>0</v>
      </c>
      <c r="H54" s="293">
        <f t="shared" si="28"/>
        <v>0</v>
      </c>
      <c r="I54" s="293">
        <f t="shared" si="28"/>
        <v>0</v>
      </c>
      <c r="J54" s="293">
        <f t="shared" si="28"/>
        <v>0</v>
      </c>
      <c r="K54" s="293">
        <f t="shared" si="28"/>
        <v>0</v>
      </c>
      <c r="L54" s="293">
        <f t="shared" si="28"/>
        <v>0</v>
      </c>
      <c r="M54" s="293">
        <f t="shared" si="28"/>
        <v>0</v>
      </c>
      <c r="N54" s="293">
        <f t="shared" si="28"/>
        <v>0</v>
      </c>
      <c r="O54" s="293">
        <f t="shared" si="28"/>
        <v>0</v>
      </c>
      <c r="P54" s="293">
        <f t="shared" si="28"/>
        <v>0</v>
      </c>
      <c r="Q54" s="293">
        <f t="shared" si="28"/>
        <v>0</v>
      </c>
      <c r="R54" s="293">
        <f t="shared" si="28"/>
        <v>0</v>
      </c>
      <c r="S54" s="293">
        <f t="shared" si="28"/>
        <v>0</v>
      </c>
      <c r="T54" s="293">
        <f t="shared" si="28"/>
        <v>0</v>
      </c>
      <c r="U54" s="293">
        <f t="shared" si="28"/>
        <v>0</v>
      </c>
      <c r="V54" s="293">
        <f>((V53/$C$53)*$C$54)</f>
        <v>0</v>
      </c>
      <c r="W54" s="293">
        <f t="shared" ref="W54:BN54" si="29">((W53/$C$53)*$C$54)</f>
        <v>0</v>
      </c>
      <c r="X54" s="293">
        <f t="shared" si="29"/>
        <v>0</v>
      </c>
      <c r="Y54" s="293">
        <f t="shared" si="29"/>
        <v>0</v>
      </c>
      <c r="Z54" s="293">
        <f t="shared" si="29"/>
        <v>0</v>
      </c>
      <c r="AA54" s="293">
        <f t="shared" si="29"/>
        <v>0</v>
      </c>
      <c r="AB54" s="293">
        <f t="shared" si="29"/>
        <v>0</v>
      </c>
      <c r="AC54" s="293">
        <f t="shared" si="29"/>
        <v>0</v>
      </c>
      <c r="AD54" s="293">
        <f t="shared" si="29"/>
        <v>0</v>
      </c>
      <c r="AE54" s="293">
        <f t="shared" si="29"/>
        <v>0</v>
      </c>
      <c r="AF54" s="293">
        <f t="shared" si="29"/>
        <v>0</v>
      </c>
      <c r="AG54" s="293">
        <f t="shared" si="29"/>
        <v>0</v>
      </c>
      <c r="AH54" s="293">
        <f t="shared" si="29"/>
        <v>0</v>
      </c>
      <c r="AI54" s="293">
        <f t="shared" si="29"/>
        <v>0</v>
      </c>
      <c r="AJ54" s="293">
        <f t="shared" si="29"/>
        <v>0</v>
      </c>
      <c r="AK54" s="293">
        <f t="shared" si="29"/>
        <v>0</v>
      </c>
      <c r="AL54" s="293">
        <f t="shared" si="29"/>
        <v>0</v>
      </c>
      <c r="AM54" s="293">
        <f t="shared" si="29"/>
        <v>0</v>
      </c>
      <c r="AN54" s="293">
        <f t="shared" si="29"/>
        <v>0</v>
      </c>
      <c r="AO54" s="293">
        <f t="shared" si="29"/>
        <v>0</v>
      </c>
      <c r="AP54" s="293">
        <f t="shared" si="29"/>
        <v>0</v>
      </c>
      <c r="AQ54" s="293">
        <f t="shared" si="29"/>
        <v>0</v>
      </c>
      <c r="AR54" s="293">
        <f t="shared" si="29"/>
        <v>0</v>
      </c>
      <c r="AS54" s="293">
        <f t="shared" si="29"/>
        <v>0</v>
      </c>
      <c r="AT54" s="293">
        <f t="shared" si="29"/>
        <v>0</v>
      </c>
      <c r="AU54" s="293">
        <f t="shared" si="29"/>
        <v>0</v>
      </c>
      <c r="AV54" s="293">
        <f t="shared" si="29"/>
        <v>0</v>
      </c>
      <c r="AW54" s="293">
        <f t="shared" si="29"/>
        <v>0</v>
      </c>
      <c r="AX54" s="579">
        <f t="shared" si="29"/>
        <v>0</v>
      </c>
      <c r="AY54" s="293">
        <f t="shared" si="29"/>
        <v>0</v>
      </c>
      <c r="AZ54" s="293">
        <f t="shared" si="29"/>
        <v>0</v>
      </c>
      <c r="BA54" s="293">
        <f t="shared" si="29"/>
        <v>0</v>
      </c>
      <c r="BB54" s="293">
        <f t="shared" si="29"/>
        <v>0</v>
      </c>
      <c r="BC54" s="293">
        <f t="shared" si="29"/>
        <v>0</v>
      </c>
      <c r="BD54" s="293">
        <f t="shared" si="29"/>
        <v>0</v>
      </c>
      <c r="BE54" s="293">
        <f t="shared" si="29"/>
        <v>0</v>
      </c>
      <c r="BF54" s="293">
        <f t="shared" si="29"/>
        <v>0</v>
      </c>
      <c r="BG54" s="293">
        <f t="shared" si="29"/>
        <v>0</v>
      </c>
      <c r="BH54" s="293">
        <f t="shared" si="29"/>
        <v>0</v>
      </c>
      <c r="BI54" s="293">
        <f t="shared" si="29"/>
        <v>0</v>
      </c>
      <c r="BJ54" s="293">
        <f t="shared" si="29"/>
        <v>0</v>
      </c>
      <c r="BK54" s="293">
        <f t="shared" si="29"/>
        <v>0</v>
      </c>
      <c r="BL54" s="293">
        <f t="shared" si="29"/>
        <v>0</v>
      </c>
      <c r="BM54" s="293">
        <f t="shared" si="29"/>
        <v>0</v>
      </c>
      <c r="BN54" s="293">
        <f t="shared" si="29"/>
        <v>0</v>
      </c>
      <c r="BO54" s="294"/>
      <c r="BS54" s="219"/>
    </row>
    <row r="55" spans="1:71" s="216" customFormat="1">
      <c r="A55" s="215"/>
      <c r="B55" s="584"/>
      <c r="C55" s="214"/>
      <c r="D55" s="293"/>
      <c r="E55" s="293"/>
      <c r="F55" s="293"/>
      <c r="G55" s="293"/>
      <c r="H55" s="293"/>
      <c r="I55" s="293"/>
      <c r="J55" s="293"/>
      <c r="K55" s="293"/>
      <c r="L55" s="293"/>
      <c r="M55" s="293"/>
      <c r="N55" s="293"/>
      <c r="O55" s="293"/>
      <c r="P55" s="293"/>
      <c r="Q55" s="293"/>
      <c r="R55" s="293"/>
      <c r="S55" s="293"/>
      <c r="T55" s="293"/>
      <c r="U55" s="293"/>
      <c r="V55" s="293"/>
      <c r="W55" s="293"/>
      <c r="X55" s="293"/>
      <c r="Y55" s="293"/>
      <c r="Z55" s="293"/>
      <c r="AA55" s="293"/>
      <c r="AB55" s="293"/>
      <c r="AC55" s="293"/>
      <c r="AD55" s="293"/>
      <c r="AE55" s="293"/>
      <c r="AF55" s="293"/>
      <c r="AG55" s="293"/>
      <c r="AH55" s="293"/>
      <c r="AI55" s="293"/>
      <c r="AJ55" s="293"/>
      <c r="AK55" s="293"/>
      <c r="AL55" s="293"/>
      <c r="AM55" s="293"/>
      <c r="AN55" s="293"/>
      <c r="AO55" s="293"/>
      <c r="AP55" s="293"/>
      <c r="AQ55" s="293"/>
      <c r="AR55" s="293"/>
      <c r="AS55" s="293"/>
      <c r="AT55" s="293"/>
      <c r="AU55" s="293"/>
      <c r="AV55" s="293"/>
      <c r="AW55" s="293"/>
      <c r="AX55" s="293"/>
      <c r="AY55" s="293"/>
      <c r="AZ55" s="293"/>
      <c r="BA55" s="293"/>
      <c r="BB55" s="293"/>
      <c r="BC55" s="293"/>
      <c r="BD55" s="293"/>
      <c r="BE55" s="293"/>
      <c r="BF55" s="293"/>
      <c r="BG55" s="293"/>
      <c r="BH55" s="293"/>
      <c r="BI55" s="293"/>
      <c r="BJ55" s="293"/>
      <c r="BK55" s="293"/>
      <c r="BL55" s="293"/>
      <c r="BM55" s="293"/>
      <c r="BN55" s="293"/>
      <c r="BO55" s="294"/>
      <c r="BS55" s="219"/>
    </row>
    <row r="56" spans="1:71" s="216" customFormat="1">
      <c r="A56" s="215"/>
      <c r="B56" s="591">
        <f>SUM(D24:BN24,D27:BN27,D40:BN40,D53:BN53)/$C$5</f>
        <v>2.0932241878950757</v>
      </c>
      <c r="BO56" s="294"/>
      <c r="BS56" s="219"/>
    </row>
    <row r="57" spans="1:71" s="216" customFormat="1">
      <c r="A57" s="215"/>
      <c r="B57" s="592">
        <f>XIRR(C57:BN57,C6:BN6)</f>
        <v>0.16337835192680361</v>
      </c>
      <c r="C57" s="593">
        <f>C7</f>
        <v>-24033944.982098967</v>
      </c>
      <c r="D57" s="593">
        <f t="shared" ref="D57:BN57" si="30">D7+D24+D27+D40+D53</f>
        <v>0</v>
      </c>
      <c r="E57" s="593">
        <f t="shared" si="30"/>
        <v>0</v>
      </c>
      <c r="F57" s="593">
        <f t="shared" si="30"/>
        <v>0</v>
      </c>
      <c r="G57" s="593">
        <f t="shared" si="30"/>
        <v>0</v>
      </c>
      <c r="H57" s="593">
        <f t="shared" si="30"/>
        <v>0</v>
      </c>
      <c r="I57" s="593">
        <f t="shared" si="30"/>
        <v>0</v>
      </c>
      <c r="J57" s="593">
        <f t="shared" si="30"/>
        <v>0</v>
      </c>
      <c r="K57" s="593">
        <f t="shared" si="30"/>
        <v>0</v>
      </c>
      <c r="L57" s="593">
        <f t="shared" si="30"/>
        <v>0</v>
      </c>
      <c r="M57" s="593">
        <f t="shared" si="30"/>
        <v>0</v>
      </c>
      <c r="N57" s="593">
        <f t="shared" si="30"/>
        <v>0</v>
      </c>
      <c r="O57" s="593">
        <f t="shared" si="30"/>
        <v>0</v>
      </c>
      <c r="P57" s="593">
        <f t="shared" si="30"/>
        <v>0</v>
      </c>
      <c r="Q57" s="593">
        <f t="shared" si="30"/>
        <v>0</v>
      </c>
      <c r="R57" s="593">
        <f t="shared" si="30"/>
        <v>0</v>
      </c>
      <c r="S57" s="593">
        <f t="shared" si="30"/>
        <v>0</v>
      </c>
      <c r="T57" s="593">
        <f t="shared" si="30"/>
        <v>0</v>
      </c>
      <c r="U57" s="593">
        <f t="shared" si="30"/>
        <v>0</v>
      </c>
      <c r="V57" s="593">
        <f t="shared" si="30"/>
        <v>0</v>
      </c>
      <c r="W57" s="593">
        <f t="shared" si="30"/>
        <v>0</v>
      </c>
      <c r="X57" s="593">
        <f t="shared" si="30"/>
        <v>55865.937070519256</v>
      </c>
      <c r="Y57" s="593">
        <f t="shared" si="30"/>
        <v>55865.937070519256</v>
      </c>
      <c r="Z57" s="593">
        <f t="shared" si="30"/>
        <v>55865.937070519256</v>
      </c>
      <c r="AA57" s="593">
        <f t="shared" si="30"/>
        <v>1567865.9370705192</v>
      </c>
      <c r="AB57" s="593">
        <f t="shared" si="30"/>
        <v>55865.937070519256</v>
      </c>
      <c r="AC57" s="593">
        <f t="shared" si="30"/>
        <v>55865.937070519256</v>
      </c>
      <c r="AD57" s="593">
        <f t="shared" si="30"/>
        <v>-1220620.9207049725</v>
      </c>
      <c r="AE57" s="593">
        <f t="shared" si="30"/>
        <v>160402.43820649723</v>
      </c>
      <c r="AF57" s="593">
        <f t="shared" si="30"/>
        <v>160402.43820649723</v>
      </c>
      <c r="AG57" s="593">
        <f t="shared" si="30"/>
        <v>160402.43820649723</v>
      </c>
      <c r="AH57" s="593">
        <f t="shared" si="30"/>
        <v>160402.43820649723</v>
      </c>
      <c r="AI57" s="593">
        <f t="shared" si="30"/>
        <v>160402.43820649723</v>
      </c>
      <c r="AJ57" s="593">
        <f t="shared" si="30"/>
        <v>174756.336958414</v>
      </c>
      <c r="AK57" s="593">
        <f t="shared" si="30"/>
        <v>174756.336958414</v>
      </c>
      <c r="AL57" s="593">
        <f t="shared" si="30"/>
        <v>174756.336958414</v>
      </c>
      <c r="AM57" s="593">
        <f t="shared" si="30"/>
        <v>174756.336958414</v>
      </c>
      <c r="AN57" s="593">
        <f t="shared" si="30"/>
        <v>174756.336958414</v>
      </c>
      <c r="AO57" s="593">
        <f t="shared" si="30"/>
        <v>174756.336958414</v>
      </c>
      <c r="AP57" s="593">
        <f t="shared" si="30"/>
        <v>93471.925282638869</v>
      </c>
      <c r="AQ57" s="593">
        <f t="shared" si="30"/>
        <v>93471.925282638811</v>
      </c>
      <c r="AR57" s="593">
        <f t="shared" si="30"/>
        <v>93471.925282638811</v>
      </c>
      <c r="AS57" s="593">
        <f t="shared" si="30"/>
        <v>93471.925282638811</v>
      </c>
      <c r="AT57" s="593">
        <f t="shared" si="30"/>
        <v>93471.925282638811</v>
      </c>
      <c r="AU57" s="593">
        <f t="shared" si="30"/>
        <v>93471.925282638869</v>
      </c>
      <c r="AV57" s="593">
        <f t="shared" si="30"/>
        <v>108277.02087538387</v>
      </c>
      <c r="AW57" s="593">
        <f t="shared" si="30"/>
        <v>108277.02087538387</v>
      </c>
      <c r="AX57" s="593">
        <f t="shared" si="30"/>
        <v>108277.02087538387</v>
      </c>
      <c r="AY57" s="593">
        <f t="shared" si="30"/>
        <v>108277.02087538387</v>
      </c>
      <c r="AZ57" s="593">
        <f t="shared" si="30"/>
        <v>108277.02087538387</v>
      </c>
      <c r="BA57" s="593">
        <f t="shared" si="30"/>
        <v>108277.02087538387</v>
      </c>
      <c r="BB57" s="593">
        <f t="shared" si="30"/>
        <v>108277.02087538387</v>
      </c>
      <c r="BC57" s="593">
        <f t="shared" si="30"/>
        <v>108277.02087538387</v>
      </c>
      <c r="BD57" s="593">
        <f t="shared" si="30"/>
        <v>108277.02087538387</v>
      </c>
      <c r="BE57" s="593">
        <f t="shared" si="30"/>
        <v>108277.02087538387</v>
      </c>
      <c r="BF57" s="593">
        <f t="shared" si="30"/>
        <v>108277.02087538387</v>
      </c>
      <c r="BG57" s="593">
        <f t="shared" si="30"/>
        <v>108277.02087538387</v>
      </c>
      <c r="BH57" s="593">
        <f t="shared" si="30"/>
        <v>123547.2608117474</v>
      </c>
      <c r="BI57" s="593">
        <f t="shared" si="30"/>
        <v>123547.2608117474</v>
      </c>
      <c r="BJ57" s="593">
        <f t="shared" si="30"/>
        <v>123547.26081174746</v>
      </c>
      <c r="BK57" s="593">
        <f t="shared" si="30"/>
        <v>123547.26081174746</v>
      </c>
      <c r="BL57" s="593">
        <f t="shared" si="30"/>
        <v>123547.2608117474</v>
      </c>
      <c r="BM57" s="593">
        <f t="shared" si="30"/>
        <v>45353417.946308747</v>
      </c>
      <c r="BN57" s="593">
        <f t="shared" si="30"/>
        <v>0</v>
      </c>
      <c r="BO57" s="294"/>
      <c r="BS57" s="219"/>
    </row>
    <row r="58" spans="1:71" s="216" customFormat="1">
      <c r="A58" s="215"/>
      <c r="B58" s="226"/>
      <c r="C58" s="224"/>
      <c r="D58" s="224"/>
      <c r="E58" s="224"/>
      <c r="F58" s="224"/>
      <c r="G58" s="224"/>
      <c r="H58" s="224"/>
      <c r="I58" s="224"/>
      <c r="J58" s="224"/>
      <c r="K58" s="224"/>
      <c r="L58" s="224"/>
      <c r="M58" s="224"/>
      <c r="N58" s="224"/>
      <c r="O58" s="224"/>
      <c r="P58" s="224"/>
      <c r="Q58" s="224"/>
      <c r="R58" s="224"/>
      <c r="S58" s="224"/>
      <c r="T58" s="224"/>
      <c r="U58" s="224"/>
      <c r="V58" s="224"/>
      <c r="W58" s="224"/>
      <c r="X58" s="224"/>
      <c r="Y58" s="224"/>
      <c r="Z58" s="224"/>
      <c r="AA58" s="224"/>
      <c r="AB58" s="224"/>
      <c r="AC58" s="224"/>
      <c r="AD58" s="224"/>
      <c r="AE58" s="224"/>
      <c r="AF58" s="224"/>
      <c r="AG58" s="224"/>
      <c r="AH58" s="224"/>
      <c r="AI58" s="224"/>
      <c r="AJ58" s="224"/>
      <c r="AK58" s="224"/>
      <c r="AL58" s="224"/>
      <c r="AM58" s="224"/>
      <c r="AN58" s="224"/>
      <c r="AO58" s="224"/>
      <c r="AP58" s="224"/>
      <c r="AQ58" s="224"/>
      <c r="AR58" s="224"/>
      <c r="AS58" s="224"/>
      <c r="AT58" s="224"/>
      <c r="AU58" s="224"/>
      <c r="AV58" s="224"/>
      <c r="AW58" s="224"/>
      <c r="AX58" s="224"/>
      <c r="AY58" s="224"/>
      <c r="AZ58" s="224"/>
      <c r="BA58" s="224"/>
      <c r="BB58" s="224"/>
      <c r="BC58" s="224"/>
      <c r="BD58" s="224"/>
      <c r="BE58" s="224"/>
      <c r="BF58" s="224"/>
      <c r="BG58" s="224"/>
      <c r="BH58" s="224"/>
      <c r="BI58" s="224"/>
      <c r="BJ58" s="224"/>
      <c r="BK58" s="224"/>
      <c r="BL58" s="224"/>
      <c r="BM58" s="224"/>
      <c r="BN58" s="224"/>
      <c r="BO58" s="276"/>
      <c r="BS58" s="219"/>
    </row>
    <row r="59" spans="1:71" s="216" customFormat="1">
      <c r="A59" s="215"/>
      <c r="B59" s="437" t="str">
        <f>BP8</f>
        <v>5th Priority Split (40/60)</v>
      </c>
      <c r="C59" s="438" t="s">
        <v>171</v>
      </c>
      <c r="D59" s="439"/>
      <c r="E59" s="439"/>
      <c r="F59" s="439"/>
      <c r="G59" s="439"/>
      <c r="H59" s="439"/>
      <c r="I59" s="439"/>
      <c r="J59" s="439"/>
      <c r="K59" s="439"/>
      <c r="L59" s="439"/>
      <c r="M59" s="439"/>
      <c r="N59" s="439"/>
      <c r="O59" s="439"/>
      <c r="P59" s="439"/>
      <c r="Q59" s="439"/>
      <c r="R59" s="439"/>
      <c r="S59" s="439"/>
      <c r="T59" s="439"/>
      <c r="U59" s="439"/>
      <c r="V59" s="439"/>
      <c r="W59" s="439"/>
      <c r="X59" s="439"/>
      <c r="Y59" s="439"/>
      <c r="Z59" s="439"/>
      <c r="AA59" s="439"/>
      <c r="AB59" s="439"/>
      <c r="AC59" s="439"/>
      <c r="AD59" s="439"/>
      <c r="AE59" s="439"/>
      <c r="AF59" s="439"/>
      <c r="AG59" s="439"/>
      <c r="AH59" s="439"/>
      <c r="AI59" s="439"/>
      <c r="AJ59" s="439"/>
      <c r="AK59" s="439"/>
      <c r="AL59" s="439"/>
      <c r="AM59" s="439"/>
      <c r="AN59" s="439"/>
      <c r="AO59" s="439"/>
      <c r="AP59" s="439"/>
      <c r="AQ59" s="439"/>
      <c r="AR59" s="439"/>
      <c r="AS59" s="439"/>
      <c r="AT59" s="439"/>
      <c r="AU59" s="439"/>
      <c r="AV59" s="439"/>
      <c r="AW59" s="439"/>
      <c r="AX59" s="439"/>
      <c r="AY59" s="439"/>
      <c r="AZ59" s="439"/>
      <c r="BA59" s="439"/>
      <c r="BB59" s="439"/>
      <c r="BC59" s="439"/>
      <c r="BD59" s="439"/>
      <c r="BE59" s="439"/>
      <c r="BF59" s="439"/>
      <c r="BG59" s="439"/>
      <c r="BH59" s="439"/>
      <c r="BI59" s="439"/>
      <c r="BJ59" s="439"/>
      <c r="BK59" s="439"/>
      <c r="BL59" s="439"/>
      <c r="BM59" s="439"/>
      <c r="BN59" s="440">
        <f>BN28-BN40-BN41-BN46-BN47</f>
        <v>0</v>
      </c>
      <c r="BO59" s="350"/>
      <c r="BS59" s="219"/>
    </row>
    <row r="60" spans="1:71" s="234" customFormat="1">
      <c r="A60" s="215"/>
      <c r="B60" s="564" t="s">
        <v>181</v>
      </c>
      <c r="C60" s="292"/>
      <c r="D60" s="489">
        <f>+$BQ$8*(D32-D40-D41-D53-D54)</f>
        <v>0</v>
      </c>
      <c r="E60" s="489">
        <f t="shared" ref="E60:BN60" si="31">+$BQ$8*(E32-E40-E41-E53-E54)</f>
        <v>0</v>
      </c>
      <c r="F60" s="489">
        <f t="shared" si="31"/>
        <v>0</v>
      </c>
      <c r="G60" s="489">
        <f t="shared" si="31"/>
        <v>0</v>
      </c>
      <c r="H60" s="489">
        <f t="shared" si="31"/>
        <v>0</v>
      </c>
      <c r="I60" s="489">
        <f t="shared" si="31"/>
        <v>0</v>
      </c>
      <c r="J60" s="489">
        <f t="shared" si="31"/>
        <v>0</v>
      </c>
      <c r="K60" s="489">
        <f t="shared" si="31"/>
        <v>0</v>
      </c>
      <c r="L60" s="489">
        <f t="shared" si="31"/>
        <v>0</v>
      </c>
      <c r="M60" s="489">
        <f t="shared" si="31"/>
        <v>0</v>
      </c>
      <c r="N60" s="489">
        <f t="shared" si="31"/>
        <v>0</v>
      </c>
      <c r="O60" s="489">
        <f t="shared" si="31"/>
        <v>0</v>
      </c>
      <c r="P60" s="489">
        <f t="shared" si="31"/>
        <v>0</v>
      </c>
      <c r="Q60" s="489">
        <f t="shared" si="31"/>
        <v>0</v>
      </c>
      <c r="R60" s="489">
        <f t="shared" si="31"/>
        <v>0</v>
      </c>
      <c r="S60" s="489">
        <f t="shared" si="31"/>
        <v>0</v>
      </c>
      <c r="T60" s="489">
        <f t="shared" si="31"/>
        <v>0</v>
      </c>
      <c r="U60" s="489">
        <f t="shared" si="31"/>
        <v>0</v>
      </c>
      <c r="V60" s="489">
        <f t="shared" si="31"/>
        <v>0</v>
      </c>
      <c r="W60" s="489">
        <f t="shared" si="31"/>
        <v>0</v>
      </c>
      <c r="X60" s="489">
        <f t="shared" si="31"/>
        <v>0</v>
      </c>
      <c r="Y60" s="489">
        <f t="shared" si="31"/>
        <v>0</v>
      </c>
      <c r="Z60" s="489">
        <f t="shared" si="31"/>
        <v>0</v>
      </c>
      <c r="AA60" s="489">
        <f t="shared" si="31"/>
        <v>0</v>
      </c>
      <c r="AB60" s="489">
        <f t="shared" si="31"/>
        <v>0</v>
      </c>
      <c r="AC60" s="489">
        <f t="shared" si="31"/>
        <v>0</v>
      </c>
      <c r="AD60" s="489">
        <f t="shared" si="31"/>
        <v>0</v>
      </c>
      <c r="AE60" s="489">
        <f t="shared" si="31"/>
        <v>0</v>
      </c>
      <c r="AF60" s="489">
        <f t="shared" si="31"/>
        <v>0</v>
      </c>
      <c r="AG60" s="489">
        <f t="shared" si="31"/>
        <v>0</v>
      </c>
      <c r="AH60" s="489">
        <f t="shared" si="31"/>
        <v>0</v>
      </c>
      <c r="AI60" s="489">
        <f t="shared" si="31"/>
        <v>0</v>
      </c>
      <c r="AJ60" s="489">
        <f t="shared" si="31"/>
        <v>0</v>
      </c>
      <c r="AK60" s="489">
        <f t="shared" si="31"/>
        <v>0</v>
      </c>
      <c r="AL60" s="489">
        <f t="shared" si="31"/>
        <v>0</v>
      </c>
      <c r="AM60" s="489">
        <f t="shared" si="31"/>
        <v>0</v>
      </c>
      <c r="AN60" s="489">
        <f t="shared" si="31"/>
        <v>0</v>
      </c>
      <c r="AO60" s="489">
        <f t="shared" si="31"/>
        <v>0</v>
      </c>
      <c r="AP60" s="489">
        <f t="shared" si="31"/>
        <v>0</v>
      </c>
      <c r="AQ60" s="489">
        <f t="shared" si="31"/>
        <v>0</v>
      </c>
      <c r="AR60" s="489">
        <f t="shared" si="31"/>
        <v>0</v>
      </c>
      <c r="AS60" s="489">
        <f t="shared" si="31"/>
        <v>0</v>
      </c>
      <c r="AT60" s="489">
        <f t="shared" si="31"/>
        <v>0</v>
      </c>
      <c r="AU60" s="489">
        <f t="shared" si="31"/>
        <v>0</v>
      </c>
      <c r="AV60" s="489">
        <f t="shared" si="31"/>
        <v>0</v>
      </c>
      <c r="AW60" s="489">
        <f t="shared" si="31"/>
        <v>0</v>
      </c>
      <c r="AX60" s="489">
        <f t="shared" si="31"/>
        <v>0</v>
      </c>
      <c r="AY60" s="489">
        <f t="shared" si="31"/>
        <v>0</v>
      </c>
      <c r="AZ60" s="489">
        <f t="shared" si="31"/>
        <v>0</v>
      </c>
      <c r="BA60" s="489">
        <f t="shared" si="31"/>
        <v>0</v>
      </c>
      <c r="BB60" s="489">
        <f t="shared" si="31"/>
        <v>0</v>
      </c>
      <c r="BC60" s="489">
        <f t="shared" si="31"/>
        <v>0</v>
      </c>
      <c r="BD60" s="489">
        <f t="shared" si="31"/>
        <v>0</v>
      </c>
      <c r="BE60" s="489">
        <f t="shared" si="31"/>
        <v>0</v>
      </c>
      <c r="BF60" s="489">
        <f t="shared" si="31"/>
        <v>0</v>
      </c>
      <c r="BG60" s="489">
        <f t="shared" si="31"/>
        <v>0</v>
      </c>
      <c r="BH60" s="489">
        <f t="shared" si="31"/>
        <v>0</v>
      </c>
      <c r="BI60" s="489">
        <f t="shared" si="31"/>
        <v>0</v>
      </c>
      <c r="BJ60" s="489">
        <f t="shared" si="31"/>
        <v>0</v>
      </c>
      <c r="BK60" s="489">
        <f t="shared" si="31"/>
        <v>0</v>
      </c>
      <c r="BL60" s="489">
        <f t="shared" si="31"/>
        <v>0</v>
      </c>
      <c r="BM60" s="489">
        <f t="shared" si="31"/>
        <v>0</v>
      </c>
      <c r="BN60" s="489">
        <f t="shared" si="31"/>
        <v>0</v>
      </c>
      <c r="BO60" s="565"/>
      <c r="BS60" s="566"/>
    </row>
    <row r="61" spans="1:71" s="216" customFormat="1">
      <c r="A61" s="215"/>
      <c r="B61" s="248" t="s">
        <v>41</v>
      </c>
      <c r="C61" s="214">
        <f>BQ8</f>
        <v>0.65</v>
      </c>
      <c r="D61" s="293">
        <f>D60</f>
        <v>0</v>
      </c>
      <c r="E61" s="293">
        <f>E60</f>
        <v>0</v>
      </c>
      <c r="F61" s="293">
        <f t="shared" ref="F61" si="32">F60</f>
        <v>0</v>
      </c>
      <c r="G61" s="293">
        <f>G60</f>
        <v>0</v>
      </c>
      <c r="H61" s="293">
        <f t="shared" ref="H61:BN61" si="33">H60</f>
        <v>0</v>
      </c>
      <c r="I61" s="293">
        <f t="shared" si="33"/>
        <v>0</v>
      </c>
      <c r="J61" s="293">
        <f t="shared" si="33"/>
        <v>0</v>
      </c>
      <c r="K61" s="293">
        <f t="shared" si="33"/>
        <v>0</v>
      </c>
      <c r="L61" s="293">
        <f t="shared" si="33"/>
        <v>0</v>
      </c>
      <c r="M61" s="293">
        <f t="shared" si="33"/>
        <v>0</v>
      </c>
      <c r="N61" s="293">
        <f t="shared" si="33"/>
        <v>0</v>
      </c>
      <c r="O61" s="293">
        <f t="shared" si="33"/>
        <v>0</v>
      </c>
      <c r="P61" s="293">
        <f t="shared" si="33"/>
        <v>0</v>
      </c>
      <c r="Q61" s="293">
        <f t="shared" si="33"/>
        <v>0</v>
      </c>
      <c r="R61" s="293">
        <f t="shared" si="33"/>
        <v>0</v>
      </c>
      <c r="S61" s="293">
        <f t="shared" si="33"/>
        <v>0</v>
      </c>
      <c r="T61" s="293">
        <f t="shared" si="33"/>
        <v>0</v>
      </c>
      <c r="U61" s="293">
        <f t="shared" si="33"/>
        <v>0</v>
      </c>
      <c r="V61" s="293">
        <f t="shared" si="33"/>
        <v>0</v>
      </c>
      <c r="W61" s="293">
        <f t="shared" si="33"/>
        <v>0</v>
      </c>
      <c r="X61" s="293">
        <f t="shared" si="33"/>
        <v>0</v>
      </c>
      <c r="Y61" s="293">
        <f t="shared" si="33"/>
        <v>0</v>
      </c>
      <c r="Z61" s="293">
        <f t="shared" si="33"/>
        <v>0</v>
      </c>
      <c r="AA61" s="293">
        <f t="shared" si="33"/>
        <v>0</v>
      </c>
      <c r="AB61" s="293">
        <f t="shared" si="33"/>
        <v>0</v>
      </c>
      <c r="AC61" s="293">
        <f t="shared" si="33"/>
        <v>0</v>
      </c>
      <c r="AD61" s="293">
        <f t="shared" si="33"/>
        <v>0</v>
      </c>
      <c r="AE61" s="293">
        <f t="shared" si="33"/>
        <v>0</v>
      </c>
      <c r="AF61" s="293">
        <f t="shared" si="33"/>
        <v>0</v>
      </c>
      <c r="AG61" s="293">
        <f t="shared" si="33"/>
        <v>0</v>
      </c>
      <c r="AH61" s="293">
        <f t="shared" si="33"/>
        <v>0</v>
      </c>
      <c r="AI61" s="293">
        <f t="shared" si="33"/>
        <v>0</v>
      </c>
      <c r="AJ61" s="293">
        <f t="shared" si="33"/>
        <v>0</v>
      </c>
      <c r="AK61" s="293">
        <f t="shared" si="33"/>
        <v>0</v>
      </c>
      <c r="AL61" s="293">
        <f t="shared" si="33"/>
        <v>0</v>
      </c>
      <c r="AM61" s="293">
        <f t="shared" si="33"/>
        <v>0</v>
      </c>
      <c r="AN61" s="293">
        <f t="shared" si="33"/>
        <v>0</v>
      </c>
      <c r="AO61" s="293">
        <f t="shared" si="33"/>
        <v>0</v>
      </c>
      <c r="AP61" s="293">
        <f t="shared" si="33"/>
        <v>0</v>
      </c>
      <c r="AQ61" s="293">
        <f t="shared" si="33"/>
        <v>0</v>
      </c>
      <c r="AR61" s="293">
        <f t="shared" si="33"/>
        <v>0</v>
      </c>
      <c r="AS61" s="293">
        <f t="shared" si="33"/>
        <v>0</v>
      </c>
      <c r="AT61" s="293">
        <f t="shared" si="33"/>
        <v>0</v>
      </c>
      <c r="AU61" s="293">
        <f t="shared" si="33"/>
        <v>0</v>
      </c>
      <c r="AV61" s="293">
        <f t="shared" si="33"/>
        <v>0</v>
      </c>
      <c r="AW61" s="293">
        <f t="shared" si="33"/>
        <v>0</v>
      </c>
      <c r="AX61" s="293">
        <f t="shared" si="33"/>
        <v>0</v>
      </c>
      <c r="AY61" s="293">
        <f t="shared" si="33"/>
        <v>0</v>
      </c>
      <c r="AZ61" s="293">
        <f t="shared" si="33"/>
        <v>0</v>
      </c>
      <c r="BA61" s="293">
        <f t="shared" si="33"/>
        <v>0</v>
      </c>
      <c r="BB61" s="293">
        <f t="shared" si="33"/>
        <v>0</v>
      </c>
      <c r="BC61" s="293">
        <f t="shared" si="33"/>
        <v>0</v>
      </c>
      <c r="BD61" s="293">
        <f t="shared" si="33"/>
        <v>0</v>
      </c>
      <c r="BE61" s="293">
        <f t="shared" si="33"/>
        <v>0</v>
      </c>
      <c r="BF61" s="293">
        <f t="shared" si="33"/>
        <v>0</v>
      </c>
      <c r="BG61" s="293">
        <f t="shared" si="33"/>
        <v>0</v>
      </c>
      <c r="BH61" s="293">
        <f t="shared" si="33"/>
        <v>0</v>
      </c>
      <c r="BI61" s="293">
        <f t="shared" si="33"/>
        <v>0</v>
      </c>
      <c r="BJ61" s="293">
        <f t="shared" si="33"/>
        <v>0</v>
      </c>
      <c r="BK61" s="293">
        <f t="shared" si="33"/>
        <v>0</v>
      </c>
      <c r="BL61" s="293">
        <f t="shared" si="33"/>
        <v>0</v>
      </c>
      <c r="BM61" s="293">
        <f t="shared" si="33"/>
        <v>0</v>
      </c>
      <c r="BN61" s="293">
        <f t="shared" si="33"/>
        <v>0</v>
      </c>
      <c r="BO61" s="294"/>
      <c r="BS61" s="219"/>
    </row>
    <row r="62" spans="1:71" s="216" customFormat="1" ht="15.75" thickBot="1">
      <c r="A62" s="215"/>
      <c r="B62" s="464" t="s">
        <v>150</v>
      </c>
      <c r="C62" s="465">
        <f>100%-C61</f>
        <v>0.35</v>
      </c>
      <c r="D62" s="293">
        <f>((D61/$C$61)*$C$62)</f>
        <v>0</v>
      </c>
      <c r="E62" s="293">
        <f>((E61/$C$61)*$C$62)</f>
        <v>0</v>
      </c>
      <c r="F62" s="293">
        <f t="shared" ref="F62:BN62" si="34">((F61/$C$61)*$C$62)</f>
        <v>0</v>
      </c>
      <c r="G62" s="293">
        <f t="shared" si="34"/>
        <v>0</v>
      </c>
      <c r="H62" s="293">
        <f t="shared" si="34"/>
        <v>0</v>
      </c>
      <c r="I62" s="293">
        <f t="shared" si="34"/>
        <v>0</v>
      </c>
      <c r="J62" s="293">
        <f t="shared" si="34"/>
        <v>0</v>
      </c>
      <c r="K62" s="293">
        <f t="shared" si="34"/>
        <v>0</v>
      </c>
      <c r="L62" s="293">
        <f t="shared" si="34"/>
        <v>0</v>
      </c>
      <c r="M62" s="293">
        <f t="shared" si="34"/>
        <v>0</v>
      </c>
      <c r="N62" s="293">
        <f t="shared" si="34"/>
        <v>0</v>
      </c>
      <c r="O62" s="293">
        <f t="shared" si="34"/>
        <v>0</v>
      </c>
      <c r="P62" s="293">
        <f t="shared" si="34"/>
        <v>0</v>
      </c>
      <c r="Q62" s="293">
        <f t="shared" si="34"/>
        <v>0</v>
      </c>
      <c r="R62" s="293">
        <f t="shared" si="34"/>
        <v>0</v>
      </c>
      <c r="S62" s="293">
        <f t="shared" si="34"/>
        <v>0</v>
      </c>
      <c r="T62" s="293">
        <f t="shared" si="34"/>
        <v>0</v>
      </c>
      <c r="U62" s="293">
        <f t="shared" si="34"/>
        <v>0</v>
      </c>
      <c r="V62" s="293">
        <f t="shared" si="34"/>
        <v>0</v>
      </c>
      <c r="W62" s="293">
        <f t="shared" si="34"/>
        <v>0</v>
      </c>
      <c r="X62" s="293">
        <f t="shared" si="34"/>
        <v>0</v>
      </c>
      <c r="Y62" s="293">
        <f t="shared" si="34"/>
        <v>0</v>
      </c>
      <c r="Z62" s="293">
        <f t="shared" si="34"/>
        <v>0</v>
      </c>
      <c r="AA62" s="293">
        <f t="shared" si="34"/>
        <v>0</v>
      </c>
      <c r="AB62" s="293">
        <f t="shared" si="34"/>
        <v>0</v>
      </c>
      <c r="AC62" s="293">
        <f t="shared" si="34"/>
        <v>0</v>
      </c>
      <c r="AD62" s="293">
        <f t="shared" si="34"/>
        <v>0</v>
      </c>
      <c r="AE62" s="293">
        <f t="shared" si="34"/>
        <v>0</v>
      </c>
      <c r="AF62" s="293">
        <f t="shared" si="34"/>
        <v>0</v>
      </c>
      <c r="AG62" s="293">
        <f t="shared" si="34"/>
        <v>0</v>
      </c>
      <c r="AH62" s="293">
        <f t="shared" si="34"/>
        <v>0</v>
      </c>
      <c r="AI62" s="293">
        <f t="shared" si="34"/>
        <v>0</v>
      </c>
      <c r="AJ62" s="293">
        <f t="shared" si="34"/>
        <v>0</v>
      </c>
      <c r="AK62" s="293">
        <f t="shared" si="34"/>
        <v>0</v>
      </c>
      <c r="AL62" s="293">
        <f t="shared" si="34"/>
        <v>0</v>
      </c>
      <c r="AM62" s="293">
        <f t="shared" si="34"/>
        <v>0</v>
      </c>
      <c r="AN62" s="293">
        <f t="shared" si="34"/>
        <v>0</v>
      </c>
      <c r="AO62" s="293">
        <f t="shared" si="34"/>
        <v>0</v>
      </c>
      <c r="AP62" s="293">
        <f t="shared" si="34"/>
        <v>0</v>
      </c>
      <c r="AQ62" s="293">
        <f t="shared" si="34"/>
        <v>0</v>
      </c>
      <c r="AR62" s="293">
        <f t="shared" si="34"/>
        <v>0</v>
      </c>
      <c r="AS62" s="293">
        <f t="shared" si="34"/>
        <v>0</v>
      </c>
      <c r="AT62" s="293">
        <f t="shared" si="34"/>
        <v>0</v>
      </c>
      <c r="AU62" s="293">
        <f t="shared" si="34"/>
        <v>0</v>
      </c>
      <c r="AV62" s="293">
        <f t="shared" si="34"/>
        <v>0</v>
      </c>
      <c r="AW62" s="293">
        <f t="shared" si="34"/>
        <v>0</v>
      </c>
      <c r="AX62" s="293">
        <f t="shared" si="34"/>
        <v>0</v>
      </c>
      <c r="AY62" s="293">
        <f t="shared" si="34"/>
        <v>0</v>
      </c>
      <c r="AZ62" s="293">
        <f t="shared" si="34"/>
        <v>0</v>
      </c>
      <c r="BA62" s="293">
        <f t="shared" si="34"/>
        <v>0</v>
      </c>
      <c r="BB62" s="293">
        <f t="shared" si="34"/>
        <v>0</v>
      </c>
      <c r="BC62" s="293">
        <f t="shared" si="34"/>
        <v>0</v>
      </c>
      <c r="BD62" s="293">
        <f t="shared" si="34"/>
        <v>0</v>
      </c>
      <c r="BE62" s="293">
        <f t="shared" si="34"/>
        <v>0</v>
      </c>
      <c r="BF62" s="293">
        <f t="shared" si="34"/>
        <v>0</v>
      </c>
      <c r="BG62" s="293">
        <f t="shared" si="34"/>
        <v>0</v>
      </c>
      <c r="BH62" s="293">
        <f t="shared" si="34"/>
        <v>0</v>
      </c>
      <c r="BI62" s="293">
        <f t="shared" si="34"/>
        <v>0</v>
      </c>
      <c r="BJ62" s="293">
        <f t="shared" si="34"/>
        <v>0</v>
      </c>
      <c r="BK62" s="293">
        <f t="shared" si="34"/>
        <v>0</v>
      </c>
      <c r="BL62" s="293">
        <f t="shared" si="34"/>
        <v>0</v>
      </c>
      <c r="BM62" s="293">
        <f t="shared" si="34"/>
        <v>0</v>
      </c>
      <c r="BN62" s="293">
        <f t="shared" si="34"/>
        <v>0</v>
      </c>
      <c r="BO62" s="294"/>
      <c r="BS62" s="219"/>
    </row>
    <row r="63" spans="1:71" s="216" customFormat="1">
      <c r="A63" s="215"/>
      <c r="B63" s="301"/>
      <c r="C63" s="277"/>
      <c r="D63" s="277"/>
      <c r="E63" s="277"/>
      <c r="F63" s="277"/>
      <c r="G63" s="277"/>
      <c r="H63" s="277"/>
      <c r="I63" s="277"/>
      <c r="J63" s="277"/>
      <c r="K63" s="277"/>
      <c r="L63" s="277"/>
      <c r="M63" s="277"/>
      <c r="N63" s="277"/>
      <c r="O63" s="277"/>
      <c r="P63" s="277"/>
      <c r="Q63" s="277"/>
      <c r="R63" s="277"/>
      <c r="S63" s="277"/>
      <c r="T63" s="277"/>
      <c r="U63" s="277"/>
      <c r="V63" s="277"/>
      <c r="W63" s="277"/>
      <c r="X63" s="277"/>
      <c r="Y63" s="277"/>
      <c r="Z63" s="277"/>
      <c r="AA63" s="277"/>
      <c r="AB63" s="277"/>
      <c r="AC63" s="277"/>
      <c r="AD63" s="277"/>
      <c r="AE63" s="277"/>
      <c r="AF63" s="277"/>
      <c r="AG63" s="277"/>
      <c r="AH63" s="277"/>
      <c r="AI63" s="277"/>
      <c r="AJ63" s="277"/>
      <c r="AK63" s="277"/>
      <c r="AL63" s="277"/>
      <c r="AM63" s="277"/>
      <c r="AN63" s="277"/>
      <c r="AO63" s="277"/>
      <c r="AP63" s="277"/>
      <c r="AQ63" s="277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331"/>
      <c r="BO63" s="224"/>
      <c r="BS63" s="219"/>
    </row>
    <row r="64" spans="1:71" s="216" customFormat="1">
      <c r="A64" s="215"/>
      <c r="B64" s="441" t="s">
        <v>183</v>
      </c>
      <c r="C64" s="442"/>
      <c r="D64" s="443"/>
      <c r="E64" s="443"/>
      <c r="F64" s="443"/>
      <c r="G64" s="443"/>
      <c r="H64" s="443"/>
      <c r="I64" s="443"/>
      <c r="J64" s="443"/>
      <c r="K64" s="443"/>
      <c r="L64" s="443"/>
      <c r="M64" s="443"/>
      <c r="N64" s="443"/>
      <c r="O64" s="443"/>
      <c r="P64" s="443"/>
      <c r="Q64" s="443"/>
      <c r="R64" s="443"/>
      <c r="S64" s="443"/>
      <c r="T64" s="443"/>
      <c r="U64" s="443"/>
      <c r="V64" s="443"/>
      <c r="W64" s="443"/>
      <c r="X64" s="443"/>
      <c r="Y64" s="443"/>
      <c r="Z64" s="443"/>
      <c r="AA64" s="443"/>
      <c r="AB64" s="443"/>
      <c r="AC64" s="443"/>
      <c r="AD64" s="443"/>
      <c r="AE64" s="443"/>
      <c r="AF64" s="443"/>
      <c r="AG64" s="443"/>
      <c r="AH64" s="443"/>
      <c r="AI64" s="443"/>
      <c r="AJ64" s="443"/>
      <c r="AK64" s="443"/>
      <c r="AL64" s="443"/>
      <c r="AM64" s="443"/>
      <c r="AN64" s="443"/>
      <c r="AO64" s="443"/>
      <c r="AP64" s="443"/>
      <c r="AQ64" s="443"/>
      <c r="AR64" s="443"/>
      <c r="AS64" s="443"/>
      <c r="AT64" s="443"/>
      <c r="AU64" s="443"/>
      <c r="AV64" s="443"/>
      <c r="AW64" s="443"/>
      <c r="AX64" s="443"/>
      <c r="AY64" s="443"/>
      <c r="AZ64" s="443"/>
      <c r="BA64" s="443"/>
      <c r="BB64" s="443"/>
      <c r="BC64" s="443"/>
      <c r="BD64" s="443"/>
      <c r="BE64" s="443"/>
      <c r="BF64" s="443"/>
      <c r="BG64" s="443"/>
      <c r="BH64" s="443"/>
      <c r="BI64" s="443"/>
      <c r="BJ64" s="443"/>
      <c r="BK64" s="443"/>
      <c r="BL64" s="443"/>
      <c r="BM64" s="443"/>
      <c r="BN64" s="444"/>
      <c r="BO64" s="280"/>
      <c r="BS64" s="219"/>
    </row>
    <row r="65" spans="1:71" s="216" customFormat="1">
      <c r="A65" s="215"/>
      <c r="B65" s="380" t="s">
        <v>375</v>
      </c>
      <c r="C65" s="340"/>
      <c r="D65" s="340">
        <f t="shared" ref="D65:BN65" si="35">((D24+D27)*$C$17)+(D40*$C$17)+(D53*$C$17)+(D61*$C$17)</f>
        <v>0</v>
      </c>
      <c r="E65" s="340">
        <f t="shared" si="35"/>
        <v>0</v>
      </c>
      <c r="F65" s="340">
        <f t="shared" si="35"/>
        <v>0</v>
      </c>
      <c r="G65" s="340">
        <f t="shared" si="35"/>
        <v>0</v>
      </c>
      <c r="H65" s="340">
        <f t="shared" si="35"/>
        <v>0</v>
      </c>
      <c r="I65" s="340">
        <f t="shared" si="35"/>
        <v>0</v>
      </c>
      <c r="J65" s="340">
        <f t="shared" si="35"/>
        <v>0</v>
      </c>
      <c r="K65" s="340">
        <f t="shared" si="35"/>
        <v>0</v>
      </c>
      <c r="L65" s="340">
        <f t="shared" si="35"/>
        <v>0</v>
      </c>
      <c r="M65" s="340">
        <f t="shared" si="35"/>
        <v>0</v>
      </c>
      <c r="N65" s="340">
        <f t="shared" si="35"/>
        <v>0</v>
      </c>
      <c r="O65" s="340">
        <f t="shared" si="35"/>
        <v>0</v>
      </c>
      <c r="P65" s="340">
        <f t="shared" si="35"/>
        <v>0</v>
      </c>
      <c r="Q65" s="340">
        <f t="shared" si="35"/>
        <v>0</v>
      </c>
      <c r="R65" s="340">
        <f t="shared" si="35"/>
        <v>0</v>
      </c>
      <c r="S65" s="340">
        <f t="shared" si="35"/>
        <v>0</v>
      </c>
      <c r="T65" s="340">
        <f t="shared" si="35"/>
        <v>0</v>
      </c>
      <c r="U65" s="340">
        <f t="shared" si="35"/>
        <v>0</v>
      </c>
      <c r="V65" s="340">
        <f t="shared" si="35"/>
        <v>0</v>
      </c>
      <c r="W65" s="340">
        <f t="shared" si="35"/>
        <v>0</v>
      </c>
      <c r="X65" s="340">
        <f t="shared" si="35"/>
        <v>47486.046509941363</v>
      </c>
      <c r="Y65" s="340">
        <f t="shared" si="35"/>
        <v>47486.046509941363</v>
      </c>
      <c r="Z65" s="340">
        <f t="shared" si="35"/>
        <v>47486.046509941363</v>
      </c>
      <c r="AA65" s="340">
        <f t="shared" si="35"/>
        <v>1332686.0465099413</v>
      </c>
      <c r="AB65" s="340">
        <f t="shared" si="35"/>
        <v>47486.046509941363</v>
      </c>
      <c r="AC65" s="340">
        <f t="shared" si="35"/>
        <v>47486.046509941363</v>
      </c>
      <c r="AD65" s="340">
        <f t="shared" si="35"/>
        <v>-1037527.7825992266</v>
      </c>
      <c r="AE65" s="340">
        <f t="shared" si="35"/>
        <v>136342.07247552264</v>
      </c>
      <c r="AF65" s="340">
        <f t="shared" si="35"/>
        <v>136342.07247552264</v>
      </c>
      <c r="AG65" s="340">
        <f t="shared" si="35"/>
        <v>136342.07247552264</v>
      </c>
      <c r="AH65" s="340">
        <f t="shared" si="35"/>
        <v>136342.07247552264</v>
      </c>
      <c r="AI65" s="340">
        <f t="shared" si="35"/>
        <v>136342.07247552264</v>
      </c>
      <c r="AJ65" s="340">
        <f t="shared" si="35"/>
        <v>148542.8864146519</v>
      </c>
      <c r="AK65" s="340">
        <f t="shared" si="35"/>
        <v>148542.8864146519</v>
      </c>
      <c r="AL65" s="340">
        <f t="shared" si="35"/>
        <v>148542.8864146519</v>
      </c>
      <c r="AM65" s="340">
        <f t="shared" si="35"/>
        <v>148542.8864146519</v>
      </c>
      <c r="AN65" s="340">
        <f t="shared" si="35"/>
        <v>148542.8864146519</v>
      </c>
      <c r="AO65" s="340">
        <f t="shared" si="35"/>
        <v>148542.8864146519</v>
      </c>
      <c r="AP65" s="340">
        <f t="shared" si="35"/>
        <v>79451.136490243036</v>
      </c>
      <c r="AQ65" s="340">
        <f t="shared" si="35"/>
        <v>79451.136490242992</v>
      </c>
      <c r="AR65" s="340">
        <f t="shared" si="35"/>
        <v>79451.136490242992</v>
      </c>
      <c r="AS65" s="340">
        <f t="shared" si="35"/>
        <v>79451.136490242992</v>
      </c>
      <c r="AT65" s="340">
        <f t="shared" si="35"/>
        <v>79451.136490242992</v>
      </c>
      <c r="AU65" s="340">
        <f t="shared" si="35"/>
        <v>79451.136490243036</v>
      </c>
      <c r="AV65" s="340">
        <f t="shared" si="35"/>
        <v>92035.46774407629</v>
      </c>
      <c r="AW65" s="340">
        <f t="shared" si="35"/>
        <v>92035.46774407629</v>
      </c>
      <c r="AX65" s="340">
        <f t="shared" si="35"/>
        <v>92035.46774407629</v>
      </c>
      <c r="AY65" s="340">
        <f t="shared" si="35"/>
        <v>92035.46774407629</v>
      </c>
      <c r="AZ65" s="340">
        <f t="shared" si="35"/>
        <v>92035.46774407629</v>
      </c>
      <c r="BA65" s="340">
        <f t="shared" si="35"/>
        <v>92035.46774407629</v>
      </c>
      <c r="BB65" s="340">
        <f t="shared" si="35"/>
        <v>92035.46774407629</v>
      </c>
      <c r="BC65" s="340">
        <f t="shared" si="35"/>
        <v>92035.46774407629</v>
      </c>
      <c r="BD65" s="340">
        <f t="shared" si="35"/>
        <v>92035.46774407629</v>
      </c>
      <c r="BE65" s="340">
        <f t="shared" si="35"/>
        <v>92035.46774407629</v>
      </c>
      <c r="BF65" s="340">
        <f t="shared" si="35"/>
        <v>92035.46774407629</v>
      </c>
      <c r="BG65" s="340">
        <f t="shared" si="35"/>
        <v>92035.46774407629</v>
      </c>
      <c r="BH65" s="340">
        <f t="shared" si="35"/>
        <v>105015.17168998529</v>
      </c>
      <c r="BI65" s="340">
        <f t="shared" si="35"/>
        <v>105015.17168998529</v>
      </c>
      <c r="BJ65" s="340">
        <f t="shared" si="35"/>
        <v>105015.17168998533</v>
      </c>
      <c r="BK65" s="340">
        <f t="shared" si="35"/>
        <v>105015.17168998533</v>
      </c>
      <c r="BL65" s="340">
        <f t="shared" si="35"/>
        <v>105015.17168998529</v>
      </c>
      <c r="BM65" s="340">
        <f t="shared" si="35"/>
        <v>38550405.254362434</v>
      </c>
      <c r="BN65" s="448">
        <f t="shared" si="35"/>
        <v>0</v>
      </c>
      <c r="BO65" s="340"/>
      <c r="BS65" s="219"/>
    </row>
    <row r="66" spans="1:71" s="216" customFormat="1">
      <c r="A66" s="215"/>
      <c r="B66" s="380" t="s">
        <v>184</v>
      </c>
      <c r="C66" s="340"/>
      <c r="D66" s="340">
        <f>((D24+D27)*$C$18)+(D40*$C$18)+D41+(D53*$C$18)+D54+(D61*$C$18)+D62+D30</f>
        <v>0</v>
      </c>
      <c r="E66" s="340">
        <f t="shared" ref="E66:BN66" si="36">((E24+E27)*$C$18)+(E40*$C$18)+E41+(E53*$C$18)+E54+(E61*$C$18)+E62+E30</f>
        <v>0</v>
      </c>
      <c r="F66" s="340">
        <f t="shared" si="36"/>
        <v>0</v>
      </c>
      <c r="G66" s="340">
        <f t="shared" si="36"/>
        <v>0</v>
      </c>
      <c r="H66" s="340">
        <f t="shared" si="36"/>
        <v>0</v>
      </c>
      <c r="I66" s="340">
        <f t="shared" si="36"/>
        <v>0</v>
      </c>
      <c r="J66" s="340">
        <f t="shared" si="36"/>
        <v>0</v>
      </c>
      <c r="K66" s="340">
        <f t="shared" si="36"/>
        <v>0</v>
      </c>
      <c r="L66" s="340">
        <f t="shared" si="36"/>
        <v>0</v>
      </c>
      <c r="M66" s="340">
        <f t="shared" si="36"/>
        <v>0</v>
      </c>
      <c r="N66" s="340">
        <f t="shared" si="36"/>
        <v>0</v>
      </c>
      <c r="O66" s="340">
        <f t="shared" si="36"/>
        <v>0</v>
      </c>
      <c r="P66" s="340">
        <f t="shared" si="36"/>
        <v>0</v>
      </c>
      <c r="Q66" s="340">
        <f t="shared" si="36"/>
        <v>0</v>
      </c>
      <c r="R66" s="340">
        <f t="shared" si="36"/>
        <v>0</v>
      </c>
      <c r="S66" s="340">
        <f t="shared" si="36"/>
        <v>0</v>
      </c>
      <c r="T66" s="340">
        <f t="shared" si="36"/>
        <v>0</v>
      </c>
      <c r="U66" s="340">
        <f t="shared" si="36"/>
        <v>0</v>
      </c>
      <c r="V66" s="340">
        <f t="shared" si="36"/>
        <v>0</v>
      </c>
      <c r="W66" s="340">
        <f t="shared" si="36"/>
        <v>0</v>
      </c>
      <c r="X66" s="340">
        <f t="shared" si="36"/>
        <v>8379.8905605778891</v>
      </c>
      <c r="Y66" s="340">
        <f t="shared" si="36"/>
        <v>8379.8905605778891</v>
      </c>
      <c r="Z66" s="340">
        <f t="shared" si="36"/>
        <v>8379.8905605778891</v>
      </c>
      <c r="AA66" s="340">
        <f t="shared" si="36"/>
        <v>235179.89056057791</v>
      </c>
      <c r="AB66" s="340">
        <f t="shared" si="36"/>
        <v>8379.8905605778891</v>
      </c>
      <c r="AC66" s="340">
        <f t="shared" si="36"/>
        <v>8379.8905605778891</v>
      </c>
      <c r="AD66" s="340">
        <f t="shared" si="36"/>
        <v>-183093.13810574589</v>
      </c>
      <c r="AE66" s="340">
        <f t="shared" si="36"/>
        <v>24060.365730974587</v>
      </c>
      <c r="AF66" s="340">
        <f t="shared" si="36"/>
        <v>24060.365730974587</v>
      </c>
      <c r="AG66" s="340">
        <f t="shared" si="36"/>
        <v>24060.365730974587</v>
      </c>
      <c r="AH66" s="340">
        <f t="shared" si="36"/>
        <v>24060.365730974587</v>
      </c>
      <c r="AI66" s="340">
        <f t="shared" si="36"/>
        <v>24060.365730974587</v>
      </c>
      <c r="AJ66" s="340">
        <f t="shared" si="36"/>
        <v>26213.450543762105</v>
      </c>
      <c r="AK66" s="340">
        <f t="shared" si="36"/>
        <v>26213.450543762105</v>
      </c>
      <c r="AL66" s="340">
        <f t="shared" si="36"/>
        <v>26213.450543762105</v>
      </c>
      <c r="AM66" s="340">
        <f t="shared" si="36"/>
        <v>26213.450543762105</v>
      </c>
      <c r="AN66" s="340">
        <f t="shared" si="36"/>
        <v>26213.450543762105</v>
      </c>
      <c r="AO66" s="340">
        <f t="shared" si="36"/>
        <v>26213.450543762105</v>
      </c>
      <c r="AP66" s="340">
        <f t="shared" si="36"/>
        <v>14020.788792395833</v>
      </c>
      <c r="AQ66" s="340">
        <f t="shared" si="36"/>
        <v>14020.788792395824</v>
      </c>
      <c r="AR66" s="340">
        <f t="shared" si="36"/>
        <v>14020.788792395824</v>
      </c>
      <c r="AS66" s="340">
        <f t="shared" si="36"/>
        <v>14020.788792395824</v>
      </c>
      <c r="AT66" s="340">
        <f t="shared" si="36"/>
        <v>14020.788792395824</v>
      </c>
      <c r="AU66" s="340">
        <f t="shared" si="36"/>
        <v>14020.788792395833</v>
      </c>
      <c r="AV66" s="340">
        <f t="shared" si="36"/>
        <v>16241.553131307583</v>
      </c>
      <c r="AW66" s="340">
        <f t="shared" si="36"/>
        <v>16241.553131307583</v>
      </c>
      <c r="AX66" s="340">
        <f t="shared" si="36"/>
        <v>16241.553131307583</v>
      </c>
      <c r="AY66" s="340">
        <f t="shared" si="36"/>
        <v>16241.553131307583</v>
      </c>
      <c r="AZ66" s="340">
        <f>((AZ24+AZ27)*$C$18)+(AZ40*$C$18)+AZ41+(AZ53*$C$18)+AZ54+(AZ61*$C$18)+AZ62+AZ30</f>
        <v>16241.553131307583</v>
      </c>
      <c r="BA66" s="340">
        <f t="shared" si="36"/>
        <v>16241.553131307583</v>
      </c>
      <c r="BB66" s="340">
        <f t="shared" si="36"/>
        <v>16241.553131307583</v>
      </c>
      <c r="BC66" s="340">
        <f t="shared" si="36"/>
        <v>16241.553131307583</v>
      </c>
      <c r="BD66" s="340">
        <f t="shared" si="36"/>
        <v>16241.553131307583</v>
      </c>
      <c r="BE66" s="340">
        <f t="shared" si="36"/>
        <v>16241.553131307583</v>
      </c>
      <c r="BF66" s="340">
        <f t="shared" si="36"/>
        <v>16241.553131307583</v>
      </c>
      <c r="BG66" s="340">
        <f t="shared" si="36"/>
        <v>16241.553131307583</v>
      </c>
      <c r="BH66" s="340">
        <f t="shared" si="36"/>
        <v>18532.089121762114</v>
      </c>
      <c r="BI66" s="340">
        <f t="shared" si="36"/>
        <v>18532.089121762114</v>
      </c>
      <c r="BJ66" s="340">
        <f t="shared" si="36"/>
        <v>18532.089121762121</v>
      </c>
      <c r="BK66" s="340">
        <f t="shared" si="36"/>
        <v>18532.089121762121</v>
      </c>
      <c r="BL66" s="340">
        <f t="shared" si="36"/>
        <v>18532.089121762114</v>
      </c>
      <c r="BM66" s="340">
        <f t="shared" si="36"/>
        <v>9248357.1473967154</v>
      </c>
      <c r="BN66" s="340">
        <f t="shared" si="36"/>
        <v>0</v>
      </c>
      <c r="BO66" s="594"/>
      <c r="BP66" s="567" t="s">
        <v>91</v>
      </c>
      <c r="BQ66" s="567" t="s">
        <v>185</v>
      </c>
      <c r="BS66" s="219"/>
    </row>
    <row r="67" spans="1:71" s="216" customFormat="1" ht="15.75" thickBot="1">
      <c r="A67" s="215"/>
      <c r="B67" s="445" t="s">
        <v>167</v>
      </c>
      <c r="C67" s="446">
        <f>C11</f>
        <v>-24033944.982098967</v>
      </c>
      <c r="D67" s="446">
        <f>SUM(D65:D66)</f>
        <v>0</v>
      </c>
      <c r="E67" s="446">
        <f>SUM(E65:E66)</f>
        <v>0</v>
      </c>
      <c r="F67" s="446">
        <f t="shared" ref="F67:BN67" si="37">SUM(F65:F66)</f>
        <v>0</v>
      </c>
      <c r="G67" s="446">
        <f t="shared" si="37"/>
        <v>0</v>
      </c>
      <c r="H67" s="446">
        <f t="shared" si="37"/>
        <v>0</v>
      </c>
      <c r="I67" s="446">
        <f t="shared" si="37"/>
        <v>0</v>
      </c>
      <c r="J67" s="446">
        <f t="shared" si="37"/>
        <v>0</v>
      </c>
      <c r="K67" s="446">
        <f t="shared" si="37"/>
        <v>0</v>
      </c>
      <c r="L67" s="446">
        <f t="shared" si="37"/>
        <v>0</v>
      </c>
      <c r="M67" s="446">
        <f t="shared" si="37"/>
        <v>0</v>
      </c>
      <c r="N67" s="446">
        <f t="shared" si="37"/>
        <v>0</v>
      </c>
      <c r="O67" s="446">
        <f t="shared" si="37"/>
        <v>0</v>
      </c>
      <c r="P67" s="446">
        <f t="shared" si="37"/>
        <v>0</v>
      </c>
      <c r="Q67" s="446">
        <f>0</f>
        <v>0</v>
      </c>
      <c r="R67" s="446">
        <f t="shared" si="37"/>
        <v>0</v>
      </c>
      <c r="S67" s="446">
        <f t="shared" si="37"/>
        <v>0</v>
      </c>
      <c r="T67" s="446">
        <f t="shared" si="37"/>
        <v>0</v>
      </c>
      <c r="U67" s="446">
        <f t="shared" si="37"/>
        <v>0</v>
      </c>
      <c r="V67" s="446">
        <f t="shared" si="37"/>
        <v>0</v>
      </c>
      <c r="W67" s="446">
        <f t="shared" si="37"/>
        <v>0</v>
      </c>
      <c r="X67" s="446">
        <f t="shared" si="37"/>
        <v>55865.937070519256</v>
      </c>
      <c r="Y67" s="446">
        <f t="shared" si="37"/>
        <v>55865.937070519256</v>
      </c>
      <c r="Z67" s="446">
        <f t="shared" si="37"/>
        <v>55865.937070519256</v>
      </c>
      <c r="AA67" s="446">
        <f t="shared" si="37"/>
        <v>1567865.9370705192</v>
      </c>
      <c r="AB67" s="446">
        <f t="shared" si="37"/>
        <v>55865.937070519256</v>
      </c>
      <c r="AC67" s="446">
        <f t="shared" si="37"/>
        <v>55865.937070519256</v>
      </c>
      <c r="AD67" s="446">
        <f t="shared" si="37"/>
        <v>-1220620.9207049725</v>
      </c>
      <c r="AE67" s="446">
        <f t="shared" si="37"/>
        <v>160402.43820649723</v>
      </c>
      <c r="AF67" s="446">
        <f t="shared" si="37"/>
        <v>160402.43820649723</v>
      </c>
      <c r="AG67" s="446">
        <f t="shared" si="37"/>
        <v>160402.43820649723</v>
      </c>
      <c r="AH67" s="446">
        <f t="shared" si="37"/>
        <v>160402.43820649723</v>
      </c>
      <c r="AI67" s="446">
        <f t="shared" si="37"/>
        <v>160402.43820649723</v>
      </c>
      <c r="AJ67" s="446">
        <f t="shared" si="37"/>
        <v>174756.336958414</v>
      </c>
      <c r="AK67" s="446">
        <f t="shared" si="37"/>
        <v>174756.336958414</v>
      </c>
      <c r="AL67" s="446">
        <f t="shared" si="37"/>
        <v>174756.336958414</v>
      </c>
      <c r="AM67" s="446">
        <f t="shared" si="37"/>
        <v>174756.336958414</v>
      </c>
      <c r="AN67" s="446">
        <f t="shared" si="37"/>
        <v>174756.336958414</v>
      </c>
      <c r="AO67" s="446">
        <f t="shared" si="37"/>
        <v>174756.336958414</v>
      </c>
      <c r="AP67" s="446">
        <f t="shared" si="37"/>
        <v>93471.925282638869</v>
      </c>
      <c r="AQ67" s="446">
        <f t="shared" si="37"/>
        <v>93471.925282638811</v>
      </c>
      <c r="AR67" s="446">
        <f t="shared" si="37"/>
        <v>93471.925282638811</v>
      </c>
      <c r="AS67" s="446">
        <f t="shared" si="37"/>
        <v>93471.925282638811</v>
      </c>
      <c r="AT67" s="446">
        <f t="shared" si="37"/>
        <v>93471.925282638811</v>
      </c>
      <c r="AU67" s="446">
        <f t="shared" si="37"/>
        <v>93471.925282638869</v>
      </c>
      <c r="AV67" s="446">
        <f t="shared" si="37"/>
        <v>108277.02087538387</v>
      </c>
      <c r="AW67" s="446">
        <f t="shared" si="37"/>
        <v>108277.02087538387</v>
      </c>
      <c r="AX67" s="446">
        <f t="shared" si="37"/>
        <v>108277.02087538387</v>
      </c>
      <c r="AY67" s="446">
        <f t="shared" si="37"/>
        <v>108277.02087538387</v>
      </c>
      <c r="AZ67" s="446">
        <f t="shared" si="37"/>
        <v>108277.02087538387</v>
      </c>
      <c r="BA67" s="446">
        <f t="shared" si="37"/>
        <v>108277.02087538387</v>
      </c>
      <c r="BB67" s="446">
        <f t="shared" si="37"/>
        <v>108277.02087538387</v>
      </c>
      <c r="BC67" s="446">
        <f t="shared" si="37"/>
        <v>108277.02087538387</v>
      </c>
      <c r="BD67" s="446">
        <f t="shared" si="37"/>
        <v>108277.02087538387</v>
      </c>
      <c r="BE67" s="446">
        <f t="shared" si="37"/>
        <v>108277.02087538387</v>
      </c>
      <c r="BF67" s="446">
        <f>SUM(BF65:BF66)</f>
        <v>108277.02087538387</v>
      </c>
      <c r="BG67" s="446">
        <f t="shared" si="37"/>
        <v>108277.02087538387</v>
      </c>
      <c r="BH67" s="446">
        <f t="shared" si="37"/>
        <v>123547.2608117474</v>
      </c>
      <c r="BI67" s="446">
        <f t="shared" si="37"/>
        <v>123547.2608117474</v>
      </c>
      <c r="BJ67" s="446">
        <f t="shared" si="37"/>
        <v>123547.26081174746</v>
      </c>
      <c r="BK67" s="446">
        <f t="shared" si="37"/>
        <v>123547.26081174746</v>
      </c>
      <c r="BL67" s="446">
        <f t="shared" si="37"/>
        <v>123547.2608117474</v>
      </c>
      <c r="BM67" s="446">
        <f t="shared" si="37"/>
        <v>47798762.401759148</v>
      </c>
      <c r="BN67" s="446">
        <f t="shared" si="37"/>
        <v>0</v>
      </c>
      <c r="BO67" s="595"/>
      <c r="BP67" s="568">
        <f>XIRR(C67:BN67,C6:BN6)</f>
        <v>0.17446634173393252</v>
      </c>
      <c r="BQ67" s="569">
        <f>SUM(D67:BN67)/-C67</f>
        <v>2.1949696340659703</v>
      </c>
      <c r="BS67" s="219"/>
    </row>
    <row r="68" spans="1:71" s="216" customFormat="1" ht="15.75" thickTop="1">
      <c r="A68" s="215"/>
      <c r="B68" s="305"/>
      <c r="C68" s="306"/>
      <c r="D68" s="341"/>
      <c r="E68" s="341"/>
      <c r="F68" s="341"/>
      <c r="G68" s="341"/>
      <c r="H68" s="341"/>
      <c r="I68" s="341"/>
      <c r="J68" s="341"/>
      <c r="K68" s="341"/>
      <c r="L68" s="341"/>
      <c r="M68" s="341"/>
      <c r="N68" s="341"/>
      <c r="O68" s="341"/>
      <c r="P68" s="341"/>
      <c r="Q68" s="341"/>
      <c r="R68" s="341"/>
      <c r="S68" s="341"/>
      <c r="T68" s="341"/>
      <c r="U68" s="341"/>
      <c r="V68" s="341"/>
      <c r="W68" s="341"/>
      <c r="X68" s="341"/>
      <c r="Y68" s="341"/>
      <c r="Z68" s="341"/>
      <c r="AA68" s="341"/>
      <c r="AB68" s="341"/>
      <c r="AC68" s="341"/>
      <c r="AD68" s="341"/>
      <c r="AE68" s="341"/>
      <c r="AF68" s="341"/>
      <c r="AG68" s="341"/>
      <c r="AH68" s="341"/>
      <c r="AI68" s="341"/>
      <c r="AJ68" s="341"/>
      <c r="AK68" s="341"/>
      <c r="AL68" s="341"/>
      <c r="AM68" s="341"/>
      <c r="AN68" s="341"/>
      <c r="AO68" s="341"/>
      <c r="AP68" s="341"/>
      <c r="AQ68" s="341"/>
      <c r="AR68" s="341"/>
      <c r="AS68" s="341"/>
      <c r="AT68" s="341"/>
      <c r="AU68" s="341"/>
      <c r="AV68" s="341"/>
      <c r="AW68" s="341"/>
      <c r="AX68" s="341"/>
      <c r="AY68" s="341"/>
      <c r="AZ68" s="341"/>
      <c r="BA68" s="341"/>
      <c r="BB68" s="341"/>
      <c r="BC68" s="341"/>
      <c r="BD68" s="341"/>
      <c r="BE68" s="341"/>
      <c r="BF68" s="341"/>
      <c r="BG68" s="341"/>
      <c r="BH68" s="341"/>
      <c r="BI68" s="341"/>
      <c r="BJ68" s="341"/>
      <c r="BK68" s="341"/>
      <c r="BL68" s="341"/>
      <c r="BM68" s="341"/>
      <c r="BN68" s="307"/>
      <c r="BP68" s="390"/>
      <c r="BQ68" s="390"/>
      <c r="BS68" s="219"/>
    </row>
    <row r="69" spans="1:71" s="216" customFormat="1">
      <c r="A69" s="215"/>
      <c r="B69" s="305" t="s">
        <v>376</v>
      </c>
      <c r="C69" s="306"/>
      <c r="D69" s="341"/>
      <c r="E69" s="341"/>
      <c r="F69" s="341"/>
      <c r="G69" s="341"/>
      <c r="H69" s="341"/>
      <c r="I69" s="341"/>
      <c r="J69" s="341"/>
      <c r="K69" s="341"/>
      <c r="L69" s="341"/>
      <c r="M69" s="341"/>
      <c r="N69" s="341"/>
      <c r="O69" s="341"/>
      <c r="P69" s="341"/>
      <c r="Q69" s="341"/>
      <c r="R69" s="341"/>
      <c r="S69" s="341"/>
      <c r="T69" s="341"/>
      <c r="U69" s="341"/>
      <c r="V69" s="341"/>
      <c r="W69" s="341"/>
      <c r="X69" s="341"/>
      <c r="Y69" s="341"/>
      <c r="Z69" s="341"/>
      <c r="AA69" s="341"/>
      <c r="AB69" s="341"/>
      <c r="AC69" s="341"/>
      <c r="AD69" s="341"/>
      <c r="AE69" s="341"/>
      <c r="AF69" s="341"/>
      <c r="AG69" s="341"/>
      <c r="AH69" s="341"/>
      <c r="AI69" s="341"/>
      <c r="AJ69" s="341"/>
      <c r="AK69" s="341"/>
      <c r="AL69" s="341"/>
      <c r="AM69" s="341"/>
      <c r="AN69" s="341"/>
      <c r="AO69" s="341"/>
      <c r="AP69" s="341"/>
      <c r="AQ69" s="341"/>
      <c r="AR69" s="341"/>
      <c r="AS69" s="341"/>
      <c r="AT69" s="341"/>
      <c r="AU69" s="341"/>
      <c r="AV69" s="341"/>
      <c r="AW69" s="341"/>
      <c r="AX69" s="341"/>
      <c r="AY69" s="341"/>
      <c r="AZ69" s="341"/>
      <c r="BA69" s="341"/>
      <c r="BB69" s="341"/>
      <c r="BC69" s="341"/>
      <c r="BD69" s="341"/>
      <c r="BE69" s="341"/>
      <c r="BF69" s="341"/>
      <c r="BG69" s="341"/>
      <c r="BH69" s="341"/>
      <c r="BI69" s="341"/>
      <c r="BJ69" s="341"/>
      <c r="BK69" s="341"/>
      <c r="BL69" s="341"/>
      <c r="BM69" s="341"/>
      <c r="BN69" s="307"/>
      <c r="BO69" s="596"/>
      <c r="BP69" s="570" t="s">
        <v>91</v>
      </c>
      <c r="BQ69" s="570" t="s">
        <v>185</v>
      </c>
      <c r="BS69" s="219"/>
    </row>
    <row r="70" spans="1:71" s="216" customFormat="1">
      <c r="A70" s="228"/>
      <c r="B70" s="901">
        <f>C17</f>
        <v>0.85</v>
      </c>
      <c r="C70" s="473">
        <f>-D17</f>
        <v>-20428853.234784123</v>
      </c>
      <c r="D70" s="473">
        <f>D65</f>
        <v>0</v>
      </c>
      <c r="E70" s="473">
        <f>E65</f>
        <v>0</v>
      </c>
      <c r="F70" s="473">
        <f>F65</f>
        <v>0</v>
      </c>
      <c r="G70" s="473">
        <f>G65</f>
        <v>0</v>
      </c>
      <c r="H70" s="473">
        <f t="shared" ref="H70:BN70" si="38">H65</f>
        <v>0</v>
      </c>
      <c r="I70" s="473">
        <f t="shared" si="38"/>
        <v>0</v>
      </c>
      <c r="J70" s="473">
        <f t="shared" si="38"/>
        <v>0</v>
      </c>
      <c r="K70" s="473">
        <f t="shared" si="38"/>
        <v>0</v>
      </c>
      <c r="L70" s="473">
        <f t="shared" si="38"/>
        <v>0</v>
      </c>
      <c r="M70" s="473">
        <f t="shared" si="38"/>
        <v>0</v>
      </c>
      <c r="N70" s="473">
        <f t="shared" si="38"/>
        <v>0</v>
      </c>
      <c r="O70" s="473">
        <f t="shared" si="38"/>
        <v>0</v>
      </c>
      <c r="P70" s="473">
        <f t="shared" si="38"/>
        <v>0</v>
      </c>
      <c r="Q70" s="473">
        <f t="shared" si="38"/>
        <v>0</v>
      </c>
      <c r="R70" s="473">
        <f t="shared" si="38"/>
        <v>0</v>
      </c>
      <c r="S70" s="473">
        <f t="shared" si="38"/>
        <v>0</v>
      </c>
      <c r="T70" s="473">
        <f t="shared" si="38"/>
        <v>0</v>
      </c>
      <c r="U70" s="473">
        <f t="shared" si="38"/>
        <v>0</v>
      </c>
      <c r="V70" s="473">
        <f t="shared" si="38"/>
        <v>0</v>
      </c>
      <c r="W70" s="473">
        <f t="shared" si="38"/>
        <v>0</v>
      </c>
      <c r="X70" s="473">
        <f t="shared" si="38"/>
        <v>47486.046509941363</v>
      </c>
      <c r="Y70" s="473">
        <f t="shared" si="38"/>
        <v>47486.046509941363</v>
      </c>
      <c r="Z70" s="473">
        <f t="shared" si="38"/>
        <v>47486.046509941363</v>
      </c>
      <c r="AA70" s="473">
        <f t="shared" si="38"/>
        <v>1332686.0465099413</v>
      </c>
      <c r="AB70" s="473">
        <f t="shared" si="38"/>
        <v>47486.046509941363</v>
      </c>
      <c r="AC70" s="473">
        <f>AC65</f>
        <v>47486.046509941363</v>
      </c>
      <c r="AD70" s="473">
        <f t="shared" si="38"/>
        <v>-1037527.7825992266</v>
      </c>
      <c r="AE70" s="473">
        <f t="shared" si="38"/>
        <v>136342.07247552264</v>
      </c>
      <c r="AF70" s="473">
        <f t="shared" si="38"/>
        <v>136342.07247552264</v>
      </c>
      <c r="AG70" s="473">
        <f t="shared" si="38"/>
        <v>136342.07247552264</v>
      </c>
      <c r="AH70" s="473">
        <f t="shared" si="38"/>
        <v>136342.07247552264</v>
      </c>
      <c r="AI70" s="473">
        <f t="shared" si="38"/>
        <v>136342.07247552264</v>
      </c>
      <c r="AJ70" s="473">
        <f t="shared" si="38"/>
        <v>148542.8864146519</v>
      </c>
      <c r="AK70" s="473">
        <f t="shared" si="38"/>
        <v>148542.8864146519</v>
      </c>
      <c r="AL70" s="473">
        <f t="shared" si="38"/>
        <v>148542.8864146519</v>
      </c>
      <c r="AM70" s="473">
        <f t="shared" si="38"/>
        <v>148542.8864146519</v>
      </c>
      <c r="AN70" s="473">
        <f t="shared" si="38"/>
        <v>148542.8864146519</v>
      </c>
      <c r="AO70" s="473">
        <f t="shared" si="38"/>
        <v>148542.8864146519</v>
      </c>
      <c r="AP70" s="473">
        <f t="shared" si="38"/>
        <v>79451.136490243036</v>
      </c>
      <c r="AQ70" s="473">
        <f t="shared" si="38"/>
        <v>79451.136490242992</v>
      </c>
      <c r="AR70" s="473">
        <f t="shared" si="38"/>
        <v>79451.136490242992</v>
      </c>
      <c r="AS70" s="473">
        <f t="shared" si="38"/>
        <v>79451.136490242992</v>
      </c>
      <c r="AT70" s="473">
        <f t="shared" si="38"/>
        <v>79451.136490242992</v>
      </c>
      <c r="AU70" s="473">
        <f t="shared" si="38"/>
        <v>79451.136490243036</v>
      </c>
      <c r="AV70" s="473">
        <f t="shared" si="38"/>
        <v>92035.46774407629</v>
      </c>
      <c r="AW70" s="473">
        <f t="shared" si="38"/>
        <v>92035.46774407629</v>
      </c>
      <c r="AX70" s="473">
        <f t="shared" si="38"/>
        <v>92035.46774407629</v>
      </c>
      <c r="AY70" s="473">
        <f t="shared" si="38"/>
        <v>92035.46774407629</v>
      </c>
      <c r="AZ70" s="473">
        <f t="shared" si="38"/>
        <v>92035.46774407629</v>
      </c>
      <c r="BA70" s="473">
        <f t="shared" si="38"/>
        <v>92035.46774407629</v>
      </c>
      <c r="BB70" s="473">
        <f t="shared" si="38"/>
        <v>92035.46774407629</v>
      </c>
      <c r="BC70" s="473">
        <f t="shared" si="38"/>
        <v>92035.46774407629</v>
      </c>
      <c r="BD70" s="473">
        <f t="shared" si="38"/>
        <v>92035.46774407629</v>
      </c>
      <c r="BE70" s="473">
        <f t="shared" si="38"/>
        <v>92035.46774407629</v>
      </c>
      <c r="BF70" s="473">
        <f t="shared" si="38"/>
        <v>92035.46774407629</v>
      </c>
      <c r="BG70" s="473">
        <f t="shared" si="38"/>
        <v>92035.46774407629</v>
      </c>
      <c r="BH70" s="473">
        <f t="shared" si="38"/>
        <v>105015.17168998529</v>
      </c>
      <c r="BI70" s="473">
        <f t="shared" si="38"/>
        <v>105015.17168998529</v>
      </c>
      <c r="BJ70" s="473">
        <f t="shared" si="38"/>
        <v>105015.17168998533</v>
      </c>
      <c r="BK70" s="473">
        <f t="shared" si="38"/>
        <v>105015.17168998533</v>
      </c>
      <c r="BL70" s="473">
        <f t="shared" si="38"/>
        <v>105015.17168998529</v>
      </c>
      <c r="BM70" s="473">
        <f t="shared" si="38"/>
        <v>38550405.254362434</v>
      </c>
      <c r="BN70" s="473">
        <f t="shared" si="38"/>
        <v>0</v>
      </c>
      <c r="BO70" s="597"/>
      <c r="BP70" s="571">
        <f>XIRR(C70:BN70,C6:BN6)</f>
        <v>0.16337835192680361</v>
      </c>
      <c r="BQ70" s="572">
        <f>SUM(D70:BN70)/-C70</f>
        <v>2.0932241878950753</v>
      </c>
      <c r="BS70" s="219"/>
    </row>
    <row r="71" spans="1:71">
      <c r="A71" s="229"/>
      <c r="B71" s="308"/>
      <c r="C71" s="309"/>
      <c r="D71" s="309"/>
      <c r="E71" s="309"/>
      <c r="F71" s="309"/>
      <c r="G71" s="309"/>
      <c r="H71" s="309"/>
      <c r="I71" s="309"/>
      <c r="J71" s="309"/>
      <c r="K71" s="309"/>
      <c r="L71" s="309"/>
      <c r="M71" s="309"/>
      <c r="N71" s="309"/>
      <c r="O71" s="309"/>
      <c r="P71" s="309"/>
      <c r="Q71" s="309"/>
      <c r="R71" s="309"/>
      <c r="S71" s="309"/>
      <c r="T71" s="309"/>
      <c r="U71" s="309"/>
      <c r="V71" s="309"/>
      <c r="W71" s="309"/>
      <c r="X71" s="309"/>
      <c r="Y71" s="309"/>
      <c r="Z71" s="309"/>
      <c r="AA71" s="309"/>
      <c r="AB71" s="309"/>
      <c r="AC71" s="309"/>
      <c r="AD71" s="309"/>
      <c r="AE71" s="309"/>
      <c r="AF71" s="309"/>
      <c r="AG71" s="309"/>
      <c r="AH71" s="309"/>
      <c r="AI71" s="309"/>
      <c r="AJ71" s="309"/>
      <c r="AK71" s="309"/>
      <c r="AL71" s="309"/>
      <c r="AM71" s="309"/>
      <c r="AN71" s="309"/>
      <c r="AO71" s="309"/>
      <c r="AP71" s="309"/>
      <c r="AQ71" s="309"/>
      <c r="AR71" s="309"/>
      <c r="AS71" s="309"/>
      <c r="AT71" s="309"/>
      <c r="AU71" s="309"/>
      <c r="AV71" s="309"/>
      <c r="AW71" s="309"/>
      <c r="AX71" s="309"/>
      <c r="AY71" s="309"/>
      <c r="AZ71" s="309"/>
      <c r="BA71" s="309"/>
      <c r="BB71" s="309"/>
      <c r="BC71" s="309"/>
      <c r="BD71" s="309"/>
      <c r="BE71" s="309"/>
      <c r="BF71" s="309"/>
      <c r="BG71" s="309"/>
      <c r="BH71" s="309"/>
      <c r="BI71" s="309"/>
      <c r="BJ71" s="309"/>
      <c r="BK71" s="309"/>
      <c r="BL71" s="309"/>
      <c r="BM71" s="309"/>
      <c r="BN71" s="310"/>
      <c r="BO71" s="222"/>
      <c r="BP71" s="393"/>
      <c r="BQ71" s="394"/>
    </row>
    <row r="72" spans="1:71">
      <c r="A72" s="229"/>
      <c r="B72" s="305" t="s">
        <v>186</v>
      </c>
      <c r="C72" s="309"/>
      <c r="D72" s="309"/>
      <c r="E72" s="309"/>
      <c r="F72" s="309"/>
      <c r="G72" s="309"/>
      <c r="H72" s="309"/>
      <c r="I72" s="309"/>
      <c r="J72" s="309"/>
      <c r="K72" s="309"/>
      <c r="L72" s="309"/>
      <c r="M72" s="309"/>
      <c r="N72" s="309"/>
      <c r="O72" s="309"/>
      <c r="P72" s="309"/>
      <c r="Q72" s="309"/>
      <c r="R72" s="309"/>
      <c r="S72" s="309"/>
      <c r="T72" s="309"/>
      <c r="U72" s="309"/>
      <c r="V72" s="309"/>
      <c r="W72" s="309"/>
      <c r="X72" s="309"/>
      <c r="Y72" s="309"/>
      <c r="Z72" s="309"/>
      <c r="AA72" s="309"/>
      <c r="AB72" s="309"/>
      <c r="AC72" s="309"/>
      <c r="AD72" s="309"/>
      <c r="AE72" s="309"/>
      <c r="AF72" s="309"/>
      <c r="AG72" s="309"/>
      <c r="AH72" s="309"/>
      <c r="AI72" s="309"/>
      <c r="AJ72" s="309"/>
      <c r="AK72" s="309"/>
      <c r="AL72" s="309"/>
      <c r="AM72" s="309"/>
      <c r="AN72" s="309"/>
      <c r="AO72" s="309"/>
      <c r="AP72" s="309"/>
      <c r="AQ72" s="309"/>
      <c r="AR72" s="309"/>
      <c r="AS72" s="309"/>
      <c r="AT72" s="309"/>
      <c r="AU72" s="309"/>
      <c r="AV72" s="309"/>
      <c r="AW72" s="309"/>
      <c r="AX72" s="309"/>
      <c r="AY72" s="309"/>
      <c r="AZ72" s="309"/>
      <c r="BA72" s="309"/>
      <c r="BB72" s="309"/>
      <c r="BC72" s="309"/>
      <c r="BD72" s="309"/>
      <c r="BE72" s="309"/>
      <c r="BF72" s="309"/>
      <c r="BG72" s="309"/>
      <c r="BH72" s="309"/>
      <c r="BI72" s="309"/>
      <c r="BJ72" s="309"/>
      <c r="BK72" s="309"/>
      <c r="BL72" s="309"/>
      <c r="BM72" s="309"/>
      <c r="BN72" s="310"/>
      <c r="BO72" s="598"/>
      <c r="BP72" s="573" t="s">
        <v>91</v>
      </c>
      <c r="BQ72" s="573" t="s">
        <v>185</v>
      </c>
    </row>
    <row r="73" spans="1:71">
      <c r="A73" s="229"/>
      <c r="B73" s="475">
        <f>100%-B70</f>
        <v>0.15000000000000002</v>
      </c>
      <c r="C73" s="476">
        <f>-D18</f>
        <v>-3605091.7473148457</v>
      </c>
      <c r="D73" s="476">
        <f>D66</f>
        <v>0</v>
      </c>
      <c r="E73" s="476">
        <f>E66</f>
        <v>0</v>
      </c>
      <c r="F73" s="476">
        <f>F66</f>
        <v>0</v>
      </c>
      <c r="G73" s="476">
        <f t="shared" ref="G73:BN73" si="39">G66</f>
        <v>0</v>
      </c>
      <c r="H73" s="476">
        <f t="shared" si="39"/>
        <v>0</v>
      </c>
      <c r="I73" s="476">
        <f t="shared" si="39"/>
        <v>0</v>
      </c>
      <c r="J73" s="476">
        <f t="shared" si="39"/>
        <v>0</v>
      </c>
      <c r="K73" s="476">
        <f t="shared" si="39"/>
        <v>0</v>
      </c>
      <c r="L73" s="476">
        <f t="shared" si="39"/>
        <v>0</v>
      </c>
      <c r="M73" s="476">
        <f t="shared" si="39"/>
        <v>0</v>
      </c>
      <c r="N73" s="476">
        <f t="shared" si="39"/>
        <v>0</v>
      </c>
      <c r="O73" s="476">
        <f t="shared" si="39"/>
        <v>0</v>
      </c>
      <c r="P73" s="476">
        <f t="shared" si="39"/>
        <v>0</v>
      </c>
      <c r="Q73" s="476">
        <f>0</f>
        <v>0</v>
      </c>
      <c r="R73" s="476">
        <f t="shared" si="39"/>
        <v>0</v>
      </c>
      <c r="S73" s="476">
        <f>S66</f>
        <v>0</v>
      </c>
      <c r="T73" s="476">
        <f t="shared" si="39"/>
        <v>0</v>
      </c>
      <c r="U73" s="476">
        <f t="shared" si="39"/>
        <v>0</v>
      </c>
      <c r="V73" s="476">
        <f t="shared" si="39"/>
        <v>0</v>
      </c>
      <c r="W73" s="476">
        <f t="shared" si="39"/>
        <v>0</v>
      </c>
      <c r="X73" s="476">
        <f t="shared" si="39"/>
        <v>8379.8905605778891</v>
      </c>
      <c r="Y73" s="476">
        <f t="shared" si="39"/>
        <v>8379.8905605778891</v>
      </c>
      <c r="Z73" s="476">
        <f t="shared" si="39"/>
        <v>8379.8905605778891</v>
      </c>
      <c r="AA73" s="476">
        <f t="shared" si="39"/>
        <v>235179.89056057791</v>
      </c>
      <c r="AB73" s="476">
        <f t="shared" si="39"/>
        <v>8379.8905605778891</v>
      </c>
      <c r="AC73" s="476">
        <f>AC66</f>
        <v>8379.8905605778891</v>
      </c>
      <c r="AD73" s="476">
        <f t="shared" si="39"/>
        <v>-183093.13810574589</v>
      </c>
      <c r="AE73" s="476">
        <f t="shared" si="39"/>
        <v>24060.365730974587</v>
      </c>
      <c r="AF73" s="476">
        <f t="shared" si="39"/>
        <v>24060.365730974587</v>
      </c>
      <c r="AG73" s="476">
        <f t="shared" si="39"/>
        <v>24060.365730974587</v>
      </c>
      <c r="AH73" s="476">
        <f t="shared" si="39"/>
        <v>24060.365730974587</v>
      </c>
      <c r="AI73" s="476">
        <f t="shared" si="39"/>
        <v>24060.365730974587</v>
      </c>
      <c r="AJ73" s="476">
        <f t="shared" si="39"/>
        <v>26213.450543762105</v>
      </c>
      <c r="AK73" s="476">
        <f t="shared" si="39"/>
        <v>26213.450543762105</v>
      </c>
      <c r="AL73" s="476">
        <f t="shared" si="39"/>
        <v>26213.450543762105</v>
      </c>
      <c r="AM73" s="476">
        <f t="shared" si="39"/>
        <v>26213.450543762105</v>
      </c>
      <c r="AN73" s="476">
        <f t="shared" si="39"/>
        <v>26213.450543762105</v>
      </c>
      <c r="AO73" s="476">
        <f t="shared" si="39"/>
        <v>26213.450543762105</v>
      </c>
      <c r="AP73" s="476">
        <f t="shared" si="39"/>
        <v>14020.788792395833</v>
      </c>
      <c r="AQ73" s="476">
        <f t="shared" si="39"/>
        <v>14020.788792395824</v>
      </c>
      <c r="AR73" s="476">
        <f t="shared" si="39"/>
        <v>14020.788792395824</v>
      </c>
      <c r="AS73" s="476">
        <f t="shared" si="39"/>
        <v>14020.788792395824</v>
      </c>
      <c r="AT73" s="476">
        <f t="shared" si="39"/>
        <v>14020.788792395824</v>
      </c>
      <c r="AU73" s="476">
        <f t="shared" si="39"/>
        <v>14020.788792395833</v>
      </c>
      <c r="AV73" s="476">
        <f t="shared" si="39"/>
        <v>16241.553131307583</v>
      </c>
      <c r="AW73" s="476">
        <f t="shared" si="39"/>
        <v>16241.553131307583</v>
      </c>
      <c r="AX73" s="476">
        <f t="shared" si="39"/>
        <v>16241.553131307583</v>
      </c>
      <c r="AY73" s="476">
        <f t="shared" si="39"/>
        <v>16241.553131307583</v>
      </c>
      <c r="AZ73" s="476">
        <f t="shared" si="39"/>
        <v>16241.553131307583</v>
      </c>
      <c r="BA73" s="476">
        <f t="shared" si="39"/>
        <v>16241.553131307583</v>
      </c>
      <c r="BB73" s="476">
        <f t="shared" si="39"/>
        <v>16241.553131307583</v>
      </c>
      <c r="BC73" s="476">
        <f t="shared" si="39"/>
        <v>16241.553131307583</v>
      </c>
      <c r="BD73" s="476">
        <f t="shared" si="39"/>
        <v>16241.553131307583</v>
      </c>
      <c r="BE73" s="476">
        <f t="shared" si="39"/>
        <v>16241.553131307583</v>
      </c>
      <c r="BF73" s="476">
        <f t="shared" si="39"/>
        <v>16241.553131307583</v>
      </c>
      <c r="BG73" s="476">
        <f t="shared" si="39"/>
        <v>16241.553131307583</v>
      </c>
      <c r="BH73" s="476">
        <f t="shared" si="39"/>
        <v>18532.089121762114</v>
      </c>
      <c r="BI73" s="476">
        <f t="shared" si="39"/>
        <v>18532.089121762114</v>
      </c>
      <c r="BJ73" s="476">
        <f t="shared" si="39"/>
        <v>18532.089121762121</v>
      </c>
      <c r="BK73" s="476">
        <f t="shared" si="39"/>
        <v>18532.089121762121</v>
      </c>
      <c r="BL73" s="476">
        <f t="shared" si="39"/>
        <v>18532.089121762114</v>
      </c>
      <c r="BM73" s="476">
        <f t="shared" si="39"/>
        <v>9248357.1473967154</v>
      </c>
      <c r="BN73" s="476">
        <f t="shared" si="39"/>
        <v>0</v>
      </c>
      <c r="BO73" s="599"/>
      <c r="BP73" s="574">
        <f>XIRR(C73:BN73,C6:BN6)</f>
        <v>0.2302029430866242</v>
      </c>
      <c r="BQ73" s="575">
        <f>SUM(D73:BN73)/-C73</f>
        <v>2.7715271623677085</v>
      </c>
    </row>
    <row r="74" spans="1:71" s="216" customFormat="1">
      <c r="A74" s="228"/>
      <c r="B74" s="305"/>
      <c r="C74" s="311"/>
      <c r="D74" s="342"/>
      <c r="E74" s="342"/>
      <c r="F74" s="342"/>
      <c r="G74" s="342"/>
      <c r="H74" s="342"/>
      <c r="I74" s="342"/>
      <c r="J74" s="342"/>
      <c r="K74" s="342"/>
      <c r="L74" s="342"/>
      <c r="M74" s="342"/>
      <c r="N74" s="342"/>
      <c r="O74" s="342"/>
      <c r="P74" s="342"/>
      <c r="Q74" s="342"/>
      <c r="R74" s="342"/>
      <c r="S74" s="342"/>
      <c r="T74" s="342"/>
      <c r="U74" s="342"/>
      <c r="V74" s="342"/>
      <c r="W74" s="342"/>
      <c r="X74" s="342"/>
      <c r="Y74" s="342"/>
      <c r="Z74" s="342"/>
      <c r="AA74" s="342"/>
      <c r="AB74" s="342"/>
      <c r="AC74" s="342"/>
      <c r="AD74" s="342"/>
      <c r="AE74" s="342"/>
      <c r="AF74" s="342"/>
      <c r="AG74" s="342"/>
      <c r="AH74" s="342"/>
      <c r="AI74" s="342"/>
      <c r="AJ74" s="342"/>
      <c r="AK74" s="342"/>
      <c r="AL74" s="342"/>
      <c r="AM74" s="342"/>
      <c r="AN74" s="342"/>
      <c r="AO74" s="342"/>
      <c r="AP74" s="342"/>
      <c r="AQ74" s="342"/>
      <c r="AR74" s="342"/>
      <c r="AS74" s="342"/>
      <c r="AT74" s="342"/>
      <c r="AU74" s="342"/>
      <c r="AV74" s="342"/>
      <c r="AW74" s="342"/>
      <c r="AX74" s="342"/>
      <c r="AY74" s="342"/>
      <c r="AZ74" s="342"/>
      <c r="BA74" s="342"/>
      <c r="BB74" s="342"/>
      <c r="BC74" s="342"/>
      <c r="BD74" s="342"/>
      <c r="BE74" s="342"/>
      <c r="BF74" s="342"/>
      <c r="BG74" s="342"/>
      <c r="BH74" s="342"/>
      <c r="BI74" s="342"/>
      <c r="BJ74" s="342"/>
      <c r="BK74" s="342"/>
      <c r="BL74" s="342"/>
      <c r="BM74" s="342"/>
      <c r="BN74" s="312"/>
      <c r="BO74" s="313"/>
      <c r="BS74" s="219"/>
    </row>
    <row r="75" spans="1:71" s="216" customFormat="1" ht="15.75" thickBot="1">
      <c r="A75" s="215"/>
      <c r="B75" s="454" t="s">
        <v>187</v>
      </c>
      <c r="C75" s="576">
        <f>SUM(D65:BN65)+SUM(D66:BN66)</f>
        <v>52753779.422519431</v>
      </c>
      <c r="D75" s="455"/>
      <c r="E75" s="455"/>
      <c r="F75" s="455"/>
      <c r="G75" s="455"/>
      <c r="H75" s="455"/>
      <c r="I75" s="455"/>
      <c r="J75" s="455"/>
      <c r="K75" s="455"/>
      <c r="L75" s="455"/>
      <c r="M75" s="455"/>
      <c r="N75" s="455"/>
      <c r="O75" s="455"/>
      <c r="P75" s="455"/>
      <c r="Q75" s="455"/>
      <c r="R75" s="455"/>
      <c r="S75" s="455"/>
      <c r="T75" s="455"/>
      <c r="U75" s="455"/>
      <c r="V75" s="455"/>
      <c r="W75" s="455"/>
      <c r="X75" s="455"/>
      <c r="Y75" s="455"/>
      <c r="Z75" s="455"/>
      <c r="AA75" s="455"/>
      <c r="AB75" s="455"/>
      <c r="AC75" s="455"/>
      <c r="AD75" s="455"/>
      <c r="AE75" s="455"/>
      <c r="AF75" s="455"/>
      <c r="AG75" s="455"/>
      <c r="AH75" s="455"/>
      <c r="AI75" s="455"/>
      <c r="AJ75" s="455"/>
      <c r="AK75" s="455"/>
      <c r="AL75" s="455"/>
      <c r="AM75" s="455"/>
      <c r="AN75" s="455"/>
      <c r="AO75" s="455"/>
      <c r="AP75" s="455"/>
      <c r="AQ75" s="455"/>
      <c r="AR75" s="455"/>
      <c r="AS75" s="455"/>
      <c r="AT75" s="455"/>
      <c r="AU75" s="455"/>
      <c r="AV75" s="455"/>
      <c r="AW75" s="455"/>
      <c r="AX75" s="455"/>
      <c r="AY75" s="455"/>
      <c r="AZ75" s="455"/>
      <c r="BA75" s="455"/>
      <c r="BB75" s="455"/>
      <c r="BC75" s="455"/>
      <c r="BD75" s="455"/>
      <c r="BE75" s="455"/>
      <c r="BF75" s="455"/>
      <c r="BG75" s="455"/>
      <c r="BH75" s="455"/>
      <c r="BI75" s="455"/>
      <c r="BJ75" s="455"/>
      <c r="BK75" s="455"/>
      <c r="BL75" s="455"/>
      <c r="BM75" s="455"/>
      <c r="BN75" s="577"/>
      <c r="BS75" s="219"/>
    </row>
    <row r="76" spans="1:71" s="216" customFormat="1">
      <c r="A76" s="215"/>
      <c r="B76" s="230"/>
      <c r="C76" s="235"/>
      <c r="D76" s="236"/>
      <c r="E76" s="236"/>
      <c r="F76" s="236"/>
      <c r="G76" s="236"/>
      <c r="H76" s="236"/>
      <c r="I76" s="236"/>
      <c r="J76" s="236"/>
      <c r="K76" s="236"/>
      <c r="L76" s="236"/>
      <c r="M76" s="236"/>
      <c r="N76" s="236"/>
      <c r="O76" s="236"/>
      <c r="P76" s="236"/>
      <c r="Q76" s="236"/>
      <c r="R76" s="236"/>
      <c r="S76" s="236"/>
      <c r="T76" s="236"/>
      <c r="U76" s="236"/>
      <c r="V76" s="236"/>
      <c r="W76" s="236"/>
      <c r="X76" s="236"/>
      <c r="Y76" s="236"/>
      <c r="Z76" s="236"/>
      <c r="AA76" s="236"/>
      <c r="AB76" s="236"/>
      <c r="AC76" s="236"/>
      <c r="AD76" s="236"/>
      <c r="AE76" s="236"/>
      <c r="AF76" s="236"/>
      <c r="AG76" s="236"/>
      <c r="AH76" s="236"/>
      <c r="AI76" s="236"/>
      <c r="AJ76" s="236"/>
      <c r="AK76" s="236"/>
      <c r="AL76" s="236"/>
      <c r="AM76" s="236"/>
      <c r="AN76" s="236"/>
      <c r="AO76" s="236"/>
      <c r="AP76" s="236"/>
      <c r="AQ76" s="236"/>
      <c r="AR76" s="236"/>
      <c r="AS76" s="236"/>
      <c r="AT76" s="236"/>
      <c r="AU76" s="236"/>
      <c r="AV76" s="236"/>
      <c r="AW76" s="236"/>
      <c r="AX76" s="236"/>
      <c r="AY76" s="236"/>
      <c r="AZ76" s="236"/>
      <c r="BA76" s="236"/>
      <c r="BB76" s="236"/>
      <c r="BC76" s="236"/>
      <c r="BD76" s="236"/>
      <c r="BE76" s="236"/>
      <c r="BF76" s="236"/>
      <c r="BG76" s="236"/>
      <c r="BH76" s="236"/>
      <c r="BI76" s="236"/>
      <c r="BJ76" s="236"/>
      <c r="BK76" s="236"/>
      <c r="BL76" s="236"/>
      <c r="BM76" s="236"/>
      <c r="BN76" s="236"/>
      <c r="BO76" s="236"/>
      <c r="BS76" s="219"/>
    </row>
    <row r="77" spans="1:71" s="216" customFormat="1">
      <c r="A77" s="215"/>
      <c r="B77" s="230"/>
      <c r="C77" s="235"/>
      <c r="D77" s="235"/>
      <c r="E77" s="235"/>
      <c r="F77" s="235"/>
      <c r="G77" s="235"/>
      <c r="H77" s="235"/>
      <c r="I77" s="235"/>
      <c r="J77" s="235"/>
      <c r="K77" s="235"/>
      <c r="L77" s="235"/>
      <c r="M77" s="235"/>
      <c r="N77" s="235"/>
      <c r="O77" s="235"/>
      <c r="P77" s="235"/>
      <c r="Q77" s="235"/>
      <c r="R77" s="235"/>
      <c r="S77" s="235"/>
      <c r="T77" s="235"/>
      <c r="U77" s="235"/>
      <c r="V77" s="235"/>
      <c r="W77" s="235"/>
      <c r="X77" s="235"/>
      <c r="Y77" s="235"/>
      <c r="Z77" s="235"/>
      <c r="AA77" s="235"/>
      <c r="AB77" s="235"/>
      <c r="AC77" s="235"/>
      <c r="AD77" s="235"/>
      <c r="AE77" s="235"/>
      <c r="AF77" s="235"/>
      <c r="AG77" s="235"/>
      <c r="AH77" s="235"/>
      <c r="AI77" s="235"/>
      <c r="AJ77" s="235"/>
      <c r="AK77" s="235"/>
      <c r="AL77" s="235"/>
      <c r="AM77" s="235"/>
      <c r="AN77" s="235"/>
      <c r="AO77" s="235"/>
      <c r="AP77" s="235"/>
      <c r="AQ77" s="235"/>
      <c r="AR77" s="235"/>
      <c r="AS77" s="235"/>
      <c r="AT77" s="235"/>
      <c r="AU77" s="235"/>
      <c r="AV77" s="235"/>
      <c r="AW77" s="235"/>
      <c r="AX77" s="235"/>
      <c r="AY77" s="235"/>
      <c r="AZ77" s="235"/>
      <c r="BA77" s="235"/>
      <c r="BB77" s="235"/>
      <c r="BC77" s="235"/>
      <c r="BD77" s="235"/>
      <c r="BE77" s="235"/>
      <c r="BF77" s="235"/>
      <c r="BG77" s="235"/>
      <c r="BH77" s="235"/>
      <c r="BI77" s="235"/>
      <c r="BJ77" s="235"/>
      <c r="BK77" s="235"/>
      <c r="BL77" s="235"/>
      <c r="BM77" s="235"/>
      <c r="BN77" s="235"/>
      <c r="BO77" s="237"/>
      <c r="BS77" s="219"/>
    </row>
    <row r="78" spans="1:71" s="216" customFormat="1">
      <c r="A78" s="215"/>
      <c r="B78" s="238"/>
      <c r="C78" s="218"/>
      <c r="D78" s="218"/>
      <c r="E78" s="218"/>
      <c r="F78" s="218"/>
      <c r="G78" s="218"/>
      <c r="H78" s="218"/>
      <c r="I78" s="218"/>
      <c r="J78" s="218"/>
      <c r="K78" s="218"/>
      <c r="L78" s="218"/>
      <c r="M78" s="218"/>
      <c r="N78" s="218"/>
      <c r="O78" s="218"/>
      <c r="P78" s="218"/>
      <c r="Q78" s="218"/>
      <c r="R78" s="218"/>
      <c r="S78" s="218"/>
      <c r="T78" s="218"/>
      <c r="U78" s="218"/>
      <c r="V78" s="218"/>
      <c r="W78" s="218"/>
      <c r="X78" s="218"/>
      <c r="Y78" s="218"/>
      <c r="Z78" s="218"/>
      <c r="AA78" s="218"/>
      <c r="AB78" s="218"/>
      <c r="AC78" s="218"/>
      <c r="AD78" s="218"/>
      <c r="AE78" s="218"/>
      <c r="AF78" s="218"/>
      <c r="AG78" s="218"/>
      <c r="AH78" s="218"/>
      <c r="AI78" s="218"/>
      <c r="AJ78" s="218"/>
      <c r="AK78" s="218"/>
      <c r="AL78" s="218"/>
      <c r="AM78" s="218"/>
      <c r="AN78" s="218"/>
      <c r="AO78" s="218"/>
      <c r="AP78" s="218"/>
      <c r="AQ78" s="218"/>
      <c r="AR78" s="218"/>
      <c r="AS78" s="218"/>
      <c r="AT78" s="218"/>
      <c r="AU78" s="218"/>
      <c r="AV78" s="218"/>
      <c r="AW78" s="218"/>
      <c r="AX78" s="218"/>
      <c r="AY78" s="218"/>
      <c r="AZ78" s="218"/>
      <c r="BA78" s="218"/>
      <c r="BB78" s="218"/>
      <c r="BC78" s="218"/>
      <c r="BD78" s="218"/>
      <c r="BE78" s="218"/>
      <c r="BF78" s="218"/>
      <c r="BG78" s="218"/>
      <c r="BH78" s="218"/>
      <c r="BI78" s="218"/>
      <c r="BJ78" s="218"/>
      <c r="BK78" s="218"/>
      <c r="BL78" s="218"/>
      <c r="BM78" s="218"/>
      <c r="BN78" s="218"/>
      <c r="BO78" s="227"/>
      <c r="BS78" s="219"/>
    </row>
    <row r="79" spans="1:71" s="216" customFormat="1">
      <c r="A79" s="215"/>
      <c r="E79" s="218"/>
      <c r="F79" s="218"/>
      <c r="G79" s="218"/>
      <c r="H79" s="218"/>
      <c r="I79" s="218"/>
      <c r="J79" s="218"/>
      <c r="K79" s="218"/>
      <c r="L79" s="218"/>
      <c r="M79" s="218"/>
      <c r="N79" s="218"/>
      <c r="O79" s="218"/>
      <c r="P79" s="218"/>
      <c r="Q79" s="218"/>
      <c r="R79" s="218"/>
      <c r="S79" s="218"/>
      <c r="T79" s="218"/>
      <c r="U79" s="218"/>
      <c r="V79" s="218"/>
      <c r="W79" s="218"/>
      <c r="X79" s="218"/>
      <c r="Y79" s="218"/>
      <c r="Z79" s="218"/>
      <c r="AA79" s="218"/>
      <c r="AB79" s="218"/>
      <c r="AC79" s="218"/>
      <c r="AD79" s="218"/>
      <c r="AE79" s="218"/>
      <c r="AF79" s="218"/>
      <c r="AG79" s="218"/>
      <c r="AH79" s="218"/>
      <c r="AI79" s="218"/>
      <c r="AJ79" s="218"/>
      <c r="AK79" s="218"/>
      <c r="AL79" s="218"/>
      <c r="AM79" s="218"/>
      <c r="AN79" s="218"/>
      <c r="AO79" s="218"/>
      <c r="AP79" s="218"/>
      <c r="AQ79" s="218"/>
      <c r="AR79" s="218"/>
      <c r="AS79" s="218"/>
      <c r="AT79" s="218"/>
      <c r="AU79" s="218"/>
      <c r="AV79" s="218"/>
      <c r="AW79" s="218"/>
      <c r="AX79" s="218"/>
      <c r="AY79" s="218"/>
      <c r="AZ79" s="218"/>
      <c r="BA79" s="218"/>
      <c r="BB79" s="218"/>
      <c r="BC79" s="218"/>
      <c r="BD79" s="218"/>
      <c r="BE79" s="218"/>
      <c r="BF79" s="218"/>
      <c r="BG79" s="218"/>
      <c r="BH79" s="218"/>
      <c r="BI79" s="218"/>
      <c r="BJ79" s="218"/>
      <c r="BK79" s="218"/>
      <c r="BL79" s="218"/>
      <c r="BM79" s="218"/>
      <c r="BN79" s="218"/>
      <c r="BO79" s="218"/>
      <c r="BS79" s="219"/>
    </row>
    <row r="80" spans="1:71" s="216" customFormat="1">
      <c r="A80" s="215"/>
      <c r="E80" s="218"/>
      <c r="F80" s="218"/>
      <c r="G80" s="218"/>
      <c r="H80" s="218"/>
      <c r="I80" s="218"/>
      <c r="J80" s="218"/>
      <c r="K80" s="218"/>
      <c r="L80" s="218"/>
      <c r="M80" s="218"/>
      <c r="N80" s="218"/>
      <c r="O80" s="218"/>
      <c r="P80" s="218"/>
      <c r="Q80" s="218"/>
      <c r="R80" s="218"/>
      <c r="S80" s="218"/>
      <c r="T80" s="218"/>
      <c r="U80" s="218"/>
      <c r="V80" s="218"/>
      <c r="W80" s="218"/>
      <c r="X80" s="218"/>
      <c r="Y80" s="218"/>
      <c r="Z80" s="218"/>
      <c r="AA80" s="218"/>
      <c r="AB80" s="218"/>
      <c r="AC80" s="218"/>
      <c r="AD80" s="218"/>
      <c r="AE80" s="218"/>
      <c r="AF80" s="218"/>
      <c r="AG80" s="218"/>
      <c r="AH80" s="218"/>
      <c r="AI80" s="218"/>
      <c r="AJ80" s="218"/>
      <c r="AK80" s="218"/>
      <c r="AL80" s="218"/>
      <c r="AM80" s="218"/>
      <c r="AN80" s="218"/>
      <c r="AO80" s="218"/>
      <c r="AP80" s="218"/>
      <c r="AQ80" s="218"/>
      <c r="AR80" s="218"/>
      <c r="AS80" s="218"/>
      <c r="AT80" s="218"/>
      <c r="AU80" s="218"/>
      <c r="AV80" s="218"/>
      <c r="AW80" s="218"/>
      <c r="AX80" s="218"/>
      <c r="AY80" s="218"/>
      <c r="AZ80" s="218"/>
      <c r="BA80" s="218"/>
      <c r="BB80" s="218"/>
      <c r="BC80" s="218"/>
      <c r="BD80" s="218"/>
      <c r="BE80" s="218"/>
      <c r="BF80" s="218"/>
      <c r="BG80" s="218"/>
      <c r="BH80" s="218"/>
      <c r="BI80" s="218"/>
      <c r="BJ80" s="218"/>
      <c r="BK80" s="218"/>
      <c r="BL80" s="218"/>
      <c r="BM80" s="218"/>
      <c r="BN80" s="218"/>
      <c r="BO80" s="218"/>
      <c r="BS80" s="219"/>
    </row>
    <row r="81" spans="1:71" s="216" customFormat="1">
      <c r="A81" s="215"/>
      <c r="E81" s="218"/>
      <c r="F81" s="218"/>
      <c r="G81" s="218"/>
      <c r="H81" s="218"/>
      <c r="I81" s="218"/>
      <c r="J81" s="218"/>
      <c r="K81" s="218"/>
      <c r="L81" s="218"/>
      <c r="M81" s="218"/>
      <c r="N81" s="218"/>
      <c r="O81" s="218"/>
      <c r="P81" s="218"/>
      <c r="Q81" s="218"/>
      <c r="R81" s="218"/>
      <c r="S81" s="218"/>
      <c r="T81" s="218"/>
      <c r="U81" s="218"/>
      <c r="V81" s="218"/>
      <c r="W81" s="218"/>
      <c r="X81" s="218"/>
      <c r="Y81" s="218"/>
      <c r="Z81" s="218"/>
      <c r="AA81" s="218"/>
      <c r="AB81" s="218"/>
      <c r="AC81" s="218"/>
      <c r="AD81" s="218"/>
      <c r="AE81" s="218"/>
      <c r="AF81" s="218"/>
      <c r="AG81" s="218"/>
      <c r="AH81" s="218"/>
      <c r="AI81" s="218"/>
      <c r="AJ81" s="218"/>
      <c r="AK81" s="218"/>
      <c r="AL81" s="218"/>
      <c r="AM81" s="218"/>
      <c r="AN81" s="218"/>
      <c r="AO81" s="218"/>
      <c r="AP81" s="218"/>
      <c r="AQ81" s="218"/>
      <c r="AR81" s="218"/>
      <c r="AS81" s="218"/>
      <c r="AT81" s="218"/>
      <c r="AU81" s="218"/>
      <c r="AV81" s="218"/>
      <c r="AW81" s="218"/>
      <c r="AX81" s="218"/>
      <c r="AY81" s="218"/>
      <c r="AZ81" s="218"/>
      <c r="BA81" s="218"/>
      <c r="BB81" s="218"/>
      <c r="BC81" s="218"/>
      <c r="BD81" s="218"/>
      <c r="BE81" s="218"/>
      <c r="BF81" s="218"/>
      <c r="BG81" s="218"/>
      <c r="BH81" s="218"/>
      <c r="BI81" s="218"/>
      <c r="BJ81" s="218"/>
      <c r="BK81" s="218"/>
      <c r="BL81" s="218"/>
      <c r="BM81" s="218"/>
      <c r="BN81" s="218"/>
      <c r="BO81" s="218"/>
      <c r="BS81" s="219"/>
    </row>
    <row r="82" spans="1:71" s="216" customFormat="1">
      <c r="A82" s="215"/>
      <c r="E82" s="218"/>
      <c r="F82" s="218"/>
      <c r="G82" s="218"/>
      <c r="H82" s="218"/>
      <c r="I82" s="218"/>
      <c r="J82" s="218"/>
      <c r="K82" s="218"/>
      <c r="L82" s="218"/>
      <c r="M82" s="218"/>
      <c r="N82" s="218"/>
      <c r="O82" s="218"/>
      <c r="P82" s="218"/>
      <c r="Q82" s="218"/>
      <c r="R82" s="218"/>
      <c r="S82" s="218"/>
      <c r="T82" s="218"/>
      <c r="U82" s="218"/>
      <c r="V82" s="218"/>
      <c r="W82" s="218"/>
      <c r="X82" s="218"/>
      <c r="Y82" s="218"/>
      <c r="Z82" s="218"/>
      <c r="AA82" s="218"/>
      <c r="AB82" s="218"/>
      <c r="AC82" s="218"/>
      <c r="AD82" s="218"/>
      <c r="AE82" s="218"/>
      <c r="AF82" s="218"/>
      <c r="AG82" s="218"/>
      <c r="AH82" s="218"/>
      <c r="AI82" s="218"/>
      <c r="AJ82" s="218"/>
      <c r="AK82" s="218"/>
      <c r="AL82" s="218"/>
      <c r="AM82" s="218"/>
      <c r="AN82" s="218"/>
      <c r="AO82" s="218"/>
      <c r="AP82" s="218"/>
      <c r="AQ82" s="218"/>
      <c r="AR82" s="218"/>
      <c r="AS82" s="218"/>
      <c r="AT82" s="218"/>
      <c r="AU82" s="218"/>
      <c r="AV82" s="218"/>
      <c r="AW82" s="218"/>
      <c r="AX82" s="218"/>
      <c r="AY82" s="218"/>
      <c r="AZ82" s="218"/>
      <c r="BA82" s="218"/>
      <c r="BB82" s="218"/>
      <c r="BC82" s="218"/>
      <c r="BD82" s="218"/>
      <c r="BE82" s="218"/>
      <c r="BF82" s="218"/>
      <c r="BG82" s="218"/>
      <c r="BH82" s="218"/>
      <c r="BI82" s="218"/>
      <c r="BJ82" s="218"/>
      <c r="BK82" s="218"/>
      <c r="BL82" s="218"/>
      <c r="BM82" s="218"/>
      <c r="BN82" s="218"/>
      <c r="BO82" s="218"/>
      <c r="BS82" s="219"/>
    </row>
    <row r="83" spans="1:71" s="216" customFormat="1">
      <c r="A83" s="215"/>
      <c r="E83" s="218"/>
      <c r="F83" s="218"/>
      <c r="G83" s="218"/>
      <c r="H83" s="218"/>
      <c r="I83" s="218"/>
      <c r="J83" s="218"/>
      <c r="K83" s="218"/>
      <c r="L83" s="218"/>
      <c r="M83" s="218"/>
      <c r="N83" s="218"/>
      <c r="O83" s="218"/>
      <c r="P83" s="218"/>
      <c r="Q83" s="218"/>
      <c r="R83" s="218"/>
      <c r="S83" s="218"/>
      <c r="T83" s="218"/>
      <c r="U83" s="218"/>
      <c r="V83" s="218"/>
      <c r="W83" s="218"/>
      <c r="X83" s="218"/>
      <c r="Y83" s="218"/>
      <c r="Z83" s="218"/>
      <c r="AA83" s="218"/>
      <c r="AB83" s="218"/>
      <c r="AC83" s="218"/>
      <c r="AD83" s="218"/>
      <c r="AE83" s="218"/>
      <c r="AF83" s="218"/>
      <c r="AG83" s="218"/>
      <c r="AH83" s="218"/>
      <c r="AI83" s="218"/>
      <c r="AJ83" s="218"/>
      <c r="AK83" s="218"/>
      <c r="AL83" s="218"/>
      <c r="AM83" s="218"/>
      <c r="AN83" s="218"/>
      <c r="AO83" s="218"/>
      <c r="AP83" s="218"/>
      <c r="AQ83" s="218"/>
      <c r="AR83" s="218"/>
      <c r="AS83" s="218"/>
      <c r="AT83" s="218"/>
      <c r="AU83" s="218"/>
      <c r="AV83" s="218"/>
      <c r="AW83" s="218"/>
      <c r="AX83" s="218"/>
      <c r="AY83" s="218"/>
      <c r="AZ83" s="218"/>
      <c r="BA83" s="218"/>
      <c r="BB83" s="218"/>
      <c r="BC83" s="218"/>
      <c r="BD83" s="218"/>
      <c r="BE83" s="218"/>
      <c r="BF83" s="218"/>
      <c r="BG83" s="218"/>
      <c r="BH83" s="218"/>
      <c r="BI83" s="218"/>
      <c r="BJ83" s="218"/>
      <c r="BK83" s="218"/>
      <c r="BL83" s="218"/>
      <c r="BM83" s="218"/>
      <c r="BN83" s="218"/>
      <c r="BO83" s="218"/>
      <c r="BS83" s="219"/>
    </row>
    <row r="84" spans="1:71" s="216" customFormat="1">
      <c r="A84" s="215"/>
      <c r="E84" s="218"/>
      <c r="F84" s="218"/>
      <c r="G84" s="218"/>
      <c r="H84" s="218"/>
      <c r="I84" s="218"/>
      <c r="J84" s="218"/>
      <c r="K84" s="218"/>
      <c r="L84" s="218"/>
      <c r="M84" s="218"/>
      <c r="N84" s="218"/>
      <c r="O84" s="218"/>
      <c r="P84" s="218"/>
      <c r="Q84" s="218"/>
      <c r="R84" s="218"/>
      <c r="S84" s="218"/>
      <c r="T84" s="218"/>
      <c r="U84" s="218"/>
      <c r="V84" s="218"/>
      <c r="W84" s="218"/>
      <c r="X84" s="218"/>
      <c r="Y84" s="218"/>
      <c r="Z84" s="218"/>
      <c r="AA84" s="218"/>
      <c r="AB84" s="218"/>
      <c r="AC84" s="218"/>
      <c r="AD84" s="218"/>
      <c r="AE84" s="218"/>
      <c r="AF84" s="218"/>
      <c r="AG84" s="218"/>
      <c r="AH84" s="218"/>
      <c r="AI84" s="218"/>
      <c r="AJ84" s="218"/>
      <c r="AK84" s="218"/>
      <c r="AL84" s="218"/>
      <c r="AM84" s="218"/>
      <c r="AN84" s="218"/>
      <c r="AO84" s="218"/>
      <c r="AP84" s="218"/>
      <c r="AQ84" s="218"/>
      <c r="AR84" s="218"/>
      <c r="AS84" s="218"/>
      <c r="AT84" s="218"/>
      <c r="AU84" s="218"/>
      <c r="AV84" s="218"/>
      <c r="AW84" s="218"/>
      <c r="AX84" s="218"/>
      <c r="AY84" s="218"/>
      <c r="AZ84" s="218"/>
      <c r="BA84" s="218"/>
      <c r="BB84" s="218"/>
      <c r="BC84" s="218"/>
      <c r="BD84" s="218"/>
      <c r="BE84" s="218"/>
      <c r="BF84" s="218"/>
      <c r="BG84" s="218"/>
      <c r="BH84" s="218"/>
      <c r="BI84" s="218"/>
      <c r="BJ84" s="218"/>
      <c r="BK84" s="218"/>
      <c r="BL84" s="218"/>
      <c r="BM84" s="218"/>
      <c r="BN84" s="218"/>
      <c r="BO84" s="218"/>
      <c r="BS84" s="219"/>
    </row>
    <row r="85" spans="1:71" s="216" customFormat="1">
      <c r="A85" s="215"/>
      <c r="E85" s="218"/>
      <c r="F85" s="218"/>
      <c r="G85" s="218"/>
      <c r="H85" s="218"/>
      <c r="I85" s="218"/>
      <c r="J85" s="218"/>
      <c r="K85" s="218"/>
      <c r="L85" s="218"/>
      <c r="M85" s="218"/>
      <c r="N85" s="218"/>
      <c r="O85" s="218"/>
      <c r="P85" s="218"/>
      <c r="Q85" s="218"/>
      <c r="R85" s="218"/>
      <c r="S85" s="218"/>
      <c r="T85" s="218"/>
      <c r="U85" s="218"/>
      <c r="V85" s="218"/>
      <c r="W85" s="218"/>
      <c r="X85" s="218"/>
      <c r="Y85" s="218"/>
      <c r="Z85" s="218"/>
      <c r="AA85" s="218"/>
      <c r="AB85" s="218"/>
      <c r="AC85" s="218"/>
      <c r="AD85" s="218"/>
      <c r="AE85" s="218"/>
      <c r="AF85" s="218"/>
      <c r="AG85" s="218"/>
      <c r="AH85" s="218"/>
      <c r="AI85" s="218"/>
      <c r="AJ85" s="218"/>
      <c r="AK85" s="218"/>
      <c r="AL85" s="218"/>
      <c r="AM85" s="218"/>
      <c r="AN85" s="218"/>
      <c r="AO85" s="218"/>
      <c r="AP85" s="218"/>
      <c r="AQ85" s="218"/>
      <c r="AR85" s="218"/>
      <c r="AS85" s="218"/>
      <c r="AT85" s="218"/>
      <c r="AU85" s="218"/>
      <c r="AV85" s="218"/>
      <c r="AW85" s="218"/>
      <c r="AX85" s="218"/>
      <c r="AY85" s="218"/>
      <c r="AZ85" s="218"/>
      <c r="BA85" s="218"/>
      <c r="BB85" s="218"/>
      <c r="BC85" s="218"/>
      <c r="BD85" s="218"/>
      <c r="BE85" s="218"/>
      <c r="BF85" s="218"/>
      <c r="BG85" s="218"/>
      <c r="BH85" s="218"/>
      <c r="BI85" s="218"/>
      <c r="BJ85" s="218"/>
      <c r="BK85" s="218"/>
      <c r="BL85" s="218"/>
      <c r="BM85" s="218"/>
      <c r="BN85" s="218"/>
      <c r="BO85" s="218"/>
      <c r="BS85" s="219"/>
    </row>
    <row r="86" spans="1:71" s="216" customFormat="1">
      <c r="A86" s="215"/>
      <c r="E86" s="218"/>
      <c r="F86" s="218"/>
      <c r="G86" s="218"/>
      <c r="H86" s="218"/>
      <c r="I86" s="218"/>
      <c r="J86" s="218"/>
      <c r="K86" s="218"/>
      <c r="L86" s="218"/>
      <c r="M86" s="218"/>
      <c r="N86" s="218"/>
      <c r="O86" s="218"/>
      <c r="P86" s="218"/>
      <c r="Q86" s="218"/>
      <c r="R86" s="218"/>
      <c r="S86" s="218"/>
      <c r="T86" s="218"/>
      <c r="U86" s="218"/>
      <c r="V86" s="218"/>
      <c r="W86" s="218"/>
      <c r="X86" s="218"/>
      <c r="Y86" s="218"/>
      <c r="Z86" s="218"/>
      <c r="AA86" s="218"/>
      <c r="AB86" s="218"/>
      <c r="AC86" s="218"/>
      <c r="AD86" s="218"/>
      <c r="AE86" s="218"/>
      <c r="AF86" s="218"/>
      <c r="AG86" s="218"/>
      <c r="AH86" s="218"/>
      <c r="AI86" s="218"/>
      <c r="AJ86" s="218"/>
      <c r="AK86" s="218"/>
      <c r="AL86" s="218"/>
      <c r="AM86" s="218"/>
      <c r="AN86" s="218"/>
      <c r="AO86" s="218"/>
      <c r="AP86" s="218"/>
      <c r="AQ86" s="218"/>
      <c r="AR86" s="218"/>
      <c r="AS86" s="218"/>
      <c r="AT86" s="218"/>
      <c r="AU86" s="218"/>
      <c r="AV86" s="218"/>
      <c r="AW86" s="218"/>
      <c r="AX86" s="218"/>
      <c r="AY86" s="218"/>
      <c r="AZ86" s="218"/>
      <c r="BA86" s="218"/>
      <c r="BB86" s="218"/>
      <c r="BC86" s="218"/>
      <c r="BD86" s="218"/>
      <c r="BE86" s="218"/>
      <c r="BF86" s="218"/>
      <c r="BG86" s="218"/>
      <c r="BH86" s="218"/>
      <c r="BI86" s="218"/>
      <c r="BJ86" s="218"/>
      <c r="BK86" s="218"/>
      <c r="BL86" s="218"/>
      <c r="BM86" s="218"/>
      <c r="BN86" s="218"/>
      <c r="BO86" s="218"/>
      <c r="BS86" s="219"/>
    </row>
    <row r="87" spans="1:71" s="216" customFormat="1">
      <c r="A87" s="215"/>
      <c r="E87" s="218"/>
      <c r="F87" s="218"/>
      <c r="G87" s="218"/>
      <c r="H87" s="218"/>
      <c r="I87" s="218"/>
      <c r="J87" s="218"/>
      <c r="K87" s="218"/>
      <c r="L87" s="218"/>
      <c r="M87" s="218"/>
      <c r="N87" s="218"/>
      <c r="O87" s="218"/>
      <c r="P87" s="218"/>
      <c r="Q87" s="218"/>
      <c r="R87" s="218"/>
      <c r="S87" s="218"/>
      <c r="T87" s="218"/>
      <c r="U87" s="218"/>
      <c r="V87" s="218"/>
      <c r="W87" s="218"/>
      <c r="X87" s="218"/>
      <c r="Y87" s="218"/>
      <c r="Z87" s="218"/>
      <c r="AA87" s="218"/>
      <c r="AB87" s="218"/>
      <c r="AC87" s="218"/>
      <c r="AD87" s="218"/>
      <c r="AE87" s="218"/>
      <c r="AF87" s="218"/>
      <c r="AG87" s="218"/>
      <c r="AH87" s="218"/>
      <c r="AI87" s="218"/>
      <c r="AJ87" s="218"/>
      <c r="AK87" s="218"/>
      <c r="AL87" s="218"/>
      <c r="AM87" s="218"/>
      <c r="AN87" s="218"/>
      <c r="AO87" s="218"/>
      <c r="AP87" s="218"/>
      <c r="AQ87" s="218"/>
      <c r="AR87" s="218"/>
      <c r="AS87" s="218"/>
      <c r="AT87" s="218"/>
      <c r="AU87" s="218"/>
      <c r="AV87" s="218"/>
      <c r="AW87" s="218"/>
      <c r="AX87" s="218"/>
      <c r="AY87" s="218"/>
      <c r="AZ87" s="218"/>
      <c r="BA87" s="218"/>
      <c r="BB87" s="218"/>
      <c r="BC87" s="218"/>
      <c r="BD87" s="218"/>
      <c r="BE87" s="218"/>
      <c r="BF87" s="218"/>
      <c r="BG87" s="218"/>
      <c r="BH87" s="218"/>
      <c r="BI87" s="218"/>
      <c r="BJ87" s="218"/>
      <c r="BK87" s="218"/>
      <c r="BL87" s="218"/>
      <c r="BM87" s="218"/>
      <c r="BN87" s="218"/>
      <c r="BO87" s="218"/>
      <c r="BS87" s="219"/>
    </row>
    <row r="88" spans="1:71" s="216" customFormat="1">
      <c r="A88" s="215"/>
      <c r="E88" s="218"/>
      <c r="F88" s="218"/>
      <c r="G88" s="218"/>
      <c r="H88" s="218"/>
      <c r="I88" s="218"/>
      <c r="J88" s="218"/>
      <c r="K88" s="218"/>
      <c r="L88" s="218"/>
      <c r="M88" s="218"/>
      <c r="N88" s="218"/>
      <c r="O88" s="218"/>
      <c r="P88" s="218"/>
      <c r="Q88" s="218"/>
      <c r="R88" s="218"/>
      <c r="S88" s="218"/>
      <c r="T88" s="218"/>
      <c r="U88" s="218"/>
      <c r="V88" s="218"/>
      <c r="W88" s="218"/>
      <c r="X88" s="218"/>
      <c r="Y88" s="218"/>
      <c r="Z88" s="218"/>
      <c r="AA88" s="218"/>
      <c r="AB88" s="218"/>
      <c r="AC88" s="218"/>
      <c r="AD88" s="218"/>
      <c r="AE88" s="218"/>
      <c r="AF88" s="218"/>
      <c r="AG88" s="218"/>
      <c r="AH88" s="218"/>
      <c r="AI88" s="218"/>
      <c r="AJ88" s="218"/>
      <c r="AK88" s="218"/>
      <c r="AL88" s="218"/>
      <c r="AM88" s="218"/>
      <c r="AN88" s="218"/>
      <c r="AO88" s="218"/>
      <c r="AP88" s="218"/>
      <c r="AQ88" s="218"/>
      <c r="AR88" s="218"/>
      <c r="AS88" s="218"/>
      <c r="AT88" s="218"/>
      <c r="AU88" s="218"/>
      <c r="AV88" s="218"/>
      <c r="AW88" s="218"/>
      <c r="AX88" s="218"/>
      <c r="AY88" s="218"/>
      <c r="AZ88" s="218"/>
      <c r="BA88" s="218"/>
      <c r="BB88" s="218"/>
      <c r="BC88" s="218"/>
      <c r="BD88" s="218"/>
      <c r="BE88" s="218"/>
      <c r="BF88" s="218"/>
      <c r="BG88" s="218"/>
      <c r="BH88" s="218"/>
      <c r="BI88" s="218"/>
      <c r="BJ88" s="218"/>
      <c r="BK88" s="218"/>
      <c r="BL88" s="218"/>
      <c r="BM88" s="218"/>
      <c r="BN88" s="218"/>
      <c r="BO88" s="218"/>
      <c r="BS88" s="219"/>
    </row>
    <row r="89" spans="1:71" s="216" customFormat="1">
      <c r="A89" s="215"/>
      <c r="E89" s="218"/>
      <c r="F89" s="218"/>
      <c r="G89" s="218"/>
      <c r="H89" s="218"/>
      <c r="I89" s="218"/>
      <c r="J89" s="218"/>
      <c r="K89" s="218"/>
      <c r="L89" s="218"/>
      <c r="M89" s="218"/>
      <c r="N89" s="218"/>
      <c r="O89" s="218"/>
      <c r="P89" s="218"/>
      <c r="Q89" s="218"/>
      <c r="R89" s="218"/>
      <c r="S89" s="218"/>
      <c r="T89" s="218"/>
      <c r="U89" s="218"/>
      <c r="V89" s="218"/>
      <c r="W89" s="218"/>
      <c r="X89" s="218"/>
      <c r="Y89" s="218"/>
      <c r="Z89" s="218"/>
      <c r="AA89" s="218"/>
      <c r="AB89" s="218"/>
      <c r="AC89" s="218"/>
      <c r="AD89" s="218"/>
      <c r="AE89" s="218"/>
      <c r="AF89" s="218"/>
      <c r="AG89" s="218"/>
      <c r="AH89" s="218"/>
      <c r="AI89" s="218"/>
      <c r="AJ89" s="218"/>
      <c r="AK89" s="218"/>
      <c r="AL89" s="218"/>
      <c r="AM89" s="218"/>
      <c r="AN89" s="218"/>
      <c r="AO89" s="218"/>
      <c r="AP89" s="218"/>
      <c r="AQ89" s="218"/>
      <c r="AR89" s="218"/>
      <c r="AS89" s="218"/>
      <c r="AT89" s="218"/>
      <c r="AU89" s="218"/>
      <c r="AV89" s="218"/>
      <c r="AW89" s="218"/>
      <c r="AX89" s="218"/>
      <c r="AY89" s="218"/>
      <c r="AZ89" s="218"/>
      <c r="BA89" s="218"/>
      <c r="BB89" s="218"/>
      <c r="BC89" s="218"/>
      <c r="BD89" s="218"/>
      <c r="BE89" s="218"/>
      <c r="BF89" s="218"/>
      <c r="BG89" s="218"/>
      <c r="BH89" s="218"/>
      <c r="BI89" s="218"/>
      <c r="BJ89" s="218"/>
      <c r="BK89" s="218"/>
      <c r="BL89" s="218"/>
      <c r="BM89" s="218"/>
      <c r="BN89" s="218"/>
      <c r="BO89" s="218"/>
      <c r="BS89" s="219"/>
    </row>
    <row r="90" spans="1:71" s="216" customFormat="1">
      <c r="A90" s="215"/>
      <c r="E90" s="218"/>
      <c r="F90" s="218"/>
      <c r="G90" s="218"/>
      <c r="H90" s="218"/>
      <c r="I90" s="218"/>
      <c r="J90" s="218"/>
      <c r="K90" s="218"/>
      <c r="L90" s="218"/>
      <c r="M90" s="218"/>
      <c r="N90" s="218"/>
      <c r="O90" s="218"/>
      <c r="P90" s="218"/>
      <c r="Q90" s="218"/>
      <c r="R90" s="218"/>
      <c r="S90" s="218"/>
      <c r="T90" s="218"/>
      <c r="U90" s="218"/>
      <c r="V90" s="218"/>
      <c r="W90" s="218"/>
      <c r="X90" s="218"/>
      <c r="Y90" s="218"/>
      <c r="Z90" s="218"/>
      <c r="AA90" s="218"/>
      <c r="AB90" s="218"/>
      <c r="AC90" s="218"/>
      <c r="AD90" s="218"/>
      <c r="AE90" s="218"/>
      <c r="AF90" s="218"/>
      <c r="AG90" s="218"/>
      <c r="AH90" s="218"/>
      <c r="AI90" s="218"/>
      <c r="AJ90" s="218"/>
      <c r="AK90" s="218"/>
      <c r="AL90" s="218"/>
      <c r="AM90" s="218"/>
      <c r="AN90" s="218"/>
      <c r="AO90" s="218"/>
      <c r="AP90" s="218"/>
      <c r="AQ90" s="218"/>
      <c r="AR90" s="218"/>
      <c r="AS90" s="218"/>
      <c r="AT90" s="218"/>
      <c r="AU90" s="218"/>
      <c r="AV90" s="218"/>
      <c r="AW90" s="218"/>
      <c r="AX90" s="218"/>
      <c r="AY90" s="218"/>
      <c r="AZ90" s="218"/>
      <c r="BA90" s="218"/>
      <c r="BB90" s="218"/>
      <c r="BC90" s="218"/>
      <c r="BD90" s="218"/>
      <c r="BE90" s="218"/>
      <c r="BF90" s="218"/>
      <c r="BG90" s="218"/>
      <c r="BH90" s="218"/>
      <c r="BI90" s="218"/>
      <c r="BJ90" s="218"/>
      <c r="BK90" s="218"/>
      <c r="BL90" s="218"/>
      <c r="BM90" s="218"/>
      <c r="BN90" s="218"/>
      <c r="BO90" s="218"/>
      <c r="BS90" s="219"/>
    </row>
    <row r="91" spans="1:71" s="216" customFormat="1">
      <c r="A91" s="215"/>
      <c r="E91" s="218"/>
      <c r="F91" s="218"/>
      <c r="G91" s="218"/>
      <c r="H91" s="218"/>
      <c r="I91" s="218"/>
      <c r="J91" s="218"/>
      <c r="K91" s="218"/>
      <c r="L91" s="218"/>
      <c r="M91" s="218"/>
      <c r="N91" s="218"/>
      <c r="O91" s="218"/>
      <c r="P91" s="218"/>
      <c r="Q91" s="218"/>
      <c r="R91" s="218"/>
      <c r="S91" s="218"/>
      <c r="T91" s="218"/>
      <c r="U91" s="218"/>
      <c r="V91" s="218"/>
      <c r="W91" s="218"/>
      <c r="X91" s="218"/>
      <c r="Y91" s="218"/>
      <c r="Z91" s="218"/>
      <c r="AA91" s="218"/>
      <c r="AB91" s="218"/>
      <c r="AC91" s="218"/>
      <c r="AD91" s="218"/>
      <c r="AE91" s="218"/>
      <c r="AF91" s="218"/>
      <c r="AG91" s="218"/>
      <c r="AH91" s="218"/>
      <c r="AI91" s="218"/>
      <c r="AJ91" s="218"/>
      <c r="AK91" s="218"/>
      <c r="AL91" s="218"/>
      <c r="AM91" s="218"/>
      <c r="AN91" s="218"/>
      <c r="AO91" s="218"/>
      <c r="AP91" s="218"/>
      <c r="AQ91" s="218"/>
      <c r="AR91" s="218"/>
      <c r="AS91" s="218"/>
      <c r="AT91" s="218"/>
      <c r="AU91" s="218"/>
      <c r="AV91" s="218"/>
      <c r="AW91" s="218"/>
      <c r="AX91" s="218"/>
      <c r="AY91" s="218"/>
      <c r="AZ91" s="218"/>
      <c r="BA91" s="218"/>
      <c r="BB91" s="218"/>
      <c r="BC91" s="218"/>
      <c r="BD91" s="218"/>
      <c r="BE91" s="218"/>
      <c r="BF91" s="218"/>
      <c r="BG91" s="218"/>
      <c r="BH91" s="218"/>
      <c r="BI91" s="218"/>
      <c r="BJ91" s="218"/>
      <c r="BK91" s="218"/>
      <c r="BL91" s="218"/>
      <c r="BM91" s="218"/>
      <c r="BN91" s="218"/>
      <c r="BO91" s="218"/>
      <c r="BS91" s="219"/>
    </row>
    <row r="92" spans="1:71" s="216" customFormat="1">
      <c r="A92" s="215"/>
      <c r="B92" s="238"/>
      <c r="C92" s="218"/>
      <c r="D92" s="218"/>
      <c r="E92" s="218"/>
      <c r="F92" s="218"/>
      <c r="G92" s="218"/>
      <c r="H92" s="218"/>
      <c r="I92" s="218"/>
      <c r="J92" s="218"/>
      <c r="K92" s="218"/>
      <c r="L92" s="218"/>
      <c r="M92" s="218"/>
      <c r="N92" s="218"/>
      <c r="O92" s="218"/>
      <c r="P92" s="218"/>
      <c r="Q92" s="218"/>
      <c r="R92" s="218"/>
      <c r="S92" s="218"/>
      <c r="T92" s="218"/>
      <c r="U92" s="218"/>
      <c r="V92" s="218"/>
      <c r="W92" s="218"/>
      <c r="X92" s="218"/>
      <c r="Y92" s="218"/>
      <c r="Z92" s="218"/>
      <c r="AA92" s="218"/>
      <c r="AB92" s="218"/>
      <c r="AC92" s="218"/>
      <c r="AD92" s="218"/>
      <c r="AE92" s="218"/>
      <c r="AF92" s="218"/>
      <c r="AG92" s="218"/>
      <c r="AH92" s="218"/>
      <c r="AI92" s="218"/>
      <c r="AJ92" s="218"/>
      <c r="AK92" s="218"/>
      <c r="AL92" s="218"/>
      <c r="AM92" s="218"/>
      <c r="AN92" s="218"/>
      <c r="AO92" s="218"/>
      <c r="AP92" s="218"/>
      <c r="AQ92" s="218"/>
      <c r="AR92" s="218"/>
      <c r="AS92" s="218"/>
      <c r="AT92" s="218"/>
      <c r="AU92" s="218"/>
      <c r="AV92" s="218"/>
      <c r="AW92" s="218"/>
      <c r="AX92" s="218"/>
      <c r="AY92" s="218"/>
      <c r="AZ92" s="218"/>
      <c r="BA92" s="218"/>
      <c r="BB92" s="218"/>
      <c r="BC92" s="218"/>
      <c r="BD92" s="218"/>
      <c r="BE92" s="218"/>
      <c r="BF92" s="218"/>
      <c r="BG92" s="218"/>
      <c r="BH92" s="218"/>
      <c r="BI92" s="218"/>
      <c r="BJ92" s="218"/>
      <c r="BK92" s="218"/>
      <c r="BL92" s="218"/>
      <c r="BM92" s="218"/>
      <c r="BN92" s="218"/>
      <c r="BO92" s="218"/>
      <c r="BS92" s="219"/>
    </row>
    <row r="93" spans="1:71">
      <c r="C93" s="239"/>
      <c r="BO93" s="240"/>
    </row>
    <row r="94" spans="1:71">
      <c r="B94" s="238"/>
    </row>
  </sheetData>
  <mergeCells count="3">
    <mergeCell ref="D16:E16"/>
    <mergeCell ref="D17:E17"/>
    <mergeCell ref="D18:E18"/>
  </mergeCells>
  <conditionalFormatting sqref="BM7:BN7 C7:H7 C8:BN10">
    <cfRule type="cellIs" dxfId="60" priority="24" operator="equal">
      <formula>0</formula>
    </cfRule>
  </conditionalFormatting>
  <conditionalFormatting sqref="I7:K7">
    <cfRule type="cellIs" dxfId="59" priority="23" operator="equal">
      <formula>0</formula>
    </cfRule>
  </conditionalFormatting>
  <conditionalFormatting sqref="L7:N7">
    <cfRule type="cellIs" dxfId="58" priority="22" operator="equal">
      <formula>0</formula>
    </cfRule>
  </conditionalFormatting>
  <conditionalFormatting sqref="O7:Q7">
    <cfRule type="cellIs" dxfId="57" priority="21" operator="equal">
      <formula>0</formula>
    </cfRule>
  </conditionalFormatting>
  <conditionalFormatting sqref="R7:T7">
    <cfRule type="cellIs" dxfId="56" priority="20" operator="equal">
      <formula>0</formula>
    </cfRule>
  </conditionalFormatting>
  <conditionalFormatting sqref="U7:W7">
    <cfRule type="cellIs" dxfId="55" priority="19" operator="equal">
      <formula>0</formula>
    </cfRule>
  </conditionalFormatting>
  <conditionalFormatting sqref="X7:Z7">
    <cfRule type="cellIs" dxfId="54" priority="18" operator="equal">
      <formula>0</formula>
    </cfRule>
  </conditionalFormatting>
  <conditionalFormatting sqref="AA7:AC7">
    <cfRule type="cellIs" dxfId="53" priority="17" operator="equal">
      <formula>0</formula>
    </cfRule>
  </conditionalFormatting>
  <conditionalFormatting sqref="AD7:AF7">
    <cfRule type="cellIs" dxfId="52" priority="16" operator="equal">
      <formula>0</formula>
    </cfRule>
  </conditionalFormatting>
  <conditionalFormatting sqref="AG7:AI7">
    <cfRule type="cellIs" dxfId="51" priority="15" operator="equal">
      <formula>0</formula>
    </cfRule>
  </conditionalFormatting>
  <conditionalFormatting sqref="AJ7:AL7">
    <cfRule type="cellIs" dxfId="50" priority="14" operator="equal">
      <formula>0</formula>
    </cfRule>
  </conditionalFormatting>
  <conditionalFormatting sqref="AM7:AO7">
    <cfRule type="cellIs" dxfId="49" priority="13" operator="equal">
      <formula>0</formula>
    </cfRule>
  </conditionalFormatting>
  <conditionalFormatting sqref="AP7:AR7">
    <cfRule type="cellIs" dxfId="48" priority="12" operator="equal">
      <formula>0</formula>
    </cfRule>
  </conditionalFormatting>
  <conditionalFormatting sqref="AS7:AU7">
    <cfRule type="cellIs" dxfId="47" priority="11" operator="equal">
      <formula>0</formula>
    </cfRule>
  </conditionalFormatting>
  <conditionalFormatting sqref="AV7:AX7">
    <cfRule type="cellIs" dxfId="46" priority="10" operator="equal">
      <formula>0</formula>
    </cfRule>
  </conditionalFormatting>
  <conditionalFormatting sqref="AY7:BD7">
    <cfRule type="cellIs" dxfId="45" priority="9" operator="equal">
      <formula>0</formula>
    </cfRule>
  </conditionalFormatting>
  <conditionalFormatting sqref="BE7">
    <cfRule type="cellIs" dxfId="44" priority="8" operator="equal">
      <formula>0</formula>
    </cfRule>
  </conditionalFormatting>
  <conditionalFormatting sqref="BF7:BH7">
    <cfRule type="cellIs" dxfId="43" priority="7" operator="equal">
      <formula>0</formula>
    </cfRule>
  </conditionalFormatting>
  <conditionalFormatting sqref="BI7:BL7">
    <cfRule type="cellIs" dxfId="42" priority="6" operator="equal">
      <formula>0</formula>
    </cfRule>
  </conditionalFormatting>
  <conditionalFormatting sqref="B49">
    <cfRule type="cellIs" dxfId="41" priority="3" operator="equal">
      <formula>$BT$7</formula>
    </cfRule>
    <cfRule type="cellIs" dxfId="40" priority="4" operator="greaterThan">
      <formula>$BT$7</formula>
    </cfRule>
    <cfRule type="cellIs" dxfId="39" priority="5" operator="lessThan">
      <formula>$BT$7</formula>
    </cfRule>
  </conditionalFormatting>
  <conditionalFormatting sqref="B56">
    <cfRule type="cellIs" dxfId="38" priority="1" operator="greaterThan">
      <formula>$BT$7</formula>
    </cfRule>
    <cfRule type="cellIs" dxfId="37" priority="2" operator="equal">
      <formula>$BT$7</formula>
    </cfRule>
  </conditionalFormatting>
  <pageMargins left="0.7" right="0.7" top="0.75" bottom="0.75" header="0.3" footer="0.3"/>
  <pageSetup scale="41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>
    <tabColor rgb="FF00B050"/>
  </sheetPr>
  <dimension ref="A1:CI82"/>
  <sheetViews>
    <sheetView showGridLines="0" zoomScale="75" zoomScaleNormal="75" workbookViewId="0">
      <pane xSplit="2" ySplit="6" topLeftCell="BP7" activePane="bottomRight" state="frozen"/>
      <selection activeCell="B32" sqref="B32"/>
      <selection pane="topRight" activeCell="B32" sqref="B32"/>
      <selection pane="bottomLeft" activeCell="B32" sqref="B32"/>
      <selection pane="bottomRight" activeCell="B32" sqref="B32"/>
    </sheetView>
  </sheetViews>
  <sheetFormatPr defaultColWidth="9.140625" defaultRowHeight="15"/>
  <cols>
    <col min="1" max="1" width="6.28515625" style="210" customWidth="1"/>
    <col min="2" max="2" width="64.28515625" style="211" customWidth="1"/>
    <col min="3" max="3" width="13.85546875" style="211" bestFit="1" customWidth="1"/>
    <col min="4" max="17" width="15.7109375" style="211" customWidth="1"/>
    <col min="18" max="57" width="12.7109375" style="211" customWidth="1"/>
    <col min="58" max="60" width="13.28515625" style="211" bestFit="1" customWidth="1"/>
    <col min="61" max="62" width="12.7109375" style="211" customWidth="1"/>
    <col min="63" max="64" width="13.28515625" style="211" bestFit="1" customWidth="1"/>
    <col min="65" max="65" width="12.7109375" style="211" customWidth="1"/>
    <col min="66" max="78" width="15.42578125" style="211" customWidth="1"/>
    <col min="79" max="79" width="3.85546875" style="211" customWidth="1"/>
    <col min="80" max="80" width="30.140625" style="212" customWidth="1"/>
    <col min="81" max="81" width="14.5703125" style="212" customWidth="1"/>
    <col min="82" max="82" width="13.85546875" style="212" customWidth="1"/>
    <col min="83" max="83" width="15.42578125" style="213" customWidth="1"/>
    <col min="84" max="84" width="14.28515625" style="212" customWidth="1"/>
    <col min="85" max="85" width="13.5703125" style="212" customWidth="1"/>
    <col min="86" max="86" width="14.42578125" style="212" customWidth="1"/>
    <col min="87" max="16384" width="9.140625" style="212"/>
  </cols>
  <sheetData>
    <row r="1" spans="1:87" ht="15.75" thickBot="1"/>
    <row r="2" spans="1:87" ht="15.75" thickBot="1">
      <c r="B2" s="315" t="s">
        <v>188</v>
      </c>
      <c r="C2" s="314"/>
      <c r="D2" s="314"/>
      <c r="E2" s="314"/>
      <c r="F2" s="314"/>
      <c r="G2" s="314"/>
      <c r="H2" s="314"/>
      <c r="I2" s="314"/>
      <c r="J2" s="314"/>
      <c r="K2" s="314"/>
      <c r="L2" s="314"/>
      <c r="M2" s="314"/>
      <c r="N2" s="314"/>
      <c r="O2" s="314"/>
      <c r="P2" s="314"/>
      <c r="Q2" s="314"/>
      <c r="R2" s="314"/>
      <c r="S2" s="314"/>
      <c r="T2" s="314"/>
      <c r="U2" s="314"/>
      <c r="V2" s="314"/>
      <c r="W2" s="314"/>
      <c r="X2" s="314"/>
      <c r="Y2" s="314"/>
      <c r="Z2" s="314"/>
      <c r="AA2" s="314"/>
      <c r="AB2" s="314"/>
      <c r="AC2" s="314"/>
      <c r="AD2" s="314"/>
      <c r="AE2" s="314"/>
      <c r="AF2" s="314"/>
      <c r="AG2" s="314"/>
      <c r="AH2" s="314"/>
      <c r="AI2" s="314"/>
      <c r="AJ2" s="314"/>
      <c r="AK2" s="314"/>
      <c r="AL2" s="314"/>
      <c r="AM2" s="314"/>
      <c r="AN2" s="314"/>
      <c r="AO2" s="314"/>
      <c r="AP2" s="314"/>
      <c r="AQ2" s="314"/>
      <c r="AR2" s="314"/>
      <c r="AS2" s="314"/>
      <c r="AT2" s="314"/>
      <c r="AU2" s="314"/>
      <c r="AV2" s="314"/>
      <c r="AW2" s="314"/>
      <c r="AX2" s="314"/>
      <c r="AY2" s="314"/>
      <c r="AZ2" s="314"/>
      <c r="BA2" s="314"/>
      <c r="BB2" s="314"/>
      <c r="BC2" s="314"/>
      <c r="BD2" s="314"/>
      <c r="BE2" s="314"/>
      <c r="BF2" s="314"/>
      <c r="BG2" s="314"/>
      <c r="BH2" s="314"/>
      <c r="BI2" s="314"/>
      <c r="BJ2" s="314"/>
      <c r="BK2" s="314"/>
      <c r="BL2" s="314"/>
      <c r="BM2" s="314"/>
      <c r="BN2" s="314"/>
      <c r="BO2" s="314"/>
      <c r="BP2" s="314"/>
      <c r="BQ2" s="314"/>
      <c r="BR2" s="314"/>
      <c r="BS2" s="314"/>
      <c r="BT2" s="314"/>
      <c r="BU2" s="314"/>
      <c r="BV2" s="314"/>
      <c r="BW2" s="314"/>
      <c r="BX2" s="314"/>
      <c r="BY2" s="314"/>
      <c r="BZ2" s="314"/>
      <c r="CA2" s="242"/>
      <c r="CB2" s="359" t="s">
        <v>189</v>
      </c>
      <c r="CC2" s="360"/>
      <c r="CD2" s="360"/>
      <c r="CE2" s="547"/>
      <c r="CF2" s="361"/>
    </row>
    <row r="3" spans="1:87">
      <c r="B3" s="226" t="s">
        <v>89</v>
      </c>
      <c r="C3" s="600">
        <f>+'Property Level Return Calcs'!C66</f>
        <v>47880</v>
      </c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  <c r="AF3" s="241"/>
      <c r="AG3" s="241"/>
      <c r="AH3" s="241"/>
      <c r="AI3" s="241"/>
      <c r="AJ3" s="241"/>
      <c r="AK3" s="241"/>
      <c r="AL3" s="241"/>
      <c r="AM3" s="241"/>
      <c r="AN3" s="241"/>
      <c r="AO3" s="241"/>
      <c r="AP3" s="241"/>
      <c r="AQ3" s="241"/>
      <c r="AR3" s="241"/>
      <c r="AS3" s="241"/>
      <c r="AT3" s="241"/>
      <c r="AU3" s="241"/>
      <c r="AV3" s="241"/>
      <c r="AW3" s="241"/>
      <c r="AX3" s="241"/>
      <c r="AY3" s="241"/>
      <c r="AZ3" s="241"/>
      <c r="BA3" s="241"/>
      <c r="BB3" s="241"/>
      <c r="BC3" s="241"/>
      <c r="BD3" s="241"/>
      <c r="BE3" s="241"/>
      <c r="BF3" s="241"/>
      <c r="BG3" s="241"/>
      <c r="BH3" s="241"/>
      <c r="BI3" s="241"/>
      <c r="BJ3" s="241"/>
      <c r="BK3" s="241"/>
      <c r="BL3" s="241"/>
      <c r="CA3" s="242"/>
      <c r="CB3" s="362"/>
      <c r="CC3" s="356" t="s">
        <v>190</v>
      </c>
      <c r="CD3" s="356" t="s">
        <v>191</v>
      </c>
      <c r="CE3" s="549" t="s">
        <v>47</v>
      </c>
      <c r="CF3" s="363" t="s">
        <v>206</v>
      </c>
      <c r="CH3" s="216" t="s">
        <v>203</v>
      </c>
      <c r="CI3" s="216" t="s">
        <v>207</v>
      </c>
    </row>
    <row r="4" spans="1:87">
      <c r="B4" s="316" t="s">
        <v>81</v>
      </c>
      <c r="C4" s="601">
        <f>+'Property Level Return Calcs'!C67</f>
        <v>6.083333333333333</v>
      </c>
      <c r="D4" s="244"/>
      <c r="E4" s="244"/>
      <c r="F4" s="244"/>
      <c r="G4" s="244"/>
      <c r="H4" s="244"/>
      <c r="I4" s="244"/>
      <c r="J4" s="244"/>
      <c r="K4" s="244"/>
      <c r="L4" s="244"/>
      <c r="M4" s="244"/>
      <c r="N4" s="244"/>
      <c r="O4" s="244"/>
      <c r="P4" s="244"/>
      <c r="Q4" s="244"/>
      <c r="R4" s="244"/>
      <c r="S4" s="244"/>
      <c r="T4" s="244"/>
      <c r="U4" s="244"/>
      <c r="V4" s="244"/>
      <c r="W4" s="244"/>
      <c r="X4" s="244"/>
      <c r="Y4" s="244"/>
      <c r="Z4" s="244"/>
      <c r="AA4" s="244"/>
      <c r="AB4" s="244"/>
      <c r="AC4" s="244"/>
      <c r="AD4" s="244"/>
      <c r="AE4" s="244"/>
      <c r="AF4" s="244"/>
      <c r="AG4" s="244"/>
      <c r="AH4" s="244"/>
      <c r="AI4" s="244"/>
      <c r="AJ4" s="244"/>
      <c r="AK4" s="244"/>
      <c r="AL4" s="244"/>
      <c r="AM4" s="244"/>
      <c r="AN4" s="244"/>
      <c r="AO4" s="244"/>
      <c r="AP4" s="244"/>
      <c r="AQ4" s="244"/>
      <c r="AR4" s="244"/>
      <c r="AS4" s="244"/>
      <c r="AT4" s="244"/>
      <c r="AU4" s="244"/>
      <c r="AV4" s="244"/>
      <c r="AW4" s="244"/>
      <c r="AX4" s="244"/>
      <c r="AY4" s="244"/>
      <c r="AZ4" s="244"/>
      <c r="BA4" s="244"/>
      <c r="BB4" s="244"/>
      <c r="BC4" s="244"/>
      <c r="BD4" s="244"/>
      <c r="BE4" s="244"/>
      <c r="BF4" s="244"/>
      <c r="BG4" s="244"/>
      <c r="BH4" s="244"/>
      <c r="BI4" s="244"/>
      <c r="BJ4" s="244"/>
      <c r="BK4" s="244"/>
      <c r="BL4" s="244"/>
      <c r="CA4" s="248"/>
      <c r="CB4" s="251" t="s">
        <v>45</v>
      </c>
      <c r="CC4" s="357">
        <f>+Dashboard!E14</f>
        <v>1</v>
      </c>
      <c r="CD4" s="357">
        <f>1-CC4</f>
        <v>0</v>
      </c>
      <c r="CE4" s="357">
        <f>+Dashboard!F14</f>
        <v>0.1</v>
      </c>
      <c r="CF4" s="666" t="str">
        <f>+'Waterfall 5.0 Years'!BT4</f>
        <v>N/Ap</v>
      </c>
      <c r="CH4" s="487"/>
    </row>
    <row r="5" spans="1:87">
      <c r="B5" s="466" t="s">
        <v>41</v>
      </c>
      <c r="C5" s="551">
        <f>-SUM(C7:BN7)</f>
        <v>24033944.982098967</v>
      </c>
      <c r="D5" s="468"/>
      <c r="E5" s="468"/>
      <c r="F5" s="468"/>
      <c r="G5" s="468"/>
      <c r="H5" s="468"/>
      <c r="I5" s="468"/>
      <c r="J5" s="468"/>
      <c r="K5" s="468"/>
      <c r="L5" s="468"/>
      <c r="M5" s="468"/>
      <c r="N5" s="468"/>
      <c r="O5" s="468"/>
      <c r="P5" s="468"/>
      <c r="Q5" s="468"/>
      <c r="R5" s="468"/>
      <c r="S5" s="468"/>
      <c r="T5" s="468"/>
      <c r="U5" s="468"/>
      <c r="V5" s="468"/>
      <c r="W5" s="468"/>
      <c r="X5" s="468"/>
      <c r="Y5" s="468"/>
      <c r="Z5" s="468"/>
      <c r="AA5" s="468"/>
      <c r="AB5" s="468"/>
      <c r="AC5" s="468"/>
      <c r="AD5" s="468"/>
      <c r="AE5" s="468"/>
      <c r="AF5" s="468"/>
      <c r="AG5" s="468"/>
      <c r="AH5" s="468"/>
      <c r="AI5" s="468"/>
      <c r="AJ5" s="468"/>
      <c r="AK5" s="468"/>
      <c r="AL5" s="468"/>
      <c r="AM5" s="468"/>
      <c r="AN5" s="468"/>
      <c r="AO5" s="468"/>
      <c r="AP5" s="468"/>
      <c r="AQ5" s="468"/>
      <c r="AR5" s="468"/>
      <c r="AS5" s="468"/>
      <c r="AT5" s="468"/>
      <c r="AU5" s="468"/>
      <c r="AV5" s="468"/>
      <c r="AW5" s="468"/>
      <c r="AX5" s="468"/>
      <c r="AY5" s="468"/>
      <c r="AZ5" s="468"/>
      <c r="BA5" s="468"/>
      <c r="BB5" s="468"/>
      <c r="BC5" s="468"/>
      <c r="BD5" s="468"/>
      <c r="BE5" s="468"/>
      <c r="BF5" s="468"/>
      <c r="BG5" s="468"/>
      <c r="BH5" s="468"/>
      <c r="BI5" s="468"/>
      <c r="BJ5" s="468"/>
      <c r="BK5" s="468"/>
      <c r="BL5" s="468"/>
      <c r="BM5" s="468"/>
      <c r="BN5" s="468"/>
      <c r="BO5" s="468"/>
      <c r="BP5" s="468"/>
      <c r="BQ5" s="468"/>
      <c r="BR5" s="468"/>
      <c r="BS5" s="468"/>
      <c r="BT5" s="468"/>
      <c r="BU5" s="468"/>
      <c r="BV5" s="468"/>
      <c r="BW5" s="468"/>
      <c r="BX5" s="468"/>
      <c r="BY5" s="468"/>
      <c r="BZ5" s="468"/>
      <c r="CA5" s="248"/>
      <c r="CB5" s="364" t="s">
        <v>46</v>
      </c>
      <c r="CC5" s="664"/>
      <c r="CD5" s="664"/>
      <c r="CE5" s="665"/>
      <c r="CF5" s="581"/>
      <c r="CH5" s="213"/>
    </row>
    <row r="6" spans="1:87">
      <c r="B6" s="245" t="s">
        <v>158</v>
      </c>
      <c r="C6" s="246">
        <f>+'Property Level Return Calcs'!D68</f>
        <v>45658</v>
      </c>
      <c r="D6" s="246">
        <f>EOMONTH(C6,0)</f>
        <v>45688</v>
      </c>
      <c r="E6" s="246">
        <f>IF(D6+1&gt;$C$3,EOMONTH(D6,1),IF(EOMONTH(D6,1)&lt;$C$3,EOMONTH('Waterfall 6.0 Years'!D6,1),$C$3))</f>
        <v>45716</v>
      </c>
      <c r="F6" s="246">
        <f>IF(E6+1&gt;$C$3,EOMONTH(E6,1),IF(EOMONTH(E6,1)&lt;$C$3,EOMONTH('Waterfall 6.0 Years'!E6,1),$C$3))</f>
        <v>45747</v>
      </c>
      <c r="G6" s="246">
        <f>IF(F6+1&gt;$C$3,EOMONTH(F6,1),IF(EOMONTH(F6,1)&lt;$C$3,EOMONTH('Waterfall 6.0 Years'!F6,1),$C$3))</f>
        <v>45777</v>
      </c>
      <c r="H6" s="246">
        <f>IF(G6+1&gt;$C$3,EOMONTH(G6,1),IF(EOMONTH(G6,1)&lt;$C$3,EOMONTH('Waterfall 6.0 Years'!G6,1),$C$3))</f>
        <v>45808</v>
      </c>
      <c r="I6" s="246">
        <f>IF(H6+1&gt;$C$3,EOMONTH(H6,1),IF(EOMONTH(H6,1)&lt;$C$3,EOMONTH('Waterfall 6.0 Years'!H6,1),$C$3))</f>
        <v>45838</v>
      </c>
      <c r="J6" s="246">
        <f>IF(I6+1&gt;$C$3,EOMONTH(I6,1),IF(EOMONTH(I6,1)&lt;$C$3,EOMONTH('Waterfall 6.0 Years'!I6,1),$C$3))</f>
        <v>45869</v>
      </c>
      <c r="K6" s="246">
        <f>IF(J6+1&gt;$C$3,EOMONTH(J6,1),IF(EOMONTH(J6,1)&lt;$C$3,EOMONTH('Waterfall 6.0 Years'!J6,1),$C$3))</f>
        <v>45900</v>
      </c>
      <c r="L6" s="246">
        <f>IF(K6+1&gt;$C$3,EOMONTH(K6,1),IF(EOMONTH(K6,1)&lt;$C$3,EOMONTH('Waterfall 6.0 Years'!K6,1),$C$3))</f>
        <v>45930</v>
      </c>
      <c r="M6" s="246">
        <f>IF(L6+1&gt;$C$3,EOMONTH(L6,1),IF(EOMONTH(L6,1)&lt;$C$3,EOMONTH('Waterfall 6.0 Years'!L6,1),$C$3))</f>
        <v>45961</v>
      </c>
      <c r="N6" s="246">
        <f>IF(M6+1&gt;$C$3,EOMONTH(M6,1),IF(EOMONTH(M6,1)&lt;$C$3,EOMONTH('Waterfall 6.0 Years'!M6,1),$C$3))</f>
        <v>45991</v>
      </c>
      <c r="O6" s="246">
        <f>IF(N6+1&gt;$C$3,EOMONTH(N6,1),IF(EOMONTH(N6,1)&lt;$C$3,EOMONTH('Waterfall 6.0 Years'!N6,1),$C$3))</f>
        <v>46022</v>
      </c>
      <c r="P6" s="246">
        <f>IF(O6+1&gt;$C$3,EOMONTH(O6,1),IF(EOMONTH(O6,1)&lt;$C$3,EOMONTH('Waterfall 6.0 Years'!O6,1),$C$3))</f>
        <v>46053</v>
      </c>
      <c r="Q6" s="246">
        <f>IF(P6+1&gt;$C$3,EOMONTH(P6,1),IF(EOMONTH(P6,1)&lt;$C$3,EOMONTH('Waterfall 6.0 Years'!P6,1),$C$3))</f>
        <v>46081</v>
      </c>
      <c r="R6" s="246">
        <f>IF(Q6+1&gt;$C$3,EOMONTH(Q6,1),IF(EOMONTH(Q6,1)&lt;$C$3,EOMONTH('Waterfall 6.0 Years'!Q6,1),$C$3))</f>
        <v>46112</v>
      </c>
      <c r="S6" s="246">
        <f>IF(R6+1&gt;$C$3,EOMONTH(R6,1),IF(EOMONTH(R6,1)&lt;$C$3,EOMONTH('Waterfall 6.0 Years'!R6,1),$C$3))</f>
        <v>46142</v>
      </c>
      <c r="T6" s="246">
        <f>IF(S6+1&gt;$C$3,EOMONTH(S6,1),IF(EOMONTH(S6,1)&lt;$C$3,EOMONTH('Waterfall 6.0 Years'!S6,1),$C$3))</f>
        <v>46173</v>
      </c>
      <c r="U6" s="246">
        <f>IF(T6+1&gt;$C$3,EOMONTH(T6,1),IF(EOMONTH(T6,1)&lt;$C$3,EOMONTH('Waterfall 6.0 Years'!T6,1),$C$3))</f>
        <v>46203</v>
      </c>
      <c r="V6" s="246">
        <f>IF(U6+1&gt;$C$3,EOMONTH(U6,1),IF(EOMONTH(U6,1)&lt;$C$3,EOMONTH('Waterfall 6.0 Years'!U6,1),$C$3))</f>
        <v>46234</v>
      </c>
      <c r="W6" s="246">
        <f>IF(V6+1&gt;$C$3,EOMONTH(V6,1),IF(EOMONTH(V6,1)&lt;$C$3,EOMONTH('Waterfall 6.0 Years'!V6,1),$C$3))</f>
        <v>46265</v>
      </c>
      <c r="X6" s="246">
        <f>IF(W6+1&gt;$C$3,EOMONTH(W6,1),IF(EOMONTH(W6,1)&lt;$C$3,EOMONTH('Waterfall 6.0 Years'!W6,1),$C$3))</f>
        <v>46295</v>
      </c>
      <c r="Y6" s="246">
        <f>IF(X6+1&gt;$C$3,EOMONTH(X6,1),IF(EOMONTH(X6,1)&lt;$C$3,EOMONTH('Waterfall 6.0 Years'!X6,1),$C$3))</f>
        <v>46326</v>
      </c>
      <c r="Z6" s="246">
        <f>IF(Y6+1&gt;$C$3,EOMONTH(Y6,1),IF(EOMONTH(Y6,1)&lt;$C$3,EOMONTH('Waterfall 6.0 Years'!Y6,1),$C$3))</f>
        <v>46356</v>
      </c>
      <c r="AA6" s="246">
        <f>IF(Z6+1&gt;$C$3,EOMONTH(Z6,1),IF(EOMONTH(Z6,1)&lt;$C$3,EOMONTH('Waterfall 6.0 Years'!Z6,1),$C$3))</f>
        <v>46387</v>
      </c>
      <c r="AB6" s="246">
        <f>IF(AA6+1&gt;$C$3,EOMONTH(AA6,1),IF(EOMONTH(AA6,1)&lt;$C$3,EOMONTH('Waterfall 6.0 Years'!AA6,1),$C$3))</f>
        <v>46418</v>
      </c>
      <c r="AC6" s="246">
        <f>IF(AB6+1&gt;$C$3,EOMONTH(AB6,1),IF(EOMONTH(AB6,1)&lt;$C$3,EOMONTH('Waterfall 6.0 Years'!AB6,1),$C$3))</f>
        <v>46446</v>
      </c>
      <c r="AD6" s="246">
        <f>IF(AC6+1&gt;$C$3,EOMONTH(AC6,1),IF(EOMONTH(AC6,1)&lt;$C$3,EOMONTH('Waterfall 6.0 Years'!AC6,1),$C$3))</f>
        <v>46477</v>
      </c>
      <c r="AE6" s="246">
        <f>IF(AD6+1&gt;$C$3,EOMONTH(AD6,1),IF(EOMONTH(AD6,1)&lt;$C$3,EOMONTH('Waterfall 6.0 Years'!AD6,1),$C$3))</f>
        <v>46507</v>
      </c>
      <c r="AF6" s="246">
        <f>IF(AE6+1&gt;$C$3,EOMONTH(AE6,1),IF(EOMONTH(AE6,1)&lt;$C$3,EOMONTH('Waterfall 6.0 Years'!AE6,1),$C$3))</f>
        <v>46538</v>
      </c>
      <c r="AG6" s="246">
        <f>IF(AF6+1&gt;$C$3,EOMONTH(AF6,1),IF(EOMONTH(AF6,1)&lt;$C$3,EOMONTH('Waterfall 6.0 Years'!AF6,1),$C$3))</f>
        <v>46568</v>
      </c>
      <c r="AH6" s="246">
        <f>IF(AG6+1&gt;$C$3,EOMONTH(AG6,1),IF(EOMONTH(AG6,1)&lt;$C$3,EOMONTH('Waterfall 6.0 Years'!AG6,1),$C$3))</f>
        <v>46599</v>
      </c>
      <c r="AI6" s="246">
        <f>IF(AH6+1&gt;$C$3,EOMONTH(AH6,1),IF(EOMONTH(AH6,1)&lt;$C$3,EOMONTH('Waterfall 6.0 Years'!AH6,1),$C$3))</f>
        <v>46630</v>
      </c>
      <c r="AJ6" s="246">
        <f>IF(AI6+1&gt;$C$3,EOMONTH(AI6,1),IF(EOMONTH(AI6,1)&lt;$C$3,EOMONTH('Waterfall 6.0 Years'!AI6,1),$C$3))</f>
        <v>46660</v>
      </c>
      <c r="AK6" s="246">
        <f>IF(AJ6+1&gt;$C$3,EOMONTH(AJ6,1),IF(EOMONTH(AJ6,1)&lt;$C$3,EOMONTH('Waterfall 6.0 Years'!AJ6,1),$C$3))</f>
        <v>46691</v>
      </c>
      <c r="AL6" s="246">
        <f>IF(AK6+1&gt;$C$3,EOMONTH(AK6,1),IF(EOMONTH(AK6,1)&lt;$C$3,EOMONTH('Waterfall 6.0 Years'!AK6,1),$C$3))</f>
        <v>46721</v>
      </c>
      <c r="AM6" s="246">
        <f>IF(AL6+1&gt;$C$3,EOMONTH(AL6,1),IF(EOMONTH(AL6,1)&lt;$C$3,EOMONTH('Waterfall 6.0 Years'!AL6,1),$C$3))</f>
        <v>46752</v>
      </c>
      <c r="AN6" s="246">
        <f>IF(AM6+1&gt;$C$3,EOMONTH(AM6,1),IF(EOMONTH(AM6,1)&lt;$C$3,EOMONTH('Waterfall 6.0 Years'!AM6,1),$C$3))</f>
        <v>46783</v>
      </c>
      <c r="AO6" s="246">
        <f>IF(AN6+1&gt;$C$3,EOMONTH(AN6,1),IF(EOMONTH(AN6,1)&lt;$C$3,EOMONTH('Waterfall 6.0 Years'!AN6,1),$C$3))</f>
        <v>46812</v>
      </c>
      <c r="AP6" s="246">
        <f>IF(AO6+1&gt;$C$3,EOMONTH(AO6,1),IF(EOMONTH(AO6,1)&lt;$C$3,EOMONTH('Waterfall 6.0 Years'!AO6,1),$C$3))</f>
        <v>46843</v>
      </c>
      <c r="AQ6" s="246">
        <f>IF(AP6+1&gt;$C$3,EOMONTH(AP6,1),IF(EOMONTH(AP6,1)&lt;$C$3,EOMONTH('Waterfall 6.0 Years'!AP6,1),$C$3))</f>
        <v>46873</v>
      </c>
      <c r="AR6" s="246">
        <f>IF(AQ6+1&gt;$C$3,EOMONTH(AQ6,1),IF(EOMONTH(AQ6,1)&lt;$C$3,EOMONTH('Waterfall 6.0 Years'!AQ6,1),$C$3))</f>
        <v>46904</v>
      </c>
      <c r="AS6" s="246">
        <f>IF(AR6+1&gt;$C$3,EOMONTH(AR6,1),IF(EOMONTH(AR6,1)&lt;$C$3,EOMONTH('Waterfall 6.0 Years'!AR6,1),$C$3))</f>
        <v>46934</v>
      </c>
      <c r="AT6" s="246">
        <f>IF(AS6+1&gt;$C$3,EOMONTH(AS6,1),IF(EOMONTH(AS6,1)&lt;$C$3,EOMONTH('Waterfall 6.0 Years'!AS6,1),$C$3))</f>
        <v>46965</v>
      </c>
      <c r="AU6" s="246">
        <f>IF(AT6+1&gt;$C$3,EOMONTH(AT6,1),IF(EOMONTH(AT6,1)&lt;$C$3,EOMONTH('Waterfall 6.0 Years'!AT6,1),$C$3))</f>
        <v>46996</v>
      </c>
      <c r="AV6" s="246">
        <f>IF(AU6+1&gt;$C$3,EOMONTH(AU6,1),IF(EOMONTH(AU6,1)&lt;$C$3,EOMONTH('Waterfall 6.0 Years'!AU6,1),$C$3))</f>
        <v>47026</v>
      </c>
      <c r="AW6" s="246">
        <f>IF(AV6+1&gt;$C$3,EOMONTH(AV6,1),IF(EOMONTH(AV6,1)&lt;$C$3,EOMONTH('Waterfall 6.0 Years'!AV6,1),$C$3))</f>
        <v>47057</v>
      </c>
      <c r="AX6" s="246">
        <f>IF(AW6+1&gt;$C$3,EOMONTH(AW6,1),IF(EOMONTH(AW6,1)&lt;$C$3,EOMONTH('Waterfall 6.0 Years'!AW6,1),$C$3))</f>
        <v>47087</v>
      </c>
      <c r="AY6" s="246">
        <f>IF(AX6+1&gt;$C$3,EOMONTH(AX6,1),IF(EOMONTH(AX6,1)&lt;$C$3,EOMONTH('Waterfall 6.0 Years'!AX6,1),$C$3))</f>
        <v>47118</v>
      </c>
      <c r="AZ6" s="246">
        <f>IF(AY6+1&gt;$C$3,EOMONTH(AY6,1),IF(EOMONTH(AY6,1)&lt;$C$3,EOMONTH('Waterfall 6.0 Years'!AY6,1),$C$3))</f>
        <v>47149</v>
      </c>
      <c r="BA6" s="246">
        <f>IF(AZ6+1&gt;$C$3,EOMONTH(AZ6,1),IF(EOMONTH(AZ6,1)&lt;$C$3,EOMONTH('Waterfall 6.0 Years'!AZ6,1),$C$3))</f>
        <v>47177</v>
      </c>
      <c r="BB6" s="246">
        <f>IF(BA6+1&gt;$C$3,EOMONTH(BA6,1),IF(EOMONTH(BA6,1)&lt;$C$3,EOMONTH('Waterfall 6.0 Years'!BA6,1),$C$3))</f>
        <v>47208</v>
      </c>
      <c r="BC6" s="246">
        <f>IF(BB6+1&gt;$C$3,EOMONTH(BB6,1),IF(EOMONTH(BB6,1)&lt;$C$3,EOMONTH('Waterfall 6.0 Years'!BB6,1),$C$3))</f>
        <v>47238</v>
      </c>
      <c r="BD6" s="246">
        <f>IF(BC6+1&gt;$C$3,EOMONTH(BC6,1),IF(EOMONTH(BC6,1)&lt;$C$3,EOMONTH('Waterfall 6.0 Years'!BC6,1),$C$3))</f>
        <v>47269</v>
      </c>
      <c r="BE6" s="246">
        <f>IF(BD6+1&gt;$C$3,EOMONTH(BD6,1),IF(EOMONTH(BD6,1)&lt;$C$3,EOMONTH('Waterfall 6.0 Years'!BD6,1),$C$3))</f>
        <v>47299</v>
      </c>
      <c r="BF6" s="246">
        <f>IF(BE6+1&gt;$C$3,EOMONTH(BE6,1),IF(EOMONTH(BE6,1)&lt;$C$3,EOMONTH('Waterfall 6.0 Years'!BE6,1),$C$3))</f>
        <v>47330</v>
      </c>
      <c r="BG6" s="246">
        <f>IF(BF6+1&gt;$C$3,EOMONTH(BF6,1),IF(EOMONTH(BF6,1)&lt;$C$3,EOMONTH('Waterfall 6.0 Years'!BF6,1),$C$3))</f>
        <v>47361</v>
      </c>
      <c r="BH6" s="246">
        <f>IF(BG6+1&gt;$C$3,EOMONTH(BG6,1),IF(EOMONTH(BG6,1)&lt;$C$3,EOMONTH('Waterfall 6.0 Years'!BG6,1),$C$3))</f>
        <v>47391</v>
      </c>
      <c r="BI6" s="246">
        <f>IF(BH6+1&gt;$C$3,EOMONTH(BH6,1),IF(EOMONTH(BH6,1)&lt;$C$3,EOMONTH('Waterfall 6.0 Years'!BH6,1),$C$3))</f>
        <v>47422</v>
      </c>
      <c r="BJ6" s="246">
        <f>IF(BI6+1&gt;$C$3,EOMONTH(BI6,1),IF(EOMONTH(BI6,1)&lt;$C$3,EOMONTH('Waterfall 6.0 Years'!BI6,1),$C$3))</f>
        <v>47452</v>
      </c>
      <c r="BK6" s="246">
        <f>IF(BJ6+1&gt;$C$3,EOMONTH(BJ6,1),IF(EOMONTH(BJ6,1)&lt;$C$3,EOMONTH('Waterfall 6.0 Years'!BJ6,1),$C$3))</f>
        <v>47483</v>
      </c>
      <c r="BL6" s="246">
        <f>IF(BK6+1&gt;$C$3,EOMONTH(BK6,1),IF(EOMONTH(BK6,1)&lt;$C$3,EOMONTH('Waterfall 6.0 Years'!BK6,1),$C$3))</f>
        <v>47514</v>
      </c>
      <c r="BM6" s="246">
        <f>IF(BL6+1&gt;$C$3,EOMONTH(BL6,1),IF(EOMONTH(BL6,1)&lt;$C$3,EOMONTH('Waterfall 6.0 Years'!BL6,1),$C$3))</f>
        <v>47542</v>
      </c>
      <c r="BN6" s="246">
        <f>IF(BM6+1&gt;$C$3,EOMONTH(BM6,1),IF(EOMONTH(BM6,1)&lt;$C$3,EOMONTH('Waterfall 6.0 Years'!BM6,1),$C$3))</f>
        <v>47573</v>
      </c>
      <c r="BO6" s="246">
        <f>IF(BN6+1&gt;$C$3,EOMONTH(BN6,1),IF(EOMONTH(BN6,1)&lt;$C$3,EOMONTH('Waterfall 6.0 Years'!BN6,1),$C$3))</f>
        <v>47603</v>
      </c>
      <c r="BP6" s="246">
        <f>IF(BO6+1&gt;$C$3,EOMONTH(BO6,1),IF(EOMONTH(BO6,1)&lt;$C$3,EOMONTH('Waterfall 6.0 Years'!BO6,1),$C$3))</f>
        <v>47634</v>
      </c>
      <c r="BQ6" s="246">
        <f>IF(BP6+1&gt;$C$3,EOMONTH(BP6,1),IF(EOMONTH(BP6,1)&lt;$C$3,EOMONTH('Waterfall 6.0 Years'!BP6,1),$C$3))</f>
        <v>47664</v>
      </c>
      <c r="BR6" s="246">
        <f>IF(BQ6+1&gt;$C$3,EOMONTH(BQ6,1),IF(EOMONTH(BQ6,1)&lt;$C$3,EOMONTH('Waterfall 6.0 Years'!BQ6,1),$C$3))</f>
        <v>47695</v>
      </c>
      <c r="BS6" s="246">
        <f>IF(BR6+1&gt;$C$3,EOMONTH(BR6,1),IF(EOMONTH(BR6,1)&lt;$C$3,EOMONTH('Waterfall 6.0 Years'!BR6,1),$C$3))</f>
        <v>47726</v>
      </c>
      <c r="BT6" s="246">
        <f>IF(BS6+1&gt;$C$3,EOMONTH(BS6,1),IF(EOMONTH(BS6,1)&lt;$C$3,EOMONTH('Waterfall 6.0 Years'!BS6,1),$C$3))</f>
        <v>47756</v>
      </c>
      <c r="BU6" s="246">
        <f>IF(BT6+1&gt;$C$3,EOMONTH(BT6,1),IF(EOMONTH(BT6,1)&lt;$C$3,EOMONTH('Waterfall 6.0 Years'!BT6,1),$C$3))</f>
        <v>47787</v>
      </c>
      <c r="BV6" s="246">
        <f>IF(BU6+1&gt;$C$3,EOMONTH(BU6,1),IF(EOMONTH(BU6,1)&lt;$C$3,EOMONTH('Waterfall 6.0 Years'!BU6,1),$C$3))</f>
        <v>47817</v>
      </c>
      <c r="BW6" s="246">
        <f>IF(BV6+1&gt;$C$3,EOMONTH(BV6,1),IF(EOMONTH(BV6,1)&lt;$C$3,EOMONTH('Waterfall 6.0 Years'!BV6,1),$C$3))</f>
        <v>47848</v>
      </c>
      <c r="BX6" s="246">
        <f>IF(BW6+1&gt;$C$3,EOMONTH(BW6,1),IF(EOMONTH(BW6,1)&lt;$C$3,EOMONTH('Waterfall 6.0 Years'!BW6,1),$C$3))</f>
        <v>47879</v>
      </c>
      <c r="BY6" s="246">
        <f>IF(BX6+1&gt;$C$3,EOMONTH(BX6,1),IF(EOMONTH(BX6,1)&lt;$C$3,EOMONTH('Waterfall 6.0 Years'!BX6,1),$C$3))</f>
        <v>47880</v>
      </c>
      <c r="BZ6" s="246">
        <f>IF(BY6+1&gt;$C$3,EOMONTH(BY6,1),IF(EOMONTH(BY6,1)&lt;$C$3,EOMONTH('Waterfall 6.0 Years'!BY6,1),$C$3))</f>
        <v>47938</v>
      </c>
      <c r="CA6" s="345"/>
      <c r="CB6" s="251" t="s">
        <v>214</v>
      </c>
      <c r="CC6" s="357">
        <f>+Dashboard!E16</f>
        <v>0.85</v>
      </c>
      <c r="CD6" s="357">
        <f>1-CC6</f>
        <v>0.15000000000000002</v>
      </c>
      <c r="CE6" s="357">
        <f>+Dashboard!F16</f>
        <v>0.18</v>
      </c>
      <c r="CF6" s="666" t="str">
        <f>+'Waterfall 5.0 Years'!BT6</f>
        <v>N/Ap</v>
      </c>
      <c r="CG6" s="214"/>
      <c r="CH6" s="552">
        <f>(1+CE6)^(1/12)</f>
        <v>1.0138884303484099</v>
      </c>
      <c r="CI6" s="212">
        <f>(1+CE6)^(1/365)</f>
        <v>1.0004535670454469</v>
      </c>
    </row>
    <row r="7" spans="1:87">
      <c r="B7" s="248" t="s">
        <v>164</v>
      </c>
      <c r="C7" s="553">
        <f>IFERROR(HLOOKUP(C$6,'Property Level Return Calcs'!$D$68:$BO$75,'Property Level Return Calcs'!$A$70,FALSE),0)</f>
        <v>-24033944.982098967</v>
      </c>
      <c r="D7" s="553">
        <f>IFERROR(HLOOKUP(D$6,'Property Level Return Calcs'!$D$68:$BO$75,'Property Level Return Calcs'!$A$70,FALSE),0)</f>
        <v>0</v>
      </c>
      <c r="E7" s="553">
        <f>IFERROR(HLOOKUP(E$6,'Property Level Return Calcs'!$D$68:$BO$75,'Property Level Return Calcs'!$A$70,FALSE),0)</f>
        <v>0</v>
      </c>
      <c r="F7" s="553">
        <f>IFERROR(HLOOKUP(F$6,'Property Level Return Calcs'!$D$68:$BO$75,'Property Level Return Calcs'!$A$70,FALSE),0)</f>
        <v>0</v>
      </c>
      <c r="G7" s="553">
        <f>IFERROR(HLOOKUP(G$6,'Property Level Return Calcs'!$D$68:$BO$75,'Property Level Return Calcs'!$A$70,FALSE),0)</f>
        <v>0</v>
      </c>
      <c r="H7" s="553">
        <f>IFERROR(HLOOKUP(H$6,'Property Level Return Calcs'!$D$68:$BO$75,'Property Level Return Calcs'!$A$70,FALSE),0)</f>
        <v>0</v>
      </c>
      <c r="I7" s="553">
        <f>IFERROR(HLOOKUP(I$6,'Property Level Return Calcs'!$D$68:$BO$75,'Property Level Return Calcs'!$A$70,FALSE),0)</f>
        <v>0</v>
      </c>
      <c r="J7" s="553">
        <f>IFERROR(HLOOKUP(J$6,'Property Level Return Calcs'!$D$68:$BO$75,'Property Level Return Calcs'!$A$70,FALSE),0)</f>
        <v>0</v>
      </c>
      <c r="K7" s="553">
        <f>IFERROR(HLOOKUP(K$6,'Property Level Return Calcs'!$D$68:$BO$75,'Property Level Return Calcs'!$A$70,FALSE),0)</f>
        <v>0</v>
      </c>
      <c r="L7" s="553">
        <f>IFERROR(HLOOKUP(L$6,'Property Level Return Calcs'!$D$68:$BO$75,'Property Level Return Calcs'!$A$70,FALSE),0)</f>
        <v>0</v>
      </c>
      <c r="M7" s="553">
        <f>IFERROR(HLOOKUP(M$6,'Property Level Return Calcs'!$D$68:$BO$75,'Property Level Return Calcs'!$A$70,FALSE),0)</f>
        <v>0</v>
      </c>
      <c r="N7" s="553">
        <f>IFERROR(HLOOKUP(N$6,'Property Level Return Calcs'!$D$68:$BO$75,'Property Level Return Calcs'!$A$70,FALSE),0)</f>
        <v>0</v>
      </c>
      <c r="O7" s="553">
        <f>IFERROR(HLOOKUP(O$6,'Property Level Return Calcs'!$D$68:$BO$75,'Property Level Return Calcs'!$A$70,FALSE),0)</f>
        <v>0</v>
      </c>
      <c r="P7" s="553">
        <f>IFERROR(HLOOKUP(P$6,'Property Level Return Calcs'!$D$68:$BO$75,'Property Level Return Calcs'!$A$70,FALSE),0)</f>
        <v>0</v>
      </c>
      <c r="Q7" s="553">
        <f>IFERROR(HLOOKUP(Q$6,'Property Level Return Calcs'!$D$68:$BO$75,'Property Level Return Calcs'!$A$70,FALSE),0)</f>
        <v>0</v>
      </c>
      <c r="R7" s="553">
        <f>IFERROR(HLOOKUP(R$6,'Property Level Return Calcs'!$D$68:$BO$75,'Property Level Return Calcs'!$A$70,FALSE),0)</f>
        <v>0</v>
      </c>
      <c r="S7" s="553">
        <f>IFERROR(HLOOKUP(S$6,'Property Level Return Calcs'!$D$68:$BO$75,'Property Level Return Calcs'!$A$70,FALSE),0)</f>
        <v>0</v>
      </c>
      <c r="T7" s="553">
        <f>IFERROR(HLOOKUP(T$6,'Property Level Return Calcs'!$D$68:$BO$75,'Property Level Return Calcs'!$A$70,FALSE),0)</f>
        <v>0</v>
      </c>
      <c r="U7" s="553">
        <f>IFERROR(HLOOKUP(U$6,'Property Level Return Calcs'!$D$68:$BO$75,'Property Level Return Calcs'!$A$70,FALSE),0)</f>
        <v>0</v>
      </c>
      <c r="V7" s="553">
        <f>IFERROR(HLOOKUP(V$6,'Property Level Return Calcs'!$D$68:$BO$75,'Property Level Return Calcs'!$A$70,FALSE),0)</f>
        <v>0</v>
      </c>
      <c r="W7" s="553">
        <f>IFERROR(HLOOKUP(W$6,'Property Level Return Calcs'!$D$68:$BO$75,'Property Level Return Calcs'!$A$70,FALSE),0)</f>
        <v>0</v>
      </c>
      <c r="X7" s="553">
        <f>IFERROR(HLOOKUP(X$6,'Property Level Return Calcs'!$D$68:$BO$75,'Property Level Return Calcs'!$A$70,FALSE),0)</f>
        <v>0</v>
      </c>
      <c r="Y7" s="553">
        <f>IFERROR(HLOOKUP(Y$6,'Property Level Return Calcs'!$D$68:$BO$75,'Property Level Return Calcs'!$A$70,FALSE),0)</f>
        <v>0</v>
      </c>
      <c r="Z7" s="553">
        <f>IFERROR(HLOOKUP(Z$6,'Property Level Return Calcs'!$D$68:$BO$75,'Property Level Return Calcs'!$A$70,FALSE),0)</f>
        <v>0</v>
      </c>
      <c r="AA7" s="553">
        <f>IFERROR(HLOOKUP(AA$6,'Property Level Return Calcs'!$D$68:$BO$75,'Property Level Return Calcs'!$A$70,FALSE),0)</f>
        <v>0</v>
      </c>
      <c r="AB7" s="553">
        <f>IFERROR(HLOOKUP(AB$6,'Property Level Return Calcs'!$D$68:$BO$75,'Property Level Return Calcs'!$A$70,FALSE),0)</f>
        <v>0</v>
      </c>
      <c r="AC7" s="553">
        <f>IFERROR(HLOOKUP(AC$6,'Property Level Return Calcs'!$D$68:$BO$75,'Property Level Return Calcs'!$A$70,FALSE),0)</f>
        <v>0</v>
      </c>
      <c r="AD7" s="553">
        <f>IFERROR(HLOOKUP(AD$6,'Property Level Return Calcs'!$D$68:$BO$75,'Property Level Return Calcs'!$A$70,FALSE),0)</f>
        <v>0</v>
      </c>
      <c r="AE7" s="553">
        <f>IFERROR(HLOOKUP(AE$6,'Property Level Return Calcs'!$D$68:$BO$75,'Property Level Return Calcs'!$A$70,FALSE),0)</f>
        <v>0</v>
      </c>
      <c r="AF7" s="553">
        <f>IFERROR(HLOOKUP(AF$6,'Property Level Return Calcs'!$D$68:$BO$75,'Property Level Return Calcs'!$A$70,FALSE),0)</f>
        <v>0</v>
      </c>
      <c r="AG7" s="553">
        <f>IFERROR(HLOOKUP(AG$6,'Property Level Return Calcs'!$D$68:$BO$75,'Property Level Return Calcs'!$A$70,FALSE),0)</f>
        <v>0</v>
      </c>
      <c r="AH7" s="553">
        <f>IFERROR(HLOOKUP(AH$6,'Property Level Return Calcs'!$D$68:$BO$75,'Property Level Return Calcs'!$A$70,FALSE),0)</f>
        <v>0</v>
      </c>
      <c r="AI7" s="553">
        <f>IFERROR(HLOOKUP(AI$6,'Property Level Return Calcs'!$D$68:$BO$75,'Property Level Return Calcs'!$A$70,FALSE),0)</f>
        <v>0</v>
      </c>
      <c r="AJ7" s="553">
        <f>IFERROR(HLOOKUP(AJ$6,'Property Level Return Calcs'!$D$68:$BO$75,'Property Level Return Calcs'!$A$70,FALSE),0)</f>
        <v>0</v>
      </c>
      <c r="AK7" s="553">
        <f>IFERROR(HLOOKUP(AK$6,'Property Level Return Calcs'!$D$68:$BO$75,'Property Level Return Calcs'!$A$70,FALSE),0)</f>
        <v>0</v>
      </c>
      <c r="AL7" s="553">
        <f>IFERROR(HLOOKUP(AL$6,'Property Level Return Calcs'!$D$68:$BO$75,'Property Level Return Calcs'!$A$70,FALSE),0)</f>
        <v>0</v>
      </c>
      <c r="AM7" s="553">
        <f>IFERROR(HLOOKUP(AM$6,'Property Level Return Calcs'!$D$68:$BO$75,'Property Level Return Calcs'!$A$70,FALSE),0)</f>
        <v>0</v>
      </c>
      <c r="AN7" s="553">
        <f>IFERROR(HLOOKUP(AN$6,'Property Level Return Calcs'!$D$68:$BO$75,'Property Level Return Calcs'!$A$70,FALSE),0)</f>
        <v>0</v>
      </c>
      <c r="AO7" s="553">
        <f>IFERROR(HLOOKUP(AO$6,'Property Level Return Calcs'!$D$68:$BO$75,'Property Level Return Calcs'!$A$70,FALSE),0)</f>
        <v>0</v>
      </c>
      <c r="AP7" s="553">
        <f>IFERROR(HLOOKUP(AP$6,'Property Level Return Calcs'!$D$68:$BO$75,'Property Level Return Calcs'!$A$70,FALSE),0)</f>
        <v>0</v>
      </c>
      <c r="AQ7" s="553">
        <f>IFERROR(HLOOKUP(AQ$6,'Property Level Return Calcs'!$D$68:$BO$75,'Property Level Return Calcs'!$A$70,FALSE),0)</f>
        <v>0</v>
      </c>
      <c r="AR7" s="553">
        <f>IFERROR(HLOOKUP(AR$6,'Property Level Return Calcs'!$D$68:$BO$75,'Property Level Return Calcs'!$A$70,FALSE),0)</f>
        <v>0</v>
      </c>
      <c r="AS7" s="553">
        <f>IFERROR(HLOOKUP(AS$6,'Property Level Return Calcs'!$D$68:$BO$75,'Property Level Return Calcs'!$A$70,FALSE),0)</f>
        <v>0</v>
      </c>
      <c r="AT7" s="553">
        <f>IFERROR(HLOOKUP(AT$6,'Property Level Return Calcs'!$D$68:$BO$75,'Property Level Return Calcs'!$A$70,FALSE),0)</f>
        <v>0</v>
      </c>
      <c r="AU7" s="553">
        <f>IFERROR(HLOOKUP(AU$6,'Property Level Return Calcs'!$D$68:$BO$75,'Property Level Return Calcs'!$A$70,FALSE),0)</f>
        <v>0</v>
      </c>
      <c r="AV7" s="553">
        <f>IFERROR(HLOOKUP(AV$6,'Property Level Return Calcs'!$D$68:$BO$75,'Property Level Return Calcs'!$A$70,FALSE),0)</f>
        <v>0</v>
      </c>
      <c r="AW7" s="553">
        <f>IFERROR(HLOOKUP(AW$6,'Property Level Return Calcs'!$D$68:$BO$75,'Property Level Return Calcs'!$A$70,FALSE),0)</f>
        <v>0</v>
      </c>
      <c r="AX7" s="553">
        <f>IFERROR(HLOOKUP(AX$6,'Property Level Return Calcs'!$D$68:$BO$75,'Property Level Return Calcs'!$A$70,FALSE),0)</f>
        <v>0</v>
      </c>
      <c r="AY7" s="553">
        <f>IFERROR(HLOOKUP(AY$6,'Property Level Return Calcs'!$D$68:$BO$75,'Property Level Return Calcs'!$A$70,FALSE),0)</f>
        <v>0</v>
      </c>
      <c r="AZ7" s="553">
        <f>IFERROR(HLOOKUP(AZ$6,'Property Level Return Calcs'!$D$68:$BO$75,'Property Level Return Calcs'!$A$70,FALSE),0)</f>
        <v>0</v>
      </c>
      <c r="BA7" s="553">
        <f>IFERROR(HLOOKUP(BA$6,'Property Level Return Calcs'!$D$68:$BO$75,'Property Level Return Calcs'!$A$70,FALSE),0)</f>
        <v>0</v>
      </c>
      <c r="BB7" s="553">
        <f>IFERROR(HLOOKUP(BB$6,'Property Level Return Calcs'!$D$68:$BO$75,'Property Level Return Calcs'!$A$70,FALSE),0)</f>
        <v>0</v>
      </c>
      <c r="BC7" s="553">
        <f>IFERROR(HLOOKUP(BC$6,'Property Level Return Calcs'!$D$68:$BO$75,'Property Level Return Calcs'!$A$70,FALSE),0)</f>
        <v>0</v>
      </c>
      <c r="BD7" s="553">
        <f>IFERROR(HLOOKUP(BD$6,'Property Level Return Calcs'!$D$68:$BO$75,'Property Level Return Calcs'!$A$70,FALSE),0)</f>
        <v>0</v>
      </c>
      <c r="BE7" s="553">
        <f>IFERROR(HLOOKUP(BE$6,'Property Level Return Calcs'!$D$68:$BO$75,'Property Level Return Calcs'!$A$70,FALSE),0)</f>
        <v>0</v>
      </c>
      <c r="BF7" s="553">
        <f>IFERROR(HLOOKUP(BF$6,'Property Level Return Calcs'!$D$68:$BO$75,'Property Level Return Calcs'!$A$70,FALSE),0)</f>
        <v>0</v>
      </c>
      <c r="BG7" s="553">
        <f>IFERROR(HLOOKUP(BG$6,'Property Level Return Calcs'!$D$68:$BO$75,'Property Level Return Calcs'!$A$70,FALSE),0)</f>
        <v>0</v>
      </c>
      <c r="BH7" s="553">
        <f>IFERROR(HLOOKUP(BH$6,'Property Level Return Calcs'!$D$68:$BO$75,'Property Level Return Calcs'!$A$70,FALSE),0)</f>
        <v>0</v>
      </c>
      <c r="BI7" s="553">
        <f>IFERROR(HLOOKUP(BI$6,'Property Level Return Calcs'!$D$68:$BO$75,'Property Level Return Calcs'!$A$70,FALSE),0)</f>
        <v>0</v>
      </c>
      <c r="BJ7" s="553">
        <f>IFERROR(HLOOKUP(BJ$6,'Property Level Return Calcs'!$D$68:$BO$75,'Property Level Return Calcs'!$A$70,FALSE),0)</f>
        <v>0</v>
      </c>
      <c r="BK7" s="553">
        <f>IFERROR(HLOOKUP(BK$6,'Property Level Return Calcs'!$D$68:$BO$75,'Property Level Return Calcs'!$A$70,FALSE),0)</f>
        <v>0</v>
      </c>
      <c r="BL7" s="553">
        <f>IFERROR(HLOOKUP(BL$6,'Property Level Return Calcs'!$D$68:$BO$75,'Property Level Return Calcs'!$A$70,FALSE),0)</f>
        <v>0</v>
      </c>
      <c r="BM7" s="553">
        <f>IFERROR(HLOOKUP(BM$6,'Property Level Return Calcs'!$D$68:$BO$75,'Property Level Return Calcs'!$A$70,FALSE),0)</f>
        <v>0</v>
      </c>
      <c r="BN7" s="553">
        <f>IFERROR(HLOOKUP(BN$6,'Property Level Return Calcs'!$D$68:$BO$75,'Property Level Return Calcs'!$A$70,FALSE),0)</f>
        <v>0</v>
      </c>
      <c r="BO7" s="553">
        <f>IFERROR(HLOOKUP(BO$6,'Property Level Return Calcs'!$D$68:$BO$75,'Property Level Return Calcs'!$A$70,FALSE),0)</f>
        <v>0</v>
      </c>
      <c r="BP7" s="553">
        <f>IFERROR(HLOOKUP(BP$6,'Property Level Return Calcs'!$D$68:$BO$75,'Property Level Return Calcs'!$A$70,FALSE),0)</f>
        <v>0</v>
      </c>
      <c r="BQ7" s="553">
        <f>IFERROR(HLOOKUP(BQ$6,'Property Level Return Calcs'!$D$68:$BO$75,'Property Level Return Calcs'!$A$70,FALSE),0)</f>
        <v>0</v>
      </c>
      <c r="BR7" s="553">
        <f>IFERROR(HLOOKUP(BR$6,'Property Level Return Calcs'!$D$68:$BO$75,'Property Level Return Calcs'!$A$70,FALSE),0)</f>
        <v>0</v>
      </c>
      <c r="BS7" s="553">
        <f>IFERROR(HLOOKUP(BS$6,'Property Level Return Calcs'!$D$68:$BO$75,'Property Level Return Calcs'!$A$70,FALSE),0)</f>
        <v>0</v>
      </c>
      <c r="BT7" s="553">
        <f>IFERROR(HLOOKUP(BT$6,'Property Level Return Calcs'!$D$68:$BO$75,'Property Level Return Calcs'!$A$70,FALSE),0)</f>
        <v>0</v>
      </c>
      <c r="BU7" s="553">
        <f>IFERROR(HLOOKUP(BU$6,'Property Level Return Calcs'!$D$68:$BO$75,'Property Level Return Calcs'!$A$70,FALSE),0)</f>
        <v>0</v>
      </c>
      <c r="BV7" s="553">
        <f>IFERROR(HLOOKUP(BV$6,'Property Level Return Calcs'!$D$68:$BO$75,'Property Level Return Calcs'!$A$70,FALSE),0)</f>
        <v>0</v>
      </c>
      <c r="BW7" s="553">
        <f>IFERROR(HLOOKUP(BW$6,'Property Level Return Calcs'!$D$68:$BO$75,'Property Level Return Calcs'!$A$70,FALSE),0)</f>
        <v>0</v>
      </c>
      <c r="BX7" s="553">
        <f>IFERROR(HLOOKUP(BX$6,'Property Level Return Calcs'!$D$68:$BO$75,'Property Level Return Calcs'!$A$70,FALSE),0)</f>
        <v>0</v>
      </c>
      <c r="BY7" s="553">
        <f>IFERROR(HLOOKUP(BY$6,'Property Level Return Calcs'!$D$68:$BO$75,'Property Level Return Calcs'!$A$70,FALSE),0)</f>
        <v>0</v>
      </c>
      <c r="BZ7" s="553">
        <f>IFERROR(HLOOKUP(BZ$6,'Property Level Return Calcs'!$D$68:$BO$75,'Property Level Return Calcs'!$A$70,FALSE),0)</f>
        <v>0</v>
      </c>
      <c r="CA7" s="346"/>
      <c r="CB7" s="251" t="s">
        <v>215</v>
      </c>
      <c r="CC7" s="357">
        <f>+Dashboard!E18</f>
        <v>0.75</v>
      </c>
      <c r="CD7" s="357">
        <f t="shared" ref="CD7:CD8" si="0">1-CC7</f>
        <v>0.25</v>
      </c>
      <c r="CE7" s="357">
        <f>+Dashboard!F18</f>
        <v>0.22</v>
      </c>
      <c r="CF7" s="666">
        <f>+'Waterfall 5.0 Years'!BT7</f>
        <v>0</v>
      </c>
      <c r="CH7" s="552">
        <f>(1+CE7)^(1/12)</f>
        <v>1.0167089638731281</v>
      </c>
      <c r="CI7" s="554">
        <f>(1+CE7)^(1/365)</f>
        <v>1.0005449453020443</v>
      </c>
    </row>
    <row r="8" spans="1:87" ht="15.75" thickBot="1">
      <c r="B8" s="248" t="s">
        <v>165</v>
      </c>
      <c r="C8" s="553">
        <f>IFERROR(HLOOKUP(C$6,'Property Level Return Calcs'!$D$68:$BO$75,'Property Level Return Calcs'!$A$73,FALSE),0)</f>
        <v>0</v>
      </c>
      <c r="D8" s="553">
        <f>IFERROR(HLOOKUP(D$6,'Property Level Return Calcs'!$D$68:$BO$75,'Property Level Return Calcs'!$A$73,FALSE),0)</f>
        <v>0</v>
      </c>
      <c r="E8" s="553">
        <f>IFERROR(HLOOKUP(E$6,'Property Level Return Calcs'!$D$68:$BO$75,'Property Level Return Calcs'!$A$73,FALSE),0)</f>
        <v>0</v>
      </c>
      <c r="F8" s="553">
        <f>IFERROR(HLOOKUP(F$6,'Property Level Return Calcs'!$D$68:$BO$75,'Property Level Return Calcs'!$A$73,FALSE),0)</f>
        <v>0</v>
      </c>
      <c r="G8" s="553">
        <f>IFERROR(HLOOKUP(G$6,'Property Level Return Calcs'!$D$68:$BO$75,'Property Level Return Calcs'!$A$73,FALSE),0)</f>
        <v>0</v>
      </c>
      <c r="H8" s="553">
        <f>IFERROR(HLOOKUP(H$6,'Property Level Return Calcs'!$D$68:$BO$75,'Property Level Return Calcs'!$A$73,FALSE),0)</f>
        <v>0</v>
      </c>
      <c r="I8" s="553">
        <f>IFERROR(HLOOKUP(I$6,'Property Level Return Calcs'!$D$68:$BO$75,'Property Level Return Calcs'!$A$73,FALSE),0)</f>
        <v>0</v>
      </c>
      <c r="J8" s="553">
        <f>IFERROR(HLOOKUP(J$6,'Property Level Return Calcs'!$D$68:$BO$75,'Property Level Return Calcs'!$A$73,FALSE),0)</f>
        <v>0</v>
      </c>
      <c r="K8" s="553">
        <f>IFERROR(HLOOKUP(K$6,'Property Level Return Calcs'!$D$68:$BO$75,'Property Level Return Calcs'!$A$73,FALSE),0)</f>
        <v>0</v>
      </c>
      <c r="L8" s="553">
        <f>IFERROR(HLOOKUP(L$6,'Property Level Return Calcs'!$D$68:$BO$75,'Property Level Return Calcs'!$A$73,FALSE),0)</f>
        <v>0</v>
      </c>
      <c r="M8" s="553">
        <f>IFERROR(HLOOKUP(M$6,'Property Level Return Calcs'!$D$68:$BO$75,'Property Level Return Calcs'!$A$73,FALSE),0)</f>
        <v>0</v>
      </c>
      <c r="N8" s="553">
        <f>IFERROR(HLOOKUP(N$6,'Property Level Return Calcs'!$D$68:$BO$75,'Property Level Return Calcs'!$A$73,FALSE),0)</f>
        <v>0</v>
      </c>
      <c r="O8" s="553">
        <f>IFERROR(HLOOKUP(O$6,'Property Level Return Calcs'!$D$68:$BO$75,'Property Level Return Calcs'!$A$73,FALSE),0)</f>
        <v>0</v>
      </c>
      <c r="P8" s="553">
        <f>IFERROR(HLOOKUP(P$6,'Property Level Return Calcs'!$D$68:$BO$75,'Property Level Return Calcs'!$A$73,FALSE),0)</f>
        <v>0</v>
      </c>
      <c r="Q8" s="553">
        <f>IFERROR(HLOOKUP(Q$6,'Property Level Return Calcs'!$D$68:$BO$75,'Property Level Return Calcs'!$A$73,FALSE),0)</f>
        <v>0</v>
      </c>
      <c r="R8" s="553">
        <f>IFERROR(HLOOKUP(R$6,'Property Level Return Calcs'!$D$68:$BO$75,'Property Level Return Calcs'!$A$73,FALSE),0)</f>
        <v>0</v>
      </c>
      <c r="S8" s="553">
        <f>IFERROR(HLOOKUP(S$6,'Property Level Return Calcs'!$D$68:$BO$75,'Property Level Return Calcs'!$A$73,FALSE),0)</f>
        <v>0</v>
      </c>
      <c r="T8" s="553">
        <f>IFERROR(HLOOKUP(T$6,'Property Level Return Calcs'!$D$68:$BO$75,'Property Level Return Calcs'!$A$73,FALSE),0)</f>
        <v>0</v>
      </c>
      <c r="U8" s="553">
        <f>IFERROR(HLOOKUP(U$6,'Property Level Return Calcs'!$D$68:$BO$75,'Property Level Return Calcs'!$A$73,FALSE),0)</f>
        <v>0</v>
      </c>
      <c r="V8" s="553">
        <f>IFERROR(HLOOKUP(V$6,'Property Level Return Calcs'!$D$68:$BO$75,'Property Level Return Calcs'!$A$73,FALSE),0)</f>
        <v>0</v>
      </c>
      <c r="W8" s="553">
        <f>IFERROR(HLOOKUP(W$6,'Property Level Return Calcs'!$D$68:$BO$75,'Property Level Return Calcs'!$A$73,FALSE),0)</f>
        <v>0</v>
      </c>
      <c r="X8" s="553">
        <f>IFERROR(HLOOKUP(X$6,'Property Level Return Calcs'!$D$68:$BO$75,'Property Level Return Calcs'!$A$73,FALSE),0)</f>
        <v>55865.937070519256</v>
      </c>
      <c r="Y8" s="553">
        <f>IFERROR(HLOOKUP(Y$6,'Property Level Return Calcs'!$D$68:$BO$75,'Property Level Return Calcs'!$A$73,FALSE),0)</f>
        <v>55865.937070519256</v>
      </c>
      <c r="Z8" s="553">
        <f>IFERROR(HLOOKUP(Z$6,'Property Level Return Calcs'!$D$68:$BO$75,'Property Level Return Calcs'!$A$73,FALSE),0)</f>
        <v>55865.937070519256</v>
      </c>
      <c r="AA8" s="553">
        <f>IFERROR(HLOOKUP(AA$6,'Property Level Return Calcs'!$D$68:$BO$75,'Property Level Return Calcs'!$A$73,FALSE),0)</f>
        <v>1567865.9370705192</v>
      </c>
      <c r="AB8" s="553">
        <f>IFERROR(HLOOKUP(AB$6,'Property Level Return Calcs'!$D$68:$BO$75,'Property Level Return Calcs'!$A$73,FALSE),0)</f>
        <v>55865.937070519256</v>
      </c>
      <c r="AC8" s="553">
        <f>IFERROR(HLOOKUP(AC$6,'Property Level Return Calcs'!$D$68:$BO$75,'Property Level Return Calcs'!$A$73,FALSE),0)</f>
        <v>55865.937070519256</v>
      </c>
      <c r="AD8" s="553">
        <f>IFERROR(HLOOKUP(AD$6,'Property Level Return Calcs'!$D$68:$BO$75,'Property Level Return Calcs'!$A$73,FALSE),0)</f>
        <v>160402.43820649723</v>
      </c>
      <c r="AE8" s="553">
        <f>IFERROR(HLOOKUP(AE$6,'Property Level Return Calcs'!$D$68:$BO$75,'Property Level Return Calcs'!$A$73,FALSE),0)</f>
        <v>160402.43820649723</v>
      </c>
      <c r="AF8" s="553">
        <f>IFERROR(HLOOKUP(AF$6,'Property Level Return Calcs'!$D$68:$BO$75,'Property Level Return Calcs'!$A$73,FALSE),0)</f>
        <v>160402.43820649723</v>
      </c>
      <c r="AG8" s="553">
        <f>IFERROR(HLOOKUP(AG$6,'Property Level Return Calcs'!$D$68:$BO$75,'Property Level Return Calcs'!$A$73,FALSE),0)</f>
        <v>160402.43820649723</v>
      </c>
      <c r="AH8" s="553">
        <f>IFERROR(HLOOKUP(AH$6,'Property Level Return Calcs'!$D$68:$BO$75,'Property Level Return Calcs'!$A$73,FALSE),0)</f>
        <v>160402.43820649723</v>
      </c>
      <c r="AI8" s="553">
        <f>IFERROR(HLOOKUP(AI$6,'Property Level Return Calcs'!$D$68:$BO$75,'Property Level Return Calcs'!$A$73,FALSE),0)</f>
        <v>160402.43820649723</v>
      </c>
      <c r="AJ8" s="553">
        <f>IFERROR(HLOOKUP(AJ$6,'Property Level Return Calcs'!$D$68:$BO$75,'Property Level Return Calcs'!$A$73,FALSE),0)</f>
        <v>174756.336958414</v>
      </c>
      <c r="AK8" s="553">
        <f>IFERROR(HLOOKUP(AK$6,'Property Level Return Calcs'!$D$68:$BO$75,'Property Level Return Calcs'!$A$73,FALSE),0)</f>
        <v>174756.336958414</v>
      </c>
      <c r="AL8" s="553">
        <f>IFERROR(HLOOKUP(AL$6,'Property Level Return Calcs'!$D$68:$BO$75,'Property Level Return Calcs'!$A$73,FALSE),0)</f>
        <v>174756.336958414</v>
      </c>
      <c r="AM8" s="553">
        <f>IFERROR(HLOOKUP(AM$6,'Property Level Return Calcs'!$D$68:$BO$75,'Property Level Return Calcs'!$A$73,FALSE),0)</f>
        <v>174756.336958414</v>
      </c>
      <c r="AN8" s="553">
        <f>IFERROR(HLOOKUP(AN$6,'Property Level Return Calcs'!$D$68:$BO$75,'Property Level Return Calcs'!$A$73,FALSE),0)</f>
        <v>174756.336958414</v>
      </c>
      <c r="AO8" s="553">
        <f>IFERROR(HLOOKUP(AO$6,'Property Level Return Calcs'!$D$68:$BO$75,'Property Level Return Calcs'!$A$73,FALSE),0)</f>
        <v>174756.336958414</v>
      </c>
      <c r="AP8" s="553">
        <f>IFERROR(HLOOKUP(AP$6,'Property Level Return Calcs'!$D$68:$BO$75,'Property Level Return Calcs'!$A$73,FALSE),0)</f>
        <v>93471.925282638869</v>
      </c>
      <c r="AQ8" s="553">
        <f>IFERROR(HLOOKUP(AQ$6,'Property Level Return Calcs'!$D$68:$BO$75,'Property Level Return Calcs'!$A$73,FALSE),0)</f>
        <v>93471.925282638811</v>
      </c>
      <c r="AR8" s="553">
        <f>IFERROR(HLOOKUP(AR$6,'Property Level Return Calcs'!$D$68:$BO$75,'Property Level Return Calcs'!$A$73,FALSE),0)</f>
        <v>93471.925282638811</v>
      </c>
      <c r="AS8" s="553">
        <f>IFERROR(HLOOKUP(AS$6,'Property Level Return Calcs'!$D$68:$BO$75,'Property Level Return Calcs'!$A$73,FALSE),0)</f>
        <v>93471.925282638811</v>
      </c>
      <c r="AT8" s="553">
        <f>IFERROR(HLOOKUP(AT$6,'Property Level Return Calcs'!$D$68:$BO$75,'Property Level Return Calcs'!$A$73,FALSE),0)</f>
        <v>93471.925282638811</v>
      </c>
      <c r="AU8" s="553">
        <f>IFERROR(HLOOKUP(AU$6,'Property Level Return Calcs'!$D$68:$BO$75,'Property Level Return Calcs'!$A$73,FALSE),0)</f>
        <v>93471.925282638869</v>
      </c>
      <c r="AV8" s="553">
        <f>IFERROR(HLOOKUP(AV$6,'Property Level Return Calcs'!$D$68:$BO$75,'Property Level Return Calcs'!$A$73,FALSE),0)</f>
        <v>108277.02087538387</v>
      </c>
      <c r="AW8" s="553">
        <f>IFERROR(HLOOKUP(AW$6,'Property Level Return Calcs'!$D$68:$BO$75,'Property Level Return Calcs'!$A$73,FALSE),0)</f>
        <v>108277.02087538387</v>
      </c>
      <c r="AX8" s="553">
        <f>IFERROR(HLOOKUP(AX$6,'Property Level Return Calcs'!$D$68:$BO$75,'Property Level Return Calcs'!$A$73,FALSE),0)</f>
        <v>108277.02087538387</v>
      </c>
      <c r="AY8" s="553">
        <f>IFERROR(HLOOKUP(AY$6,'Property Level Return Calcs'!$D$68:$BO$75,'Property Level Return Calcs'!$A$73,FALSE),0)</f>
        <v>108277.02087538387</v>
      </c>
      <c r="AZ8" s="553">
        <f>IFERROR(HLOOKUP(AZ$6,'Property Level Return Calcs'!$D$68:$BO$75,'Property Level Return Calcs'!$A$73,FALSE),0)</f>
        <v>108277.02087538387</v>
      </c>
      <c r="BA8" s="553">
        <f>IFERROR(HLOOKUP(BA$6,'Property Level Return Calcs'!$D$68:$BO$75,'Property Level Return Calcs'!$A$73,FALSE),0)</f>
        <v>108277.02087538387</v>
      </c>
      <c r="BB8" s="553">
        <f>IFERROR(HLOOKUP(BB$6,'Property Level Return Calcs'!$D$68:$BO$75,'Property Level Return Calcs'!$A$73,FALSE),0)</f>
        <v>108277.02087538387</v>
      </c>
      <c r="BC8" s="553">
        <f>IFERROR(HLOOKUP(BC$6,'Property Level Return Calcs'!$D$68:$BO$75,'Property Level Return Calcs'!$A$73,FALSE),0)</f>
        <v>108277.02087538387</v>
      </c>
      <c r="BD8" s="553">
        <f>IFERROR(HLOOKUP(BD$6,'Property Level Return Calcs'!$D$68:$BO$75,'Property Level Return Calcs'!$A$73,FALSE),0)</f>
        <v>108277.02087538387</v>
      </c>
      <c r="BE8" s="553">
        <f>IFERROR(HLOOKUP(BE$6,'Property Level Return Calcs'!$D$68:$BO$75,'Property Level Return Calcs'!$A$73,FALSE),0)</f>
        <v>108277.02087538387</v>
      </c>
      <c r="BF8" s="553">
        <f>IFERROR(HLOOKUP(BF$6,'Property Level Return Calcs'!$D$68:$BO$75,'Property Level Return Calcs'!$A$73,FALSE),0)</f>
        <v>108277.02087538387</v>
      </c>
      <c r="BG8" s="553">
        <f>IFERROR(HLOOKUP(BG$6,'Property Level Return Calcs'!$D$68:$BO$75,'Property Level Return Calcs'!$A$73,FALSE),0)</f>
        <v>108277.02087538387</v>
      </c>
      <c r="BH8" s="553">
        <f>IFERROR(HLOOKUP(BH$6,'Property Level Return Calcs'!$D$68:$BO$75,'Property Level Return Calcs'!$A$73,FALSE),0)</f>
        <v>123547.2608117474</v>
      </c>
      <c r="BI8" s="553">
        <f>IFERROR(HLOOKUP(BI$6,'Property Level Return Calcs'!$D$68:$BO$75,'Property Level Return Calcs'!$A$73,FALSE),0)</f>
        <v>123547.2608117474</v>
      </c>
      <c r="BJ8" s="553">
        <f>IFERROR(HLOOKUP(BJ$6,'Property Level Return Calcs'!$D$68:$BO$75,'Property Level Return Calcs'!$A$73,FALSE),0)</f>
        <v>123547.26081174746</v>
      </c>
      <c r="BK8" s="553">
        <f>IFERROR(HLOOKUP(BK$6,'Property Level Return Calcs'!$D$68:$BO$75,'Property Level Return Calcs'!$A$73,FALSE),0)</f>
        <v>123547.26081174746</v>
      </c>
      <c r="BL8" s="553">
        <f>IFERROR(HLOOKUP(BL$6,'Property Level Return Calcs'!$D$68:$BO$75,'Property Level Return Calcs'!$A$73,FALSE),0)</f>
        <v>123547.2608117474</v>
      </c>
      <c r="BM8" s="553">
        <f>IFERROR(HLOOKUP(BM$6,'Property Level Return Calcs'!$D$68:$BO$75,'Property Level Return Calcs'!$A$73,FALSE),0)</f>
        <v>123547.26081174734</v>
      </c>
      <c r="BN8" s="553">
        <f>IFERROR(HLOOKUP(BN$6,'Property Level Return Calcs'!$D$68:$BO$75,'Property Level Return Calcs'!$A$73,FALSE),0)</f>
        <v>123547.2608117474</v>
      </c>
      <c r="BO8" s="553">
        <f>IFERROR(HLOOKUP(BO$6,'Property Level Return Calcs'!$D$68:$BO$75,'Property Level Return Calcs'!$A$73,FALSE),0)</f>
        <v>123547.2608117474</v>
      </c>
      <c r="BP8" s="553">
        <f>IFERROR(HLOOKUP(BP$6,'Property Level Return Calcs'!$D$68:$BZ$75,'Property Level Return Calcs'!$A$73,FALSE),0)</f>
        <v>123547.2608117474</v>
      </c>
      <c r="BQ8" s="553">
        <f>IFERROR(HLOOKUP(BQ$6,'Property Level Return Calcs'!$D$68:$BZ$75,'Property Level Return Calcs'!$A$73,FALSE),0)</f>
        <v>123547.2608117474</v>
      </c>
      <c r="BR8" s="553">
        <f>IFERROR(HLOOKUP(BR$6,'Property Level Return Calcs'!$D$68:$BZ$75,'Property Level Return Calcs'!$A$73,FALSE),0)</f>
        <v>123547.2608117474</v>
      </c>
      <c r="BS8" s="553">
        <f>IFERROR(HLOOKUP(BS$6,'Property Level Return Calcs'!$D$68:$BZ$75,'Property Level Return Calcs'!$A$73,FALSE),0)</f>
        <v>123547.2608117474</v>
      </c>
      <c r="BT8" s="553">
        <f>IFERROR(HLOOKUP(BT$6,'Property Level Return Calcs'!$D$68:$BZ$75,'Property Level Return Calcs'!$A$73,FALSE),0)</f>
        <v>139270.16794622707</v>
      </c>
      <c r="BU8" s="553">
        <f>IFERROR(HLOOKUP(BU$6,'Property Level Return Calcs'!$D$68:$BZ$75,'Property Level Return Calcs'!$A$73,FALSE),0)</f>
        <v>139270.16794622701</v>
      </c>
      <c r="BV8" s="553">
        <f>IFERROR(HLOOKUP(BV$6,'Property Level Return Calcs'!$D$68:$BZ$75,'Property Level Return Calcs'!$A$73,FALSE),0)</f>
        <v>139270.16794622701</v>
      </c>
      <c r="BW8" s="553">
        <f>IFERROR(HLOOKUP(BW$6,'Property Level Return Calcs'!$D$68:$BZ$75,'Property Level Return Calcs'!$A$73,FALSE),0)</f>
        <v>139270.16794622701</v>
      </c>
      <c r="BX8" s="553">
        <f>IFERROR(HLOOKUP(BX$6,'Property Level Return Calcs'!$D$68:$BZ$75,'Property Level Return Calcs'!$A$73,FALSE),0)</f>
        <v>139270.16794622701</v>
      </c>
      <c r="BY8" s="553">
        <f>IFERROR(HLOOKUP(BY$6,'Property Level Return Calcs'!$D$68:$BZ$75,'Property Level Return Calcs'!$A$73,FALSE),0)</f>
        <v>0</v>
      </c>
      <c r="BZ8" s="553">
        <f>IFERROR(HLOOKUP(BZ$6,'Property Level Return Calcs'!$D$68:$BZ$75,'Property Level Return Calcs'!$A$73,FALSE),0)</f>
        <v>0</v>
      </c>
      <c r="CA8" s="322"/>
      <c r="CB8" s="555" t="s">
        <v>216</v>
      </c>
      <c r="CC8" s="556">
        <f>+Dashboard!E20</f>
        <v>0.65</v>
      </c>
      <c r="CD8" s="556">
        <f t="shared" si="0"/>
        <v>0.35</v>
      </c>
      <c r="CE8" s="556">
        <f>+Dashboard!F20</f>
        <v>2</v>
      </c>
      <c r="CF8" s="667" t="str">
        <f>+'Waterfall 5.0 Years'!BT8</f>
        <v>N/Ap</v>
      </c>
      <c r="CH8" s="487"/>
    </row>
    <row r="9" spans="1:87">
      <c r="B9" s="248" t="s">
        <v>156</v>
      </c>
      <c r="C9" s="553">
        <f>IFERROR(HLOOKUP(C$6,'Property Level Return Calcs'!$D$68:$BO$75,'Property Level Return Calcs'!$A$74,FALSE),0)</f>
        <v>0</v>
      </c>
      <c r="D9" s="553">
        <f>IFERROR(HLOOKUP(D$6,'Property Level Return Calcs'!$D$68:$BO$75,'Property Level Return Calcs'!$A$74,FALSE),0)</f>
        <v>0</v>
      </c>
      <c r="E9" s="553">
        <f>IFERROR(HLOOKUP(E$6,'Property Level Return Calcs'!$D$68:$BO$75,'Property Level Return Calcs'!$A$74,FALSE),0)</f>
        <v>0</v>
      </c>
      <c r="F9" s="553">
        <f>IFERROR(HLOOKUP(F$6,'Property Level Return Calcs'!$D$68:$BO$75,'Property Level Return Calcs'!$A$74,FALSE),0)</f>
        <v>0</v>
      </c>
      <c r="G9" s="553">
        <f>IFERROR(HLOOKUP(G$6,'Property Level Return Calcs'!$D$68:$BO$75,'Property Level Return Calcs'!$A$74,FALSE),0)</f>
        <v>0</v>
      </c>
      <c r="H9" s="553">
        <f>IFERROR(HLOOKUP(H$6,'Property Level Return Calcs'!$D$68:$BO$75,'Property Level Return Calcs'!$A$74,FALSE),0)</f>
        <v>0</v>
      </c>
      <c r="I9" s="553">
        <f>IFERROR(HLOOKUP(I$6,'Property Level Return Calcs'!$D$68:$BO$75,'Property Level Return Calcs'!$A$74,FALSE),0)</f>
        <v>0</v>
      </c>
      <c r="J9" s="553">
        <f>IFERROR(HLOOKUP(J$6,'Property Level Return Calcs'!$D$68:$BO$75,'Property Level Return Calcs'!$A$74,FALSE),0)</f>
        <v>0</v>
      </c>
      <c r="K9" s="553">
        <f>IFERROR(HLOOKUP(K$6,'Property Level Return Calcs'!$D$68:$BO$75,'Property Level Return Calcs'!$A$74,FALSE),0)</f>
        <v>0</v>
      </c>
      <c r="L9" s="553">
        <f>IFERROR(HLOOKUP(L$6,'Property Level Return Calcs'!$D$68:$BO$75,'Property Level Return Calcs'!$A$74,FALSE),0)</f>
        <v>0</v>
      </c>
      <c r="M9" s="553">
        <f>IFERROR(HLOOKUP(M$6,'Property Level Return Calcs'!$D$68:$BO$75,'Property Level Return Calcs'!$A$74,FALSE),0)</f>
        <v>0</v>
      </c>
      <c r="N9" s="553">
        <f>IFERROR(HLOOKUP(N$6,'Property Level Return Calcs'!$D$68:$BO$75,'Property Level Return Calcs'!$A$74,FALSE),0)</f>
        <v>0</v>
      </c>
      <c r="O9" s="553">
        <f>IFERROR(HLOOKUP(O$6,'Property Level Return Calcs'!$D$68:$BO$75,'Property Level Return Calcs'!$A$74,FALSE),0)</f>
        <v>0</v>
      </c>
      <c r="P9" s="553">
        <f>IFERROR(HLOOKUP(P$6,'Property Level Return Calcs'!$D$68:$BO$75,'Property Level Return Calcs'!$A$74,FALSE),0)</f>
        <v>0</v>
      </c>
      <c r="Q9" s="553">
        <f>IFERROR(HLOOKUP(Q$6,'Property Level Return Calcs'!$D$68:$BO$75,'Property Level Return Calcs'!$A$74,FALSE),0)</f>
        <v>0</v>
      </c>
      <c r="R9" s="553">
        <f>IFERROR(HLOOKUP(R$6,'Property Level Return Calcs'!$D$68:$BO$75,'Property Level Return Calcs'!$A$74,FALSE),0)</f>
        <v>0</v>
      </c>
      <c r="S9" s="553">
        <f>IFERROR(HLOOKUP(S$6,'Property Level Return Calcs'!$D$68:$BO$75,'Property Level Return Calcs'!$A$74,FALSE),0)</f>
        <v>0</v>
      </c>
      <c r="T9" s="553">
        <f>IFERROR(HLOOKUP(T$6,'Property Level Return Calcs'!$D$68:$BO$75,'Property Level Return Calcs'!$A$74,FALSE),0)</f>
        <v>0</v>
      </c>
      <c r="U9" s="553">
        <f>IFERROR(HLOOKUP(U$6,'Property Level Return Calcs'!$D$68:$BO$75,'Property Level Return Calcs'!$A$74,FALSE),0)</f>
        <v>0</v>
      </c>
      <c r="V9" s="553">
        <f>IFERROR(HLOOKUP(V$6,'Property Level Return Calcs'!$D$68:$BO$75,'Property Level Return Calcs'!$A$74,FALSE),0)</f>
        <v>0</v>
      </c>
      <c r="W9" s="553">
        <f>IFERROR(HLOOKUP(W$6,'Property Level Return Calcs'!$D$68:$BO$75,'Property Level Return Calcs'!$A$74,FALSE),0)</f>
        <v>0</v>
      </c>
      <c r="X9" s="553">
        <f>IFERROR(HLOOKUP(X$6,'Property Level Return Calcs'!$D$68:$BO$75,'Property Level Return Calcs'!$A$74,FALSE),0)</f>
        <v>0</v>
      </c>
      <c r="Y9" s="553">
        <f>IFERROR(HLOOKUP(Y$6,'Property Level Return Calcs'!$D$68:$BO$75,'Property Level Return Calcs'!$A$74,FALSE),0)</f>
        <v>0</v>
      </c>
      <c r="Z9" s="553">
        <f>IFERROR(HLOOKUP(Z$6,'Property Level Return Calcs'!$D$68:$BO$75,'Property Level Return Calcs'!$A$74,FALSE),0)</f>
        <v>0</v>
      </c>
      <c r="AA9" s="553">
        <f>IFERROR(HLOOKUP(AA$6,'Property Level Return Calcs'!$D$68:$BO$75,'Property Level Return Calcs'!$A$74,FALSE),0)</f>
        <v>0</v>
      </c>
      <c r="AB9" s="553">
        <f>IFERROR(HLOOKUP(AB$6,'Property Level Return Calcs'!$D$68:$BO$75,'Property Level Return Calcs'!$A$74,FALSE),0)</f>
        <v>0</v>
      </c>
      <c r="AC9" s="553">
        <f>IFERROR(HLOOKUP(AC$6,'Property Level Return Calcs'!$D$68:$BO$75,'Property Level Return Calcs'!$A$74,FALSE),0)</f>
        <v>0</v>
      </c>
      <c r="AD9" s="553">
        <f>IFERROR(HLOOKUP(AD$6,'Property Level Return Calcs'!$D$68:$BO$75,'Property Level Return Calcs'!$A$74,FALSE),0)</f>
        <v>-1381023.3589114696</v>
      </c>
      <c r="AE9" s="553">
        <f>IFERROR(HLOOKUP(AE$6,'Property Level Return Calcs'!$D$68:$BO$75,'Property Level Return Calcs'!$A$74,FALSE),0)</f>
        <v>0</v>
      </c>
      <c r="AF9" s="553">
        <f>IFERROR(HLOOKUP(AF$6,'Property Level Return Calcs'!$D$68:$BO$75,'Property Level Return Calcs'!$A$74,FALSE),0)</f>
        <v>0</v>
      </c>
      <c r="AG9" s="553">
        <f>IFERROR(HLOOKUP(AG$6,'Property Level Return Calcs'!$D$68:$BO$75,'Property Level Return Calcs'!$A$74,FALSE),0)</f>
        <v>0</v>
      </c>
      <c r="AH9" s="553">
        <f>IFERROR(HLOOKUP(AH$6,'Property Level Return Calcs'!$D$68:$BO$75,'Property Level Return Calcs'!$A$74,FALSE),0)</f>
        <v>0</v>
      </c>
      <c r="AI9" s="553">
        <f>IFERROR(HLOOKUP(AI$6,'Property Level Return Calcs'!$D$68:$BO$75,'Property Level Return Calcs'!$A$74,FALSE),0)</f>
        <v>0</v>
      </c>
      <c r="AJ9" s="553">
        <f>IFERROR(HLOOKUP(AJ$6,'Property Level Return Calcs'!$D$68:$BO$75,'Property Level Return Calcs'!$A$74,FALSE),0)</f>
        <v>0</v>
      </c>
      <c r="AK9" s="553">
        <f>IFERROR(HLOOKUP(AK$6,'Property Level Return Calcs'!$D$68:$BO$75,'Property Level Return Calcs'!$A$74,FALSE),0)</f>
        <v>0</v>
      </c>
      <c r="AL9" s="553">
        <f>IFERROR(HLOOKUP(AL$6,'Property Level Return Calcs'!$D$68:$BO$75,'Property Level Return Calcs'!$A$74,FALSE),0)</f>
        <v>0</v>
      </c>
      <c r="AM9" s="553">
        <f>IFERROR(HLOOKUP(AM$6,'Property Level Return Calcs'!$D$68:$BO$75,'Property Level Return Calcs'!$A$74,FALSE),0)</f>
        <v>0</v>
      </c>
      <c r="AN9" s="553">
        <f>IFERROR(HLOOKUP(AN$6,'Property Level Return Calcs'!$D$68:$BO$75,'Property Level Return Calcs'!$A$74,FALSE),0)</f>
        <v>0</v>
      </c>
      <c r="AO9" s="553">
        <f>IFERROR(HLOOKUP(AO$6,'Property Level Return Calcs'!$D$68:$BO$75,'Property Level Return Calcs'!$A$74,FALSE),0)</f>
        <v>0</v>
      </c>
      <c r="AP9" s="553">
        <f>IFERROR(HLOOKUP(AP$6,'Property Level Return Calcs'!$D$68:$BO$75,'Property Level Return Calcs'!$A$74,FALSE),0)</f>
        <v>0</v>
      </c>
      <c r="AQ9" s="553">
        <f>IFERROR(HLOOKUP(AQ$6,'Property Level Return Calcs'!$D$68:$BO$75,'Property Level Return Calcs'!$A$74,FALSE),0)</f>
        <v>0</v>
      </c>
      <c r="AR9" s="553">
        <f>IFERROR(HLOOKUP(AR$6,'Property Level Return Calcs'!$D$68:$BO$75,'Property Level Return Calcs'!$A$74,FALSE),0)</f>
        <v>0</v>
      </c>
      <c r="AS9" s="553">
        <f>IFERROR(HLOOKUP(AS$6,'Property Level Return Calcs'!$D$68:$BO$75,'Property Level Return Calcs'!$A$74,FALSE),0)</f>
        <v>0</v>
      </c>
      <c r="AT9" s="553">
        <f>IFERROR(HLOOKUP(AT$6,'Property Level Return Calcs'!$D$68:$BO$75,'Property Level Return Calcs'!$A$74,FALSE),0)</f>
        <v>0</v>
      </c>
      <c r="AU9" s="553">
        <f>IFERROR(HLOOKUP(AU$6,'Property Level Return Calcs'!$D$68:$BO$75,'Property Level Return Calcs'!$A$74,FALSE),0)</f>
        <v>0</v>
      </c>
      <c r="AV9" s="553">
        <f>IFERROR(HLOOKUP(AV$6,'Property Level Return Calcs'!$D$68:$BO$75,'Property Level Return Calcs'!$A$74,FALSE),0)</f>
        <v>0</v>
      </c>
      <c r="AW9" s="553">
        <f>IFERROR(HLOOKUP(AW$6,'Property Level Return Calcs'!$D$68:$BO$75,'Property Level Return Calcs'!$A$74,FALSE),0)</f>
        <v>0</v>
      </c>
      <c r="AX9" s="553">
        <f>IFERROR(HLOOKUP(AX$6,'Property Level Return Calcs'!$D$68:$BO$75,'Property Level Return Calcs'!$A$74,FALSE),0)</f>
        <v>0</v>
      </c>
      <c r="AY9" s="553">
        <f>IFERROR(HLOOKUP(AY$6,'Property Level Return Calcs'!$D$68:$BO$75,'Property Level Return Calcs'!$A$74,FALSE),0)</f>
        <v>0</v>
      </c>
      <c r="AZ9" s="553">
        <f>IFERROR(HLOOKUP(AZ$6,'Property Level Return Calcs'!$D$68:$BO$75,'Property Level Return Calcs'!$A$74,FALSE),0)</f>
        <v>0</v>
      </c>
      <c r="BA9" s="553">
        <f>IFERROR(HLOOKUP(BA$6,'Property Level Return Calcs'!$D$68:$BO$75,'Property Level Return Calcs'!$A$74,FALSE),0)</f>
        <v>0</v>
      </c>
      <c r="BB9" s="553">
        <f>IFERROR(HLOOKUP(BB$6,'Property Level Return Calcs'!$D$68:$BO$75,'Property Level Return Calcs'!$A$74,FALSE),0)</f>
        <v>0</v>
      </c>
      <c r="BC9" s="553">
        <f>IFERROR(HLOOKUP(BC$6,'Property Level Return Calcs'!$D$68:$BO$75,'Property Level Return Calcs'!$A$74,FALSE),0)</f>
        <v>0</v>
      </c>
      <c r="BD9" s="553">
        <f>IFERROR(HLOOKUP(BD$6,'Property Level Return Calcs'!$D$68:$BO$75,'Property Level Return Calcs'!$A$74,FALSE),0)</f>
        <v>0</v>
      </c>
      <c r="BE9" s="553">
        <f>IFERROR(HLOOKUP(BE$6,'Property Level Return Calcs'!$D$68:$BO$75,'Property Level Return Calcs'!$A$74,FALSE),0)</f>
        <v>0</v>
      </c>
      <c r="BF9" s="553">
        <f>IFERROR(HLOOKUP(BF$6,'Property Level Return Calcs'!$D$68:$BO$75,'Property Level Return Calcs'!$A$74,FALSE),0)</f>
        <v>0</v>
      </c>
      <c r="BG9" s="553">
        <f>IFERROR(HLOOKUP(BG$6,'Property Level Return Calcs'!$D$68:$BO$75,'Property Level Return Calcs'!$A$74,FALSE),0)</f>
        <v>0</v>
      </c>
      <c r="BH9" s="553">
        <f>IFERROR(HLOOKUP(BH$6,'Property Level Return Calcs'!$D$68:$BO$75,'Property Level Return Calcs'!$A$74,FALSE),0)</f>
        <v>0</v>
      </c>
      <c r="BI9" s="553">
        <f>IFERROR(HLOOKUP(BI$6,'Property Level Return Calcs'!$D$68:$BO$75,'Property Level Return Calcs'!$A$74,FALSE),0)</f>
        <v>0</v>
      </c>
      <c r="BJ9" s="553">
        <f>IFERROR(HLOOKUP(BJ$6,'Property Level Return Calcs'!$D$68:$BO$75,'Property Level Return Calcs'!$A$74,FALSE),0)</f>
        <v>0</v>
      </c>
      <c r="BK9" s="553">
        <f>IFERROR(HLOOKUP(BK$6,'Property Level Return Calcs'!$D$68:$BO$75,'Property Level Return Calcs'!$A$74,FALSE),0)</f>
        <v>0</v>
      </c>
      <c r="BL9" s="553">
        <f>IFERROR(HLOOKUP(BL$6,'Property Level Return Calcs'!$D$68:$BO$75,'Property Level Return Calcs'!$A$74,FALSE),0)</f>
        <v>0</v>
      </c>
      <c r="BM9" s="553">
        <f>IFERROR(HLOOKUP(BM$6,'Property Level Return Calcs'!$D$68:$BO$75,'Property Level Return Calcs'!$A$74,FALSE),0)</f>
        <v>0</v>
      </c>
      <c r="BN9" s="553">
        <f>IFERROR(HLOOKUP(BN$6,'Property Level Return Calcs'!$D$68:$BO$75,'Property Level Return Calcs'!$A$74,FALSE),0)</f>
        <v>0</v>
      </c>
      <c r="BO9" s="553">
        <f>IFERROR(HLOOKUP(BO$6,'Property Level Return Calcs'!$D$68:$BO$75,'Property Level Return Calcs'!$A$74,FALSE),0)</f>
        <v>0</v>
      </c>
      <c r="BP9" s="553">
        <f>IFERROR(HLOOKUP(BP$6,'Property Level Return Calcs'!$D$68:$BO$75,'Property Level Return Calcs'!$A$74,FALSE),0)</f>
        <v>0</v>
      </c>
      <c r="BQ9" s="553">
        <f>IFERROR(HLOOKUP(BQ$6,'Property Level Return Calcs'!$D$68:$BO$75,'Property Level Return Calcs'!$A$74,FALSE),0)</f>
        <v>0</v>
      </c>
      <c r="BR9" s="553">
        <f>IFERROR(HLOOKUP(BR$6,'Property Level Return Calcs'!$D$68:$BO$75,'Property Level Return Calcs'!$A$74,FALSE),0)</f>
        <v>0</v>
      </c>
      <c r="BS9" s="553">
        <f>IFERROR(HLOOKUP(BS$6,'Property Level Return Calcs'!$D$68:$BO$75,'Property Level Return Calcs'!$A$74,FALSE),0)</f>
        <v>0</v>
      </c>
      <c r="BT9" s="553">
        <f>IFERROR(HLOOKUP(BT$6,'Property Level Return Calcs'!$D$68:$BO$75,'Property Level Return Calcs'!$A$74,FALSE),0)</f>
        <v>0</v>
      </c>
      <c r="BU9" s="553">
        <f>IFERROR(HLOOKUP(BU$6,'Property Level Return Calcs'!$D$68:$BO$75,'Property Level Return Calcs'!$A$74,FALSE),0)</f>
        <v>0</v>
      </c>
      <c r="BV9" s="553">
        <f>IFERROR(HLOOKUP(BV$6,'Property Level Return Calcs'!$D$68:$BO$75,'Property Level Return Calcs'!$A$74,FALSE),0)</f>
        <v>0</v>
      </c>
      <c r="BW9" s="553">
        <f>IFERROR(HLOOKUP(BW$6,'Property Level Return Calcs'!$D$68:$BO$75,'Property Level Return Calcs'!$A$74,FALSE),0)</f>
        <v>0</v>
      </c>
      <c r="BX9" s="553">
        <f>IFERROR(HLOOKUP(BX$6,'Property Level Return Calcs'!$D$68:$BO$75,'Property Level Return Calcs'!$A$74,FALSE),0)</f>
        <v>0</v>
      </c>
      <c r="BY9" s="553">
        <f>IFERROR(HLOOKUP(BY$6,'Property Level Return Calcs'!$D$68:$BO$75,'Property Level Return Calcs'!$A$74,FALSE),0)</f>
        <v>0</v>
      </c>
      <c r="BZ9" s="553">
        <f>IFERROR(HLOOKUP(BZ$6,'Property Level Return Calcs'!$D$68:$BO$75,'Property Level Return Calcs'!$A$74,FALSE),0)</f>
        <v>0</v>
      </c>
      <c r="CA9" s="347"/>
    </row>
    <row r="10" spans="1:87" s="216" customFormat="1">
      <c r="A10" s="215"/>
      <c r="B10" s="255" t="s">
        <v>166</v>
      </c>
      <c r="C10" s="553">
        <f>IFERROR(HLOOKUP(C$6,'Property Level Return Calcs'!$D$68:$BO$75,'Property Level Return Calcs'!$A$75,FALSE),0)</f>
        <v>0</v>
      </c>
      <c r="D10" s="553">
        <f>IFERROR(HLOOKUP(D$6,'Property Level Return Calcs'!$D$68:$BO$75,'Property Level Return Calcs'!$A$75,FALSE),0)</f>
        <v>0</v>
      </c>
      <c r="E10" s="553">
        <f>IFERROR(HLOOKUP(E$6,'Property Level Return Calcs'!$D$68:$BO$75,'Property Level Return Calcs'!$A$75,FALSE),0)</f>
        <v>0</v>
      </c>
      <c r="F10" s="553">
        <f>IFERROR(HLOOKUP(F$6,'Property Level Return Calcs'!$D$68:$BO$75,'Property Level Return Calcs'!$A$75,FALSE),0)</f>
        <v>0</v>
      </c>
      <c r="G10" s="553">
        <f>IFERROR(HLOOKUP(G$6,'Property Level Return Calcs'!$D$68:$BO$75,'Property Level Return Calcs'!$A$75,FALSE),0)</f>
        <v>0</v>
      </c>
      <c r="H10" s="553">
        <f>IFERROR(HLOOKUP(H$6,'Property Level Return Calcs'!$D$68:$BO$75,'Property Level Return Calcs'!$A$75,FALSE),0)</f>
        <v>0</v>
      </c>
      <c r="I10" s="553">
        <f>IFERROR(HLOOKUP(I$6,'Property Level Return Calcs'!$D$68:$BO$75,'Property Level Return Calcs'!$A$75,FALSE),0)</f>
        <v>0</v>
      </c>
      <c r="J10" s="553">
        <f>IFERROR(HLOOKUP(J$6,'Property Level Return Calcs'!$D$68:$BO$75,'Property Level Return Calcs'!$A$75,FALSE),0)</f>
        <v>0</v>
      </c>
      <c r="K10" s="553">
        <f>IFERROR(HLOOKUP(K$6,'Property Level Return Calcs'!$D$68:$BO$75,'Property Level Return Calcs'!$A$75,FALSE),0)</f>
        <v>0</v>
      </c>
      <c r="L10" s="553">
        <f>IFERROR(HLOOKUP(L$6,'Property Level Return Calcs'!$D$68:$BO$75,'Property Level Return Calcs'!$A$75,FALSE),0)</f>
        <v>0</v>
      </c>
      <c r="M10" s="553">
        <f>IFERROR(HLOOKUP(M$6,'Property Level Return Calcs'!$D$68:$BO$75,'Property Level Return Calcs'!$A$75,FALSE),0)</f>
        <v>0</v>
      </c>
      <c r="N10" s="553">
        <f>IFERROR(HLOOKUP(N$6,'Property Level Return Calcs'!$D$68:$BO$75,'Property Level Return Calcs'!$A$75,FALSE),0)</f>
        <v>0</v>
      </c>
      <c r="O10" s="553">
        <f>IFERROR(HLOOKUP(O$6,'Property Level Return Calcs'!$D$68:$BO$75,'Property Level Return Calcs'!$A$75,FALSE),0)</f>
        <v>0</v>
      </c>
      <c r="P10" s="553">
        <f>IFERROR(HLOOKUP(P$6,'Property Level Return Calcs'!$D$68:$BO$75,'Property Level Return Calcs'!$A$75,FALSE),0)</f>
        <v>0</v>
      </c>
      <c r="Q10" s="553">
        <f>IFERROR(HLOOKUP(Q$6,'Property Level Return Calcs'!$D$68:$BO$75,'Property Level Return Calcs'!$A$75,FALSE),0)</f>
        <v>0</v>
      </c>
      <c r="R10" s="553">
        <f>IFERROR(HLOOKUP(R$6,'Property Level Return Calcs'!$D$68:$BO$75,'Property Level Return Calcs'!$A$75,FALSE),0)</f>
        <v>0</v>
      </c>
      <c r="S10" s="553">
        <f>IFERROR(HLOOKUP(S$6,'Property Level Return Calcs'!$D$68:$BO$75,'Property Level Return Calcs'!$A$75,FALSE),0)</f>
        <v>0</v>
      </c>
      <c r="T10" s="553">
        <f>IFERROR(HLOOKUP(T$6,'Property Level Return Calcs'!$D$68:$BO$75,'Property Level Return Calcs'!$A$75,FALSE),0)</f>
        <v>0</v>
      </c>
      <c r="U10" s="553">
        <f>IFERROR(HLOOKUP(U$6,'Property Level Return Calcs'!$D$68:$BO$75,'Property Level Return Calcs'!$A$75,FALSE),0)</f>
        <v>0</v>
      </c>
      <c r="V10" s="553">
        <f>IFERROR(HLOOKUP(V$6,'Property Level Return Calcs'!$D$68:$BO$75,'Property Level Return Calcs'!$A$75,FALSE),0)</f>
        <v>0</v>
      </c>
      <c r="W10" s="553">
        <f>IFERROR(HLOOKUP(W$6,'Property Level Return Calcs'!$D$68:$BO$75,'Property Level Return Calcs'!$A$75,FALSE),0)</f>
        <v>0</v>
      </c>
      <c r="X10" s="553">
        <f>IFERROR(HLOOKUP(X$6,'Property Level Return Calcs'!$D$68:$BO$75,'Property Level Return Calcs'!$A$75,FALSE),0)</f>
        <v>0</v>
      </c>
      <c r="Y10" s="553">
        <f>IFERROR(HLOOKUP(Y$6,'Property Level Return Calcs'!$D$68:$BO$75,'Property Level Return Calcs'!$A$75,FALSE),0)</f>
        <v>0</v>
      </c>
      <c r="Z10" s="553">
        <f>IFERROR(HLOOKUP(Z$6,'Property Level Return Calcs'!$D$68:$BO$75,'Property Level Return Calcs'!$A$75,FALSE),0)</f>
        <v>0</v>
      </c>
      <c r="AA10" s="553">
        <f>IFERROR(HLOOKUP(AA$6,'Property Level Return Calcs'!$D$68:$BO$75,'Property Level Return Calcs'!$A$75,FALSE),0)</f>
        <v>0</v>
      </c>
      <c r="AB10" s="553">
        <f>IFERROR(HLOOKUP(AB$6,'Property Level Return Calcs'!$D$68:$BO$75,'Property Level Return Calcs'!$A$75,FALSE),0)</f>
        <v>0</v>
      </c>
      <c r="AC10" s="553">
        <f>IFERROR(HLOOKUP(AC$6,'Property Level Return Calcs'!$D$68:$BO$75,'Property Level Return Calcs'!$A$75,FALSE),0)</f>
        <v>0</v>
      </c>
      <c r="AD10" s="553">
        <f>IFERROR(HLOOKUP(AD$6,'Property Level Return Calcs'!$D$68:$BO$75,'Property Level Return Calcs'!$A$75,FALSE),0)</f>
        <v>0</v>
      </c>
      <c r="AE10" s="553">
        <f>IFERROR(HLOOKUP(AE$6,'Property Level Return Calcs'!$D$68:$BO$75,'Property Level Return Calcs'!$A$75,FALSE),0)</f>
        <v>0</v>
      </c>
      <c r="AF10" s="553">
        <f>IFERROR(HLOOKUP(AF$6,'Property Level Return Calcs'!$D$68:$BO$75,'Property Level Return Calcs'!$A$75,FALSE),0)</f>
        <v>0</v>
      </c>
      <c r="AG10" s="553">
        <f>IFERROR(HLOOKUP(AG$6,'Property Level Return Calcs'!$D$68:$BO$75,'Property Level Return Calcs'!$A$75,FALSE),0)</f>
        <v>0</v>
      </c>
      <c r="AH10" s="553">
        <f>IFERROR(HLOOKUP(AH$6,'Property Level Return Calcs'!$D$68:$BO$75,'Property Level Return Calcs'!$A$75,FALSE),0)</f>
        <v>0</v>
      </c>
      <c r="AI10" s="553">
        <f>IFERROR(HLOOKUP(AI$6,'Property Level Return Calcs'!$D$68:$BO$75,'Property Level Return Calcs'!$A$75,FALSE),0)</f>
        <v>0</v>
      </c>
      <c r="AJ10" s="553">
        <f>IFERROR(HLOOKUP(AJ$6,'Property Level Return Calcs'!$D$68:$BO$75,'Property Level Return Calcs'!$A$75,FALSE),0)</f>
        <v>0</v>
      </c>
      <c r="AK10" s="553">
        <f>IFERROR(HLOOKUP(AK$6,'Property Level Return Calcs'!$D$68:$BO$75,'Property Level Return Calcs'!$A$75,FALSE),0)</f>
        <v>0</v>
      </c>
      <c r="AL10" s="553">
        <f>IFERROR(HLOOKUP(AL$6,'Property Level Return Calcs'!$D$68:$BO$75,'Property Level Return Calcs'!$A$75,FALSE),0)</f>
        <v>0</v>
      </c>
      <c r="AM10" s="553">
        <f>IFERROR(HLOOKUP(AM$6,'Property Level Return Calcs'!$D$68:$BO$75,'Property Level Return Calcs'!$A$75,FALSE),0)</f>
        <v>0</v>
      </c>
      <c r="AN10" s="553">
        <f>IFERROR(HLOOKUP(AN$6,'Property Level Return Calcs'!$D$68:$BO$75,'Property Level Return Calcs'!$A$75,FALSE),0)</f>
        <v>0</v>
      </c>
      <c r="AO10" s="553">
        <f>IFERROR(HLOOKUP(AO$6,'Property Level Return Calcs'!$D$68:$BO$75,'Property Level Return Calcs'!$A$75,FALSE),0)</f>
        <v>0</v>
      </c>
      <c r="AP10" s="553">
        <f>IFERROR(HLOOKUP(AP$6,'Property Level Return Calcs'!$D$68:$BO$75,'Property Level Return Calcs'!$A$75,FALSE),0)</f>
        <v>0</v>
      </c>
      <c r="AQ10" s="553">
        <f>IFERROR(HLOOKUP(AQ$6,'Property Level Return Calcs'!$D$68:$BO$75,'Property Level Return Calcs'!$A$75,FALSE),0)</f>
        <v>0</v>
      </c>
      <c r="AR10" s="553">
        <f>IFERROR(HLOOKUP(AR$6,'Property Level Return Calcs'!$D$68:$BO$75,'Property Level Return Calcs'!$A$75,FALSE),0)</f>
        <v>0</v>
      </c>
      <c r="AS10" s="553">
        <f>IFERROR(HLOOKUP(AS$6,'Property Level Return Calcs'!$D$68:$BO$75,'Property Level Return Calcs'!$A$75,FALSE),0)</f>
        <v>0</v>
      </c>
      <c r="AT10" s="553">
        <f>IFERROR(HLOOKUP(AT$6,'Property Level Return Calcs'!$D$68:$BO$75,'Property Level Return Calcs'!$A$75,FALSE),0)</f>
        <v>0</v>
      </c>
      <c r="AU10" s="553">
        <f>IFERROR(HLOOKUP(AU$6,'Property Level Return Calcs'!$D$68:$BO$75,'Property Level Return Calcs'!$A$75,FALSE),0)</f>
        <v>0</v>
      </c>
      <c r="AV10" s="553">
        <f>IFERROR(HLOOKUP(AV$6,'Property Level Return Calcs'!$D$68:$BO$75,'Property Level Return Calcs'!$A$75,FALSE),0)</f>
        <v>0</v>
      </c>
      <c r="AW10" s="553">
        <f>IFERROR(HLOOKUP(AW$6,'Property Level Return Calcs'!$D$68:$BO$75,'Property Level Return Calcs'!$A$75,FALSE),0)</f>
        <v>0</v>
      </c>
      <c r="AX10" s="553">
        <f>IFERROR(HLOOKUP(AX$6,'Property Level Return Calcs'!$D$68:$BO$75,'Property Level Return Calcs'!$A$75,FALSE),0)</f>
        <v>0</v>
      </c>
      <c r="AY10" s="553">
        <f>IFERROR(HLOOKUP(AY$6,'Property Level Return Calcs'!$D$68:$BO$75,'Property Level Return Calcs'!$A$75,FALSE),0)</f>
        <v>0</v>
      </c>
      <c r="AZ10" s="553">
        <f>IFERROR(HLOOKUP(AZ$6,'Property Level Return Calcs'!$D$68:$BO$75,'Property Level Return Calcs'!$A$75,FALSE),0)</f>
        <v>0</v>
      </c>
      <c r="BA10" s="553">
        <f>IFERROR(HLOOKUP(BA$6,'Property Level Return Calcs'!$D$68:$BO$75,'Property Level Return Calcs'!$A$75,FALSE),0)</f>
        <v>0</v>
      </c>
      <c r="BB10" s="553">
        <f>IFERROR(HLOOKUP(BB$6,'Property Level Return Calcs'!$D$68:$BO$75,'Property Level Return Calcs'!$A$75,FALSE),0)</f>
        <v>0</v>
      </c>
      <c r="BC10" s="553">
        <f>IFERROR(HLOOKUP(BC$6,'Property Level Return Calcs'!$D$68:$BO$75,'Property Level Return Calcs'!$A$75,FALSE),0)</f>
        <v>0</v>
      </c>
      <c r="BD10" s="553">
        <f>IFERROR(HLOOKUP(BD$6,'Property Level Return Calcs'!$D$68:$BO$75,'Property Level Return Calcs'!$A$75,FALSE),0)</f>
        <v>0</v>
      </c>
      <c r="BE10" s="553">
        <f>IFERROR(HLOOKUP(BE$6,'Property Level Return Calcs'!$D$68:$BO$75,'Property Level Return Calcs'!$A$75,FALSE),0)</f>
        <v>0</v>
      </c>
      <c r="BF10" s="553">
        <f>IFERROR(HLOOKUP(BF$6,'Property Level Return Calcs'!$D$68:$BO$75,'Property Level Return Calcs'!$A$75,FALSE),0)</f>
        <v>0</v>
      </c>
      <c r="BG10" s="553">
        <f>IFERROR(HLOOKUP(BG$6,'Property Level Return Calcs'!$D$68:$BO$75,'Property Level Return Calcs'!$A$75,FALSE),0)</f>
        <v>0</v>
      </c>
      <c r="BH10" s="553">
        <f>IFERROR(HLOOKUP(BH$6,'Property Level Return Calcs'!$D$68:$BO$75,'Property Level Return Calcs'!$A$75,FALSE),0)</f>
        <v>0</v>
      </c>
      <c r="BI10" s="553">
        <f>IFERROR(HLOOKUP(BI$6,'Property Level Return Calcs'!$D$68:$BO$75,'Property Level Return Calcs'!$A$75,FALSE),0)</f>
        <v>0</v>
      </c>
      <c r="BJ10" s="553">
        <f>IFERROR(HLOOKUP(BJ$6,'Property Level Return Calcs'!$D$68:$BO$75,'Property Level Return Calcs'!$A$75,FALSE),0)</f>
        <v>0</v>
      </c>
      <c r="BK10" s="553">
        <f>IFERROR(HLOOKUP(BK$6,'Property Level Return Calcs'!$D$68:$BO$75,'Property Level Return Calcs'!$A$75,FALSE),0)</f>
        <v>0</v>
      </c>
      <c r="BL10" s="553">
        <f>IFERROR(HLOOKUP(BL$6,'Property Level Return Calcs'!$D$68:$BO$75,'Property Level Return Calcs'!$A$75,FALSE),0)</f>
        <v>0</v>
      </c>
      <c r="BM10" s="553">
        <f>IFERROR(HLOOKUP(BM$6,'Property Level Return Calcs'!$D$68:$BO$75,'Property Level Return Calcs'!$A$75,FALSE),0)</f>
        <v>0</v>
      </c>
      <c r="BN10" s="553">
        <f>IFERROR(HLOOKUP(BN$6,'Property Level Return Calcs'!$D$68:$BO$75,'Property Level Return Calcs'!$A$75,FALSE),0)</f>
        <v>0</v>
      </c>
      <c r="BO10" s="553">
        <f>IFERROR(HLOOKUP(BO$6,'Property Level Return Calcs'!$D$68:$BO$75,'Property Level Return Calcs'!$A$75,FALSE),0)</f>
        <v>0</v>
      </c>
      <c r="BP10" s="553">
        <f>IFERROR(HLOOKUP(BP$6,'Property Level Return Calcs'!$D$68:$BO$75,'Property Level Return Calcs'!$A$75,FALSE),0)</f>
        <v>0</v>
      </c>
      <c r="BQ10" s="553">
        <f>IFERROR(HLOOKUP(BQ$6,'Property Level Return Calcs'!$D$68:$BO$75,'Property Level Return Calcs'!$A$75,FALSE),0)</f>
        <v>0</v>
      </c>
      <c r="BR10" s="553">
        <f>IFERROR(HLOOKUP(BR$6,'Property Level Return Calcs'!$D$68:$BO$75,'Property Level Return Calcs'!$A$75,FALSE),0)</f>
        <v>0</v>
      </c>
      <c r="BS10" s="553">
        <f>IFERROR(HLOOKUP(BS$6,'Property Level Return Calcs'!$D$68:$BO$75,'Property Level Return Calcs'!$A$75,FALSE),0)</f>
        <v>0</v>
      </c>
      <c r="BT10" s="553">
        <f>IFERROR(HLOOKUP(BT$6,'Property Level Return Calcs'!$D$68:$BO$75,'Property Level Return Calcs'!$A$75,FALSE),0)</f>
        <v>0</v>
      </c>
      <c r="BU10" s="553">
        <f>IFERROR(HLOOKUP(BU$6,'Property Level Return Calcs'!$D$68:$BO$75,'Property Level Return Calcs'!$A$75,FALSE),0)</f>
        <v>0</v>
      </c>
      <c r="BV10" s="553">
        <f>IFERROR(HLOOKUP(BV$6,'Property Level Return Calcs'!$D$68:$BO$75,'Property Level Return Calcs'!$A$75,FALSE),0)</f>
        <v>0</v>
      </c>
      <c r="BW10" s="553">
        <f>IFERROR(HLOOKUP(BW$6,'Property Level Return Calcs'!$D$68:$BO$75,'Property Level Return Calcs'!$A$75,FALSE),0)</f>
        <v>0</v>
      </c>
      <c r="BX10" s="553">
        <f>IFERROR(HLOOKUP(BX$6,'Property Level Return Calcs'!$D$68:$BO$75,'Property Level Return Calcs'!$A$75,FALSE),0)</f>
        <v>0</v>
      </c>
      <c r="BY10" s="553">
        <f>IFERROR(HLOOKUP(BY$6,'Property Level Return Calcs'!$D$68:$BO$75,'Property Level Return Calcs'!$A$75,FALSE),0)</f>
        <v>0</v>
      </c>
      <c r="BZ10" s="553">
        <f>IFERROR(HLOOKUP(BZ$6,'Property Level Return Calcs'!$D$68:$BZ$75,'Property Level Return Calcs'!$A$75,FALSE),0)</f>
        <v>0</v>
      </c>
      <c r="CA10" s="348"/>
    </row>
    <row r="11" spans="1:87" s="216" customFormat="1">
      <c r="A11" s="215"/>
      <c r="B11" s="226" t="s">
        <v>167</v>
      </c>
      <c r="C11" s="557">
        <f>SUM(C7:C10)</f>
        <v>-24033944.982098967</v>
      </c>
      <c r="D11" s="557">
        <f>SUM(D7:D10)</f>
        <v>0</v>
      </c>
      <c r="E11" s="557">
        <f t="shared" ref="E11:BM11" si="1">SUM(E7:E10)</f>
        <v>0</v>
      </c>
      <c r="F11" s="557">
        <f t="shared" si="1"/>
        <v>0</v>
      </c>
      <c r="G11" s="557">
        <f t="shared" si="1"/>
        <v>0</v>
      </c>
      <c r="H11" s="557">
        <f t="shared" si="1"/>
        <v>0</v>
      </c>
      <c r="I11" s="557">
        <f t="shared" si="1"/>
        <v>0</v>
      </c>
      <c r="J11" s="557">
        <f t="shared" si="1"/>
        <v>0</v>
      </c>
      <c r="K11" s="557">
        <f t="shared" si="1"/>
        <v>0</v>
      </c>
      <c r="L11" s="557">
        <f t="shared" si="1"/>
        <v>0</v>
      </c>
      <c r="M11" s="557">
        <f t="shared" si="1"/>
        <v>0</v>
      </c>
      <c r="N11" s="557">
        <f t="shared" si="1"/>
        <v>0</v>
      </c>
      <c r="O11" s="557">
        <f t="shared" si="1"/>
        <v>0</v>
      </c>
      <c r="P11" s="557">
        <f t="shared" si="1"/>
        <v>0</v>
      </c>
      <c r="Q11" s="557">
        <f t="shared" si="1"/>
        <v>0</v>
      </c>
      <c r="R11" s="557">
        <f t="shared" si="1"/>
        <v>0</v>
      </c>
      <c r="S11" s="557">
        <f t="shared" si="1"/>
        <v>0</v>
      </c>
      <c r="T11" s="557">
        <f t="shared" si="1"/>
        <v>0</v>
      </c>
      <c r="U11" s="557">
        <f t="shared" si="1"/>
        <v>0</v>
      </c>
      <c r="V11" s="557">
        <f t="shared" si="1"/>
        <v>0</v>
      </c>
      <c r="W11" s="557">
        <f t="shared" si="1"/>
        <v>0</v>
      </c>
      <c r="X11" s="557">
        <f t="shared" si="1"/>
        <v>55865.937070519256</v>
      </c>
      <c r="Y11" s="557">
        <f t="shared" si="1"/>
        <v>55865.937070519256</v>
      </c>
      <c r="Z11" s="557">
        <f t="shared" si="1"/>
        <v>55865.937070519256</v>
      </c>
      <c r="AA11" s="557">
        <f t="shared" si="1"/>
        <v>1567865.9370705192</v>
      </c>
      <c r="AB11" s="557">
        <f t="shared" si="1"/>
        <v>55865.937070519256</v>
      </c>
      <c r="AC11" s="557">
        <f t="shared" si="1"/>
        <v>55865.937070519256</v>
      </c>
      <c r="AD11" s="557">
        <f t="shared" si="1"/>
        <v>-1220620.9207049725</v>
      </c>
      <c r="AE11" s="557">
        <f t="shared" si="1"/>
        <v>160402.43820649723</v>
      </c>
      <c r="AF11" s="557">
        <f t="shared" si="1"/>
        <v>160402.43820649723</v>
      </c>
      <c r="AG11" s="557">
        <f t="shared" si="1"/>
        <v>160402.43820649723</v>
      </c>
      <c r="AH11" s="557">
        <f t="shared" si="1"/>
        <v>160402.43820649723</v>
      </c>
      <c r="AI11" s="557">
        <f t="shared" si="1"/>
        <v>160402.43820649723</v>
      </c>
      <c r="AJ11" s="557">
        <f t="shared" si="1"/>
        <v>174756.336958414</v>
      </c>
      <c r="AK11" s="557">
        <f t="shared" si="1"/>
        <v>174756.336958414</v>
      </c>
      <c r="AL11" s="557">
        <f t="shared" si="1"/>
        <v>174756.336958414</v>
      </c>
      <c r="AM11" s="557">
        <f t="shared" si="1"/>
        <v>174756.336958414</v>
      </c>
      <c r="AN11" s="557">
        <f t="shared" si="1"/>
        <v>174756.336958414</v>
      </c>
      <c r="AO11" s="557">
        <f t="shared" si="1"/>
        <v>174756.336958414</v>
      </c>
      <c r="AP11" s="557">
        <f t="shared" si="1"/>
        <v>93471.925282638869</v>
      </c>
      <c r="AQ11" s="557">
        <f t="shared" si="1"/>
        <v>93471.925282638811</v>
      </c>
      <c r="AR11" s="557">
        <f t="shared" si="1"/>
        <v>93471.925282638811</v>
      </c>
      <c r="AS11" s="557">
        <f t="shared" si="1"/>
        <v>93471.925282638811</v>
      </c>
      <c r="AT11" s="557">
        <f t="shared" si="1"/>
        <v>93471.925282638811</v>
      </c>
      <c r="AU11" s="557">
        <f t="shared" si="1"/>
        <v>93471.925282638869</v>
      </c>
      <c r="AV11" s="557">
        <f t="shared" si="1"/>
        <v>108277.02087538387</v>
      </c>
      <c r="AW11" s="557">
        <f t="shared" si="1"/>
        <v>108277.02087538387</v>
      </c>
      <c r="AX11" s="557">
        <f t="shared" si="1"/>
        <v>108277.02087538387</v>
      </c>
      <c r="AY11" s="557">
        <f t="shared" si="1"/>
        <v>108277.02087538387</v>
      </c>
      <c r="AZ11" s="557">
        <f t="shared" si="1"/>
        <v>108277.02087538387</v>
      </c>
      <c r="BA11" s="557">
        <f t="shared" si="1"/>
        <v>108277.02087538387</v>
      </c>
      <c r="BB11" s="557">
        <f t="shared" si="1"/>
        <v>108277.02087538387</v>
      </c>
      <c r="BC11" s="557">
        <f t="shared" si="1"/>
        <v>108277.02087538387</v>
      </c>
      <c r="BD11" s="557">
        <f t="shared" si="1"/>
        <v>108277.02087538387</v>
      </c>
      <c r="BE11" s="557">
        <f t="shared" si="1"/>
        <v>108277.02087538387</v>
      </c>
      <c r="BF11" s="557">
        <f t="shared" si="1"/>
        <v>108277.02087538387</v>
      </c>
      <c r="BG11" s="557">
        <f t="shared" si="1"/>
        <v>108277.02087538387</v>
      </c>
      <c r="BH11" s="557">
        <f t="shared" si="1"/>
        <v>123547.2608117474</v>
      </c>
      <c r="BI11" s="557">
        <f t="shared" si="1"/>
        <v>123547.2608117474</v>
      </c>
      <c r="BJ11" s="557">
        <f t="shared" si="1"/>
        <v>123547.26081174746</v>
      </c>
      <c r="BK11" s="557">
        <f t="shared" si="1"/>
        <v>123547.26081174746</v>
      </c>
      <c r="BL11" s="557">
        <f t="shared" si="1"/>
        <v>123547.2608117474</v>
      </c>
      <c r="BM11" s="557">
        <f t="shared" si="1"/>
        <v>123547.26081174734</v>
      </c>
      <c r="BN11" s="557">
        <f t="shared" ref="BN11:BZ11" si="2">SUM(BN7:BN10)</f>
        <v>123547.2608117474</v>
      </c>
      <c r="BO11" s="557">
        <f t="shared" si="2"/>
        <v>123547.2608117474</v>
      </c>
      <c r="BP11" s="557">
        <f t="shared" si="2"/>
        <v>123547.2608117474</v>
      </c>
      <c r="BQ11" s="557">
        <f t="shared" si="2"/>
        <v>123547.2608117474</v>
      </c>
      <c r="BR11" s="557">
        <f t="shared" si="2"/>
        <v>123547.2608117474</v>
      </c>
      <c r="BS11" s="557">
        <f t="shared" si="2"/>
        <v>123547.2608117474</v>
      </c>
      <c r="BT11" s="557">
        <f t="shared" si="2"/>
        <v>139270.16794622707</v>
      </c>
      <c r="BU11" s="557">
        <f t="shared" si="2"/>
        <v>139270.16794622701</v>
      </c>
      <c r="BV11" s="557">
        <f t="shared" si="2"/>
        <v>139270.16794622701</v>
      </c>
      <c r="BW11" s="557">
        <f t="shared" si="2"/>
        <v>139270.16794622701</v>
      </c>
      <c r="BX11" s="557">
        <f t="shared" si="2"/>
        <v>139270.16794622701</v>
      </c>
      <c r="BY11" s="557">
        <f t="shared" si="2"/>
        <v>0</v>
      </c>
      <c r="BZ11" s="557">
        <f t="shared" si="2"/>
        <v>0</v>
      </c>
      <c r="CA11" s="349"/>
    </row>
    <row r="12" spans="1:87">
      <c r="B12" s="248"/>
      <c r="C12" s="213"/>
      <c r="D12" s="324"/>
      <c r="E12" s="324"/>
      <c r="F12" s="324"/>
      <c r="G12" s="324"/>
      <c r="H12" s="324"/>
      <c r="I12" s="324"/>
      <c r="J12" s="324"/>
      <c r="K12" s="324"/>
      <c r="L12" s="324"/>
      <c r="M12" s="324"/>
      <c r="N12" s="324"/>
      <c r="O12" s="324"/>
      <c r="P12" s="324"/>
      <c r="Q12" s="324"/>
      <c r="R12" s="324"/>
      <c r="S12" s="324"/>
      <c r="T12" s="324"/>
      <c r="U12" s="324"/>
      <c r="V12" s="324"/>
      <c r="W12" s="324"/>
      <c r="X12" s="324"/>
      <c r="Y12" s="324"/>
      <c r="Z12" s="324"/>
      <c r="AA12" s="324"/>
      <c r="AB12" s="324"/>
      <c r="AC12" s="324"/>
      <c r="AD12" s="324"/>
      <c r="AE12" s="324"/>
      <c r="AF12" s="324"/>
      <c r="AG12" s="324"/>
      <c r="AH12" s="324"/>
      <c r="AI12" s="324"/>
      <c r="AJ12" s="324"/>
      <c r="AK12" s="324"/>
      <c r="AL12" s="324"/>
      <c r="AM12" s="324"/>
      <c r="AN12" s="324"/>
      <c r="AO12" s="324"/>
      <c r="AP12" s="324"/>
      <c r="AQ12" s="324"/>
      <c r="AR12" s="324"/>
      <c r="AS12" s="324"/>
      <c r="AT12" s="324"/>
      <c r="AU12" s="324"/>
      <c r="AV12" s="324"/>
      <c r="AW12" s="324"/>
      <c r="AX12" s="324"/>
      <c r="AY12" s="324"/>
      <c r="AZ12" s="324"/>
      <c r="BA12" s="324"/>
      <c r="BB12" s="324"/>
      <c r="BC12" s="324"/>
      <c r="BD12" s="324"/>
      <c r="BE12" s="324"/>
      <c r="BF12" s="324"/>
      <c r="BG12" s="324"/>
      <c r="BH12" s="324"/>
      <c r="BI12" s="324"/>
      <c r="BJ12" s="324"/>
      <c r="BK12" s="324"/>
      <c r="BL12" s="324"/>
      <c r="BM12" s="324"/>
      <c r="BN12" s="324"/>
      <c r="BO12" s="324"/>
      <c r="BP12" s="324"/>
      <c r="BQ12" s="324"/>
      <c r="BR12" s="324"/>
      <c r="BS12" s="324"/>
      <c r="BT12" s="324"/>
      <c r="BU12" s="324"/>
      <c r="BV12" s="324"/>
      <c r="BW12" s="324"/>
      <c r="BX12" s="324"/>
      <c r="BY12" s="324"/>
      <c r="BZ12" s="324"/>
      <c r="CA12" s="248"/>
    </row>
    <row r="13" spans="1:87" s="216" customFormat="1">
      <c r="A13" s="215"/>
      <c r="B13" s="226" t="s">
        <v>91</v>
      </c>
      <c r="C13" s="327">
        <f>XIRR(C11:BZ11,C6:BZ6)</f>
        <v>-0.26943729259073734</v>
      </c>
      <c r="D13" s="326"/>
      <c r="E13" s="326"/>
      <c r="F13" s="326"/>
      <c r="G13" s="326"/>
      <c r="H13" s="326"/>
      <c r="I13" s="326"/>
      <c r="J13" s="326"/>
      <c r="K13" s="326"/>
      <c r="L13" s="326"/>
      <c r="M13" s="326"/>
      <c r="N13" s="326"/>
      <c r="O13" s="326"/>
      <c r="P13" s="326"/>
      <c r="Q13" s="326"/>
      <c r="R13" s="326"/>
      <c r="S13" s="326"/>
      <c r="T13" s="326"/>
      <c r="U13" s="326"/>
      <c r="V13" s="326"/>
      <c r="W13" s="326"/>
      <c r="X13" s="326"/>
      <c r="Y13" s="326"/>
      <c r="Z13" s="326"/>
      <c r="AA13" s="326"/>
      <c r="AB13" s="326"/>
      <c r="AC13" s="326"/>
      <c r="AD13" s="326"/>
      <c r="AE13" s="326"/>
      <c r="AF13" s="326"/>
      <c r="AG13" s="326"/>
      <c r="AH13" s="326"/>
      <c r="AI13" s="326"/>
      <c r="AJ13" s="326"/>
      <c r="AK13" s="326"/>
      <c r="AL13" s="326"/>
      <c r="AM13" s="326"/>
      <c r="AN13" s="326"/>
      <c r="AO13" s="326"/>
      <c r="AP13" s="326"/>
      <c r="AQ13" s="326"/>
      <c r="AR13" s="326"/>
      <c r="AS13" s="326"/>
      <c r="AT13" s="326"/>
      <c r="AU13" s="326"/>
      <c r="AV13" s="326"/>
      <c r="AW13" s="326"/>
      <c r="AX13" s="326"/>
      <c r="AY13" s="326"/>
      <c r="AZ13" s="326"/>
      <c r="BA13" s="326"/>
      <c r="BB13" s="326"/>
      <c r="BC13" s="326"/>
      <c r="BD13" s="326"/>
      <c r="BE13" s="326"/>
      <c r="BF13" s="326"/>
      <c r="BG13" s="326"/>
      <c r="BH13" s="326"/>
      <c r="BI13" s="326"/>
      <c r="BJ13" s="326"/>
      <c r="BK13" s="326"/>
      <c r="BL13" s="326"/>
      <c r="BM13" s="326"/>
      <c r="BN13" s="326"/>
      <c r="BO13" s="326"/>
      <c r="BP13" s="326"/>
      <c r="BQ13" s="326"/>
      <c r="BR13" s="326"/>
      <c r="BS13" s="326"/>
      <c r="BT13" s="326"/>
      <c r="BU13" s="326"/>
      <c r="BV13" s="326"/>
      <c r="BW13" s="326"/>
      <c r="BX13" s="326"/>
      <c r="BY13" s="326"/>
      <c r="BZ13" s="326"/>
      <c r="CA13" s="226"/>
    </row>
    <row r="14" spans="1:87">
      <c r="B14" s="226" t="s">
        <v>168</v>
      </c>
      <c r="C14" s="329">
        <f>SUM(D11:BZ11)/-C11</f>
        <v>0.27112480664439687</v>
      </c>
      <c r="D14" s="224"/>
      <c r="E14" s="224"/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  <c r="R14" s="224"/>
      <c r="S14" s="224"/>
      <c r="T14" s="224"/>
      <c r="U14" s="224"/>
      <c r="V14" s="224"/>
      <c r="W14" s="224"/>
      <c r="X14" s="224"/>
      <c r="Y14" s="224"/>
      <c r="Z14" s="224"/>
      <c r="AA14" s="224"/>
      <c r="AB14" s="224"/>
      <c r="AC14" s="224"/>
      <c r="AD14" s="224"/>
      <c r="AE14" s="224"/>
      <c r="AF14" s="224"/>
      <c r="AG14" s="224"/>
      <c r="AH14" s="224"/>
      <c r="AI14" s="224"/>
      <c r="AJ14" s="224"/>
      <c r="AK14" s="224"/>
      <c r="AL14" s="224"/>
      <c r="AM14" s="224"/>
      <c r="AN14" s="224"/>
      <c r="AO14" s="224"/>
      <c r="AP14" s="224"/>
      <c r="AQ14" s="224"/>
      <c r="AR14" s="224"/>
      <c r="AS14" s="224"/>
      <c r="AT14" s="224"/>
      <c r="AU14" s="224"/>
      <c r="AV14" s="224"/>
      <c r="AW14" s="224"/>
      <c r="AX14" s="224"/>
      <c r="AY14" s="224"/>
      <c r="AZ14" s="224"/>
      <c r="BA14" s="224"/>
      <c r="BB14" s="224"/>
      <c r="BC14" s="224"/>
      <c r="BD14" s="224"/>
      <c r="BE14" s="224"/>
      <c r="BF14" s="224"/>
      <c r="BG14" s="224"/>
      <c r="BH14" s="224"/>
      <c r="BI14" s="224"/>
      <c r="BJ14" s="224"/>
      <c r="BK14" s="224"/>
      <c r="BL14" s="224"/>
      <c r="BM14" s="224"/>
      <c r="BN14" s="224"/>
      <c r="BO14" s="224"/>
      <c r="BP14" s="224"/>
      <c r="BQ14" s="224"/>
      <c r="BR14" s="224"/>
      <c r="BS14" s="224"/>
      <c r="BT14" s="224"/>
      <c r="BU14" s="224"/>
      <c r="BV14" s="224"/>
      <c r="BW14" s="224"/>
      <c r="BX14" s="224"/>
      <c r="BY14" s="224"/>
      <c r="BZ14" s="224"/>
      <c r="CA14" s="276"/>
    </row>
    <row r="15" spans="1:87" ht="15.75" thickBot="1">
      <c r="B15" s="470" t="s">
        <v>169</v>
      </c>
      <c r="C15" s="558">
        <f>SUM(D11:BN11)</f>
        <v>5202111.5423837844</v>
      </c>
      <c r="D15" s="471"/>
      <c r="E15" s="471"/>
      <c r="F15" s="471"/>
      <c r="G15" s="471"/>
      <c r="H15" s="471"/>
      <c r="I15" s="471"/>
      <c r="J15" s="471"/>
      <c r="K15" s="471"/>
      <c r="L15" s="471"/>
      <c r="M15" s="471"/>
      <c r="N15" s="471"/>
      <c r="O15" s="471"/>
      <c r="P15" s="471"/>
      <c r="Q15" s="471"/>
      <c r="R15" s="471"/>
      <c r="S15" s="471"/>
      <c r="T15" s="471"/>
      <c r="U15" s="471"/>
      <c r="V15" s="471"/>
      <c r="W15" s="471"/>
      <c r="X15" s="471"/>
      <c r="Y15" s="471"/>
      <c r="Z15" s="471"/>
      <c r="AA15" s="471"/>
      <c r="AB15" s="471"/>
      <c r="AC15" s="471"/>
      <c r="AD15" s="471"/>
      <c r="AE15" s="471"/>
      <c r="AF15" s="471"/>
      <c r="AG15" s="471"/>
      <c r="AH15" s="471"/>
      <c r="AI15" s="471"/>
      <c r="AJ15" s="471"/>
      <c r="AK15" s="471"/>
      <c r="AL15" s="471"/>
      <c r="AM15" s="471"/>
      <c r="AN15" s="471"/>
      <c r="AO15" s="471"/>
      <c r="AP15" s="471"/>
      <c r="AQ15" s="471"/>
      <c r="AR15" s="471"/>
      <c r="AS15" s="471"/>
      <c r="AT15" s="471"/>
      <c r="AU15" s="471"/>
      <c r="AV15" s="471"/>
      <c r="AW15" s="471"/>
      <c r="AX15" s="471"/>
      <c r="AY15" s="471"/>
      <c r="AZ15" s="471"/>
      <c r="BA15" s="471"/>
      <c r="BB15" s="471"/>
      <c r="BC15" s="471"/>
      <c r="BD15" s="471"/>
      <c r="BE15" s="471"/>
      <c r="BF15" s="471"/>
      <c r="BG15" s="471"/>
      <c r="BH15" s="471"/>
      <c r="BI15" s="471"/>
      <c r="BJ15" s="471"/>
      <c r="BK15" s="471"/>
      <c r="BL15" s="471"/>
      <c r="BM15" s="471"/>
      <c r="BN15" s="471"/>
      <c r="BO15" s="471"/>
      <c r="BP15" s="471"/>
      <c r="BQ15" s="471"/>
      <c r="BR15" s="471"/>
      <c r="BS15" s="471"/>
      <c r="BT15" s="471"/>
      <c r="BU15" s="471"/>
      <c r="BV15" s="471"/>
      <c r="BW15" s="471"/>
      <c r="BX15" s="471"/>
      <c r="BY15" s="471"/>
      <c r="BZ15" s="471"/>
      <c r="CA15" s="248"/>
      <c r="CB15" s="266"/>
      <c r="CC15" s="254"/>
      <c r="CD15" s="461"/>
    </row>
    <row r="16" spans="1:87" ht="15.75" thickTop="1">
      <c r="B16" s="242" t="s">
        <v>170</v>
      </c>
      <c r="C16" s="292" t="s">
        <v>171</v>
      </c>
      <c r="D16" s="1149">
        <f>C5</f>
        <v>24033944.982098967</v>
      </c>
      <c r="E16" s="1149"/>
      <c r="F16" s="293"/>
      <c r="G16" s="293"/>
      <c r="H16" s="293"/>
      <c r="I16" s="293"/>
      <c r="J16" s="293"/>
      <c r="K16" s="293"/>
      <c r="L16" s="293"/>
      <c r="M16" s="293"/>
      <c r="N16" s="293"/>
      <c r="O16" s="293"/>
      <c r="P16" s="293"/>
      <c r="Q16" s="293"/>
      <c r="R16" s="293"/>
      <c r="S16" s="293"/>
      <c r="T16" s="293"/>
      <c r="U16" s="293"/>
      <c r="V16" s="293"/>
      <c r="W16" s="293"/>
      <c r="X16" s="293"/>
      <c r="Y16" s="293"/>
      <c r="Z16" s="293"/>
      <c r="AA16" s="293"/>
      <c r="AB16" s="293"/>
      <c r="AC16" s="293"/>
      <c r="AD16" s="293"/>
      <c r="AE16" s="293"/>
      <c r="AF16" s="293"/>
      <c r="AG16" s="293"/>
      <c r="AH16" s="293"/>
      <c r="AI16" s="293"/>
      <c r="AJ16" s="293"/>
      <c r="AK16" s="293"/>
      <c r="AL16" s="293"/>
      <c r="AM16" s="293"/>
      <c r="AN16" s="293"/>
      <c r="AO16" s="293"/>
      <c r="AP16" s="293"/>
      <c r="AQ16" s="293"/>
      <c r="AR16" s="293"/>
      <c r="AS16" s="293"/>
      <c r="AT16" s="293"/>
      <c r="AU16" s="293"/>
      <c r="AV16" s="293"/>
      <c r="AW16" s="293"/>
      <c r="AX16" s="293"/>
      <c r="AY16" s="293"/>
      <c r="AZ16" s="293"/>
      <c r="BA16" s="293"/>
      <c r="BB16" s="293"/>
      <c r="BC16" s="293"/>
      <c r="BD16" s="293"/>
      <c r="BE16" s="293"/>
      <c r="BF16" s="293"/>
      <c r="BG16" s="293"/>
      <c r="BH16" s="293"/>
      <c r="BI16" s="293"/>
      <c r="BJ16" s="293"/>
      <c r="BK16" s="293"/>
      <c r="BL16" s="293"/>
      <c r="BM16" s="293"/>
      <c r="BN16" s="293"/>
      <c r="BO16" s="293"/>
      <c r="BP16" s="293"/>
      <c r="BQ16" s="293"/>
      <c r="BR16" s="293"/>
      <c r="BS16" s="293"/>
      <c r="BT16" s="293"/>
      <c r="BU16" s="293"/>
      <c r="BV16" s="293"/>
      <c r="BW16" s="293"/>
      <c r="BX16" s="293"/>
      <c r="BY16" s="293"/>
      <c r="BZ16" s="293"/>
      <c r="CA16" s="248"/>
      <c r="CB16" s="266"/>
      <c r="CD16" s="461"/>
      <c r="CE16" s="220"/>
    </row>
    <row r="17" spans="1:86">
      <c r="B17" s="248" t="s">
        <v>373</v>
      </c>
      <c r="C17" s="559">
        <f>Dashboard!$E$9</f>
        <v>0.85</v>
      </c>
      <c r="D17" s="1150">
        <f>D16*C17</f>
        <v>20428853.234784123</v>
      </c>
      <c r="E17" s="1150"/>
      <c r="F17" s="293"/>
      <c r="G17" s="293"/>
      <c r="H17" s="293"/>
      <c r="I17" s="293"/>
      <c r="J17" s="293"/>
      <c r="K17" s="293"/>
      <c r="L17" s="293"/>
      <c r="M17" s="293"/>
      <c r="N17" s="293"/>
      <c r="O17" s="293"/>
      <c r="P17" s="293"/>
      <c r="Q17" s="293"/>
      <c r="R17" s="293"/>
      <c r="S17" s="293"/>
      <c r="T17" s="293"/>
      <c r="U17" s="293"/>
      <c r="V17" s="293"/>
      <c r="W17" s="293"/>
      <c r="X17" s="293"/>
      <c r="Y17" s="293"/>
      <c r="Z17" s="293"/>
      <c r="AA17" s="293"/>
      <c r="AB17" s="293"/>
      <c r="AC17" s="293"/>
      <c r="AD17" s="293"/>
      <c r="AE17" s="293"/>
      <c r="AF17" s="293"/>
      <c r="AG17" s="293"/>
      <c r="AH17" s="293"/>
      <c r="AI17" s="293"/>
      <c r="AJ17" s="293"/>
      <c r="AK17" s="293"/>
      <c r="AL17" s="293"/>
      <c r="AM17" s="293"/>
      <c r="AN17" s="293"/>
      <c r="AO17" s="293"/>
      <c r="AP17" s="293"/>
      <c r="AQ17" s="293"/>
      <c r="AR17" s="293"/>
      <c r="AS17" s="293"/>
      <c r="AT17" s="293"/>
      <c r="AU17" s="293"/>
      <c r="AV17" s="293"/>
      <c r="AW17" s="293"/>
      <c r="AX17" s="293"/>
      <c r="AY17" s="293"/>
      <c r="AZ17" s="293"/>
      <c r="BA17" s="293"/>
      <c r="BB17" s="293"/>
      <c r="BC17" s="293"/>
      <c r="BD17" s="293"/>
      <c r="BE17" s="293"/>
      <c r="BF17" s="293"/>
      <c r="BG17" s="293"/>
      <c r="BH17" s="293"/>
      <c r="BI17" s="293"/>
      <c r="BJ17" s="293"/>
      <c r="BK17" s="293"/>
      <c r="BL17" s="293"/>
      <c r="BM17" s="293"/>
      <c r="BN17" s="293"/>
      <c r="BO17" s="293"/>
      <c r="BP17" s="293"/>
      <c r="BQ17" s="293"/>
      <c r="BR17" s="293"/>
      <c r="BS17" s="293"/>
      <c r="BT17" s="293"/>
      <c r="BU17" s="293"/>
      <c r="BV17" s="293"/>
      <c r="BW17" s="293"/>
      <c r="BX17" s="293"/>
      <c r="BY17" s="293"/>
      <c r="BZ17" s="293"/>
      <c r="CA17" s="248"/>
      <c r="CB17" s="266"/>
      <c r="CC17" s="254"/>
      <c r="CD17" s="254"/>
    </row>
    <row r="18" spans="1:86">
      <c r="B18" s="248" t="s">
        <v>172</v>
      </c>
      <c r="C18" s="560">
        <f>1-C17</f>
        <v>0.15000000000000002</v>
      </c>
      <c r="D18" s="1150">
        <f>D16*C18</f>
        <v>3605091.7473148457</v>
      </c>
      <c r="E18" s="1150"/>
      <c r="F18" s="293"/>
      <c r="G18" s="293"/>
      <c r="H18" s="293"/>
      <c r="I18" s="293"/>
      <c r="J18" s="293"/>
      <c r="K18" s="293"/>
      <c r="L18" s="293"/>
      <c r="M18" s="293"/>
      <c r="N18" s="293"/>
      <c r="O18" s="293"/>
      <c r="P18" s="293"/>
      <c r="Q18" s="293"/>
      <c r="R18" s="293"/>
      <c r="S18" s="293"/>
      <c r="T18" s="293"/>
      <c r="U18" s="293"/>
      <c r="V18" s="293"/>
      <c r="W18" s="293"/>
      <c r="X18" s="293"/>
      <c r="Y18" s="293"/>
      <c r="Z18" s="293"/>
      <c r="AA18" s="293"/>
      <c r="AB18" s="293"/>
      <c r="AC18" s="293"/>
      <c r="AD18" s="293"/>
      <c r="AE18" s="293"/>
      <c r="AF18" s="293"/>
      <c r="AG18" s="293"/>
      <c r="AH18" s="293"/>
      <c r="AI18" s="293"/>
      <c r="AJ18" s="293"/>
      <c r="AK18" s="293"/>
      <c r="AL18" s="293"/>
      <c r="AM18" s="293"/>
      <c r="AN18" s="293"/>
      <c r="AO18" s="293"/>
      <c r="AP18" s="293"/>
      <c r="AQ18" s="293"/>
      <c r="AR18" s="293"/>
      <c r="AS18" s="293"/>
      <c r="AT18" s="293"/>
      <c r="AU18" s="293"/>
      <c r="AV18" s="293"/>
      <c r="AW18" s="293"/>
      <c r="AX18" s="293"/>
      <c r="AY18" s="293"/>
      <c r="AZ18" s="293"/>
      <c r="BA18" s="293"/>
      <c r="BB18" s="293"/>
      <c r="BC18" s="293"/>
      <c r="BD18" s="293"/>
      <c r="BE18" s="293"/>
      <c r="BF18" s="293"/>
      <c r="BG18" s="293"/>
      <c r="BH18" s="293"/>
      <c r="BI18" s="293"/>
      <c r="BJ18" s="293"/>
      <c r="BK18" s="293"/>
      <c r="BL18" s="293"/>
      <c r="BM18" s="293"/>
      <c r="BN18" s="293"/>
      <c r="BO18" s="293"/>
      <c r="BP18" s="293"/>
      <c r="BQ18" s="293"/>
      <c r="BR18" s="293"/>
      <c r="BS18" s="293"/>
      <c r="BT18" s="293"/>
      <c r="BU18" s="293"/>
      <c r="BV18" s="293"/>
      <c r="BW18" s="293"/>
      <c r="BX18" s="293"/>
      <c r="BY18" s="293"/>
      <c r="BZ18" s="293"/>
      <c r="CA18" s="248"/>
      <c r="CB18" s="266"/>
    </row>
    <row r="19" spans="1:86" s="216" customFormat="1" ht="15.75" thickBot="1">
      <c r="A19" s="215"/>
      <c r="B19" s="462"/>
      <c r="C19" s="407"/>
      <c r="D19" s="407"/>
      <c r="E19" s="407"/>
      <c r="F19" s="407"/>
      <c r="G19" s="407"/>
      <c r="H19" s="407"/>
      <c r="I19" s="407"/>
      <c r="J19" s="407"/>
      <c r="K19" s="407"/>
      <c r="L19" s="407"/>
      <c r="M19" s="407"/>
      <c r="N19" s="407"/>
      <c r="O19" s="407"/>
      <c r="P19" s="407"/>
      <c r="Q19" s="407"/>
      <c r="R19" s="407"/>
      <c r="S19" s="407"/>
      <c r="T19" s="407"/>
      <c r="U19" s="407"/>
      <c r="V19" s="407"/>
      <c r="W19" s="407"/>
      <c r="X19" s="407"/>
      <c r="Y19" s="407"/>
      <c r="Z19" s="407"/>
      <c r="AA19" s="407"/>
      <c r="AB19" s="407"/>
      <c r="AC19" s="407"/>
      <c r="AD19" s="407"/>
      <c r="AE19" s="407"/>
      <c r="AF19" s="407"/>
      <c r="AG19" s="407"/>
      <c r="AH19" s="407"/>
      <c r="AI19" s="407"/>
      <c r="AJ19" s="407"/>
      <c r="AK19" s="407"/>
      <c r="AL19" s="407"/>
      <c r="AM19" s="407"/>
      <c r="AN19" s="407"/>
      <c r="AO19" s="407"/>
      <c r="AP19" s="407"/>
      <c r="AQ19" s="407"/>
      <c r="AR19" s="407"/>
      <c r="AS19" s="407"/>
      <c r="AT19" s="407"/>
      <c r="AU19" s="407"/>
      <c r="AV19" s="407"/>
      <c r="AW19" s="407"/>
      <c r="AX19" s="407"/>
      <c r="AY19" s="407"/>
      <c r="AZ19" s="407"/>
      <c r="BA19" s="407"/>
      <c r="BB19" s="407"/>
      <c r="BC19" s="407"/>
      <c r="BD19" s="407"/>
      <c r="BE19" s="407"/>
      <c r="BF19" s="407"/>
      <c r="BG19" s="407"/>
      <c r="BH19" s="407"/>
      <c r="BI19" s="407"/>
      <c r="BJ19" s="407"/>
      <c r="BK19" s="407"/>
      <c r="BL19" s="407"/>
      <c r="BM19" s="407"/>
      <c r="BN19" s="407"/>
      <c r="BO19" s="407"/>
      <c r="BP19" s="407"/>
      <c r="BQ19" s="407"/>
      <c r="BR19" s="407"/>
      <c r="BS19" s="407"/>
      <c r="BT19" s="407"/>
      <c r="BU19" s="407"/>
      <c r="BV19" s="407"/>
      <c r="BW19" s="407"/>
      <c r="BX19" s="407"/>
      <c r="BY19" s="407"/>
      <c r="BZ19" s="407"/>
      <c r="CA19" s="226"/>
      <c r="CB19" s="266"/>
      <c r="CE19" s="219"/>
    </row>
    <row r="20" spans="1:86" s="216" customFormat="1">
      <c r="A20" s="215"/>
      <c r="B20" s="315" t="s">
        <v>173</v>
      </c>
      <c r="C20" s="373"/>
      <c r="D20" s="373"/>
      <c r="E20" s="373"/>
      <c r="F20" s="373"/>
      <c r="G20" s="373"/>
      <c r="H20" s="373"/>
      <c r="I20" s="373"/>
      <c r="J20" s="373"/>
      <c r="K20" s="373"/>
      <c r="L20" s="373"/>
      <c r="M20" s="373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373"/>
      <c r="AE20" s="373"/>
      <c r="AF20" s="373"/>
      <c r="AG20" s="373"/>
      <c r="AH20" s="373"/>
      <c r="AI20" s="373"/>
      <c r="AJ20" s="373"/>
      <c r="AK20" s="373"/>
      <c r="AL20" s="373"/>
      <c r="AM20" s="373"/>
      <c r="AN20" s="373"/>
      <c r="AO20" s="373"/>
      <c r="AP20" s="373"/>
      <c r="AQ20" s="373"/>
      <c r="AR20" s="373"/>
      <c r="AS20" s="373"/>
      <c r="AT20" s="373"/>
      <c r="AU20" s="373"/>
      <c r="AV20" s="373"/>
      <c r="AW20" s="373"/>
      <c r="AX20" s="373"/>
      <c r="AY20" s="373"/>
      <c r="AZ20" s="373"/>
      <c r="BA20" s="373"/>
      <c r="BB20" s="373"/>
      <c r="BC20" s="373"/>
      <c r="BD20" s="373"/>
      <c r="BE20" s="373"/>
      <c r="BF20" s="373"/>
      <c r="BG20" s="373"/>
      <c r="BH20" s="373"/>
      <c r="BI20" s="373"/>
      <c r="BJ20" s="373"/>
      <c r="BK20" s="373"/>
      <c r="BL20" s="373"/>
      <c r="BM20" s="373"/>
      <c r="BN20" s="373"/>
      <c r="BO20" s="373"/>
      <c r="BP20" s="373"/>
      <c r="BQ20" s="373"/>
      <c r="BR20" s="373"/>
      <c r="BS20" s="373"/>
      <c r="BT20" s="373"/>
      <c r="BU20" s="373"/>
      <c r="BV20" s="373"/>
      <c r="BW20" s="373"/>
      <c r="BX20" s="373"/>
      <c r="BY20" s="373"/>
      <c r="BZ20" s="373"/>
      <c r="CA20" s="276"/>
      <c r="CB20" s="266"/>
      <c r="CE20" s="219"/>
    </row>
    <row r="21" spans="1:86" s="216" customFormat="1">
      <c r="A21" s="215"/>
      <c r="B21" s="434" t="s">
        <v>174</v>
      </c>
      <c r="C21" s="435"/>
      <c r="D21" s="435"/>
      <c r="E21" s="435"/>
      <c r="F21" s="435"/>
      <c r="G21" s="435"/>
      <c r="H21" s="435"/>
      <c r="I21" s="435"/>
      <c r="J21" s="435"/>
      <c r="K21" s="435"/>
      <c r="L21" s="435"/>
      <c r="M21" s="435"/>
      <c r="N21" s="435"/>
      <c r="O21" s="435"/>
      <c r="P21" s="435"/>
      <c r="Q21" s="435"/>
      <c r="R21" s="435"/>
      <c r="S21" s="435"/>
      <c r="T21" s="435"/>
      <c r="U21" s="435"/>
      <c r="V21" s="435"/>
      <c r="W21" s="435"/>
      <c r="X21" s="435"/>
      <c r="Y21" s="435"/>
      <c r="Z21" s="435"/>
      <c r="AA21" s="435"/>
      <c r="AB21" s="435"/>
      <c r="AC21" s="435"/>
      <c r="AD21" s="435"/>
      <c r="AE21" s="435"/>
      <c r="AF21" s="435"/>
      <c r="AG21" s="435"/>
      <c r="AH21" s="435"/>
      <c r="AI21" s="435"/>
      <c r="AJ21" s="435"/>
      <c r="AK21" s="435"/>
      <c r="AL21" s="435"/>
      <c r="AM21" s="435"/>
      <c r="AN21" s="435"/>
      <c r="AO21" s="435"/>
      <c r="AP21" s="435"/>
      <c r="AQ21" s="435"/>
      <c r="AR21" s="435"/>
      <c r="AS21" s="435"/>
      <c r="AT21" s="435"/>
      <c r="AU21" s="435"/>
      <c r="AV21" s="435"/>
      <c r="AW21" s="435"/>
      <c r="AX21" s="435"/>
      <c r="AY21" s="435"/>
      <c r="AZ21" s="435"/>
      <c r="BA21" s="435"/>
      <c r="BB21" s="435"/>
      <c r="BC21" s="435"/>
      <c r="BD21" s="435"/>
      <c r="BE21" s="435"/>
      <c r="BF21" s="435"/>
      <c r="BG21" s="435"/>
      <c r="BH21" s="435"/>
      <c r="BI21" s="435"/>
      <c r="BJ21" s="435"/>
      <c r="BK21" s="435"/>
      <c r="BL21" s="435"/>
      <c r="BM21" s="435"/>
      <c r="BN21" s="435"/>
      <c r="BO21" s="435"/>
      <c r="BP21" s="435"/>
      <c r="BQ21" s="435"/>
      <c r="BR21" s="435"/>
      <c r="BS21" s="435"/>
      <c r="BT21" s="435"/>
      <c r="BU21" s="435"/>
      <c r="BV21" s="435"/>
      <c r="BW21" s="435"/>
      <c r="BX21" s="435"/>
      <c r="BY21" s="435"/>
      <c r="BZ21" s="435"/>
      <c r="CA21" s="279"/>
      <c r="CB21" s="561"/>
      <c r="CE21" s="219"/>
    </row>
    <row r="22" spans="1:86" s="216" customFormat="1">
      <c r="A22" s="215"/>
      <c r="B22" s="281" t="s">
        <v>208</v>
      </c>
      <c r="C22" s="282"/>
      <c r="D22" s="488">
        <f t="shared" ref="D22:BZ22" si="3">+MIN(D11,(-C34*($CE$4/12)))</f>
        <v>0</v>
      </c>
      <c r="E22" s="488">
        <f>+MIN(E11,(-D34*($CE$4/12)))</f>
        <v>0</v>
      </c>
      <c r="F22" s="488">
        <f t="shared" si="3"/>
        <v>0</v>
      </c>
      <c r="G22" s="488">
        <f t="shared" si="3"/>
        <v>0</v>
      </c>
      <c r="H22" s="488">
        <f t="shared" si="3"/>
        <v>0</v>
      </c>
      <c r="I22" s="488">
        <f t="shared" si="3"/>
        <v>0</v>
      </c>
      <c r="J22" s="488">
        <f t="shared" si="3"/>
        <v>0</v>
      </c>
      <c r="K22" s="488">
        <f t="shared" si="3"/>
        <v>0</v>
      </c>
      <c r="L22" s="488">
        <f t="shared" si="3"/>
        <v>0</v>
      </c>
      <c r="M22" s="488">
        <f t="shared" si="3"/>
        <v>0</v>
      </c>
      <c r="N22" s="488">
        <f t="shared" si="3"/>
        <v>0</v>
      </c>
      <c r="O22" s="488">
        <f t="shared" si="3"/>
        <v>0</v>
      </c>
      <c r="P22" s="488">
        <f t="shared" si="3"/>
        <v>0</v>
      </c>
      <c r="Q22" s="488">
        <f>+MIN(Q11,(-P34*($CE$4/12)))</f>
        <v>0</v>
      </c>
      <c r="R22" s="488">
        <f t="shared" si="3"/>
        <v>0</v>
      </c>
      <c r="S22" s="488">
        <f>+MIN(S11,(-R34*($CE$4/12)))</f>
        <v>0</v>
      </c>
      <c r="T22" s="488">
        <f t="shared" si="3"/>
        <v>0</v>
      </c>
      <c r="U22" s="488">
        <f t="shared" si="3"/>
        <v>0</v>
      </c>
      <c r="V22" s="488">
        <f t="shared" si="3"/>
        <v>0</v>
      </c>
      <c r="W22" s="488">
        <f t="shared" si="3"/>
        <v>0</v>
      </c>
      <c r="X22" s="488">
        <f t="shared" si="3"/>
        <v>55865.937070519256</v>
      </c>
      <c r="Y22" s="488">
        <f t="shared" si="3"/>
        <v>55865.937070519256</v>
      </c>
      <c r="Z22" s="488">
        <f t="shared" si="3"/>
        <v>55865.937070519256</v>
      </c>
      <c r="AA22" s="488">
        <f t="shared" si="3"/>
        <v>200282.87485082471</v>
      </c>
      <c r="AB22" s="488">
        <f t="shared" si="3"/>
        <v>55865.937070519256</v>
      </c>
      <c r="AC22" s="488">
        <f t="shared" si="3"/>
        <v>55865.937070519256</v>
      </c>
      <c r="AD22" s="488">
        <f t="shared" si="3"/>
        <v>-1220620.9207049725</v>
      </c>
      <c r="AE22" s="488">
        <f t="shared" si="3"/>
        <v>160402.43820649723</v>
      </c>
      <c r="AF22" s="488">
        <f t="shared" si="3"/>
        <v>160402.43820649723</v>
      </c>
      <c r="AG22" s="488">
        <f t="shared" si="3"/>
        <v>160402.43820649723</v>
      </c>
      <c r="AH22" s="488">
        <f t="shared" si="3"/>
        <v>160402.43820649723</v>
      </c>
      <c r="AI22" s="488">
        <f t="shared" si="3"/>
        <v>160402.43820649723</v>
      </c>
      <c r="AJ22" s="488">
        <f t="shared" si="3"/>
        <v>174756.336958414</v>
      </c>
      <c r="AK22" s="488">
        <f t="shared" si="3"/>
        <v>174756.336958414</v>
      </c>
      <c r="AL22" s="488">
        <f t="shared" si="3"/>
        <v>174756.336958414</v>
      </c>
      <c r="AM22" s="488">
        <f t="shared" si="3"/>
        <v>174756.336958414</v>
      </c>
      <c r="AN22" s="488">
        <f t="shared" si="3"/>
        <v>174756.336958414</v>
      </c>
      <c r="AO22" s="488">
        <f t="shared" si="3"/>
        <v>174756.336958414</v>
      </c>
      <c r="AP22" s="488">
        <f t="shared" si="3"/>
        <v>93471.925282638869</v>
      </c>
      <c r="AQ22" s="488">
        <f t="shared" si="3"/>
        <v>93471.925282638811</v>
      </c>
      <c r="AR22" s="488">
        <f t="shared" si="3"/>
        <v>93471.925282638811</v>
      </c>
      <c r="AS22" s="488">
        <f t="shared" si="3"/>
        <v>93471.925282638811</v>
      </c>
      <c r="AT22" s="488">
        <f t="shared" si="3"/>
        <v>93471.925282638811</v>
      </c>
      <c r="AU22" s="488">
        <f t="shared" si="3"/>
        <v>93471.925282638869</v>
      </c>
      <c r="AV22" s="488">
        <f t="shared" si="3"/>
        <v>108277.02087538387</v>
      </c>
      <c r="AW22" s="488">
        <f t="shared" si="3"/>
        <v>108277.02087538387</v>
      </c>
      <c r="AX22" s="488">
        <f t="shared" si="3"/>
        <v>108277.02087538387</v>
      </c>
      <c r="AY22" s="488">
        <f t="shared" si="3"/>
        <v>108277.02087538387</v>
      </c>
      <c r="AZ22" s="488">
        <f t="shared" si="3"/>
        <v>108277.02087538387</v>
      </c>
      <c r="BA22" s="488">
        <f t="shared" si="3"/>
        <v>108277.02087538387</v>
      </c>
      <c r="BB22" s="488">
        <f t="shared" si="3"/>
        <v>108277.02087538387</v>
      </c>
      <c r="BC22" s="488">
        <f t="shared" si="3"/>
        <v>108277.02087538387</v>
      </c>
      <c r="BD22" s="488">
        <f t="shared" si="3"/>
        <v>108277.02087538387</v>
      </c>
      <c r="BE22" s="488">
        <f t="shared" si="3"/>
        <v>108277.02087538387</v>
      </c>
      <c r="BF22" s="488">
        <f>+MIN(BF11,(-BE34*($CE$4/12)))</f>
        <v>108277.02087538387</v>
      </c>
      <c r="BG22" s="488">
        <f t="shared" si="3"/>
        <v>108277.02087538387</v>
      </c>
      <c r="BH22" s="488">
        <f t="shared" si="3"/>
        <v>123547.2608117474</v>
      </c>
      <c r="BI22" s="488">
        <f t="shared" si="3"/>
        <v>123547.2608117474</v>
      </c>
      <c r="BJ22" s="488">
        <f t="shared" si="3"/>
        <v>123547.26081174746</v>
      </c>
      <c r="BK22" s="488">
        <f t="shared" si="3"/>
        <v>123547.26081174746</v>
      </c>
      <c r="BL22" s="488">
        <f t="shared" si="3"/>
        <v>123547.2608117474</v>
      </c>
      <c r="BM22" s="488">
        <f t="shared" si="3"/>
        <v>123547.26081174734</v>
      </c>
      <c r="BN22" s="488">
        <f t="shared" si="3"/>
        <v>123547.2608117474</v>
      </c>
      <c r="BO22" s="488">
        <f t="shared" si="3"/>
        <v>123547.2608117474</v>
      </c>
      <c r="BP22" s="488">
        <f t="shared" si="3"/>
        <v>123547.2608117474</v>
      </c>
      <c r="BQ22" s="488">
        <f t="shared" si="3"/>
        <v>123547.2608117474</v>
      </c>
      <c r="BR22" s="488">
        <f t="shared" si="3"/>
        <v>123547.2608117474</v>
      </c>
      <c r="BS22" s="488">
        <f t="shared" si="3"/>
        <v>123547.2608117474</v>
      </c>
      <c r="BT22" s="488">
        <f t="shared" si="3"/>
        <v>139270.16794622707</v>
      </c>
      <c r="BU22" s="488">
        <f t="shared" si="3"/>
        <v>139270.16794622701</v>
      </c>
      <c r="BV22" s="488">
        <f t="shared" si="3"/>
        <v>139270.16794622701</v>
      </c>
      <c r="BW22" s="488">
        <f t="shared" si="3"/>
        <v>139270.16794622701</v>
      </c>
      <c r="BX22" s="488">
        <f t="shared" si="3"/>
        <v>139270.16794622701</v>
      </c>
      <c r="BY22" s="488">
        <f t="shared" si="3"/>
        <v>0</v>
      </c>
      <c r="BZ22" s="488">
        <f t="shared" si="3"/>
        <v>0</v>
      </c>
      <c r="CA22" s="283"/>
      <c r="CE22" s="219"/>
    </row>
    <row r="23" spans="1:86" s="216" customFormat="1">
      <c r="A23" s="215"/>
      <c r="B23" s="281" t="s">
        <v>209</v>
      </c>
      <c r="C23" s="282"/>
      <c r="D23" s="562">
        <f t="shared" ref="D23:R23" si="4">MIN(D11-D22,C35)</f>
        <v>0</v>
      </c>
      <c r="E23" s="562">
        <f t="shared" si="4"/>
        <v>0</v>
      </c>
      <c r="F23" s="562">
        <f t="shared" si="4"/>
        <v>0</v>
      </c>
      <c r="G23" s="562">
        <f t="shared" si="4"/>
        <v>0</v>
      </c>
      <c r="H23" s="562">
        <f t="shared" si="4"/>
        <v>0</v>
      </c>
      <c r="I23" s="562">
        <f t="shared" si="4"/>
        <v>0</v>
      </c>
      <c r="J23" s="562">
        <f t="shared" si="4"/>
        <v>0</v>
      </c>
      <c r="K23" s="562">
        <f t="shared" si="4"/>
        <v>0</v>
      </c>
      <c r="L23" s="562">
        <f t="shared" si="4"/>
        <v>0</v>
      </c>
      <c r="M23" s="562">
        <f t="shared" si="4"/>
        <v>0</v>
      </c>
      <c r="N23" s="562">
        <f t="shared" si="4"/>
        <v>0</v>
      </c>
      <c r="O23" s="562">
        <f t="shared" si="4"/>
        <v>0</v>
      </c>
      <c r="P23" s="562">
        <f t="shared" si="4"/>
        <v>0</v>
      </c>
      <c r="Q23" s="562">
        <f>MIN(Q11-Q22,P35)</f>
        <v>0</v>
      </c>
      <c r="R23" s="562">
        <f t="shared" si="4"/>
        <v>0</v>
      </c>
      <c r="S23" s="562">
        <f>MIN(S11-S22,R35)</f>
        <v>0</v>
      </c>
      <c r="T23" s="562">
        <f t="shared" ref="T23:BZ23" si="5">MIN(T11-T22,S35)</f>
        <v>0</v>
      </c>
      <c r="U23" s="562">
        <f t="shared" si="5"/>
        <v>0</v>
      </c>
      <c r="V23" s="562">
        <f t="shared" si="5"/>
        <v>0</v>
      </c>
      <c r="W23" s="562">
        <f t="shared" si="5"/>
        <v>0</v>
      </c>
      <c r="X23" s="562">
        <f t="shared" si="5"/>
        <v>0</v>
      </c>
      <c r="Y23" s="562">
        <f t="shared" si="5"/>
        <v>0</v>
      </c>
      <c r="Z23" s="562">
        <f t="shared" si="5"/>
        <v>0</v>
      </c>
      <c r="AA23" s="562">
        <f t="shared" si="5"/>
        <v>1367583.0622196945</v>
      </c>
      <c r="AB23" s="562">
        <f t="shared" si="5"/>
        <v>0</v>
      </c>
      <c r="AC23" s="562">
        <f t="shared" si="5"/>
        <v>0</v>
      </c>
      <c r="AD23" s="562">
        <f t="shared" si="5"/>
        <v>0</v>
      </c>
      <c r="AE23" s="562">
        <f t="shared" si="5"/>
        <v>0</v>
      </c>
      <c r="AF23" s="562">
        <f t="shared" si="5"/>
        <v>0</v>
      </c>
      <c r="AG23" s="562">
        <f t="shared" si="5"/>
        <v>0</v>
      </c>
      <c r="AH23" s="562">
        <f t="shared" si="5"/>
        <v>0</v>
      </c>
      <c r="AI23" s="562">
        <f t="shared" si="5"/>
        <v>0</v>
      </c>
      <c r="AJ23" s="562">
        <f t="shared" si="5"/>
        <v>0</v>
      </c>
      <c r="AK23" s="562">
        <f t="shared" si="5"/>
        <v>0</v>
      </c>
      <c r="AL23" s="562">
        <f t="shared" si="5"/>
        <v>0</v>
      </c>
      <c r="AM23" s="562">
        <f t="shared" si="5"/>
        <v>0</v>
      </c>
      <c r="AN23" s="562">
        <f t="shared" si="5"/>
        <v>0</v>
      </c>
      <c r="AO23" s="562">
        <f t="shared" si="5"/>
        <v>0</v>
      </c>
      <c r="AP23" s="562">
        <f t="shared" si="5"/>
        <v>0</v>
      </c>
      <c r="AQ23" s="562">
        <f t="shared" si="5"/>
        <v>0</v>
      </c>
      <c r="AR23" s="562">
        <f t="shared" si="5"/>
        <v>0</v>
      </c>
      <c r="AS23" s="562">
        <f t="shared" si="5"/>
        <v>0</v>
      </c>
      <c r="AT23" s="562">
        <f t="shared" si="5"/>
        <v>0</v>
      </c>
      <c r="AU23" s="562">
        <f t="shared" si="5"/>
        <v>0</v>
      </c>
      <c r="AV23" s="562">
        <f t="shared" si="5"/>
        <v>0</v>
      </c>
      <c r="AW23" s="562">
        <f t="shared" si="5"/>
        <v>0</v>
      </c>
      <c r="AX23" s="562">
        <f t="shared" si="5"/>
        <v>0</v>
      </c>
      <c r="AY23" s="562">
        <f t="shared" si="5"/>
        <v>0</v>
      </c>
      <c r="AZ23" s="562">
        <f t="shared" si="5"/>
        <v>0</v>
      </c>
      <c r="BA23" s="562">
        <f t="shared" si="5"/>
        <v>0</v>
      </c>
      <c r="BB23" s="562">
        <f t="shared" si="5"/>
        <v>0</v>
      </c>
      <c r="BC23" s="562">
        <f t="shared" si="5"/>
        <v>0</v>
      </c>
      <c r="BD23" s="562">
        <f t="shared" si="5"/>
        <v>0</v>
      </c>
      <c r="BE23" s="562">
        <f t="shared" si="5"/>
        <v>0</v>
      </c>
      <c r="BF23" s="562">
        <f t="shared" si="5"/>
        <v>0</v>
      </c>
      <c r="BG23" s="562">
        <f t="shared" si="5"/>
        <v>0</v>
      </c>
      <c r="BH23" s="562">
        <f t="shared" si="5"/>
        <v>0</v>
      </c>
      <c r="BI23" s="562">
        <f t="shared" si="5"/>
        <v>0</v>
      </c>
      <c r="BJ23" s="562">
        <f t="shared" si="5"/>
        <v>0</v>
      </c>
      <c r="BK23" s="562">
        <f t="shared" si="5"/>
        <v>0</v>
      </c>
      <c r="BL23" s="562">
        <f t="shared" si="5"/>
        <v>0</v>
      </c>
      <c r="BM23" s="562">
        <f t="shared" si="5"/>
        <v>0</v>
      </c>
      <c r="BN23" s="562">
        <f t="shared" si="5"/>
        <v>0</v>
      </c>
      <c r="BO23" s="562">
        <f t="shared" si="5"/>
        <v>0</v>
      </c>
      <c r="BP23" s="562">
        <f t="shared" si="5"/>
        <v>0</v>
      </c>
      <c r="BQ23" s="562">
        <f t="shared" si="5"/>
        <v>0</v>
      </c>
      <c r="BR23" s="562">
        <f t="shared" si="5"/>
        <v>0</v>
      </c>
      <c r="BS23" s="562">
        <f t="shared" si="5"/>
        <v>0</v>
      </c>
      <c r="BT23" s="562">
        <f t="shared" si="5"/>
        <v>0</v>
      </c>
      <c r="BU23" s="562">
        <f t="shared" si="5"/>
        <v>0</v>
      </c>
      <c r="BV23" s="562">
        <f t="shared" si="5"/>
        <v>0</v>
      </c>
      <c r="BW23" s="562">
        <f t="shared" si="5"/>
        <v>0</v>
      </c>
      <c r="BX23" s="562">
        <f t="shared" si="5"/>
        <v>0</v>
      </c>
      <c r="BY23" s="562">
        <f t="shared" si="5"/>
        <v>0</v>
      </c>
      <c r="BZ23" s="562">
        <f t="shared" si="5"/>
        <v>0</v>
      </c>
      <c r="CA23" s="283"/>
      <c r="CE23" s="219"/>
    </row>
    <row r="24" spans="1:86" s="216" customFormat="1">
      <c r="A24" s="215"/>
      <c r="B24" s="582" t="s">
        <v>210</v>
      </c>
      <c r="C24" s="282"/>
      <c r="D24" s="563">
        <f>SUM(D22:D23)</f>
        <v>0</v>
      </c>
      <c r="E24" s="563">
        <f t="shared" ref="E24:R24" si="6">SUM(E22:E23)</f>
        <v>0</v>
      </c>
      <c r="F24" s="563">
        <f t="shared" si="6"/>
        <v>0</v>
      </c>
      <c r="G24" s="563">
        <f t="shared" si="6"/>
        <v>0</v>
      </c>
      <c r="H24" s="563">
        <f t="shared" si="6"/>
        <v>0</v>
      </c>
      <c r="I24" s="563">
        <f t="shared" si="6"/>
        <v>0</v>
      </c>
      <c r="J24" s="563">
        <f t="shared" si="6"/>
        <v>0</v>
      </c>
      <c r="K24" s="563">
        <f t="shared" si="6"/>
        <v>0</v>
      </c>
      <c r="L24" s="563">
        <f t="shared" si="6"/>
        <v>0</v>
      </c>
      <c r="M24" s="563">
        <f t="shared" si="6"/>
        <v>0</v>
      </c>
      <c r="N24" s="563">
        <f t="shared" si="6"/>
        <v>0</v>
      </c>
      <c r="O24" s="563">
        <f t="shared" si="6"/>
        <v>0</v>
      </c>
      <c r="P24" s="563">
        <f t="shared" si="6"/>
        <v>0</v>
      </c>
      <c r="Q24" s="563">
        <f t="shared" si="6"/>
        <v>0</v>
      </c>
      <c r="R24" s="563">
        <f t="shared" si="6"/>
        <v>0</v>
      </c>
      <c r="S24" s="563">
        <f>SUM(S22:S23)</f>
        <v>0</v>
      </c>
      <c r="T24" s="563">
        <f t="shared" ref="T24:BN24" si="7">SUM(T22:T23)</f>
        <v>0</v>
      </c>
      <c r="U24" s="563">
        <f t="shared" si="7"/>
        <v>0</v>
      </c>
      <c r="V24" s="563">
        <f>SUM(V22:V23)</f>
        <v>0</v>
      </c>
      <c r="W24" s="563">
        <f t="shared" si="7"/>
        <v>0</v>
      </c>
      <c r="X24" s="563">
        <f t="shared" si="7"/>
        <v>55865.937070519256</v>
      </c>
      <c r="Y24" s="563">
        <f t="shared" si="7"/>
        <v>55865.937070519256</v>
      </c>
      <c r="Z24" s="563">
        <f t="shared" si="7"/>
        <v>55865.937070519256</v>
      </c>
      <c r="AA24" s="563">
        <f t="shared" si="7"/>
        <v>1567865.9370705192</v>
      </c>
      <c r="AB24" s="563">
        <f t="shared" si="7"/>
        <v>55865.937070519256</v>
      </c>
      <c r="AC24" s="563">
        <f t="shared" si="7"/>
        <v>55865.937070519256</v>
      </c>
      <c r="AD24" s="563">
        <f t="shared" si="7"/>
        <v>-1220620.9207049725</v>
      </c>
      <c r="AE24" s="563">
        <f t="shared" si="7"/>
        <v>160402.43820649723</v>
      </c>
      <c r="AF24" s="563">
        <f t="shared" si="7"/>
        <v>160402.43820649723</v>
      </c>
      <c r="AG24" s="563">
        <f t="shared" si="7"/>
        <v>160402.43820649723</v>
      </c>
      <c r="AH24" s="563">
        <f t="shared" si="7"/>
        <v>160402.43820649723</v>
      </c>
      <c r="AI24" s="563">
        <f t="shared" si="7"/>
        <v>160402.43820649723</v>
      </c>
      <c r="AJ24" s="563">
        <f t="shared" si="7"/>
        <v>174756.336958414</v>
      </c>
      <c r="AK24" s="563">
        <f t="shared" si="7"/>
        <v>174756.336958414</v>
      </c>
      <c r="AL24" s="563">
        <f t="shared" si="7"/>
        <v>174756.336958414</v>
      </c>
      <c r="AM24" s="563">
        <f t="shared" si="7"/>
        <v>174756.336958414</v>
      </c>
      <c r="AN24" s="563">
        <f t="shared" si="7"/>
        <v>174756.336958414</v>
      </c>
      <c r="AO24" s="563">
        <f t="shared" si="7"/>
        <v>174756.336958414</v>
      </c>
      <c r="AP24" s="563">
        <f t="shared" si="7"/>
        <v>93471.925282638869</v>
      </c>
      <c r="AQ24" s="563">
        <f t="shared" si="7"/>
        <v>93471.925282638811</v>
      </c>
      <c r="AR24" s="563">
        <f t="shared" si="7"/>
        <v>93471.925282638811</v>
      </c>
      <c r="AS24" s="563">
        <f t="shared" si="7"/>
        <v>93471.925282638811</v>
      </c>
      <c r="AT24" s="563">
        <f t="shared" si="7"/>
        <v>93471.925282638811</v>
      </c>
      <c r="AU24" s="563">
        <f t="shared" si="7"/>
        <v>93471.925282638869</v>
      </c>
      <c r="AV24" s="563">
        <f t="shared" si="7"/>
        <v>108277.02087538387</v>
      </c>
      <c r="AW24" s="563">
        <f t="shared" si="7"/>
        <v>108277.02087538387</v>
      </c>
      <c r="AX24" s="563">
        <f t="shared" si="7"/>
        <v>108277.02087538387</v>
      </c>
      <c r="AY24" s="563">
        <f t="shared" si="7"/>
        <v>108277.02087538387</v>
      </c>
      <c r="AZ24" s="563">
        <f t="shared" si="7"/>
        <v>108277.02087538387</v>
      </c>
      <c r="BA24" s="563">
        <f t="shared" si="7"/>
        <v>108277.02087538387</v>
      </c>
      <c r="BB24" s="563">
        <f t="shared" si="7"/>
        <v>108277.02087538387</v>
      </c>
      <c r="BC24" s="563">
        <f t="shared" si="7"/>
        <v>108277.02087538387</v>
      </c>
      <c r="BD24" s="563">
        <f t="shared" si="7"/>
        <v>108277.02087538387</v>
      </c>
      <c r="BE24" s="563">
        <f t="shared" si="7"/>
        <v>108277.02087538387</v>
      </c>
      <c r="BF24" s="563">
        <f>SUM(BF22:BF23)</f>
        <v>108277.02087538387</v>
      </c>
      <c r="BG24" s="563">
        <f t="shared" si="7"/>
        <v>108277.02087538387</v>
      </c>
      <c r="BH24" s="563">
        <f t="shared" si="7"/>
        <v>123547.2608117474</v>
      </c>
      <c r="BI24" s="563">
        <f t="shared" si="7"/>
        <v>123547.2608117474</v>
      </c>
      <c r="BJ24" s="563">
        <f t="shared" si="7"/>
        <v>123547.26081174746</v>
      </c>
      <c r="BK24" s="563">
        <f t="shared" si="7"/>
        <v>123547.26081174746</v>
      </c>
      <c r="BL24" s="563">
        <f t="shared" si="7"/>
        <v>123547.2608117474</v>
      </c>
      <c r="BM24" s="563">
        <f t="shared" si="7"/>
        <v>123547.26081174734</v>
      </c>
      <c r="BN24" s="563">
        <f t="shared" si="7"/>
        <v>123547.2608117474</v>
      </c>
      <c r="BO24" s="563">
        <f t="shared" ref="BO24:BZ24" si="8">SUM(BO22:BO23)</f>
        <v>123547.2608117474</v>
      </c>
      <c r="BP24" s="563">
        <f t="shared" si="8"/>
        <v>123547.2608117474</v>
      </c>
      <c r="BQ24" s="563">
        <f t="shared" si="8"/>
        <v>123547.2608117474</v>
      </c>
      <c r="BR24" s="563">
        <f t="shared" si="8"/>
        <v>123547.2608117474</v>
      </c>
      <c r="BS24" s="563">
        <f t="shared" si="8"/>
        <v>123547.2608117474</v>
      </c>
      <c r="BT24" s="563">
        <f t="shared" si="8"/>
        <v>139270.16794622707</v>
      </c>
      <c r="BU24" s="563">
        <f t="shared" si="8"/>
        <v>139270.16794622701</v>
      </c>
      <c r="BV24" s="563">
        <f t="shared" si="8"/>
        <v>139270.16794622701</v>
      </c>
      <c r="BW24" s="563">
        <f t="shared" si="8"/>
        <v>139270.16794622701</v>
      </c>
      <c r="BX24" s="563">
        <f t="shared" si="8"/>
        <v>139270.16794622701</v>
      </c>
      <c r="BY24" s="563">
        <f t="shared" si="8"/>
        <v>0</v>
      </c>
      <c r="BZ24" s="563">
        <f t="shared" si="8"/>
        <v>0</v>
      </c>
      <c r="CA24" s="283"/>
      <c r="CE24" s="219"/>
    </row>
    <row r="25" spans="1:86" s="216" customFormat="1">
      <c r="A25" s="215"/>
      <c r="B25" s="281"/>
      <c r="C25" s="282"/>
      <c r="D25" s="488"/>
      <c r="E25" s="488"/>
      <c r="F25" s="488"/>
      <c r="G25" s="488"/>
      <c r="H25" s="488"/>
      <c r="I25" s="488"/>
      <c r="J25" s="488"/>
      <c r="K25" s="488"/>
      <c r="L25" s="488"/>
      <c r="M25" s="488"/>
      <c r="N25" s="488"/>
      <c r="O25" s="488"/>
      <c r="P25" s="488"/>
      <c r="Q25" s="488"/>
      <c r="R25" s="488"/>
      <c r="S25" s="488"/>
      <c r="T25" s="488"/>
      <c r="U25" s="488"/>
      <c r="V25" s="488"/>
      <c r="W25" s="488"/>
      <c r="X25" s="488"/>
      <c r="Y25" s="488"/>
      <c r="Z25" s="488"/>
      <c r="AA25" s="488"/>
      <c r="AB25" s="488"/>
      <c r="AC25" s="488"/>
      <c r="AD25" s="488"/>
      <c r="AE25" s="488"/>
      <c r="AF25" s="488"/>
      <c r="AG25" s="488"/>
      <c r="AH25" s="488"/>
      <c r="AI25" s="488"/>
      <c r="AJ25" s="488"/>
      <c r="AK25" s="488"/>
      <c r="AL25" s="488"/>
      <c r="AM25" s="488"/>
      <c r="AN25" s="488"/>
      <c r="AO25" s="488"/>
      <c r="AP25" s="488"/>
      <c r="AQ25" s="488"/>
      <c r="AR25" s="488"/>
      <c r="AS25" s="488"/>
      <c r="AT25" s="488"/>
      <c r="AU25" s="488"/>
      <c r="AV25" s="488"/>
      <c r="AW25" s="488"/>
      <c r="AX25" s="488"/>
      <c r="AY25" s="488"/>
      <c r="AZ25" s="488"/>
      <c r="BA25" s="488"/>
      <c r="BB25" s="488"/>
      <c r="BC25" s="488"/>
      <c r="BD25" s="488"/>
      <c r="BE25" s="488"/>
      <c r="BF25" s="488"/>
      <c r="BG25" s="488"/>
      <c r="BH25" s="488"/>
      <c r="BI25" s="488"/>
      <c r="BJ25" s="488"/>
      <c r="BK25" s="488"/>
      <c r="BL25" s="488"/>
      <c r="BM25" s="488"/>
      <c r="BN25" s="488"/>
      <c r="BO25" s="488"/>
      <c r="BP25" s="488"/>
      <c r="BQ25" s="488"/>
      <c r="BR25" s="488"/>
      <c r="BS25" s="488"/>
      <c r="BT25" s="488"/>
      <c r="BU25" s="488"/>
      <c r="BV25" s="488"/>
      <c r="BW25" s="488"/>
      <c r="BX25" s="488"/>
      <c r="BY25" s="488"/>
      <c r="BZ25" s="488"/>
      <c r="CA25" s="283"/>
      <c r="CE25" s="219"/>
    </row>
    <row r="26" spans="1:86" s="216" customFormat="1">
      <c r="A26" s="215"/>
      <c r="B26" s="281" t="s">
        <v>204</v>
      </c>
      <c r="C26" s="282"/>
      <c r="D26" s="488">
        <f t="shared" ref="D26:BZ26" si="9">IF(-((+C34*($CE$4/12))+D22)&lt;0,0,-((+C34*($CE$4/12))+D22))</f>
        <v>200282.87485082471</v>
      </c>
      <c r="E26" s="488">
        <f t="shared" si="9"/>
        <v>200282.87485082471</v>
      </c>
      <c r="F26" s="488">
        <f t="shared" si="9"/>
        <v>200282.87485082471</v>
      </c>
      <c r="G26" s="488">
        <f t="shared" si="9"/>
        <v>200282.87485082471</v>
      </c>
      <c r="H26" s="488">
        <f t="shared" si="9"/>
        <v>200282.87485082471</v>
      </c>
      <c r="I26" s="488">
        <f t="shared" si="9"/>
        <v>200282.87485082471</v>
      </c>
      <c r="J26" s="488">
        <f t="shared" si="9"/>
        <v>200282.87485082471</v>
      </c>
      <c r="K26" s="488">
        <f t="shared" si="9"/>
        <v>200282.87485082471</v>
      </c>
      <c r="L26" s="488">
        <f t="shared" si="9"/>
        <v>200282.87485082471</v>
      </c>
      <c r="M26" s="488">
        <f t="shared" si="9"/>
        <v>200282.87485082471</v>
      </c>
      <c r="N26" s="488">
        <f t="shared" si="9"/>
        <v>200282.87485082471</v>
      </c>
      <c r="O26" s="488">
        <f t="shared" si="9"/>
        <v>200282.87485082471</v>
      </c>
      <c r="P26" s="488">
        <f t="shared" si="9"/>
        <v>200282.87485082471</v>
      </c>
      <c r="Q26" s="488">
        <f t="shared" si="9"/>
        <v>200282.87485082471</v>
      </c>
      <c r="R26" s="488">
        <f t="shared" si="9"/>
        <v>200282.87485082471</v>
      </c>
      <c r="S26" s="488">
        <f>IF(-((+R34*($CE$4/12))+S22)&lt;0,0,-((+R34*($CE$4/12))+S22))</f>
        <v>200282.87485082471</v>
      </c>
      <c r="T26" s="488">
        <f t="shared" si="9"/>
        <v>200282.87485082471</v>
      </c>
      <c r="U26" s="488">
        <f t="shared" si="9"/>
        <v>200282.87485082471</v>
      </c>
      <c r="V26" s="488">
        <f t="shared" si="9"/>
        <v>200282.87485082471</v>
      </c>
      <c r="W26" s="488">
        <f t="shared" si="9"/>
        <v>200282.87485082471</v>
      </c>
      <c r="X26" s="488">
        <f t="shared" si="9"/>
        <v>144416.93778030545</v>
      </c>
      <c r="Y26" s="488">
        <f t="shared" si="9"/>
        <v>144416.93778030545</v>
      </c>
      <c r="Z26" s="488">
        <f t="shared" si="9"/>
        <v>144416.93778030545</v>
      </c>
      <c r="AA26" s="488">
        <f t="shared" si="9"/>
        <v>0</v>
      </c>
      <c r="AB26" s="488">
        <f t="shared" si="9"/>
        <v>144416.93778030545</v>
      </c>
      <c r="AC26" s="488">
        <f t="shared" si="9"/>
        <v>144416.93778030545</v>
      </c>
      <c r="AD26" s="488">
        <f t="shared" si="9"/>
        <v>1420903.7955557972</v>
      </c>
      <c r="AE26" s="488">
        <f t="shared" si="9"/>
        <v>39880.436644327478</v>
      </c>
      <c r="AF26" s="488">
        <f t="shared" si="9"/>
        <v>39880.436644327478</v>
      </c>
      <c r="AG26" s="488">
        <f t="shared" si="9"/>
        <v>39880.436644327478</v>
      </c>
      <c r="AH26" s="488">
        <f t="shared" si="9"/>
        <v>39880.436644327478</v>
      </c>
      <c r="AI26" s="488">
        <f t="shared" si="9"/>
        <v>39880.436644327478</v>
      </c>
      <c r="AJ26" s="488">
        <f t="shared" si="9"/>
        <v>25526.537892410706</v>
      </c>
      <c r="AK26" s="488">
        <f t="shared" si="9"/>
        <v>25526.537892410706</v>
      </c>
      <c r="AL26" s="488">
        <f t="shared" si="9"/>
        <v>25526.537892410706</v>
      </c>
      <c r="AM26" s="488">
        <f t="shared" si="9"/>
        <v>25526.537892410706</v>
      </c>
      <c r="AN26" s="488">
        <f t="shared" si="9"/>
        <v>25526.537892410706</v>
      </c>
      <c r="AO26" s="488">
        <f t="shared" si="9"/>
        <v>25526.537892410706</v>
      </c>
      <c r="AP26" s="488">
        <f t="shared" si="9"/>
        <v>106810.94956818584</v>
      </c>
      <c r="AQ26" s="488">
        <f t="shared" si="9"/>
        <v>106810.9495681859</v>
      </c>
      <c r="AR26" s="488">
        <f t="shared" si="9"/>
        <v>106810.9495681859</v>
      </c>
      <c r="AS26" s="488">
        <f t="shared" si="9"/>
        <v>106810.9495681859</v>
      </c>
      <c r="AT26" s="488">
        <f t="shared" si="9"/>
        <v>106810.9495681859</v>
      </c>
      <c r="AU26" s="488">
        <f t="shared" si="9"/>
        <v>106810.94956818584</v>
      </c>
      <c r="AV26" s="488">
        <f t="shared" si="9"/>
        <v>92005.853975440841</v>
      </c>
      <c r="AW26" s="488">
        <f t="shared" si="9"/>
        <v>92005.853975440841</v>
      </c>
      <c r="AX26" s="488">
        <f t="shared" si="9"/>
        <v>92005.853975440841</v>
      </c>
      <c r="AY26" s="488">
        <f t="shared" si="9"/>
        <v>92005.853975440841</v>
      </c>
      <c r="AZ26" s="488">
        <f t="shared" si="9"/>
        <v>92005.853975440841</v>
      </c>
      <c r="BA26" s="488">
        <f t="shared" si="9"/>
        <v>92005.853975440841</v>
      </c>
      <c r="BB26" s="488">
        <f t="shared" si="9"/>
        <v>92005.853975440841</v>
      </c>
      <c r="BC26" s="488">
        <f t="shared" si="9"/>
        <v>92005.853975440841</v>
      </c>
      <c r="BD26" s="488">
        <f t="shared" si="9"/>
        <v>92005.853975440841</v>
      </c>
      <c r="BE26" s="488">
        <f t="shared" si="9"/>
        <v>92005.853975440841</v>
      </c>
      <c r="BF26" s="488">
        <f>IF(-((+BE34*($CE$4/12))+BF22)&lt;0,0,-((+BE34*($CE$4/12))+BF22))</f>
        <v>92005.853975440841</v>
      </c>
      <c r="BG26" s="488">
        <f t="shared" si="9"/>
        <v>92005.853975440841</v>
      </c>
      <c r="BH26" s="488">
        <f t="shared" si="9"/>
        <v>76735.614039077307</v>
      </c>
      <c r="BI26" s="488">
        <f t="shared" si="9"/>
        <v>76735.614039077307</v>
      </c>
      <c r="BJ26" s="488">
        <f t="shared" si="9"/>
        <v>76735.614039077249</v>
      </c>
      <c r="BK26" s="488">
        <f t="shared" si="9"/>
        <v>76735.614039077249</v>
      </c>
      <c r="BL26" s="488">
        <f t="shared" si="9"/>
        <v>76735.614039077307</v>
      </c>
      <c r="BM26" s="488">
        <f t="shared" si="9"/>
        <v>76735.614039077365</v>
      </c>
      <c r="BN26" s="488">
        <f t="shared" si="9"/>
        <v>76735.614039077307</v>
      </c>
      <c r="BO26" s="488">
        <f t="shared" si="9"/>
        <v>76735.614039077307</v>
      </c>
      <c r="BP26" s="488">
        <f t="shared" si="9"/>
        <v>76735.614039077307</v>
      </c>
      <c r="BQ26" s="488">
        <f t="shared" si="9"/>
        <v>76735.614039077307</v>
      </c>
      <c r="BR26" s="488">
        <f t="shared" si="9"/>
        <v>76735.614039077307</v>
      </c>
      <c r="BS26" s="488">
        <f t="shared" si="9"/>
        <v>76735.614039077307</v>
      </c>
      <c r="BT26" s="488">
        <f t="shared" si="9"/>
        <v>61012.706904597639</v>
      </c>
      <c r="BU26" s="488">
        <f t="shared" si="9"/>
        <v>61012.706904597697</v>
      </c>
      <c r="BV26" s="488">
        <f t="shared" si="9"/>
        <v>61012.706904597697</v>
      </c>
      <c r="BW26" s="488">
        <f t="shared" si="9"/>
        <v>61012.706904597697</v>
      </c>
      <c r="BX26" s="488">
        <f t="shared" si="9"/>
        <v>61012.706904597697</v>
      </c>
      <c r="BY26" s="488">
        <f t="shared" si="9"/>
        <v>200282.87485082471</v>
      </c>
      <c r="BZ26" s="488">
        <f t="shared" si="9"/>
        <v>200282.87485082471</v>
      </c>
      <c r="CA26" s="283"/>
      <c r="CD26" s="223"/>
      <c r="CE26" s="223"/>
      <c r="CF26" s="223"/>
      <c r="CG26" s="223"/>
      <c r="CH26" s="223"/>
    </row>
    <row r="27" spans="1:86" s="216" customFormat="1">
      <c r="A27" s="215"/>
      <c r="B27" s="284" t="s">
        <v>177</v>
      </c>
      <c r="C27" s="562"/>
      <c r="D27" s="562">
        <f t="shared" ref="D27:R27" si="10">IF(D11&gt;D24,+MIN(-C34,D11-D24),0)</f>
        <v>0</v>
      </c>
      <c r="E27" s="562">
        <f t="shared" si="10"/>
        <v>0</v>
      </c>
      <c r="F27" s="562">
        <f t="shared" si="10"/>
        <v>0</v>
      </c>
      <c r="G27" s="562">
        <f t="shared" si="10"/>
        <v>0</v>
      </c>
      <c r="H27" s="562">
        <f t="shared" si="10"/>
        <v>0</v>
      </c>
      <c r="I27" s="562">
        <f t="shared" si="10"/>
        <v>0</v>
      </c>
      <c r="J27" s="562">
        <f t="shared" si="10"/>
        <v>0</v>
      </c>
      <c r="K27" s="562">
        <f t="shared" si="10"/>
        <v>0</v>
      </c>
      <c r="L27" s="562">
        <f t="shared" si="10"/>
        <v>0</v>
      </c>
      <c r="M27" s="562">
        <f t="shared" si="10"/>
        <v>0</v>
      </c>
      <c r="N27" s="562">
        <f t="shared" si="10"/>
        <v>0</v>
      </c>
      <c r="O27" s="562">
        <f t="shared" si="10"/>
        <v>0</v>
      </c>
      <c r="P27" s="562">
        <f t="shared" si="10"/>
        <v>0</v>
      </c>
      <c r="Q27" s="562">
        <f t="shared" si="10"/>
        <v>0</v>
      </c>
      <c r="R27" s="562">
        <f t="shared" si="10"/>
        <v>0</v>
      </c>
      <c r="S27" s="562">
        <f>IF(S11&gt;S24,+MIN(-R34,S11-S24),0)</f>
        <v>0</v>
      </c>
      <c r="T27" s="562">
        <f t="shared" ref="T27:BZ27" si="11">IF(T11&gt;T24,+MIN(-S34,T11-T24),0)</f>
        <v>0</v>
      </c>
      <c r="U27" s="562">
        <f t="shared" si="11"/>
        <v>0</v>
      </c>
      <c r="V27" s="562">
        <f>IF(V11&gt;V24,+MIN(-U34,V11-V24),0)</f>
        <v>0</v>
      </c>
      <c r="W27" s="562">
        <f t="shared" si="11"/>
        <v>0</v>
      </c>
      <c r="X27" s="562">
        <f t="shared" si="11"/>
        <v>0</v>
      </c>
      <c r="Y27" s="562">
        <f t="shared" si="11"/>
        <v>0</v>
      </c>
      <c r="Z27" s="562">
        <f t="shared" si="11"/>
        <v>0</v>
      </c>
      <c r="AA27" s="562">
        <f t="shared" si="11"/>
        <v>0</v>
      </c>
      <c r="AB27" s="562">
        <f t="shared" si="11"/>
        <v>0</v>
      </c>
      <c r="AC27" s="562">
        <f t="shared" si="11"/>
        <v>0</v>
      </c>
      <c r="AD27" s="562">
        <f t="shared" si="11"/>
        <v>0</v>
      </c>
      <c r="AE27" s="562">
        <f t="shared" si="11"/>
        <v>0</v>
      </c>
      <c r="AF27" s="562">
        <f t="shared" si="11"/>
        <v>0</v>
      </c>
      <c r="AG27" s="562">
        <f t="shared" si="11"/>
        <v>0</v>
      </c>
      <c r="AH27" s="562">
        <f t="shared" si="11"/>
        <v>0</v>
      </c>
      <c r="AI27" s="562">
        <f t="shared" si="11"/>
        <v>0</v>
      </c>
      <c r="AJ27" s="562">
        <f t="shared" si="11"/>
        <v>0</v>
      </c>
      <c r="AK27" s="562">
        <f t="shared" si="11"/>
        <v>0</v>
      </c>
      <c r="AL27" s="562">
        <f t="shared" si="11"/>
        <v>0</v>
      </c>
      <c r="AM27" s="562">
        <f t="shared" si="11"/>
        <v>0</v>
      </c>
      <c r="AN27" s="562">
        <f t="shared" si="11"/>
        <v>0</v>
      </c>
      <c r="AO27" s="562">
        <f t="shared" si="11"/>
        <v>0</v>
      </c>
      <c r="AP27" s="562">
        <f t="shared" si="11"/>
        <v>0</v>
      </c>
      <c r="AQ27" s="562">
        <f t="shared" si="11"/>
        <v>0</v>
      </c>
      <c r="AR27" s="562">
        <f t="shared" si="11"/>
        <v>0</v>
      </c>
      <c r="AS27" s="562">
        <f t="shared" si="11"/>
        <v>0</v>
      </c>
      <c r="AT27" s="562">
        <f t="shared" si="11"/>
        <v>0</v>
      </c>
      <c r="AU27" s="562">
        <f t="shared" si="11"/>
        <v>0</v>
      </c>
      <c r="AV27" s="562">
        <f t="shared" si="11"/>
        <v>0</v>
      </c>
      <c r="AW27" s="562">
        <f t="shared" si="11"/>
        <v>0</v>
      </c>
      <c r="AX27" s="562">
        <f t="shared" si="11"/>
        <v>0</v>
      </c>
      <c r="AY27" s="562">
        <f t="shared" si="11"/>
        <v>0</v>
      </c>
      <c r="AZ27" s="562">
        <f t="shared" si="11"/>
        <v>0</v>
      </c>
      <c r="BA27" s="562">
        <f t="shared" si="11"/>
        <v>0</v>
      </c>
      <c r="BB27" s="562">
        <f t="shared" si="11"/>
        <v>0</v>
      </c>
      <c r="BC27" s="562">
        <f t="shared" si="11"/>
        <v>0</v>
      </c>
      <c r="BD27" s="562">
        <f t="shared" si="11"/>
        <v>0</v>
      </c>
      <c r="BE27" s="562">
        <f t="shared" si="11"/>
        <v>0</v>
      </c>
      <c r="BF27" s="562">
        <f>IF(BF11&gt;BF24,+MIN(-BE34,BF11-BF24),0)</f>
        <v>0</v>
      </c>
      <c r="BG27" s="562">
        <f t="shared" si="11"/>
        <v>0</v>
      </c>
      <c r="BH27" s="562">
        <f t="shared" si="11"/>
        <v>0</v>
      </c>
      <c r="BI27" s="562">
        <f t="shared" si="11"/>
        <v>0</v>
      </c>
      <c r="BJ27" s="562">
        <f t="shared" si="11"/>
        <v>0</v>
      </c>
      <c r="BK27" s="562">
        <f t="shared" si="11"/>
        <v>0</v>
      </c>
      <c r="BL27" s="562">
        <f t="shared" si="11"/>
        <v>0</v>
      </c>
      <c r="BM27" s="562">
        <f t="shared" si="11"/>
        <v>0</v>
      </c>
      <c r="BN27" s="562">
        <f t="shared" si="11"/>
        <v>0</v>
      </c>
      <c r="BO27" s="562">
        <f t="shared" si="11"/>
        <v>0</v>
      </c>
      <c r="BP27" s="562">
        <f t="shared" si="11"/>
        <v>0</v>
      </c>
      <c r="BQ27" s="562">
        <f t="shared" si="11"/>
        <v>0</v>
      </c>
      <c r="BR27" s="562">
        <f t="shared" si="11"/>
        <v>0</v>
      </c>
      <c r="BS27" s="562">
        <f t="shared" si="11"/>
        <v>0</v>
      </c>
      <c r="BT27" s="562">
        <f t="shared" si="11"/>
        <v>0</v>
      </c>
      <c r="BU27" s="562">
        <f t="shared" si="11"/>
        <v>0</v>
      </c>
      <c r="BV27" s="562">
        <f t="shared" si="11"/>
        <v>0</v>
      </c>
      <c r="BW27" s="562">
        <f t="shared" si="11"/>
        <v>0</v>
      </c>
      <c r="BX27" s="562">
        <f t="shared" si="11"/>
        <v>0</v>
      </c>
      <c r="BY27" s="562">
        <f t="shared" si="11"/>
        <v>0</v>
      </c>
      <c r="BZ27" s="562">
        <f t="shared" si="11"/>
        <v>0</v>
      </c>
      <c r="CA27" s="286"/>
      <c r="CD27" s="223"/>
      <c r="CE27" s="223"/>
      <c r="CF27" s="223"/>
      <c r="CG27" s="223"/>
      <c r="CH27" s="223"/>
    </row>
    <row r="28" spans="1:86" s="216" customFormat="1">
      <c r="A28" s="215"/>
      <c r="B28" s="279" t="s">
        <v>205</v>
      </c>
      <c r="C28" s="223"/>
      <c r="D28" s="563">
        <f t="shared" ref="D28:R28" si="12">D11-D24-D27</f>
        <v>0</v>
      </c>
      <c r="E28" s="563">
        <f t="shared" si="12"/>
        <v>0</v>
      </c>
      <c r="F28" s="563">
        <f t="shared" si="12"/>
        <v>0</v>
      </c>
      <c r="G28" s="563">
        <f t="shared" si="12"/>
        <v>0</v>
      </c>
      <c r="H28" s="563">
        <f t="shared" si="12"/>
        <v>0</v>
      </c>
      <c r="I28" s="563">
        <f t="shared" si="12"/>
        <v>0</v>
      </c>
      <c r="J28" s="563">
        <f t="shared" si="12"/>
        <v>0</v>
      </c>
      <c r="K28" s="563">
        <f t="shared" si="12"/>
        <v>0</v>
      </c>
      <c r="L28" s="563">
        <f t="shared" si="12"/>
        <v>0</v>
      </c>
      <c r="M28" s="563">
        <f t="shared" si="12"/>
        <v>0</v>
      </c>
      <c r="N28" s="563">
        <f t="shared" si="12"/>
        <v>0</v>
      </c>
      <c r="O28" s="563">
        <f t="shared" si="12"/>
        <v>0</v>
      </c>
      <c r="P28" s="563">
        <f t="shared" si="12"/>
        <v>0</v>
      </c>
      <c r="Q28" s="563">
        <f t="shared" si="12"/>
        <v>0</v>
      </c>
      <c r="R28" s="563">
        <f t="shared" si="12"/>
        <v>0</v>
      </c>
      <c r="S28" s="563">
        <f>S11-S24-S27</f>
        <v>0</v>
      </c>
      <c r="T28" s="563">
        <f>T11-T24-T27</f>
        <v>0</v>
      </c>
      <c r="U28" s="563">
        <f t="shared" ref="U28:BM28" si="13">U11-U24-U27</f>
        <v>0</v>
      </c>
      <c r="V28" s="563">
        <f t="shared" si="13"/>
        <v>0</v>
      </c>
      <c r="W28" s="563">
        <f t="shared" si="13"/>
        <v>0</v>
      </c>
      <c r="X28" s="563">
        <f t="shared" si="13"/>
        <v>0</v>
      </c>
      <c r="Y28" s="563">
        <f t="shared" si="13"/>
        <v>0</v>
      </c>
      <c r="Z28" s="563">
        <f t="shared" si="13"/>
        <v>0</v>
      </c>
      <c r="AA28" s="563">
        <f t="shared" si="13"/>
        <v>0</v>
      </c>
      <c r="AB28" s="563">
        <f t="shared" si="13"/>
        <v>0</v>
      </c>
      <c r="AC28" s="563">
        <f t="shared" si="13"/>
        <v>0</v>
      </c>
      <c r="AD28" s="563">
        <f t="shared" si="13"/>
        <v>0</v>
      </c>
      <c r="AE28" s="563">
        <f t="shared" si="13"/>
        <v>0</v>
      </c>
      <c r="AF28" s="563">
        <f t="shared" si="13"/>
        <v>0</v>
      </c>
      <c r="AG28" s="563">
        <f t="shared" si="13"/>
        <v>0</v>
      </c>
      <c r="AH28" s="563">
        <f t="shared" si="13"/>
        <v>0</v>
      </c>
      <c r="AI28" s="563">
        <f t="shared" si="13"/>
        <v>0</v>
      </c>
      <c r="AJ28" s="563">
        <f t="shared" si="13"/>
        <v>0</v>
      </c>
      <c r="AK28" s="563">
        <f t="shared" si="13"/>
        <v>0</v>
      </c>
      <c r="AL28" s="563">
        <f t="shared" si="13"/>
        <v>0</v>
      </c>
      <c r="AM28" s="563">
        <f t="shared" si="13"/>
        <v>0</v>
      </c>
      <c r="AN28" s="563">
        <f t="shared" si="13"/>
        <v>0</v>
      </c>
      <c r="AO28" s="563">
        <f t="shared" si="13"/>
        <v>0</v>
      </c>
      <c r="AP28" s="563">
        <f t="shared" si="13"/>
        <v>0</v>
      </c>
      <c r="AQ28" s="563">
        <f t="shared" si="13"/>
        <v>0</v>
      </c>
      <c r="AR28" s="563">
        <f t="shared" si="13"/>
        <v>0</v>
      </c>
      <c r="AS28" s="563">
        <f t="shared" si="13"/>
        <v>0</v>
      </c>
      <c r="AT28" s="563">
        <f t="shared" si="13"/>
        <v>0</v>
      </c>
      <c r="AU28" s="563">
        <f t="shared" si="13"/>
        <v>0</v>
      </c>
      <c r="AV28" s="563">
        <f>AV11-AV24-AV27</f>
        <v>0</v>
      </c>
      <c r="AW28" s="563">
        <f t="shared" si="13"/>
        <v>0</v>
      </c>
      <c r="AX28" s="563">
        <f t="shared" si="13"/>
        <v>0</v>
      </c>
      <c r="AY28" s="563">
        <f>AY11-AY24-AY27</f>
        <v>0</v>
      </c>
      <c r="AZ28" s="563">
        <f t="shared" si="13"/>
        <v>0</v>
      </c>
      <c r="BA28" s="563">
        <f>BA11-BA24-BA27</f>
        <v>0</v>
      </c>
      <c r="BB28" s="563">
        <f t="shared" si="13"/>
        <v>0</v>
      </c>
      <c r="BC28" s="563">
        <f t="shared" si="13"/>
        <v>0</v>
      </c>
      <c r="BD28" s="563">
        <f t="shared" si="13"/>
        <v>0</v>
      </c>
      <c r="BE28" s="563">
        <f t="shared" si="13"/>
        <v>0</v>
      </c>
      <c r="BF28" s="563">
        <f>BF11-BF24-BF27</f>
        <v>0</v>
      </c>
      <c r="BG28" s="563">
        <f t="shared" si="13"/>
        <v>0</v>
      </c>
      <c r="BH28" s="563">
        <f t="shared" si="13"/>
        <v>0</v>
      </c>
      <c r="BI28" s="563">
        <f t="shared" si="13"/>
        <v>0</v>
      </c>
      <c r="BJ28" s="563">
        <f t="shared" si="13"/>
        <v>0</v>
      </c>
      <c r="BK28" s="563">
        <f t="shared" si="13"/>
        <v>0</v>
      </c>
      <c r="BL28" s="563">
        <f t="shared" si="13"/>
        <v>0</v>
      </c>
      <c r="BM28" s="563">
        <f t="shared" si="13"/>
        <v>0</v>
      </c>
      <c r="BN28" s="563">
        <f t="shared" ref="BN28:BZ28" si="14">BN11-BN24-BN27</f>
        <v>0</v>
      </c>
      <c r="BO28" s="563">
        <f t="shared" si="14"/>
        <v>0</v>
      </c>
      <c r="BP28" s="563">
        <f t="shared" si="14"/>
        <v>0</v>
      </c>
      <c r="BQ28" s="563">
        <f t="shared" si="14"/>
        <v>0</v>
      </c>
      <c r="BR28" s="563">
        <f t="shared" si="14"/>
        <v>0</v>
      </c>
      <c r="BS28" s="563">
        <f t="shared" si="14"/>
        <v>0</v>
      </c>
      <c r="BT28" s="563">
        <f t="shared" si="14"/>
        <v>0</v>
      </c>
      <c r="BU28" s="563">
        <f t="shared" si="14"/>
        <v>0</v>
      </c>
      <c r="BV28" s="563">
        <f t="shared" si="14"/>
        <v>0</v>
      </c>
      <c r="BW28" s="563">
        <f t="shared" si="14"/>
        <v>0</v>
      </c>
      <c r="BX28" s="563">
        <f t="shared" si="14"/>
        <v>0</v>
      </c>
      <c r="BY28" s="563">
        <f t="shared" si="14"/>
        <v>0</v>
      </c>
      <c r="BZ28" s="563">
        <f t="shared" si="14"/>
        <v>0</v>
      </c>
      <c r="CA28" s="287"/>
      <c r="CD28" s="223"/>
      <c r="CE28" s="219"/>
      <c r="CH28" s="224"/>
    </row>
    <row r="29" spans="1:86" s="216" customFormat="1">
      <c r="A29" s="215"/>
      <c r="B29" s="279"/>
      <c r="C29" s="223"/>
      <c r="D29" s="563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3"/>
      <c r="BE29" s="563"/>
      <c r="BF29" s="563"/>
      <c r="BG29" s="563"/>
      <c r="BH29" s="563"/>
      <c r="BI29" s="563"/>
      <c r="BJ29" s="563"/>
      <c r="BK29" s="563"/>
      <c r="BL29" s="563"/>
      <c r="BM29" s="563"/>
      <c r="BN29" s="563"/>
      <c r="BO29" s="563"/>
      <c r="BP29" s="563"/>
      <c r="BQ29" s="563"/>
      <c r="BR29" s="563"/>
      <c r="BS29" s="563"/>
      <c r="BT29" s="563"/>
      <c r="BU29" s="563"/>
      <c r="BV29" s="563"/>
      <c r="BW29" s="563"/>
      <c r="BX29" s="563"/>
      <c r="BY29" s="563"/>
      <c r="BZ29" s="563"/>
      <c r="CA29" s="287"/>
      <c r="CD29" s="223"/>
      <c r="CE29" s="219"/>
      <c r="CH29" s="224"/>
    </row>
    <row r="30" spans="1:86" s="216" customFormat="1">
      <c r="A30" s="215"/>
      <c r="B30" s="902">
        <f>Dashboard!C54</f>
        <v>0.03</v>
      </c>
      <c r="C30" s="223"/>
      <c r="D30" s="563">
        <f>+IF(D28&lt;0,0,MIN($B$30,D$28))</f>
        <v>0</v>
      </c>
      <c r="E30" s="563">
        <f>IF(SUM($D30:D30)&lt;$B$30,MIN(E28,$B$30-SUM($D30:D30)),0)</f>
        <v>0</v>
      </c>
      <c r="F30" s="563">
        <f>IF(SUM($D30:E30)&lt;$B$30,MIN(F28,$B$30-SUM($D30:E30)),0)</f>
        <v>0</v>
      </c>
      <c r="G30" s="563">
        <f>IF(SUM($D30:F30)&lt;$B$30,MIN(G28,$B$30-SUM($D30:F30)),0)</f>
        <v>0</v>
      </c>
      <c r="H30" s="563">
        <f>IF(SUM($D30:G30)&lt;$B$30,MIN(H28,$B$30-SUM($D30:G30)),0)</f>
        <v>0</v>
      </c>
      <c r="I30" s="563">
        <f>IF(SUM($D30:H30)&lt;$B$30,MIN(I28,$B$30-SUM($D30:H30)),0)</f>
        <v>0</v>
      </c>
      <c r="J30" s="563">
        <f>IF(SUM($D30:I30)&lt;$B$30,MIN(J28,$B$30-SUM($D30:I30)),0)</f>
        <v>0</v>
      </c>
      <c r="K30" s="563">
        <f>IF(SUM($D30:J30)&lt;$B$30,MIN(K28,$B$30-SUM($D30:J30)),0)</f>
        <v>0</v>
      </c>
      <c r="L30" s="563">
        <f>IF(SUM($D30:K30)&lt;$B$30,MIN(L28,$B$30-SUM($D30:K30)),0)</f>
        <v>0</v>
      </c>
      <c r="M30" s="563">
        <f>IF(SUM($D30:L30)&lt;$B$30,MIN(M28,$B$30-SUM($D30:L30)),0)</f>
        <v>0</v>
      </c>
      <c r="N30" s="563">
        <f>IF(SUM($D30:M30)&lt;$B$30,MIN(N28,$B$30-SUM($D30:M30)),0)</f>
        <v>0</v>
      </c>
      <c r="O30" s="563">
        <f>IF(SUM($D30:N30)&lt;$B$30,MIN(O28,$B$30-SUM($D30:N30)),0)</f>
        <v>0</v>
      </c>
      <c r="P30" s="563">
        <f>IF(SUM($D30:O30)&lt;$B$30,MIN(P28,$B$30-SUM($D30:O30)),0)</f>
        <v>0</v>
      </c>
      <c r="Q30" s="563">
        <f>IF(SUM($D30:P30)&lt;$B$30,MIN(Q28,$B$30-SUM($D30:P30)),0)</f>
        <v>0</v>
      </c>
      <c r="R30" s="563">
        <f>IF(SUM($D30:Q30)&lt;$B$30,MIN(R28,$B$30-SUM($D30:Q30)),0)</f>
        <v>0</v>
      </c>
      <c r="S30" s="563">
        <f>IF(SUM($D30:R30)&lt;$B$30,MIN(S28,$B$30-SUM($D30:R30)),0)</f>
        <v>0</v>
      </c>
      <c r="T30" s="563">
        <f>IF(SUM($D30:S30)&lt;$B$30,MIN(T28,$B$30-SUM($D30:S30)),0)</f>
        <v>0</v>
      </c>
      <c r="U30" s="563">
        <f>IF(SUM($D30:T30)&lt;$B$30,MIN(U28,$B$30-SUM($D30:T30)),0)</f>
        <v>0</v>
      </c>
      <c r="V30" s="563">
        <f>IF(SUM($D30:U30)&lt;$B$30,MIN(V28,$B$30-SUM($D30:U30)),0)</f>
        <v>0</v>
      </c>
      <c r="W30" s="563">
        <f>IF(SUM($D30:V30)&lt;$B$30,MIN(W28,$B$30-SUM($D30:V30)),0)</f>
        <v>0</v>
      </c>
      <c r="X30" s="563">
        <f>IF(SUM($D30:W30)&lt;$B$30,MIN(X28,$B$30-SUM($D30:W30)),0)</f>
        <v>0</v>
      </c>
      <c r="Y30" s="563">
        <f>IF(SUM($D30:X30)&lt;$B$30,MIN(Y28,$B$30-SUM($D30:X30)),0)</f>
        <v>0</v>
      </c>
      <c r="Z30" s="563">
        <f>IF(SUM($D30:Y30)&lt;$B$30,MIN(Z28,$B$30-SUM($D30:Y30)),0)</f>
        <v>0</v>
      </c>
      <c r="AA30" s="563">
        <f>IF(SUM($D30:Z30)&lt;$B$30,MIN(AA28,$B$30-SUM($D30:Z30)),0)</f>
        <v>0</v>
      </c>
      <c r="AB30" s="563">
        <f>IF(SUM($D30:AA30)&lt;$B$30,MIN(AB28,$B$30-SUM($D30:AA30)),0)</f>
        <v>0</v>
      </c>
      <c r="AC30" s="563">
        <f>IF(SUM($D30:AB30)&lt;$B$30,MIN(AC28,$B$30-SUM($D30:AB30)),0)</f>
        <v>0</v>
      </c>
      <c r="AD30" s="563">
        <f>IF(SUM($D30:AC30)&lt;$B$30,MIN(AD28,$B$30-SUM($D30:AC30)),0)</f>
        <v>0</v>
      </c>
      <c r="AE30" s="563">
        <f>IF(SUM($D30:AD30)&lt;$B$30,MIN(AE28,$B$30-SUM($D30:AD30)),0)</f>
        <v>0</v>
      </c>
      <c r="AF30" s="563">
        <f>IF(SUM($D30:AE30)&lt;$B$30,MIN(AF28,$B$30-SUM($D30:AE30)),0)</f>
        <v>0</v>
      </c>
      <c r="AG30" s="563">
        <f>IF(SUM($D30:AF30)&lt;$B$30,MIN(AG28,$B$30-SUM($D30:AF30)),0)</f>
        <v>0</v>
      </c>
      <c r="AH30" s="563">
        <f>IF(SUM($D30:AG30)&lt;$B$30,MIN(AH28,$B$30-SUM($D30:AG30)),0)</f>
        <v>0</v>
      </c>
      <c r="AI30" s="563">
        <f>IF(SUM($D30:AH30)&lt;$B$30,MIN(AI28,$B$30-SUM($D30:AH30)),0)</f>
        <v>0</v>
      </c>
      <c r="AJ30" s="563">
        <f>IF(SUM($D30:AI30)&lt;$B$30,MIN(AJ28,$B$30-SUM($D30:AI30)),0)</f>
        <v>0</v>
      </c>
      <c r="AK30" s="563">
        <f>IF(SUM($D30:AJ30)&lt;$B$30,MIN(AK28,$B$30-SUM($D30:AJ30)),0)</f>
        <v>0</v>
      </c>
      <c r="AL30" s="563">
        <f>IF(SUM($D30:AK30)&lt;$B$30,MIN(AL28,$B$30-SUM($D30:AK30)),0)</f>
        <v>0</v>
      </c>
      <c r="AM30" s="563">
        <f>IF(SUM($D30:AL30)&lt;$B$30,MIN(AM28,$B$30-SUM($D30:AL30)),0)</f>
        <v>0</v>
      </c>
      <c r="AN30" s="563">
        <f>IF(SUM($D30:AM30)&lt;$B$30,MIN(AN28,$B$30-SUM($D30:AM30)),0)</f>
        <v>0</v>
      </c>
      <c r="AO30" s="563">
        <f>IF(SUM($D30:AN30)&lt;$B$30,MIN(AO28,$B$30-SUM($D30:AN30)),0)</f>
        <v>0</v>
      </c>
      <c r="AP30" s="563">
        <f>IF(SUM($D30:AO30)&lt;$B$30,MIN(AP28,$B$30-SUM($D30:AO30)),0)</f>
        <v>0</v>
      </c>
      <c r="AQ30" s="563">
        <f>IF(SUM($D30:AP30)&lt;$B$30,MIN(AQ28,$B$30-SUM($D30:AP30)),0)</f>
        <v>0</v>
      </c>
      <c r="AR30" s="563">
        <f>IF(SUM($D30:AQ30)&lt;$B$30,MIN(AR28,$B$30-SUM($D30:AQ30)),0)</f>
        <v>0</v>
      </c>
      <c r="AS30" s="563">
        <f>IF(SUM($D30:AR30)&lt;$B$30,MIN(AS28,$B$30-SUM($D30:AR30)),0)</f>
        <v>0</v>
      </c>
      <c r="AT30" s="563">
        <f>IF(SUM($D30:AS30)&lt;$B$30,MIN(AT28,$B$30-SUM($D30:AS30)),0)</f>
        <v>0</v>
      </c>
      <c r="AU30" s="563">
        <f>IF(SUM($D30:AT30)&lt;$B$30,MIN(AU28,$B$30-SUM($D30:AT30)),0)</f>
        <v>0</v>
      </c>
      <c r="AV30" s="563">
        <f>IF(SUM($D30:AU30)&lt;$B$30,MIN(AV28,$B$30-SUM($D30:AU30)),0)</f>
        <v>0</v>
      </c>
      <c r="AW30" s="563">
        <f>IF(SUM($D30:AV30)&lt;$B$30,MIN(AW28,$B$30-SUM($D30:AV30)),0)</f>
        <v>0</v>
      </c>
      <c r="AX30" s="563">
        <f>IF(SUM($D30:AW30)&lt;$B$30,MIN(AX28,$B$30-SUM($D30:AW30)),0)</f>
        <v>0</v>
      </c>
      <c r="AY30" s="563">
        <f>IF(SUM($D30:AX30)&lt;$B$30,MIN(AY28,$B$30-SUM($D30:AX30)),0)</f>
        <v>0</v>
      </c>
      <c r="AZ30" s="563">
        <f>IF(SUM($D30:AY30)&lt;$B$30,MIN(AZ28,$B$30-SUM($D30:AY30)),0)</f>
        <v>0</v>
      </c>
      <c r="BA30" s="563">
        <f>IF(SUM($D30:AZ30)&lt;$B$30,MIN(BA28,$B$30-SUM($D30:AZ30)),0)</f>
        <v>0</v>
      </c>
      <c r="BB30" s="563">
        <f>IF(SUM($D30:BA30)&lt;$B$30,MIN(BB28,$B$30-SUM($D30:BA30)),0)</f>
        <v>0</v>
      </c>
      <c r="BC30" s="563">
        <f>IF(SUM($D30:BB30)&lt;$B$30,MIN(BC28,$B$30-SUM($D30:BB30)),0)</f>
        <v>0</v>
      </c>
      <c r="BD30" s="563">
        <f>IF(SUM($D30:BC30)&lt;$B$30,MIN(BD28,$B$30-SUM($D30:BC30)),0)</f>
        <v>0</v>
      </c>
      <c r="BE30" s="563">
        <f>IF(SUM($D30:BD30)&lt;$B$30,MIN(BE28,$B$30-SUM($D30:BD30)),0)</f>
        <v>0</v>
      </c>
      <c r="BF30" s="563">
        <f>IF(SUM($D30:BE30)&lt;$B$30,MIN(BF28,$B$30-SUM($D30:BE30)),0)</f>
        <v>0</v>
      </c>
      <c r="BG30" s="563">
        <f>IF(SUM($D30:BF30)&lt;$B$30,MIN(BG28,$B$30-SUM($D30:BF30)),0)</f>
        <v>0</v>
      </c>
      <c r="BH30" s="563">
        <f>IF(SUM($D30:BG30)&lt;$B$30,MIN(BH28,$B$30-SUM($D30:BG30)),0)</f>
        <v>0</v>
      </c>
      <c r="BI30" s="563">
        <f>IF(SUM($D30:BH30)&lt;$B$30,MIN(BI28,$B$30-SUM($D30:BH30)),0)</f>
        <v>0</v>
      </c>
      <c r="BJ30" s="563">
        <f>IF(SUM($D30:BI30)&lt;$B$30,MIN(BJ28,$B$30-SUM($D30:BI30)),0)</f>
        <v>0</v>
      </c>
      <c r="BK30" s="563">
        <f>IF(SUM($D30:BJ30)&lt;$B$30,MIN(BK28,$B$30-SUM($D30:BJ30)),0)</f>
        <v>0</v>
      </c>
      <c r="BL30" s="563">
        <f>IF(SUM($D30:BK30)&lt;$B$30,MIN(BL28,$B$30-SUM($D30:BK30)),0)</f>
        <v>0</v>
      </c>
      <c r="BM30" s="563">
        <f>IF(SUM($D30:BL30)&lt;$B$30,MIN(BM28,$B$30-SUM($D30:BL30)),0)</f>
        <v>0</v>
      </c>
      <c r="BN30" s="563">
        <f>IF(SUM($D30:BM30)&lt;$B$30,MIN(BN28,$B$30-SUM($D30:BM30)),0)</f>
        <v>0</v>
      </c>
      <c r="BO30" s="563">
        <f>IF(SUM($D30:BN30)&lt;$B$30,MIN(BO28,$B$30-SUM($D30:BN30)),0)</f>
        <v>0</v>
      </c>
      <c r="BP30" s="563">
        <f>IF(SUM($D30:BO30)&lt;$B$30,MIN(BP28,$B$30-SUM($D30:BO30)),0)</f>
        <v>0</v>
      </c>
      <c r="BQ30" s="563">
        <f>IF(SUM($D30:BP30)&lt;$B$30,MIN(BQ28,$B$30-SUM($D30:BP30)),0)</f>
        <v>0</v>
      </c>
      <c r="BR30" s="563">
        <f>IF(SUM($D30:BQ30)&lt;$B$30,MIN(BR28,$B$30-SUM($D30:BQ30)),0)</f>
        <v>0</v>
      </c>
      <c r="BS30" s="563">
        <f>IF(SUM($D30:BR30)&lt;$B$30,MIN(BS28,$B$30-SUM($D30:BR30)),0)</f>
        <v>0</v>
      </c>
      <c r="BT30" s="563">
        <f>IF(SUM($D30:BS30)&lt;$B$30,MIN(BT28,$B$30-SUM($D30:BS30)),0)</f>
        <v>0</v>
      </c>
      <c r="BU30" s="563">
        <f>IF(SUM($D30:BT30)&lt;$B$30,MIN(BU28,$B$30-SUM($D30:BT30)),0)</f>
        <v>0</v>
      </c>
      <c r="BV30" s="563">
        <f>IF(SUM($D30:BU30)&lt;$B$30,MIN(BV28,$B$30-SUM($D30:BU30)),0)</f>
        <v>0</v>
      </c>
      <c r="BW30" s="563">
        <f>IF(SUM($D30:BV30)&lt;$B$30,MIN(BW28,$B$30-SUM($D30:BV30)),0)</f>
        <v>0</v>
      </c>
      <c r="BX30" s="563">
        <f>IF(SUM($D30:BW30)&lt;$B$30,MIN(BX28,$B$30-SUM($D30:BW30)),0)</f>
        <v>0</v>
      </c>
      <c r="BY30" s="563">
        <f>IF(SUM($D30:BX30)&lt;$B$30,MIN(BY28,$B$30-SUM($D30:BX30)),0)</f>
        <v>0</v>
      </c>
      <c r="BZ30" s="563">
        <f>IF(SUM($D30:BY30)&lt;$B$30,MIN(BZ28,$B$30-SUM($D30:BY30)),0)</f>
        <v>0</v>
      </c>
      <c r="CA30" s="287"/>
      <c r="CD30" s="223"/>
      <c r="CE30" s="219"/>
      <c r="CH30" s="224"/>
    </row>
    <row r="31" spans="1:86" s="216" customFormat="1">
      <c r="A31" s="215"/>
      <c r="B31" s="288" t="s">
        <v>377</v>
      </c>
      <c r="C31" s="489">
        <f>+-B30</f>
        <v>-0.03</v>
      </c>
      <c r="D31" s="489">
        <f>+C31+D30</f>
        <v>-0.03</v>
      </c>
      <c r="E31" s="489">
        <f t="shared" ref="E31:BZ31" si="15">+D31+E30</f>
        <v>-0.03</v>
      </c>
      <c r="F31" s="489">
        <f t="shared" si="15"/>
        <v>-0.03</v>
      </c>
      <c r="G31" s="489">
        <f t="shared" si="15"/>
        <v>-0.03</v>
      </c>
      <c r="H31" s="489">
        <f t="shared" si="15"/>
        <v>-0.03</v>
      </c>
      <c r="I31" s="489">
        <f t="shared" si="15"/>
        <v>-0.03</v>
      </c>
      <c r="J31" s="489">
        <f t="shared" si="15"/>
        <v>-0.03</v>
      </c>
      <c r="K31" s="489">
        <f t="shared" si="15"/>
        <v>-0.03</v>
      </c>
      <c r="L31" s="489">
        <f t="shared" si="15"/>
        <v>-0.03</v>
      </c>
      <c r="M31" s="489">
        <f t="shared" si="15"/>
        <v>-0.03</v>
      </c>
      <c r="N31" s="489">
        <f t="shared" si="15"/>
        <v>-0.03</v>
      </c>
      <c r="O31" s="489">
        <f t="shared" si="15"/>
        <v>-0.03</v>
      </c>
      <c r="P31" s="489">
        <f t="shared" si="15"/>
        <v>-0.03</v>
      </c>
      <c r="Q31" s="489">
        <f t="shared" si="15"/>
        <v>-0.03</v>
      </c>
      <c r="R31" s="489">
        <f t="shared" si="15"/>
        <v>-0.03</v>
      </c>
      <c r="S31" s="489">
        <f t="shared" si="15"/>
        <v>-0.03</v>
      </c>
      <c r="T31" s="489">
        <f t="shared" si="15"/>
        <v>-0.03</v>
      </c>
      <c r="U31" s="489">
        <f t="shared" si="15"/>
        <v>-0.03</v>
      </c>
      <c r="V31" s="489">
        <f t="shared" si="15"/>
        <v>-0.03</v>
      </c>
      <c r="W31" s="489">
        <f t="shared" si="15"/>
        <v>-0.03</v>
      </c>
      <c r="X31" s="489">
        <f t="shared" si="15"/>
        <v>-0.03</v>
      </c>
      <c r="Y31" s="489">
        <f t="shared" si="15"/>
        <v>-0.03</v>
      </c>
      <c r="Z31" s="489">
        <f t="shared" si="15"/>
        <v>-0.03</v>
      </c>
      <c r="AA31" s="489">
        <f t="shared" si="15"/>
        <v>-0.03</v>
      </c>
      <c r="AB31" s="489">
        <f t="shared" si="15"/>
        <v>-0.03</v>
      </c>
      <c r="AC31" s="489">
        <f t="shared" si="15"/>
        <v>-0.03</v>
      </c>
      <c r="AD31" s="489">
        <f t="shared" si="15"/>
        <v>-0.03</v>
      </c>
      <c r="AE31" s="489">
        <f t="shared" si="15"/>
        <v>-0.03</v>
      </c>
      <c r="AF31" s="489">
        <f t="shared" si="15"/>
        <v>-0.03</v>
      </c>
      <c r="AG31" s="489">
        <f t="shared" si="15"/>
        <v>-0.03</v>
      </c>
      <c r="AH31" s="489">
        <f t="shared" si="15"/>
        <v>-0.03</v>
      </c>
      <c r="AI31" s="489">
        <f t="shared" si="15"/>
        <v>-0.03</v>
      </c>
      <c r="AJ31" s="489">
        <f t="shared" si="15"/>
        <v>-0.03</v>
      </c>
      <c r="AK31" s="489">
        <f t="shared" si="15"/>
        <v>-0.03</v>
      </c>
      <c r="AL31" s="489">
        <f t="shared" si="15"/>
        <v>-0.03</v>
      </c>
      <c r="AM31" s="489">
        <f t="shared" si="15"/>
        <v>-0.03</v>
      </c>
      <c r="AN31" s="489">
        <f t="shared" si="15"/>
        <v>-0.03</v>
      </c>
      <c r="AO31" s="489">
        <f t="shared" si="15"/>
        <v>-0.03</v>
      </c>
      <c r="AP31" s="489">
        <f t="shared" si="15"/>
        <v>-0.03</v>
      </c>
      <c r="AQ31" s="489">
        <f t="shared" si="15"/>
        <v>-0.03</v>
      </c>
      <c r="AR31" s="489">
        <f t="shared" si="15"/>
        <v>-0.03</v>
      </c>
      <c r="AS31" s="489">
        <f t="shared" si="15"/>
        <v>-0.03</v>
      </c>
      <c r="AT31" s="489">
        <f t="shared" si="15"/>
        <v>-0.03</v>
      </c>
      <c r="AU31" s="489">
        <f t="shared" si="15"/>
        <v>-0.03</v>
      </c>
      <c r="AV31" s="489">
        <f t="shared" si="15"/>
        <v>-0.03</v>
      </c>
      <c r="AW31" s="489">
        <f t="shared" si="15"/>
        <v>-0.03</v>
      </c>
      <c r="AX31" s="489">
        <f t="shared" si="15"/>
        <v>-0.03</v>
      </c>
      <c r="AY31" s="489">
        <f t="shared" si="15"/>
        <v>-0.03</v>
      </c>
      <c r="AZ31" s="489">
        <f t="shared" si="15"/>
        <v>-0.03</v>
      </c>
      <c r="BA31" s="489">
        <f t="shared" si="15"/>
        <v>-0.03</v>
      </c>
      <c r="BB31" s="489">
        <f t="shared" si="15"/>
        <v>-0.03</v>
      </c>
      <c r="BC31" s="489">
        <f t="shared" si="15"/>
        <v>-0.03</v>
      </c>
      <c r="BD31" s="489">
        <f t="shared" si="15"/>
        <v>-0.03</v>
      </c>
      <c r="BE31" s="489">
        <f t="shared" si="15"/>
        <v>-0.03</v>
      </c>
      <c r="BF31" s="489">
        <f t="shared" si="15"/>
        <v>-0.03</v>
      </c>
      <c r="BG31" s="489">
        <f t="shared" si="15"/>
        <v>-0.03</v>
      </c>
      <c r="BH31" s="489">
        <f t="shared" si="15"/>
        <v>-0.03</v>
      </c>
      <c r="BI31" s="489">
        <f t="shared" si="15"/>
        <v>-0.03</v>
      </c>
      <c r="BJ31" s="489">
        <f t="shared" si="15"/>
        <v>-0.03</v>
      </c>
      <c r="BK31" s="489">
        <f t="shared" si="15"/>
        <v>-0.03</v>
      </c>
      <c r="BL31" s="489">
        <f t="shared" si="15"/>
        <v>-0.03</v>
      </c>
      <c r="BM31" s="489">
        <f t="shared" si="15"/>
        <v>-0.03</v>
      </c>
      <c r="BN31" s="489">
        <f t="shared" si="15"/>
        <v>-0.03</v>
      </c>
      <c r="BO31" s="489">
        <f t="shared" si="15"/>
        <v>-0.03</v>
      </c>
      <c r="BP31" s="489">
        <f t="shared" si="15"/>
        <v>-0.03</v>
      </c>
      <c r="BQ31" s="489">
        <f t="shared" si="15"/>
        <v>-0.03</v>
      </c>
      <c r="BR31" s="489">
        <f t="shared" si="15"/>
        <v>-0.03</v>
      </c>
      <c r="BS31" s="489">
        <f t="shared" si="15"/>
        <v>-0.03</v>
      </c>
      <c r="BT31" s="489">
        <f t="shared" si="15"/>
        <v>-0.03</v>
      </c>
      <c r="BU31" s="489">
        <f t="shared" si="15"/>
        <v>-0.03</v>
      </c>
      <c r="BV31" s="489">
        <f t="shared" si="15"/>
        <v>-0.03</v>
      </c>
      <c r="BW31" s="489">
        <f t="shared" si="15"/>
        <v>-0.03</v>
      </c>
      <c r="BX31" s="489">
        <f t="shared" si="15"/>
        <v>-0.03</v>
      </c>
      <c r="BY31" s="489">
        <f t="shared" si="15"/>
        <v>-0.03</v>
      </c>
      <c r="BZ31" s="489">
        <f t="shared" si="15"/>
        <v>-0.03</v>
      </c>
      <c r="CA31" s="287"/>
      <c r="CD31" s="223"/>
      <c r="CE31" s="219"/>
      <c r="CH31" s="224"/>
    </row>
    <row r="32" spans="1:86" s="216" customFormat="1">
      <c r="A32" s="215"/>
      <c r="B32" s="657" t="s">
        <v>249</v>
      </c>
      <c r="C32" s="658"/>
      <c r="D32" s="659">
        <f>+D28-D30</f>
        <v>0</v>
      </c>
      <c r="E32" s="659">
        <f t="shared" ref="E32:BN32" si="16">+E28-E30</f>
        <v>0</v>
      </c>
      <c r="F32" s="659">
        <f t="shared" si="16"/>
        <v>0</v>
      </c>
      <c r="G32" s="659">
        <f t="shared" si="16"/>
        <v>0</v>
      </c>
      <c r="H32" s="659">
        <f t="shared" si="16"/>
        <v>0</v>
      </c>
      <c r="I32" s="659">
        <f t="shared" si="16"/>
        <v>0</v>
      </c>
      <c r="J32" s="659">
        <f t="shared" si="16"/>
        <v>0</v>
      </c>
      <c r="K32" s="659">
        <f t="shared" si="16"/>
        <v>0</v>
      </c>
      <c r="L32" s="659">
        <f t="shared" si="16"/>
        <v>0</v>
      </c>
      <c r="M32" s="659">
        <f t="shared" si="16"/>
        <v>0</v>
      </c>
      <c r="N32" s="659">
        <f t="shared" si="16"/>
        <v>0</v>
      </c>
      <c r="O32" s="659">
        <f t="shared" si="16"/>
        <v>0</v>
      </c>
      <c r="P32" s="659">
        <f t="shared" si="16"/>
        <v>0</v>
      </c>
      <c r="Q32" s="659">
        <f t="shared" si="16"/>
        <v>0</v>
      </c>
      <c r="R32" s="659">
        <f t="shared" si="16"/>
        <v>0</v>
      </c>
      <c r="S32" s="659">
        <f t="shared" si="16"/>
        <v>0</v>
      </c>
      <c r="T32" s="659">
        <f t="shared" si="16"/>
        <v>0</v>
      </c>
      <c r="U32" s="659">
        <f t="shared" si="16"/>
        <v>0</v>
      </c>
      <c r="V32" s="659">
        <f t="shared" si="16"/>
        <v>0</v>
      </c>
      <c r="W32" s="659">
        <f t="shared" si="16"/>
        <v>0</v>
      </c>
      <c r="X32" s="659">
        <f t="shared" si="16"/>
        <v>0</v>
      </c>
      <c r="Y32" s="659">
        <f t="shared" si="16"/>
        <v>0</v>
      </c>
      <c r="Z32" s="659">
        <f t="shared" si="16"/>
        <v>0</v>
      </c>
      <c r="AA32" s="659">
        <f t="shared" si="16"/>
        <v>0</v>
      </c>
      <c r="AB32" s="659">
        <f t="shared" si="16"/>
        <v>0</v>
      </c>
      <c r="AC32" s="659">
        <f t="shared" si="16"/>
        <v>0</v>
      </c>
      <c r="AD32" s="659">
        <f t="shared" si="16"/>
        <v>0</v>
      </c>
      <c r="AE32" s="659">
        <f t="shared" si="16"/>
        <v>0</v>
      </c>
      <c r="AF32" s="659">
        <f t="shared" si="16"/>
        <v>0</v>
      </c>
      <c r="AG32" s="659">
        <f t="shared" si="16"/>
        <v>0</v>
      </c>
      <c r="AH32" s="659">
        <f t="shared" si="16"/>
        <v>0</v>
      </c>
      <c r="AI32" s="659">
        <f t="shared" si="16"/>
        <v>0</v>
      </c>
      <c r="AJ32" s="659">
        <f t="shared" si="16"/>
        <v>0</v>
      </c>
      <c r="AK32" s="659">
        <f t="shared" si="16"/>
        <v>0</v>
      </c>
      <c r="AL32" s="659">
        <f t="shared" si="16"/>
        <v>0</v>
      </c>
      <c r="AM32" s="659">
        <f t="shared" si="16"/>
        <v>0</v>
      </c>
      <c r="AN32" s="659">
        <f t="shared" si="16"/>
        <v>0</v>
      </c>
      <c r="AO32" s="659">
        <f t="shared" si="16"/>
        <v>0</v>
      </c>
      <c r="AP32" s="659">
        <f t="shared" si="16"/>
        <v>0</v>
      </c>
      <c r="AQ32" s="659">
        <f t="shared" si="16"/>
        <v>0</v>
      </c>
      <c r="AR32" s="659">
        <f t="shared" si="16"/>
        <v>0</v>
      </c>
      <c r="AS32" s="659">
        <f t="shared" si="16"/>
        <v>0</v>
      </c>
      <c r="AT32" s="659">
        <f t="shared" si="16"/>
        <v>0</v>
      </c>
      <c r="AU32" s="659">
        <f t="shared" si="16"/>
        <v>0</v>
      </c>
      <c r="AV32" s="659">
        <f t="shared" si="16"/>
        <v>0</v>
      </c>
      <c r="AW32" s="659">
        <f t="shared" si="16"/>
        <v>0</v>
      </c>
      <c r="AX32" s="659">
        <f t="shared" si="16"/>
        <v>0</v>
      </c>
      <c r="AY32" s="659">
        <f t="shared" si="16"/>
        <v>0</v>
      </c>
      <c r="AZ32" s="659">
        <f t="shared" si="16"/>
        <v>0</v>
      </c>
      <c r="BA32" s="659">
        <f t="shared" si="16"/>
        <v>0</v>
      </c>
      <c r="BB32" s="659">
        <f t="shared" si="16"/>
        <v>0</v>
      </c>
      <c r="BC32" s="659">
        <f t="shared" si="16"/>
        <v>0</v>
      </c>
      <c r="BD32" s="659">
        <f>+BD28-BD30</f>
        <v>0</v>
      </c>
      <c r="BE32" s="659">
        <f t="shared" si="16"/>
        <v>0</v>
      </c>
      <c r="BF32" s="659">
        <f t="shared" si="16"/>
        <v>0</v>
      </c>
      <c r="BG32" s="659">
        <f t="shared" si="16"/>
        <v>0</v>
      </c>
      <c r="BH32" s="659">
        <f t="shared" si="16"/>
        <v>0</v>
      </c>
      <c r="BI32" s="659">
        <f t="shared" si="16"/>
        <v>0</v>
      </c>
      <c r="BJ32" s="659">
        <f t="shared" si="16"/>
        <v>0</v>
      </c>
      <c r="BK32" s="659">
        <f t="shared" si="16"/>
        <v>0</v>
      </c>
      <c r="BL32" s="659">
        <f t="shared" si="16"/>
        <v>0</v>
      </c>
      <c r="BM32" s="659">
        <f t="shared" si="16"/>
        <v>0</v>
      </c>
      <c r="BN32" s="659">
        <f t="shared" si="16"/>
        <v>0</v>
      </c>
      <c r="BO32" s="659">
        <f t="shared" ref="BO32:BZ32" si="17">+BO28-BO30</f>
        <v>0</v>
      </c>
      <c r="BP32" s="659">
        <f t="shared" si="17"/>
        <v>0</v>
      </c>
      <c r="BQ32" s="659">
        <f t="shared" si="17"/>
        <v>0</v>
      </c>
      <c r="BR32" s="659">
        <f t="shared" si="17"/>
        <v>0</v>
      </c>
      <c r="BS32" s="659">
        <f t="shared" si="17"/>
        <v>0</v>
      </c>
      <c r="BT32" s="659">
        <f t="shared" si="17"/>
        <v>0</v>
      </c>
      <c r="BU32" s="659">
        <f t="shared" si="17"/>
        <v>0</v>
      </c>
      <c r="BV32" s="659">
        <f t="shared" si="17"/>
        <v>0</v>
      </c>
      <c r="BW32" s="659">
        <f t="shared" si="17"/>
        <v>0</v>
      </c>
      <c r="BX32" s="659">
        <f t="shared" si="17"/>
        <v>0</v>
      </c>
      <c r="BY32" s="659">
        <f t="shared" si="17"/>
        <v>0</v>
      </c>
      <c r="BZ32" s="659">
        <f t="shared" si="17"/>
        <v>0</v>
      </c>
      <c r="CA32" s="287"/>
      <c r="CD32" s="223"/>
      <c r="CE32" s="219"/>
      <c r="CH32" s="224"/>
    </row>
    <row r="33" spans="1:87" s="216" customFormat="1">
      <c r="A33" s="215"/>
      <c r="B33" s="279"/>
      <c r="C33" s="223"/>
      <c r="D33" s="563"/>
      <c r="E33" s="563"/>
      <c r="F33" s="563"/>
      <c r="G33" s="563"/>
      <c r="H33" s="563"/>
      <c r="I33" s="563"/>
      <c r="J33" s="563"/>
      <c r="K33" s="563"/>
      <c r="L33" s="563"/>
      <c r="M33" s="563"/>
      <c r="N33" s="563"/>
      <c r="O33" s="563"/>
      <c r="P33" s="563"/>
      <c r="Q33" s="563"/>
      <c r="R33" s="563"/>
      <c r="S33" s="563"/>
      <c r="T33" s="563"/>
      <c r="U33" s="563"/>
      <c r="V33" s="563"/>
      <c r="W33" s="563"/>
      <c r="X33" s="563"/>
      <c r="Y33" s="563"/>
      <c r="Z33" s="563"/>
      <c r="AA33" s="563"/>
      <c r="AB33" s="563"/>
      <c r="AC33" s="563"/>
      <c r="AD33" s="563"/>
      <c r="AE33" s="563"/>
      <c r="AF33" s="563"/>
      <c r="AG33" s="563"/>
      <c r="AH33" s="563"/>
      <c r="AI33" s="563"/>
      <c r="AJ33" s="563"/>
      <c r="AK33" s="563"/>
      <c r="AL33" s="563"/>
      <c r="AM33" s="563"/>
      <c r="AN33" s="563"/>
      <c r="AO33" s="563"/>
      <c r="AP33" s="563"/>
      <c r="AQ33" s="563"/>
      <c r="AR33" s="563"/>
      <c r="AS33" s="563"/>
      <c r="AT33" s="563"/>
      <c r="AU33" s="563"/>
      <c r="AV33" s="563"/>
      <c r="AW33" s="563"/>
      <c r="AX33" s="563"/>
      <c r="AY33" s="563"/>
      <c r="AZ33" s="563"/>
      <c r="BA33" s="563"/>
      <c r="BB33" s="563"/>
      <c r="BC33" s="563"/>
      <c r="BD33" s="563"/>
      <c r="BE33" s="563"/>
      <c r="BF33" s="563"/>
      <c r="BG33" s="563"/>
      <c r="BH33" s="563"/>
      <c r="BI33" s="563"/>
      <c r="BJ33" s="563"/>
      <c r="BK33" s="563"/>
      <c r="BL33" s="563"/>
      <c r="BM33" s="563"/>
      <c r="BN33" s="563"/>
      <c r="BO33" s="563"/>
      <c r="BP33" s="563"/>
      <c r="BQ33" s="563"/>
      <c r="BR33" s="563"/>
      <c r="BS33" s="563"/>
      <c r="BT33" s="563"/>
      <c r="BU33" s="563"/>
      <c r="BV33" s="563"/>
      <c r="BW33" s="563"/>
      <c r="BX33" s="563"/>
      <c r="BY33" s="563"/>
      <c r="BZ33" s="563"/>
      <c r="CA33" s="287"/>
      <c r="CD33" s="223"/>
      <c r="CE33" s="219"/>
      <c r="CH33" s="224"/>
    </row>
    <row r="34" spans="1:87" s="216" customFormat="1">
      <c r="A34" s="215"/>
      <c r="B34" s="288" t="s">
        <v>179</v>
      </c>
      <c r="C34" s="289">
        <f>-D16</f>
        <v>-24033944.982098967</v>
      </c>
      <c r="D34" s="489">
        <f t="shared" ref="D34:BZ34" si="18">C34+D27</f>
        <v>-24033944.982098967</v>
      </c>
      <c r="E34" s="489">
        <f t="shared" si="18"/>
        <v>-24033944.982098967</v>
      </c>
      <c r="F34" s="489">
        <f t="shared" si="18"/>
        <v>-24033944.982098967</v>
      </c>
      <c r="G34" s="489">
        <f t="shared" si="18"/>
        <v>-24033944.982098967</v>
      </c>
      <c r="H34" s="489">
        <f t="shared" si="18"/>
        <v>-24033944.982098967</v>
      </c>
      <c r="I34" s="489">
        <f t="shared" si="18"/>
        <v>-24033944.982098967</v>
      </c>
      <c r="J34" s="489">
        <f t="shared" si="18"/>
        <v>-24033944.982098967</v>
      </c>
      <c r="K34" s="489">
        <f t="shared" si="18"/>
        <v>-24033944.982098967</v>
      </c>
      <c r="L34" s="489">
        <f t="shared" si="18"/>
        <v>-24033944.982098967</v>
      </c>
      <c r="M34" s="489">
        <f t="shared" si="18"/>
        <v>-24033944.982098967</v>
      </c>
      <c r="N34" s="489">
        <f t="shared" si="18"/>
        <v>-24033944.982098967</v>
      </c>
      <c r="O34" s="489">
        <f t="shared" si="18"/>
        <v>-24033944.982098967</v>
      </c>
      <c r="P34" s="489">
        <f t="shared" si="18"/>
        <v>-24033944.982098967</v>
      </c>
      <c r="Q34" s="489">
        <f t="shared" si="18"/>
        <v>-24033944.982098967</v>
      </c>
      <c r="R34" s="489">
        <f t="shared" si="18"/>
        <v>-24033944.982098967</v>
      </c>
      <c r="S34" s="489">
        <f t="shared" si="18"/>
        <v>-24033944.982098967</v>
      </c>
      <c r="T34" s="489">
        <f t="shared" si="18"/>
        <v>-24033944.982098967</v>
      </c>
      <c r="U34" s="489">
        <f t="shared" si="18"/>
        <v>-24033944.982098967</v>
      </c>
      <c r="V34" s="489">
        <f t="shared" si="18"/>
        <v>-24033944.982098967</v>
      </c>
      <c r="W34" s="489">
        <f t="shared" si="18"/>
        <v>-24033944.982098967</v>
      </c>
      <c r="X34" s="489">
        <f t="shared" si="18"/>
        <v>-24033944.982098967</v>
      </c>
      <c r="Y34" s="489">
        <f t="shared" si="18"/>
        <v>-24033944.982098967</v>
      </c>
      <c r="Z34" s="489">
        <f t="shared" si="18"/>
        <v>-24033944.982098967</v>
      </c>
      <c r="AA34" s="489">
        <f t="shared" si="18"/>
        <v>-24033944.982098967</v>
      </c>
      <c r="AB34" s="489">
        <f t="shared" si="18"/>
        <v>-24033944.982098967</v>
      </c>
      <c r="AC34" s="489">
        <f t="shared" si="18"/>
        <v>-24033944.982098967</v>
      </c>
      <c r="AD34" s="489">
        <f t="shared" si="18"/>
        <v>-24033944.982098967</v>
      </c>
      <c r="AE34" s="489">
        <f t="shared" si="18"/>
        <v>-24033944.982098967</v>
      </c>
      <c r="AF34" s="489">
        <f t="shared" si="18"/>
        <v>-24033944.982098967</v>
      </c>
      <c r="AG34" s="489">
        <f t="shared" si="18"/>
        <v>-24033944.982098967</v>
      </c>
      <c r="AH34" s="489">
        <f t="shared" si="18"/>
        <v>-24033944.982098967</v>
      </c>
      <c r="AI34" s="489">
        <f t="shared" si="18"/>
        <v>-24033944.982098967</v>
      </c>
      <c r="AJ34" s="489">
        <f t="shared" si="18"/>
        <v>-24033944.982098967</v>
      </c>
      <c r="AK34" s="489">
        <f t="shared" si="18"/>
        <v>-24033944.982098967</v>
      </c>
      <c r="AL34" s="489">
        <f t="shared" si="18"/>
        <v>-24033944.982098967</v>
      </c>
      <c r="AM34" s="489">
        <f t="shared" si="18"/>
        <v>-24033944.982098967</v>
      </c>
      <c r="AN34" s="489">
        <f t="shared" si="18"/>
        <v>-24033944.982098967</v>
      </c>
      <c r="AO34" s="489">
        <f t="shared" si="18"/>
        <v>-24033944.982098967</v>
      </c>
      <c r="AP34" s="489">
        <f t="shared" si="18"/>
        <v>-24033944.982098967</v>
      </c>
      <c r="AQ34" s="489">
        <f t="shared" si="18"/>
        <v>-24033944.982098967</v>
      </c>
      <c r="AR34" s="489">
        <f t="shared" si="18"/>
        <v>-24033944.982098967</v>
      </c>
      <c r="AS34" s="489">
        <f t="shared" si="18"/>
        <v>-24033944.982098967</v>
      </c>
      <c r="AT34" s="489">
        <f t="shared" si="18"/>
        <v>-24033944.982098967</v>
      </c>
      <c r="AU34" s="489">
        <f t="shared" si="18"/>
        <v>-24033944.982098967</v>
      </c>
      <c r="AV34" s="489">
        <f t="shared" si="18"/>
        <v>-24033944.982098967</v>
      </c>
      <c r="AW34" s="489">
        <f t="shared" si="18"/>
        <v>-24033944.982098967</v>
      </c>
      <c r="AX34" s="489">
        <f t="shared" si="18"/>
        <v>-24033944.982098967</v>
      </c>
      <c r="AY34" s="489">
        <f t="shared" si="18"/>
        <v>-24033944.982098967</v>
      </c>
      <c r="AZ34" s="489">
        <f t="shared" si="18"/>
        <v>-24033944.982098967</v>
      </c>
      <c r="BA34" s="489">
        <f t="shared" si="18"/>
        <v>-24033944.982098967</v>
      </c>
      <c r="BB34" s="489">
        <f t="shared" si="18"/>
        <v>-24033944.982098967</v>
      </c>
      <c r="BC34" s="489">
        <f t="shared" si="18"/>
        <v>-24033944.982098967</v>
      </c>
      <c r="BD34" s="489">
        <f t="shared" si="18"/>
        <v>-24033944.982098967</v>
      </c>
      <c r="BE34" s="489">
        <f t="shared" si="18"/>
        <v>-24033944.982098967</v>
      </c>
      <c r="BF34" s="489">
        <f t="shared" si="18"/>
        <v>-24033944.982098967</v>
      </c>
      <c r="BG34" s="489">
        <f t="shared" si="18"/>
        <v>-24033944.982098967</v>
      </c>
      <c r="BH34" s="489">
        <f t="shared" si="18"/>
        <v>-24033944.982098967</v>
      </c>
      <c r="BI34" s="489">
        <f t="shared" si="18"/>
        <v>-24033944.982098967</v>
      </c>
      <c r="BJ34" s="489">
        <f t="shared" si="18"/>
        <v>-24033944.982098967</v>
      </c>
      <c r="BK34" s="489">
        <f t="shared" si="18"/>
        <v>-24033944.982098967</v>
      </c>
      <c r="BL34" s="489">
        <f t="shared" si="18"/>
        <v>-24033944.982098967</v>
      </c>
      <c r="BM34" s="489">
        <f t="shared" si="18"/>
        <v>-24033944.982098967</v>
      </c>
      <c r="BN34" s="489">
        <f t="shared" si="18"/>
        <v>-24033944.982098967</v>
      </c>
      <c r="BO34" s="489">
        <f t="shared" si="18"/>
        <v>-24033944.982098967</v>
      </c>
      <c r="BP34" s="489">
        <f t="shared" si="18"/>
        <v>-24033944.982098967</v>
      </c>
      <c r="BQ34" s="489">
        <f t="shared" si="18"/>
        <v>-24033944.982098967</v>
      </c>
      <c r="BR34" s="489">
        <f t="shared" si="18"/>
        <v>-24033944.982098967</v>
      </c>
      <c r="BS34" s="489">
        <f t="shared" si="18"/>
        <v>-24033944.982098967</v>
      </c>
      <c r="BT34" s="489">
        <f t="shared" si="18"/>
        <v>-24033944.982098967</v>
      </c>
      <c r="BU34" s="489">
        <f t="shared" si="18"/>
        <v>-24033944.982098967</v>
      </c>
      <c r="BV34" s="489">
        <f t="shared" si="18"/>
        <v>-24033944.982098967</v>
      </c>
      <c r="BW34" s="489">
        <f t="shared" si="18"/>
        <v>-24033944.982098967</v>
      </c>
      <c r="BX34" s="489">
        <f t="shared" si="18"/>
        <v>-24033944.982098967</v>
      </c>
      <c r="BY34" s="489">
        <f t="shared" si="18"/>
        <v>-24033944.982098967</v>
      </c>
      <c r="BZ34" s="489">
        <f t="shared" si="18"/>
        <v>-24033944.982098967</v>
      </c>
      <c r="CA34" s="290"/>
      <c r="CC34" s="223"/>
      <c r="CD34" s="223"/>
      <c r="CE34" s="223"/>
      <c r="CF34" s="223"/>
      <c r="CG34" s="223"/>
      <c r="CH34" s="223"/>
      <c r="CI34" s="225"/>
    </row>
    <row r="35" spans="1:87" s="216" customFormat="1">
      <c r="A35" s="215"/>
      <c r="B35" s="288" t="s">
        <v>211</v>
      </c>
      <c r="C35" s="289"/>
      <c r="D35" s="489">
        <f>-((+C34*($CE$4/12))+D24)</f>
        <v>200282.87485082471</v>
      </c>
      <c r="E35" s="489">
        <f>D35+-((+D34*($CE$4/12))+E24)</f>
        <v>400565.74970164942</v>
      </c>
      <c r="F35" s="489">
        <f>E35+-((+E34*($CE$4/12))+F24)</f>
        <v>600848.62455247412</v>
      </c>
      <c r="G35" s="489">
        <f t="shared" ref="G35:R35" si="19">F35+-((+F34*($CE$4/12))+G24)</f>
        <v>801131.49940329883</v>
      </c>
      <c r="H35" s="489">
        <f t="shared" si="19"/>
        <v>1001414.3742541235</v>
      </c>
      <c r="I35" s="489">
        <f t="shared" si="19"/>
        <v>1201697.2491049482</v>
      </c>
      <c r="J35" s="489">
        <f t="shared" si="19"/>
        <v>1401980.123955773</v>
      </c>
      <c r="K35" s="489">
        <f t="shared" si="19"/>
        <v>1602262.9988065977</v>
      </c>
      <c r="L35" s="489">
        <f t="shared" si="19"/>
        <v>1802545.8736574224</v>
      </c>
      <c r="M35" s="489">
        <f t="shared" si="19"/>
        <v>2002828.7485082471</v>
      </c>
      <c r="N35" s="489">
        <f t="shared" si="19"/>
        <v>2203111.623359072</v>
      </c>
      <c r="O35" s="489">
        <f t="shared" si="19"/>
        <v>2403394.4982098965</v>
      </c>
      <c r="P35" s="489">
        <f t="shared" si="19"/>
        <v>2603677.373060721</v>
      </c>
      <c r="Q35" s="489">
        <f t="shared" si="19"/>
        <v>2803960.2479115454</v>
      </c>
      <c r="R35" s="489">
        <f t="shared" si="19"/>
        <v>3004243.1227623699</v>
      </c>
      <c r="S35" s="489">
        <f>R35+-((+R34*($CE$4/12))+S24)</f>
        <v>3204525.9976131944</v>
      </c>
      <c r="T35" s="489">
        <f t="shared" ref="T35:BZ35" si="20">S35+-((+S34*($CE$4/12))+T24)</f>
        <v>3404808.8724640189</v>
      </c>
      <c r="U35" s="489">
        <f t="shared" si="20"/>
        <v>3605091.7473148433</v>
      </c>
      <c r="V35" s="489">
        <f t="shared" si="20"/>
        <v>3805374.6221656678</v>
      </c>
      <c r="W35" s="489">
        <f t="shared" si="20"/>
        <v>4005657.4970164923</v>
      </c>
      <c r="X35" s="489">
        <f t="shared" si="20"/>
        <v>4150074.4347967976</v>
      </c>
      <c r="Y35" s="489">
        <f t="shared" si="20"/>
        <v>4294491.3725771029</v>
      </c>
      <c r="Z35" s="489">
        <f t="shared" si="20"/>
        <v>4438908.3103574086</v>
      </c>
      <c r="AA35" s="489">
        <f t="shared" si="20"/>
        <v>3071325.2481377143</v>
      </c>
      <c r="AB35" s="489">
        <f t="shared" si="20"/>
        <v>3215742.1859180196</v>
      </c>
      <c r="AC35" s="489">
        <f t="shared" si="20"/>
        <v>3360159.1236983249</v>
      </c>
      <c r="AD35" s="489">
        <f t="shared" si="20"/>
        <v>4781062.9192541223</v>
      </c>
      <c r="AE35" s="489">
        <f t="shared" si="20"/>
        <v>4820943.3558984501</v>
      </c>
      <c r="AF35" s="489">
        <f t="shared" si="20"/>
        <v>4860823.792542778</v>
      </c>
      <c r="AG35" s="489">
        <f t="shared" si="20"/>
        <v>4900704.2291871058</v>
      </c>
      <c r="AH35" s="489">
        <f t="shared" si="20"/>
        <v>4940584.6658314336</v>
      </c>
      <c r="AI35" s="489">
        <f t="shared" si="20"/>
        <v>4980465.1024757614</v>
      </c>
      <c r="AJ35" s="489">
        <f t="shared" si="20"/>
        <v>5005991.640368172</v>
      </c>
      <c r="AK35" s="489">
        <f t="shared" si="20"/>
        <v>5031518.1782605825</v>
      </c>
      <c r="AL35" s="489">
        <f t="shared" si="20"/>
        <v>5057044.716152993</v>
      </c>
      <c r="AM35" s="489">
        <f t="shared" si="20"/>
        <v>5082571.2540454036</v>
      </c>
      <c r="AN35" s="489">
        <f t="shared" si="20"/>
        <v>5108097.7919378141</v>
      </c>
      <c r="AO35" s="489">
        <f t="shared" si="20"/>
        <v>5133624.3298302246</v>
      </c>
      <c r="AP35" s="489">
        <f t="shared" si="20"/>
        <v>5240435.2793984106</v>
      </c>
      <c r="AQ35" s="489">
        <f t="shared" si="20"/>
        <v>5347246.2289665965</v>
      </c>
      <c r="AR35" s="489">
        <f t="shared" si="20"/>
        <v>5454057.1785347825</v>
      </c>
      <c r="AS35" s="489">
        <f t="shared" si="20"/>
        <v>5560868.1281029684</v>
      </c>
      <c r="AT35" s="489">
        <f t="shared" si="20"/>
        <v>5667679.0776711544</v>
      </c>
      <c r="AU35" s="489">
        <f t="shared" si="20"/>
        <v>5774490.0272393404</v>
      </c>
      <c r="AV35" s="489">
        <f t="shared" si="20"/>
        <v>5866495.8812147807</v>
      </c>
      <c r="AW35" s="489">
        <f t="shared" si="20"/>
        <v>5958501.735190222</v>
      </c>
      <c r="AX35" s="489">
        <f t="shared" si="20"/>
        <v>6050507.5891656633</v>
      </c>
      <c r="AY35" s="489">
        <f t="shared" si="20"/>
        <v>6142513.4431411047</v>
      </c>
      <c r="AZ35" s="489">
        <f t="shared" si="20"/>
        <v>6234519.297116546</v>
      </c>
      <c r="BA35" s="489">
        <f t="shared" si="20"/>
        <v>6326525.1510919873</v>
      </c>
      <c r="BB35" s="489">
        <f t="shared" si="20"/>
        <v>6418531.0050674286</v>
      </c>
      <c r="BC35" s="489">
        <f t="shared" si="20"/>
        <v>6510536.8590428699</v>
      </c>
      <c r="BD35" s="489">
        <f t="shared" si="20"/>
        <v>6602542.7130183112</v>
      </c>
      <c r="BE35" s="489">
        <f t="shared" si="20"/>
        <v>6694548.5669937525</v>
      </c>
      <c r="BF35" s="489">
        <f t="shared" si="20"/>
        <v>6786554.4209691938</v>
      </c>
      <c r="BG35" s="489">
        <f t="shared" si="20"/>
        <v>6878560.2749446351</v>
      </c>
      <c r="BH35" s="489">
        <f t="shared" si="20"/>
        <v>6955295.8889837125</v>
      </c>
      <c r="BI35" s="489">
        <f t="shared" si="20"/>
        <v>7032031.50302279</v>
      </c>
      <c r="BJ35" s="489">
        <f t="shared" si="20"/>
        <v>7108767.1170618674</v>
      </c>
      <c r="BK35" s="489">
        <f t="shared" si="20"/>
        <v>7185502.7311009448</v>
      </c>
      <c r="BL35" s="489">
        <f t="shared" si="20"/>
        <v>7262238.3451400222</v>
      </c>
      <c r="BM35" s="489">
        <f t="shared" si="20"/>
        <v>7338973.9591790996</v>
      </c>
      <c r="BN35" s="489">
        <f t="shared" si="20"/>
        <v>7415709.5732181771</v>
      </c>
      <c r="BO35" s="489">
        <f t="shared" si="20"/>
        <v>7492445.1872572545</v>
      </c>
      <c r="BP35" s="489">
        <f t="shared" si="20"/>
        <v>7569180.8012963319</v>
      </c>
      <c r="BQ35" s="489">
        <f t="shared" si="20"/>
        <v>7645916.4153354093</v>
      </c>
      <c r="BR35" s="489">
        <f t="shared" si="20"/>
        <v>7722652.0293744868</v>
      </c>
      <c r="BS35" s="489">
        <f t="shared" si="20"/>
        <v>7799387.6434135642</v>
      </c>
      <c r="BT35" s="489">
        <f t="shared" si="20"/>
        <v>7860400.3503181618</v>
      </c>
      <c r="BU35" s="489">
        <f t="shared" si="20"/>
        <v>7921413.0572227594</v>
      </c>
      <c r="BV35" s="489">
        <f t="shared" si="20"/>
        <v>7982425.7641273569</v>
      </c>
      <c r="BW35" s="489">
        <f t="shared" si="20"/>
        <v>8043438.4710319545</v>
      </c>
      <c r="BX35" s="489">
        <f t="shared" si="20"/>
        <v>8104451.1779365521</v>
      </c>
      <c r="BY35" s="489">
        <f t="shared" si="20"/>
        <v>8304734.0527873766</v>
      </c>
      <c r="BZ35" s="489">
        <f t="shared" si="20"/>
        <v>8505016.927638201</v>
      </c>
      <c r="CA35" s="290"/>
      <c r="CC35" s="223"/>
      <c r="CD35" s="223"/>
      <c r="CE35" s="223"/>
      <c r="CF35" s="223"/>
      <c r="CG35" s="223"/>
      <c r="CH35" s="223"/>
      <c r="CI35" s="225"/>
    </row>
    <row r="36" spans="1:87" s="216" customFormat="1">
      <c r="A36" s="215"/>
      <c r="B36" s="226"/>
      <c r="C36" s="224"/>
      <c r="D36" s="224"/>
      <c r="E36" s="224"/>
      <c r="F36" s="224"/>
      <c r="G36" s="224"/>
      <c r="H36" s="224"/>
      <c r="I36" s="224"/>
      <c r="J36" s="224"/>
      <c r="K36" s="224"/>
      <c r="L36" s="224"/>
      <c r="M36" s="224"/>
      <c r="N36" s="224"/>
      <c r="O36" s="224"/>
      <c r="P36" s="224"/>
      <c r="Q36" s="224"/>
      <c r="R36" s="224"/>
      <c r="S36" s="224"/>
      <c r="T36" s="224"/>
      <c r="U36" s="224"/>
      <c r="V36" s="224"/>
      <c r="W36" s="224"/>
      <c r="X36" s="224"/>
      <c r="Y36" s="224"/>
      <c r="Z36" s="224"/>
      <c r="AA36" s="224"/>
      <c r="AB36" s="224"/>
      <c r="AC36" s="224"/>
      <c r="AD36" s="224"/>
      <c r="AE36" s="224"/>
      <c r="AF36" s="224"/>
      <c r="AG36" s="224"/>
      <c r="AH36" s="224"/>
      <c r="AI36" s="224"/>
      <c r="AJ36" s="224"/>
      <c r="AK36" s="224"/>
      <c r="AL36" s="224"/>
      <c r="AM36" s="224"/>
      <c r="AN36" s="224"/>
      <c r="AO36" s="224"/>
      <c r="AP36" s="224"/>
      <c r="AQ36" s="224"/>
      <c r="AR36" s="224"/>
      <c r="AS36" s="224"/>
      <c r="AT36" s="224"/>
      <c r="AU36" s="224"/>
      <c r="AV36" s="224"/>
      <c r="AW36" s="224"/>
      <c r="AX36" s="224"/>
      <c r="AY36" s="224"/>
      <c r="AZ36" s="224"/>
      <c r="BA36" s="224"/>
      <c r="BB36" s="224"/>
      <c r="BC36" s="224"/>
      <c r="BD36" s="224"/>
      <c r="BE36" s="224"/>
      <c r="BF36" s="224"/>
      <c r="BG36" s="224"/>
      <c r="BH36" s="224"/>
      <c r="BI36" s="224"/>
      <c r="BJ36" s="224"/>
      <c r="BK36" s="224"/>
      <c r="BL36" s="224"/>
      <c r="BM36" s="224"/>
      <c r="BN36" s="224"/>
      <c r="BO36" s="224"/>
      <c r="BP36" s="224"/>
      <c r="BQ36" s="224"/>
      <c r="BR36" s="224"/>
      <c r="BS36" s="224"/>
      <c r="BT36" s="224"/>
      <c r="BU36" s="224"/>
      <c r="BV36" s="224"/>
      <c r="BW36" s="224"/>
      <c r="BX36" s="224"/>
      <c r="BY36" s="224"/>
      <c r="BZ36" s="224"/>
      <c r="CA36" s="276"/>
      <c r="CE36" s="219"/>
    </row>
    <row r="37" spans="1:87" s="216" customFormat="1">
      <c r="A37" s="215"/>
      <c r="B37" s="434" t="str">
        <f>CB6</f>
        <v>3rd Priority Split (60/40)</v>
      </c>
      <c r="C37" s="435"/>
      <c r="D37" s="435"/>
      <c r="E37" s="435"/>
      <c r="F37" s="435"/>
      <c r="G37" s="435"/>
      <c r="H37" s="435"/>
      <c r="I37" s="435"/>
      <c r="J37" s="435"/>
      <c r="K37" s="435"/>
      <c r="L37" s="435"/>
      <c r="M37" s="435"/>
      <c r="N37" s="435"/>
      <c r="O37" s="435"/>
      <c r="P37" s="435"/>
      <c r="Q37" s="435"/>
      <c r="R37" s="435"/>
      <c r="S37" s="435"/>
      <c r="T37" s="435"/>
      <c r="U37" s="435"/>
      <c r="V37" s="435"/>
      <c r="W37" s="435"/>
      <c r="X37" s="435"/>
      <c r="Y37" s="435"/>
      <c r="Z37" s="435"/>
      <c r="AA37" s="435"/>
      <c r="AB37" s="435"/>
      <c r="AC37" s="435"/>
      <c r="AD37" s="435"/>
      <c r="AE37" s="435"/>
      <c r="AF37" s="435"/>
      <c r="AG37" s="435"/>
      <c r="AH37" s="435"/>
      <c r="AI37" s="435"/>
      <c r="AJ37" s="435"/>
      <c r="AK37" s="435"/>
      <c r="AL37" s="435"/>
      <c r="AM37" s="435"/>
      <c r="AN37" s="435"/>
      <c r="AO37" s="435"/>
      <c r="AP37" s="435"/>
      <c r="AQ37" s="435"/>
      <c r="AR37" s="435"/>
      <c r="AS37" s="435"/>
      <c r="AT37" s="435"/>
      <c r="AU37" s="435"/>
      <c r="AV37" s="435"/>
      <c r="AW37" s="435"/>
      <c r="AX37" s="435"/>
      <c r="AY37" s="435"/>
      <c r="AZ37" s="435"/>
      <c r="BA37" s="435"/>
      <c r="BB37" s="435"/>
      <c r="BC37" s="435"/>
      <c r="BD37" s="435"/>
      <c r="BE37" s="435"/>
      <c r="BF37" s="435"/>
      <c r="BG37" s="435"/>
      <c r="BH37" s="435"/>
      <c r="BI37" s="435"/>
      <c r="BJ37" s="435"/>
      <c r="BK37" s="435"/>
      <c r="BL37" s="435"/>
      <c r="BM37" s="435"/>
      <c r="BN37" s="435"/>
      <c r="BO37" s="435"/>
      <c r="BP37" s="435"/>
      <c r="BQ37" s="435"/>
      <c r="BR37" s="435"/>
      <c r="BS37" s="435"/>
      <c r="BT37" s="435"/>
      <c r="BU37" s="435"/>
      <c r="BV37" s="435"/>
      <c r="BW37" s="435"/>
      <c r="BX37" s="435"/>
      <c r="BY37" s="435"/>
      <c r="BZ37" s="435"/>
      <c r="CA37" s="226"/>
      <c r="CE37" s="219"/>
    </row>
    <row r="38" spans="1:87" s="216" customFormat="1">
      <c r="A38" s="215"/>
      <c r="B38" s="291" t="s">
        <v>181</v>
      </c>
      <c r="C38" s="740"/>
      <c r="D38" s="289">
        <f>+MIN(+$CC$6*D32,D39)</f>
        <v>0</v>
      </c>
      <c r="E38" s="289">
        <f t="shared" ref="E38:BZ38" si="21">+MIN(+$CC$6*E32,E39)</f>
        <v>0</v>
      </c>
      <c r="F38" s="289">
        <f t="shared" si="21"/>
        <v>0</v>
      </c>
      <c r="G38" s="289">
        <f t="shared" si="21"/>
        <v>0</v>
      </c>
      <c r="H38" s="289">
        <f t="shared" si="21"/>
        <v>0</v>
      </c>
      <c r="I38" s="289">
        <f t="shared" si="21"/>
        <v>0</v>
      </c>
      <c r="J38" s="289">
        <f t="shared" si="21"/>
        <v>0</v>
      </c>
      <c r="K38" s="289">
        <f t="shared" si="21"/>
        <v>0</v>
      </c>
      <c r="L38" s="289">
        <f t="shared" si="21"/>
        <v>0</v>
      </c>
      <c r="M38" s="289">
        <f t="shared" si="21"/>
        <v>0</v>
      </c>
      <c r="N38" s="289">
        <f t="shared" si="21"/>
        <v>0</v>
      </c>
      <c r="O38" s="289">
        <f t="shared" si="21"/>
        <v>0</v>
      </c>
      <c r="P38" s="289">
        <f t="shared" si="21"/>
        <v>0</v>
      </c>
      <c r="Q38" s="289">
        <f t="shared" si="21"/>
        <v>0</v>
      </c>
      <c r="R38" s="289">
        <f t="shared" si="21"/>
        <v>0</v>
      </c>
      <c r="S38" s="289">
        <f t="shared" si="21"/>
        <v>0</v>
      </c>
      <c r="T38" s="289">
        <f t="shared" si="21"/>
        <v>0</v>
      </c>
      <c r="U38" s="289">
        <f t="shared" si="21"/>
        <v>0</v>
      </c>
      <c r="V38" s="289">
        <f t="shared" si="21"/>
        <v>0</v>
      </c>
      <c r="W38" s="289">
        <f t="shared" si="21"/>
        <v>0</v>
      </c>
      <c r="X38" s="289">
        <f t="shared" si="21"/>
        <v>0</v>
      </c>
      <c r="Y38" s="289">
        <f t="shared" si="21"/>
        <v>0</v>
      </c>
      <c r="Z38" s="289">
        <f t="shared" si="21"/>
        <v>0</v>
      </c>
      <c r="AA38" s="289">
        <f t="shared" si="21"/>
        <v>0</v>
      </c>
      <c r="AB38" s="289">
        <f t="shared" si="21"/>
        <v>0</v>
      </c>
      <c r="AC38" s="289">
        <f t="shared" si="21"/>
        <v>0</v>
      </c>
      <c r="AD38" s="289">
        <f t="shared" si="21"/>
        <v>0</v>
      </c>
      <c r="AE38" s="289">
        <f t="shared" si="21"/>
        <v>0</v>
      </c>
      <c r="AF38" s="289">
        <f t="shared" si="21"/>
        <v>0</v>
      </c>
      <c r="AG38" s="289">
        <f t="shared" si="21"/>
        <v>0</v>
      </c>
      <c r="AH38" s="289">
        <f t="shared" si="21"/>
        <v>0</v>
      </c>
      <c r="AI38" s="289">
        <f t="shared" si="21"/>
        <v>0</v>
      </c>
      <c r="AJ38" s="289">
        <f t="shared" si="21"/>
        <v>0</v>
      </c>
      <c r="AK38" s="289">
        <f t="shared" si="21"/>
        <v>0</v>
      </c>
      <c r="AL38" s="289">
        <f t="shared" si="21"/>
        <v>0</v>
      </c>
      <c r="AM38" s="289">
        <f t="shared" si="21"/>
        <v>0</v>
      </c>
      <c r="AN38" s="289">
        <f t="shared" si="21"/>
        <v>0</v>
      </c>
      <c r="AO38" s="289">
        <f t="shared" si="21"/>
        <v>0</v>
      </c>
      <c r="AP38" s="289">
        <f t="shared" si="21"/>
        <v>0</v>
      </c>
      <c r="AQ38" s="289">
        <f t="shared" si="21"/>
        <v>0</v>
      </c>
      <c r="AR38" s="289">
        <f t="shared" si="21"/>
        <v>0</v>
      </c>
      <c r="AS38" s="289">
        <f t="shared" si="21"/>
        <v>0</v>
      </c>
      <c r="AT38" s="289">
        <f t="shared" si="21"/>
        <v>0</v>
      </c>
      <c r="AU38" s="289">
        <f t="shared" si="21"/>
        <v>0</v>
      </c>
      <c r="AV38" s="289">
        <f t="shared" si="21"/>
        <v>0</v>
      </c>
      <c r="AW38" s="289">
        <f t="shared" si="21"/>
        <v>0</v>
      </c>
      <c r="AX38" s="289">
        <f t="shared" si="21"/>
        <v>0</v>
      </c>
      <c r="AY38" s="289">
        <f t="shared" si="21"/>
        <v>0</v>
      </c>
      <c r="AZ38" s="289">
        <f t="shared" si="21"/>
        <v>0</v>
      </c>
      <c r="BA38" s="289">
        <f t="shared" si="21"/>
        <v>0</v>
      </c>
      <c r="BB38" s="289">
        <f t="shared" si="21"/>
        <v>0</v>
      </c>
      <c r="BC38" s="289">
        <f t="shared" si="21"/>
        <v>0</v>
      </c>
      <c r="BD38" s="289">
        <f t="shared" si="21"/>
        <v>0</v>
      </c>
      <c r="BE38" s="289">
        <f t="shared" si="21"/>
        <v>0</v>
      </c>
      <c r="BF38" s="289">
        <f t="shared" si="21"/>
        <v>0</v>
      </c>
      <c r="BG38" s="289">
        <f t="shared" si="21"/>
        <v>0</v>
      </c>
      <c r="BH38" s="289">
        <f t="shared" si="21"/>
        <v>0</v>
      </c>
      <c r="BI38" s="289">
        <f t="shared" si="21"/>
        <v>0</v>
      </c>
      <c r="BJ38" s="289">
        <f t="shared" si="21"/>
        <v>0</v>
      </c>
      <c r="BK38" s="289">
        <f t="shared" si="21"/>
        <v>0</v>
      </c>
      <c r="BL38" s="289">
        <f t="shared" si="21"/>
        <v>0</v>
      </c>
      <c r="BM38" s="289">
        <f t="shared" si="21"/>
        <v>0</v>
      </c>
      <c r="BN38" s="289">
        <f t="shared" si="21"/>
        <v>0</v>
      </c>
      <c r="BO38" s="289">
        <f t="shared" si="21"/>
        <v>0</v>
      </c>
      <c r="BP38" s="289">
        <f t="shared" si="21"/>
        <v>0</v>
      </c>
      <c r="BQ38" s="289">
        <f t="shared" si="21"/>
        <v>0</v>
      </c>
      <c r="BR38" s="289">
        <f t="shared" si="21"/>
        <v>0</v>
      </c>
      <c r="BS38" s="289">
        <f t="shared" si="21"/>
        <v>0</v>
      </c>
      <c r="BT38" s="289">
        <f t="shared" si="21"/>
        <v>0</v>
      </c>
      <c r="BU38" s="289">
        <f t="shared" si="21"/>
        <v>0</v>
      </c>
      <c r="BV38" s="289">
        <f t="shared" si="21"/>
        <v>0</v>
      </c>
      <c r="BW38" s="289">
        <f t="shared" si="21"/>
        <v>0</v>
      </c>
      <c r="BX38" s="289">
        <f t="shared" si="21"/>
        <v>0</v>
      </c>
      <c r="BY38" s="289">
        <f t="shared" si="21"/>
        <v>0</v>
      </c>
      <c r="BZ38" s="289">
        <f t="shared" si="21"/>
        <v>0</v>
      </c>
      <c r="CA38" s="290"/>
      <c r="CE38" s="219"/>
    </row>
    <row r="39" spans="1:87" s="216" customFormat="1">
      <c r="A39" s="215"/>
      <c r="B39" s="291" t="s">
        <v>212</v>
      </c>
      <c r="C39" s="769" t="s">
        <v>171</v>
      </c>
      <c r="D39" s="742">
        <f>-C34*(IF(D6-C6=1,$CI$6,$CH$6))-D24-D27</f>
        <v>24367738.752980363</v>
      </c>
      <c r="E39" s="742">
        <f>(D39-D38)*(IF(E6-D6=1,$CI$6,$CH$6))-E24-E27</f>
        <v>24706168.39539938</v>
      </c>
      <c r="F39" s="742">
        <f t="shared" ref="F39:BN39" si="22">(E39-E38)*(IF(F6-E6=1,$CI$6,$CH$6))-F24-F27</f>
        <v>25049298.29433497</v>
      </c>
      <c r="G39" s="742">
        <f t="shared" si="22"/>
        <v>25397193.728972387</v>
      </c>
      <c r="H39" s="742">
        <f t="shared" si="22"/>
        <v>25749920.885122292</v>
      </c>
      <c r="I39" s="742">
        <f t="shared" si="22"/>
        <v>26107546.86781238</v>
      </c>
      <c r="J39" s="742">
        <f t="shared" si="22"/>
        <v>26470139.714053839</v>
      </c>
      <c r="K39" s="742">
        <f t="shared" si="22"/>
        <v>26837768.405785155</v>
      </c>
      <c r="L39" s="742">
        <f t="shared" si="22"/>
        <v>27210502.882995658</v>
      </c>
      <c r="M39" s="742">
        <f t="shared" si="22"/>
        <v>27588414.057031348</v>
      </c>
      <c r="N39" s="742">
        <f t="shared" si="22"/>
        <v>27971573.824085522</v>
      </c>
      <c r="O39" s="742">
        <f t="shared" si="22"/>
        <v>28360055.078876741</v>
      </c>
      <c r="P39" s="742">
        <f t="shared" si="22"/>
        <v>28753931.728516791</v>
      </c>
      <c r="Q39" s="742">
        <f t="shared" si="22"/>
        <v>29153278.706571229</v>
      </c>
      <c r="R39" s="742">
        <f t="shared" si="22"/>
        <v>29558171.987315226</v>
      </c>
      <c r="S39" s="742">
        <f t="shared" si="22"/>
        <v>29968688.600187376</v>
      </c>
      <c r="T39" s="742">
        <f t="shared" si="22"/>
        <v>30384906.644444264</v>
      </c>
      <c r="U39" s="742">
        <f t="shared" si="22"/>
        <v>30806905.304018568</v>
      </c>
      <c r="V39" s="742">
        <f t="shared" si="22"/>
        <v>31234764.862583492</v>
      </c>
      <c r="W39" s="742">
        <f t="shared" si="22"/>
        <v>31668566.718826443</v>
      </c>
      <c r="X39" s="742">
        <f t="shared" si="22"/>
        <v>32052527.464864317</v>
      </c>
      <c r="Y39" s="742">
        <f t="shared" si="22"/>
        <v>32441820.822980061</v>
      </c>
      <c r="Z39" s="742">
        <f t="shared" si="22"/>
        <v>32836520.854785096</v>
      </c>
      <c r="AA39" s="742">
        <f t="shared" si="22"/>
        <v>31724702.65049037</v>
      </c>
      <c r="AB39" s="742">
        <f t="shared" si="22"/>
        <v>32109443.036505204</v>
      </c>
      <c r="AC39" s="742">
        <f t="shared" si="22"/>
        <v>32499526.862573422</v>
      </c>
      <c r="AD39" s="742">
        <f t="shared" si="22"/>
        <v>34171515.198465526</v>
      </c>
      <c r="AE39" s="742">
        <f t="shared" si="22"/>
        <v>34485701.468992554</v>
      </c>
      <c r="AF39" s="742">
        <f t="shared" si="22"/>
        <v>34804251.293654218</v>
      </c>
      <c r="AG39" s="742">
        <f t="shared" si="22"/>
        <v>35127225.275368199</v>
      </c>
      <c r="AH39" s="742">
        <f t="shared" si="22"/>
        <v>35454684.85873156</v>
      </c>
      <c r="AI39" s="742">
        <f t="shared" si="22"/>
        <v>35786692.341710381</v>
      </c>
      <c r="AJ39" s="742">
        <f t="shared" si="22"/>
        <v>36108956.988739781</v>
      </c>
      <c r="AK39" s="742">
        <f t="shared" si="22"/>
        <v>36435697.385873206</v>
      </c>
      <c r="AL39" s="742">
        <f t="shared" si="22"/>
        <v>36766975.694254234</v>
      </c>
      <c r="AM39" s="742">
        <f t="shared" si="22"/>
        <v>37102854.938347146</v>
      </c>
      <c r="AN39" s="742">
        <f t="shared" si="22"/>
        <v>37443399.017927125</v>
      </c>
      <c r="AO39" s="742">
        <f t="shared" si="22"/>
        <v>37788672.720236912</v>
      </c>
      <c r="AP39" s="742">
        <f t="shared" si="22"/>
        <v>38220026.14398814</v>
      </c>
      <c r="AQ39" s="742">
        <f t="shared" si="22"/>
        <v>38657370.389720686</v>
      </c>
      <c r="AR39" s="742">
        <f t="shared" si="22"/>
        <v>39100788.660548367</v>
      </c>
      <c r="AS39" s="742">
        <f t="shared" si="22"/>
        <v>39550365.315145649</v>
      </c>
      <c r="AT39" s="742">
        <f t="shared" si="22"/>
        <v>40006185.883796573</v>
      </c>
      <c r="AU39" s="742">
        <f t="shared" si="22"/>
        <v>40468337.08466658</v>
      </c>
      <c r="AV39" s="742">
        <f t="shared" si="22"/>
        <v>40922101.744707562</v>
      </c>
      <c r="AW39" s="742">
        <f t="shared" si="22"/>
        <v>41382168.483624093</v>
      </c>
      <c r="AX39" s="742">
        <f t="shared" si="22"/>
        <v>41848624.827399686</v>
      </c>
      <c r="AY39" s="742">
        <f t="shared" si="22"/>
        <v>42321559.517616376</v>
      </c>
      <c r="AZ39" s="742">
        <f t="shared" si="22"/>
        <v>42801062.528337486</v>
      </c>
      <c r="BA39" s="742">
        <f t="shared" si="22"/>
        <v>43287225.083224855</v>
      </c>
      <c r="BB39" s="742">
        <f t="shared" si="22"/>
        <v>43780139.672893777</v>
      </c>
      <c r="BC39" s="742">
        <f t="shared" si="22"/>
        <v>44279900.072509035</v>
      </c>
      <c r="BD39" s="742">
        <f t="shared" si="22"/>
        <v>44786601.359625243</v>
      </c>
      <c r="BE39" s="742">
        <f t="shared" si="22"/>
        <v>45300339.932275012</v>
      </c>
      <c r="BF39" s="742">
        <f t="shared" si="22"/>
        <v>45821213.527308322</v>
      </c>
      <c r="BG39" s="742">
        <f t="shared" si="22"/>
        <v>46349321.238986574</v>
      </c>
      <c r="BH39" s="742">
        <f t="shared" si="22"/>
        <v>46869493.297898568</v>
      </c>
      <c r="BI39" s="742">
        <f t="shared" si="22"/>
        <v>47396889.730219953</v>
      </c>
      <c r="BJ39" s="742">
        <f t="shared" si="22"/>
        <v>47931610.871157631</v>
      </c>
      <c r="BK39" s="742">
        <f t="shared" si="22"/>
        <v>48473758.449417047</v>
      </c>
      <c r="BL39" s="742">
        <f t="shared" si="22"/>
        <v>49023435.606555678</v>
      </c>
      <c r="BM39" s="742">
        <f t="shared" si="22"/>
        <v>49580746.916605338</v>
      </c>
      <c r="BN39" s="742">
        <f t="shared" si="22"/>
        <v>50145798.405967005</v>
      </c>
      <c r="BO39" s="742">
        <f t="shared" ref="BO39:BZ39" si="23">(BN39-BN38)*(IF(BO6-BN6=1,$CI$6,$CH$6))-BO24-BO27</f>
        <v>50718697.573581934</v>
      </c>
      <c r="BP39" s="742">
        <f t="shared" si="23"/>
        <v>51299553.411382951</v>
      </c>
      <c r="BQ39" s="742">
        <f t="shared" si="23"/>
        <v>51888476.425029732</v>
      </c>
      <c r="BR39" s="742">
        <f t="shared" si="23"/>
        <v>52485578.654932119</v>
      </c>
      <c r="BS39" s="742">
        <f t="shared" si="23"/>
        <v>53090973.697565392</v>
      </c>
      <c r="BT39" s="742">
        <f t="shared" si="23"/>
        <v>53689053.819947064</v>
      </c>
      <c r="BU39" s="742">
        <f t="shared" si="23"/>
        <v>54295440.336451203</v>
      </c>
      <c r="BV39" s="742">
        <f t="shared" si="23"/>
        <v>54910248.609854028</v>
      </c>
      <c r="BW39" s="742">
        <f t="shared" si="23"/>
        <v>55533595.605139628</v>
      </c>
      <c r="BX39" s="742">
        <f t="shared" si="23"/>
        <v>56165599.911752149</v>
      </c>
      <c r="BY39" s="742">
        <f t="shared" si="23"/>
        <v>56191074.776959874</v>
      </c>
      <c r="BZ39" s="742">
        <f t="shared" si="23"/>
        <v>56971480.605201975</v>
      </c>
      <c r="CA39" s="290"/>
      <c r="CE39" s="219"/>
    </row>
    <row r="40" spans="1:87" s="216" customFormat="1">
      <c r="A40" s="215"/>
      <c r="B40" s="404" t="s">
        <v>372</v>
      </c>
      <c r="C40" s="214">
        <f>$CC$6</f>
        <v>0.85</v>
      </c>
      <c r="D40" s="293">
        <f>D38</f>
        <v>0</v>
      </c>
      <c r="E40" s="742">
        <f t="shared" ref="E40:BN40" si="24">E38</f>
        <v>0</v>
      </c>
      <c r="F40" s="742">
        <f t="shared" si="24"/>
        <v>0</v>
      </c>
      <c r="G40" s="742">
        <f t="shared" si="24"/>
        <v>0</v>
      </c>
      <c r="H40" s="742">
        <f t="shared" si="24"/>
        <v>0</v>
      </c>
      <c r="I40" s="742">
        <f t="shared" si="24"/>
        <v>0</v>
      </c>
      <c r="J40" s="742">
        <f t="shared" si="24"/>
        <v>0</v>
      </c>
      <c r="K40" s="742">
        <f t="shared" si="24"/>
        <v>0</v>
      </c>
      <c r="L40" s="742">
        <f t="shared" si="24"/>
        <v>0</v>
      </c>
      <c r="M40" s="742">
        <f t="shared" si="24"/>
        <v>0</v>
      </c>
      <c r="N40" s="742">
        <f t="shared" si="24"/>
        <v>0</v>
      </c>
      <c r="O40" s="742">
        <f t="shared" si="24"/>
        <v>0</v>
      </c>
      <c r="P40" s="742">
        <f t="shared" si="24"/>
        <v>0</v>
      </c>
      <c r="Q40" s="742">
        <f t="shared" si="24"/>
        <v>0</v>
      </c>
      <c r="R40" s="742">
        <f t="shared" si="24"/>
        <v>0</v>
      </c>
      <c r="S40" s="742">
        <f t="shared" si="24"/>
        <v>0</v>
      </c>
      <c r="T40" s="742">
        <f t="shared" si="24"/>
        <v>0</v>
      </c>
      <c r="U40" s="742">
        <f t="shared" si="24"/>
        <v>0</v>
      </c>
      <c r="V40" s="742">
        <f t="shared" si="24"/>
        <v>0</v>
      </c>
      <c r="W40" s="742">
        <f t="shared" si="24"/>
        <v>0</v>
      </c>
      <c r="X40" s="742">
        <f t="shared" si="24"/>
        <v>0</v>
      </c>
      <c r="Y40" s="742">
        <f t="shared" si="24"/>
        <v>0</v>
      </c>
      <c r="Z40" s="742">
        <f t="shared" si="24"/>
        <v>0</v>
      </c>
      <c r="AA40" s="742">
        <f t="shared" si="24"/>
        <v>0</v>
      </c>
      <c r="AB40" s="742">
        <f t="shared" si="24"/>
        <v>0</v>
      </c>
      <c r="AC40" s="742">
        <f t="shared" si="24"/>
        <v>0</v>
      </c>
      <c r="AD40" s="742">
        <f t="shared" si="24"/>
        <v>0</v>
      </c>
      <c r="AE40" s="742">
        <f t="shared" si="24"/>
        <v>0</v>
      </c>
      <c r="AF40" s="742">
        <f t="shared" si="24"/>
        <v>0</v>
      </c>
      <c r="AG40" s="742">
        <f t="shared" si="24"/>
        <v>0</v>
      </c>
      <c r="AH40" s="742">
        <f t="shared" si="24"/>
        <v>0</v>
      </c>
      <c r="AI40" s="742">
        <f t="shared" si="24"/>
        <v>0</v>
      </c>
      <c r="AJ40" s="742">
        <f t="shared" si="24"/>
        <v>0</v>
      </c>
      <c r="AK40" s="742">
        <f t="shared" si="24"/>
        <v>0</v>
      </c>
      <c r="AL40" s="742">
        <f t="shared" si="24"/>
        <v>0</v>
      </c>
      <c r="AM40" s="742">
        <f t="shared" si="24"/>
        <v>0</v>
      </c>
      <c r="AN40" s="742">
        <f t="shared" si="24"/>
        <v>0</v>
      </c>
      <c r="AO40" s="742">
        <f t="shared" si="24"/>
        <v>0</v>
      </c>
      <c r="AP40" s="742">
        <f t="shared" si="24"/>
        <v>0</v>
      </c>
      <c r="AQ40" s="742">
        <f t="shared" si="24"/>
        <v>0</v>
      </c>
      <c r="AR40" s="742">
        <f t="shared" si="24"/>
        <v>0</v>
      </c>
      <c r="AS40" s="742">
        <f t="shared" si="24"/>
        <v>0</v>
      </c>
      <c r="AT40" s="742">
        <f t="shared" si="24"/>
        <v>0</v>
      </c>
      <c r="AU40" s="742">
        <f t="shared" si="24"/>
        <v>0</v>
      </c>
      <c r="AV40" s="742">
        <f t="shared" si="24"/>
        <v>0</v>
      </c>
      <c r="AW40" s="742">
        <f t="shared" si="24"/>
        <v>0</v>
      </c>
      <c r="AX40" s="742">
        <f t="shared" si="24"/>
        <v>0</v>
      </c>
      <c r="AY40" s="742">
        <f t="shared" si="24"/>
        <v>0</v>
      </c>
      <c r="AZ40" s="742">
        <f t="shared" si="24"/>
        <v>0</v>
      </c>
      <c r="BA40" s="742">
        <f t="shared" si="24"/>
        <v>0</v>
      </c>
      <c r="BB40" s="742">
        <f t="shared" si="24"/>
        <v>0</v>
      </c>
      <c r="BC40" s="742">
        <f t="shared" si="24"/>
        <v>0</v>
      </c>
      <c r="BD40" s="742">
        <f t="shared" si="24"/>
        <v>0</v>
      </c>
      <c r="BE40" s="742">
        <f t="shared" si="24"/>
        <v>0</v>
      </c>
      <c r="BF40" s="742">
        <f t="shared" si="24"/>
        <v>0</v>
      </c>
      <c r="BG40" s="742">
        <f t="shared" si="24"/>
        <v>0</v>
      </c>
      <c r="BH40" s="742">
        <f t="shared" si="24"/>
        <v>0</v>
      </c>
      <c r="BI40" s="742">
        <f t="shared" si="24"/>
        <v>0</v>
      </c>
      <c r="BJ40" s="742">
        <f t="shared" si="24"/>
        <v>0</v>
      </c>
      <c r="BK40" s="742">
        <f t="shared" si="24"/>
        <v>0</v>
      </c>
      <c r="BL40" s="742">
        <f t="shared" si="24"/>
        <v>0</v>
      </c>
      <c r="BM40" s="742">
        <f t="shared" si="24"/>
        <v>0</v>
      </c>
      <c r="BN40" s="742">
        <f t="shared" si="24"/>
        <v>0</v>
      </c>
      <c r="BO40" s="742">
        <f t="shared" ref="BO40:BZ40" si="25">BO38</f>
        <v>0</v>
      </c>
      <c r="BP40" s="742">
        <f t="shared" si="25"/>
        <v>0</v>
      </c>
      <c r="BQ40" s="742">
        <f t="shared" si="25"/>
        <v>0</v>
      </c>
      <c r="BR40" s="742">
        <f t="shared" si="25"/>
        <v>0</v>
      </c>
      <c r="BS40" s="742">
        <f t="shared" si="25"/>
        <v>0</v>
      </c>
      <c r="BT40" s="742">
        <f t="shared" si="25"/>
        <v>0</v>
      </c>
      <c r="BU40" s="742">
        <f t="shared" si="25"/>
        <v>0</v>
      </c>
      <c r="BV40" s="742">
        <f t="shared" si="25"/>
        <v>0</v>
      </c>
      <c r="BW40" s="742">
        <f t="shared" si="25"/>
        <v>0</v>
      </c>
      <c r="BX40" s="742">
        <f t="shared" si="25"/>
        <v>0</v>
      </c>
      <c r="BY40" s="742">
        <f t="shared" si="25"/>
        <v>0</v>
      </c>
      <c r="BZ40" s="742">
        <f t="shared" si="25"/>
        <v>0</v>
      </c>
      <c r="CA40" s="294"/>
      <c r="CE40" s="219"/>
    </row>
    <row r="41" spans="1:87" s="216" customFormat="1">
      <c r="A41" s="215"/>
      <c r="B41" s="248" t="s">
        <v>150</v>
      </c>
      <c r="C41" s="214">
        <f>$CD$6</f>
        <v>0.15000000000000002</v>
      </c>
      <c r="D41" s="293">
        <f>((D40/$C$40)*$C$41)</f>
        <v>0</v>
      </c>
      <c r="E41" s="742">
        <f t="shared" ref="E41:BZ41" si="26">((E40/$C$40)*$C$41)</f>
        <v>0</v>
      </c>
      <c r="F41" s="742">
        <f t="shared" si="26"/>
        <v>0</v>
      </c>
      <c r="G41" s="742">
        <f t="shared" si="26"/>
        <v>0</v>
      </c>
      <c r="H41" s="742">
        <f t="shared" si="26"/>
        <v>0</v>
      </c>
      <c r="I41" s="742">
        <f t="shared" si="26"/>
        <v>0</v>
      </c>
      <c r="J41" s="742">
        <f t="shared" si="26"/>
        <v>0</v>
      </c>
      <c r="K41" s="742">
        <f t="shared" si="26"/>
        <v>0</v>
      </c>
      <c r="L41" s="742">
        <f t="shared" si="26"/>
        <v>0</v>
      </c>
      <c r="M41" s="742">
        <f t="shared" si="26"/>
        <v>0</v>
      </c>
      <c r="N41" s="742">
        <f t="shared" si="26"/>
        <v>0</v>
      </c>
      <c r="O41" s="742">
        <f t="shared" si="26"/>
        <v>0</v>
      </c>
      <c r="P41" s="742">
        <f t="shared" si="26"/>
        <v>0</v>
      </c>
      <c r="Q41" s="742">
        <f t="shared" si="26"/>
        <v>0</v>
      </c>
      <c r="R41" s="742">
        <f t="shared" si="26"/>
        <v>0</v>
      </c>
      <c r="S41" s="742">
        <f t="shared" si="26"/>
        <v>0</v>
      </c>
      <c r="T41" s="742">
        <f t="shared" si="26"/>
        <v>0</v>
      </c>
      <c r="U41" s="742">
        <f t="shared" si="26"/>
        <v>0</v>
      </c>
      <c r="V41" s="742">
        <f t="shared" si="26"/>
        <v>0</v>
      </c>
      <c r="W41" s="742">
        <f t="shared" si="26"/>
        <v>0</v>
      </c>
      <c r="X41" s="742">
        <f t="shared" si="26"/>
        <v>0</v>
      </c>
      <c r="Y41" s="742">
        <f t="shared" si="26"/>
        <v>0</v>
      </c>
      <c r="Z41" s="742">
        <f t="shared" si="26"/>
        <v>0</v>
      </c>
      <c r="AA41" s="742">
        <f t="shared" si="26"/>
        <v>0</v>
      </c>
      <c r="AB41" s="742">
        <f t="shared" si="26"/>
        <v>0</v>
      </c>
      <c r="AC41" s="742">
        <f t="shared" si="26"/>
        <v>0</v>
      </c>
      <c r="AD41" s="742">
        <f t="shared" si="26"/>
        <v>0</v>
      </c>
      <c r="AE41" s="742">
        <f t="shared" si="26"/>
        <v>0</v>
      </c>
      <c r="AF41" s="742">
        <f t="shared" si="26"/>
        <v>0</v>
      </c>
      <c r="AG41" s="742">
        <f t="shared" si="26"/>
        <v>0</v>
      </c>
      <c r="AH41" s="742">
        <f t="shared" si="26"/>
        <v>0</v>
      </c>
      <c r="AI41" s="742">
        <f t="shared" si="26"/>
        <v>0</v>
      </c>
      <c r="AJ41" s="742">
        <f t="shared" si="26"/>
        <v>0</v>
      </c>
      <c r="AK41" s="742">
        <f t="shared" si="26"/>
        <v>0</v>
      </c>
      <c r="AL41" s="742">
        <f t="shared" si="26"/>
        <v>0</v>
      </c>
      <c r="AM41" s="742">
        <f t="shared" si="26"/>
        <v>0</v>
      </c>
      <c r="AN41" s="742">
        <f t="shared" si="26"/>
        <v>0</v>
      </c>
      <c r="AO41" s="742">
        <f t="shared" si="26"/>
        <v>0</v>
      </c>
      <c r="AP41" s="742">
        <f t="shared" si="26"/>
        <v>0</v>
      </c>
      <c r="AQ41" s="742">
        <f t="shared" si="26"/>
        <v>0</v>
      </c>
      <c r="AR41" s="742">
        <f t="shared" si="26"/>
        <v>0</v>
      </c>
      <c r="AS41" s="742">
        <f t="shared" si="26"/>
        <v>0</v>
      </c>
      <c r="AT41" s="742">
        <f t="shared" si="26"/>
        <v>0</v>
      </c>
      <c r="AU41" s="742">
        <f t="shared" si="26"/>
        <v>0</v>
      </c>
      <c r="AV41" s="742">
        <f t="shared" si="26"/>
        <v>0</v>
      </c>
      <c r="AW41" s="742">
        <f t="shared" si="26"/>
        <v>0</v>
      </c>
      <c r="AX41" s="742">
        <f t="shared" si="26"/>
        <v>0</v>
      </c>
      <c r="AY41" s="742">
        <f t="shared" si="26"/>
        <v>0</v>
      </c>
      <c r="AZ41" s="742">
        <f t="shared" si="26"/>
        <v>0</v>
      </c>
      <c r="BA41" s="742">
        <f t="shared" si="26"/>
        <v>0</v>
      </c>
      <c r="BB41" s="742">
        <f t="shared" si="26"/>
        <v>0</v>
      </c>
      <c r="BC41" s="742">
        <f t="shared" si="26"/>
        <v>0</v>
      </c>
      <c r="BD41" s="742">
        <f t="shared" si="26"/>
        <v>0</v>
      </c>
      <c r="BE41" s="742">
        <f t="shared" si="26"/>
        <v>0</v>
      </c>
      <c r="BF41" s="742">
        <f t="shared" si="26"/>
        <v>0</v>
      </c>
      <c r="BG41" s="742">
        <f t="shared" si="26"/>
        <v>0</v>
      </c>
      <c r="BH41" s="742">
        <f t="shared" si="26"/>
        <v>0</v>
      </c>
      <c r="BI41" s="742">
        <f t="shared" si="26"/>
        <v>0</v>
      </c>
      <c r="BJ41" s="742">
        <f t="shared" si="26"/>
        <v>0</v>
      </c>
      <c r="BK41" s="742">
        <f t="shared" si="26"/>
        <v>0</v>
      </c>
      <c r="BL41" s="742">
        <f t="shared" si="26"/>
        <v>0</v>
      </c>
      <c r="BM41" s="742">
        <f t="shared" si="26"/>
        <v>0</v>
      </c>
      <c r="BN41" s="742">
        <f t="shared" si="26"/>
        <v>0</v>
      </c>
      <c r="BO41" s="742">
        <f t="shared" si="26"/>
        <v>0</v>
      </c>
      <c r="BP41" s="742">
        <f t="shared" si="26"/>
        <v>0</v>
      </c>
      <c r="BQ41" s="742">
        <f t="shared" si="26"/>
        <v>0</v>
      </c>
      <c r="BR41" s="742">
        <f t="shared" si="26"/>
        <v>0</v>
      </c>
      <c r="BS41" s="742">
        <f t="shared" si="26"/>
        <v>0</v>
      </c>
      <c r="BT41" s="742">
        <f t="shared" si="26"/>
        <v>0</v>
      </c>
      <c r="BU41" s="742">
        <f t="shared" si="26"/>
        <v>0</v>
      </c>
      <c r="BV41" s="742">
        <f t="shared" si="26"/>
        <v>0</v>
      </c>
      <c r="BW41" s="742">
        <f t="shared" si="26"/>
        <v>0</v>
      </c>
      <c r="BX41" s="742">
        <f t="shared" si="26"/>
        <v>0</v>
      </c>
      <c r="BY41" s="742">
        <f t="shared" si="26"/>
        <v>0</v>
      </c>
      <c r="BZ41" s="742">
        <f t="shared" si="26"/>
        <v>0</v>
      </c>
      <c r="CA41" s="294"/>
      <c r="CE41" s="219"/>
    </row>
    <row r="42" spans="1:87" s="216" customFormat="1">
      <c r="A42" s="215"/>
      <c r="B42" s="248"/>
      <c r="C42" s="214"/>
      <c r="D42" s="293"/>
      <c r="E42" s="293"/>
      <c r="F42" s="293"/>
      <c r="G42" s="293"/>
      <c r="H42" s="293"/>
      <c r="I42" s="293"/>
      <c r="J42" s="293"/>
      <c r="K42" s="293"/>
      <c r="L42" s="293"/>
      <c r="M42" s="293"/>
      <c r="N42" s="293"/>
      <c r="O42" s="293"/>
      <c r="P42" s="293"/>
      <c r="Q42" s="293"/>
      <c r="R42" s="293"/>
      <c r="S42" s="293"/>
      <c r="T42" s="293"/>
      <c r="U42" s="293"/>
      <c r="V42" s="293"/>
      <c r="W42" s="293"/>
      <c r="X42" s="293"/>
      <c r="Y42" s="293"/>
      <c r="Z42" s="293"/>
      <c r="AA42" s="293"/>
      <c r="AB42" s="293"/>
      <c r="AC42" s="293"/>
      <c r="AD42" s="293"/>
      <c r="AE42" s="293"/>
      <c r="AF42" s="293"/>
      <c r="AG42" s="293"/>
      <c r="AH42" s="293"/>
      <c r="AI42" s="293"/>
      <c r="AJ42" s="293"/>
      <c r="AK42" s="293"/>
      <c r="AL42" s="293"/>
      <c r="AM42" s="293"/>
      <c r="AN42" s="293"/>
      <c r="AO42" s="293"/>
      <c r="AP42" s="293"/>
      <c r="AQ42" s="293"/>
      <c r="AR42" s="293"/>
      <c r="AS42" s="293"/>
      <c r="AT42" s="293"/>
      <c r="AU42" s="293"/>
      <c r="AV42" s="293"/>
      <c r="AW42" s="293"/>
      <c r="AX42" s="293"/>
      <c r="AY42" s="293"/>
      <c r="AZ42" s="293"/>
      <c r="BA42" s="293"/>
      <c r="BB42" s="293"/>
      <c r="BC42" s="293"/>
      <c r="BD42" s="293"/>
      <c r="BE42" s="293"/>
      <c r="BF42" s="293"/>
      <c r="BG42" s="293"/>
      <c r="BH42" s="293"/>
      <c r="BI42" s="293"/>
      <c r="BJ42" s="293"/>
      <c r="BK42" s="293"/>
      <c r="BL42" s="293"/>
      <c r="BM42" s="293"/>
      <c r="BN42" s="293"/>
      <c r="BO42" s="293"/>
      <c r="BP42" s="293"/>
      <c r="BQ42" s="293"/>
      <c r="BR42" s="293"/>
      <c r="BS42" s="293"/>
      <c r="BT42" s="293"/>
      <c r="BU42" s="293"/>
      <c r="BV42" s="293"/>
      <c r="BW42" s="293"/>
      <c r="BX42" s="293"/>
      <c r="BY42" s="293"/>
      <c r="BZ42" s="293"/>
      <c r="CA42" s="294"/>
      <c r="CC42" s="224"/>
      <c r="CE42" s="219"/>
    </row>
    <row r="43" spans="1:87" s="216" customFormat="1">
      <c r="A43" s="215"/>
      <c r="B43" s="434" t="str">
        <f>CB7</f>
        <v>4th Priority Split (50/50)</v>
      </c>
      <c r="C43" s="435"/>
      <c r="D43" s="435"/>
      <c r="E43" s="435"/>
      <c r="F43" s="435"/>
      <c r="G43" s="435"/>
      <c r="H43" s="435"/>
      <c r="I43" s="435"/>
      <c r="J43" s="435"/>
      <c r="K43" s="435"/>
      <c r="L43" s="435"/>
      <c r="M43" s="435"/>
      <c r="N43" s="435"/>
      <c r="O43" s="435"/>
      <c r="P43" s="435"/>
      <c r="Q43" s="435"/>
      <c r="R43" s="435"/>
      <c r="S43" s="435"/>
      <c r="T43" s="435"/>
      <c r="U43" s="435"/>
      <c r="V43" s="435"/>
      <c r="W43" s="435"/>
      <c r="X43" s="435"/>
      <c r="Y43" s="435"/>
      <c r="Z43" s="435"/>
      <c r="AA43" s="435"/>
      <c r="AB43" s="435"/>
      <c r="AC43" s="435"/>
      <c r="AD43" s="435"/>
      <c r="AE43" s="435"/>
      <c r="AF43" s="435"/>
      <c r="AG43" s="435"/>
      <c r="AH43" s="435"/>
      <c r="AI43" s="435"/>
      <c r="AJ43" s="435"/>
      <c r="AK43" s="435"/>
      <c r="AL43" s="435"/>
      <c r="AM43" s="435"/>
      <c r="AN43" s="435"/>
      <c r="AO43" s="435"/>
      <c r="AP43" s="435"/>
      <c r="AQ43" s="435"/>
      <c r="AR43" s="435"/>
      <c r="AS43" s="435"/>
      <c r="AT43" s="435"/>
      <c r="AU43" s="435"/>
      <c r="AV43" s="435"/>
      <c r="AW43" s="435"/>
      <c r="AX43" s="435"/>
      <c r="AY43" s="435"/>
      <c r="AZ43" s="435"/>
      <c r="BA43" s="435"/>
      <c r="BB43" s="435"/>
      <c r="BC43" s="435"/>
      <c r="BD43" s="435"/>
      <c r="BE43" s="435"/>
      <c r="BF43" s="435"/>
      <c r="BG43" s="435"/>
      <c r="BH43" s="435"/>
      <c r="BI43" s="435"/>
      <c r="BJ43" s="435"/>
      <c r="BK43" s="435"/>
      <c r="BL43" s="435"/>
      <c r="BM43" s="435"/>
      <c r="BN43" s="435"/>
      <c r="BO43" s="435"/>
      <c r="BP43" s="435"/>
      <c r="BQ43" s="435"/>
      <c r="BR43" s="435"/>
      <c r="BS43" s="435"/>
      <c r="BT43" s="435"/>
      <c r="BU43" s="435"/>
      <c r="BV43" s="435"/>
      <c r="BW43" s="435"/>
      <c r="BX43" s="435"/>
      <c r="BY43" s="435"/>
      <c r="BZ43" s="435"/>
      <c r="CA43" s="226"/>
      <c r="CC43" s="224"/>
      <c r="CE43" s="219"/>
    </row>
    <row r="44" spans="1:87" s="216" customFormat="1">
      <c r="A44" s="215"/>
      <c r="B44" s="291" t="s">
        <v>181</v>
      </c>
      <c r="C44" s="292"/>
      <c r="D44" s="489">
        <f>+MIN(+$CC$7*(D32-D40-D41),D45)</f>
        <v>0</v>
      </c>
      <c r="E44" s="489">
        <f t="shared" ref="E44:BN44" si="27">+MIN(+$CC$7*(E32-E40-E41),E45)</f>
        <v>0</v>
      </c>
      <c r="F44" s="489">
        <f t="shared" si="27"/>
        <v>0</v>
      </c>
      <c r="G44" s="489">
        <f t="shared" si="27"/>
        <v>0</v>
      </c>
      <c r="H44" s="489">
        <f t="shared" si="27"/>
        <v>0</v>
      </c>
      <c r="I44" s="489">
        <f t="shared" si="27"/>
        <v>0</v>
      </c>
      <c r="J44" s="489">
        <f t="shared" si="27"/>
        <v>0</v>
      </c>
      <c r="K44" s="489">
        <f t="shared" si="27"/>
        <v>0</v>
      </c>
      <c r="L44" s="489">
        <f t="shared" si="27"/>
        <v>0</v>
      </c>
      <c r="M44" s="489">
        <f t="shared" si="27"/>
        <v>0</v>
      </c>
      <c r="N44" s="489">
        <f t="shared" si="27"/>
        <v>0</v>
      </c>
      <c r="O44" s="489">
        <f t="shared" si="27"/>
        <v>0</v>
      </c>
      <c r="P44" s="489">
        <f t="shared" si="27"/>
        <v>0</v>
      </c>
      <c r="Q44" s="489">
        <f t="shared" si="27"/>
        <v>0</v>
      </c>
      <c r="R44" s="489">
        <f t="shared" si="27"/>
        <v>0</v>
      </c>
      <c r="S44" s="489">
        <f t="shared" si="27"/>
        <v>0</v>
      </c>
      <c r="T44" s="489">
        <f t="shared" si="27"/>
        <v>0</v>
      </c>
      <c r="U44" s="489">
        <f t="shared" si="27"/>
        <v>0</v>
      </c>
      <c r="V44" s="489">
        <f t="shared" si="27"/>
        <v>0</v>
      </c>
      <c r="W44" s="489">
        <f t="shared" si="27"/>
        <v>0</v>
      </c>
      <c r="X44" s="489">
        <f t="shared" si="27"/>
        <v>0</v>
      </c>
      <c r="Y44" s="489">
        <f t="shared" si="27"/>
        <v>0</v>
      </c>
      <c r="Z44" s="489">
        <f t="shared" si="27"/>
        <v>0</v>
      </c>
      <c r="AA44" s="489">
        <f t="shared" si="27"/>
        <v>0</v>
      </c>
      <c r="AB44" s="489">
        <f t="shared" si="27"/>
        <v>0</v>
      </c>
      <c r="AC44" s="489">
        <f t="shared" si="27"/>
        <v>0</v>
      </c>
      <c r="AD44" s="489">
        <f t="shared" si="27"/>
        <v>0</v>
      </c>
      <c r="AE44" s="489">
        <f t="shared" si="27"/>
        <v>0</v>
      </c>
      <c r="AF44" s="489">
        <f t="shared" si="27"/>
        <v>0</v>
      </c>
      <c r="AG44" s="489">
        <f t="shared" si="27"/>
        <v>0</v>
      </c>
      <c r="AH44" s="489">
        <f t="shared" si="27"/>
        <v>0</v>
      </c>
      <c r="AI44" s="489">
        <f t="shared" si="27"/>
        <v>0</v>
      </c>
      <c r="AJ44" s="489">
        <f t="shared" si="27"/>
        <v>0</v>
      </c>
      <c r="AK44" s="489">
        <f t="shared" si="27"/>
        <v>0</v>
      </c>
      <c r="AL44" s="489">
        <f t="shared" si="27"/>
        <v>0</v>
      </c>
      <c r="AM44" s="489">
        <f t="shared" si="27"/>
        <v>0</v>
      </c>
      <c r="AN44" s="489">
        <f t="shared" si="27"/>
        <v>0</v>
      </c>
      <c r="AO44" s="489">
        <f t="shared" si="27"/>
        <v>0</v>
      </c>
      <c r="AP44" s="489">
        <f t="shared" si="27"/>
        <v>0</v>
      </c>
      <c r="AQ44" s="489">
        <f t="shared" si="27"/>
        <v>0</v>
      </c>
      <c r="AR44" s="489">
        <f t="shared" si="27"/>
        <v>0</v>
      </c>
      <c r="AS44" s="489">
        <f t="shared" si="27"/>
        <v>0</v>
      </c>
      <c r="AT44" s="489">
        <f t="shared" si="27"/>
        <v>0</v>
      </c>
      <c r="AU44" s="489">
        <f t="shared" si="27"/>
        <v>0</v>
      </c>
      <c r="AV44" s="489">
        <f t="shared" si="27"/>
        <v>0</v>
      </c>
      <c r="AW44" s="489">
        <f t="shared" si="27"/>
        <v>0</v>
      </c>
      <c r="AX44" s="489">
        <f t="shared" si="27"/>
        <v>0</v>
      </c>
      <c r="AY44" s="489">
        <f t="shared" si="27"/>
        <v>0</v>
      </c>
      <c r="AZ44" s="489">
        <f t="shared" si="27"/>
        <v>0</v>
      </c>
      <c r="BA44" s="489">
        <f t="shared" si="27"/>
        <v>0</v>
      </c>
      <c r="BB44" s="489">
        <f t="shared" si="27"/>
        <v>0</v>
      </c>
      <c r="BC44" s="489">
        <f t="shared" si="27"/>
        <v>0</v>
      </c>
      <c r="BD44" s="489">
        <f t="shared" si="27"/>
        <v>0</v>
      </c>
      <c r="BE44" s="489">
        <f t="shared" si="27"/>
        <v>0</v>
      </c>
      <c r="BF44" s="489">
        <f t="shared" si="27"/>
        <v>0</v>
      </c>
      <c r="BG44" s="489">
        <f t="shared" si="27"/>
        <v>0</v>
      </c>
      <c r="BH44" s="489">
        <f t="shared" si="27"/>
        <v>0</v>
      </c>
      <c r="BI44" s="489">
        <f t="shared" si="27"/>
        <v>0</v>
      </c>
      <c r="BJ44" s="489">
        <f t="shared" si="27"/>
        <v>0</v>
      </c>
      <c r="BK44" s="489">
        <f t="shared" si="27"/>
        <v>0</v>
      </c>
      <c r="BL44" s="489">
        <f t="shared" si="27"/>
        <v>0</v>
      </c>
      <c r="BM44" s="489">
        <f t="shared" si="27"/>
        <v>0</v>
      </c>
      <c r="BN44" s="489">
        <f t="shared" si="27"/>
        <v>0</v>
      </c>
      <c r="BO44" s="489">
        <f t="shared" ref="BO44:BZ44" si="28">+MIN(+$CC$7*(BO32-BO40-BO41),BO45)</f>
        <v>0</v>
      </c>
      <c r="BP44" s="489">
        <f t="shared" si="28"/>
        <v>0</v>
      </c>
      <c r="BQ44" s="489">
        <f t="shared" si="28"/>
        <v>0</v>
      </c>
      <c r="BR44" s="489">
        <f t="shared" si="28"/>
        <v>0</v>
      </c>
      <c r="BS44" s="489">
        <f t="shared" si="28"/>
        <v>0</v>
      </c>
      <c r="BT44" s="489">
        <f t="shared" si="28"/>
        <v>0</v>
      </c>
      <c r="BU44" s="489">
        <f t="shared" si="28"/>
        <v>0</v>
      </c>
      <c r="BV44" s="489">
        <f t="shared" si="28"/>
        <v>0</v>
      </c>
      <c r="BW44" s="489">
        <f t="shared" si="28"/>
        <v>0</v>
      </c>
      <c r="BX44" s="489">
        <f t="shared" si="28"/>
        <v>0</v>
      </c>
      <c r="BY44" s="489">
        <f t="shared" si="28"/>
        <v>0</v>
      </c>
      <c r="BZ44" s="489">
        <f t="shared" si="28"/>
        <v>0</v>
      </c>
      <c r="CA44" s="290"/>
      <c r="CE44" s="219"/>
    </row>
    <row r="45" spans="1:87" s="216" customFormat="1">
      <c r="A45" s="215"/>
      <c r="B45" s="291" t="s">
        <v>182</v>
      </c>
      <c r="C45" s="292" t="s">
        <v>171</v>
      </c>
      <c r="D45" s="289">
        <f>-C34*(IF(E6-D6=1,$CI$7,$CH$7))-D24-D27-D40</f>
        <v>24435527.300533608</v>
      </c>
      <c r="E45" s="289">
        <f t="shared" ref="E45:AJ45" si="29">(D45-D46)*(IF(E6-D6=1,$CI$7,$CH$7))-E24-E27-E40</f>
        <v>24843819.643419061</v>
      </c>
      <c r="F45" s="742">
        <f t="shared" si="29"/>
        <v>25258934.128311463</v>
      </c>
      <c r="G45" s="742">
        <f t="shared" si="29"/>
        <v>25680984.746135142</v>
      </c>
      <c r="H45" s="742">
        <f t="shared" si="29"/>
        <v>26110087.392484669</v>
      </c>
      <c r="I45" s="742">
        <f t="shared" si="29"/>
        <v>26546359.899449915</v>
      </c>
      <c r="J45" s="742">
        <f t="shared" si="29"/>
        <v>26989922.06797288</v>
      </c>
      <c r="K45" s="742">
        <f t="shared" si="29"/>
        <v>27440895.700745184</v>
      </c>
      <c r="L45" s="742">
        <f t="shared" si="29"/>
        <v>27899404.635655213</v>
      </c>
      <c r="M45" s="742">
        <f t="shared" si="29"/>
        <v>28365574.77979416</v>
      </c>
      <c r="N45" s="742">
        <f t="shared" si="29"/>
        <v>28839534.144030254</v>
      </c>
      <c r="O45" s="742">
        <f t="shared" si="29"/>
        <v>29321412.8781607</v>
      </c>
      <c r="P45" s="742">
        <f t="shared" si="29"/>
        <v>29811343.306650963</v>
      </c>
      <c r="Q45" s="742">
        <f t="shared" si="29"/>
        <v>30309459.964971215</v>
      </c>
      <c r="R45" s="742">
        <f t="shared" si="29"/>
        <v>30815899.636539944</v>
      </c>
      <c r="S45" s="742">
        <f t="shared" si="29"/>
        <v>31330801.390284833</v>
      </c>
      <c r="T45" s="742">
        <f t="shared" si="29"/>
        <v>31854306.618831255</v>
      </c>
      <c r="U45" s="742">
        <f t="shared" si="29"/>
        <v>32386559.077328853</v>
      </c>
      <c r="V45" s="742">
        <f t="shared" si="29"/>
        <v>32927704.922926873</v>
      </c>
      <c r="W45" s="742">
        <f t="shared" si="29"/>
        <v>33477892.754909083</v>
      </c>
      <c r="X45" s="742">
        <f t="shared" si="29"/>
        <v>33981407.718428798</v>
      </c>
      <c r="Y45" s="742">
        <f t="shared" si="29"/>
        <v>34493335.895283543</v>
      </c>
      <c r="Z45" s="742">
        <f t="shared" si="29"/>
        <v>35013817.861550994</v>
      </c>
      <c r="AA45" s="742">
        <f t="shared" si="29"/>
        <v>34030996.542189419</v>
      </c>
      <c r="AB45" s="742">
        <f t="shared" si="29"/>
        <v>34543753.296908893</v>
      </c>
      <c r="AC45" s="742">
        <f t="shared" si="29"/>
        <v>35065077.685718678</v>
      </c>
      <c r="AD45" s="742">
        <f t="shared" si="29"/>
        <v>36871599.722682759</v>
      </c>
      <c r="AE45" s="742">
        <f t="shared" si="29"/>
        <v>37327283.512187012</v>
      </c>
      <c r="AF45" s="742">
        <f t="shared" si="29"/>
        <v>37790581.305667661</v>
      </c>
      <c r="AG45" s="742">
        <f t="shared" si="29"/>
        <v>38261620.32524208</v>
      </c>
      <c r="AH45" s="742">
        <f t="shared" si="29"/>
        <v>38740529.918777399</v>
      </c>
      <c r="AI45" s="742">
        <f t="shared" si="29"/>
        <v>39227441.595409594</v>
      </c>
      <c r="AJ45" s="742">
        <f t="shared" si="29"/>
        <v>39708135.162904121</v>
      </c>
      <c r="AK45" s="742">
        <f t="shared" ref="AK45:BP45" si="30">(AJ45-AJ46)*(IF(AK6-AJ6=1,$CI$7,$CH$7))-AK24-AK27-AK40</f>
        <v>40196860.621851958</v>
      </c>
      <c r="AL45" s="742">
        <f t="shared" si="30"/>
        <v>40693752.176837236</v>
      </c>
      <c r="AM45" s="742">
        <f t="shared" si="30"/>
        <v>41198946.274863623</v>
      </c>
      <c r="AN45" s="742">
        <f t="shared" si="30"/>
        <v>41712581.642822854</v>
      </c>
      <c r="AO45" s="742">
        <f t="shared" si="30"/>
        <v>42234799.325589277</v>
      </c>
      <c r="AP45" s="742">
        <f t="shared" si="30"/>
        <v>42847027.136426724</v>
      </c>
      <c r="AQ45" s="742">
        <f t="shared" si="30"/>
        <v>43469484.639637575</v>
      </c>
      <c r="AR45" s="742">
        <f t="shared" si="30"/>
        <v>44102342.762782134</v>
      </c>
      <c r="AS45" s="742">
        <f t="shared" si="30"/>
        <v>44745775.289443135</v>
      </c>
      <c r="AT45" s="742">
        <f t="shared" si="30"/>
        <v>45399958.906946905</v>
      </c>
      <c r="AU45" s="742">
        <f t="shared" si="30"/>
        <v>46065073.254881941</v>
      </c>
      <c r="AV45" s="742">
        <f t="shared" si="30"/>
        <v>46726495.87883538</v>
      </c>
      <c r="AW45" s="742">
        <f t="shared" si="30"/>
        <v>47398970.189517327</v>
      </c>
      <c r="AX45" s="742">
        <f t="shared" si="30"/>
        <v>48082680.849162064</v>
      </c>
      <c r="AY45" s="742">
        <f t="shared" si="30"/>
        <v>48777815.605518475</v>
      </c>
      <c r="AZ45" s="742">
        <f t="shared" si="30"/>
        <v>49484565.343405806</v>
      </c>
      <c r="BA45" s="742">
        <f t="shared" si="30"/>
        <v>50203124.137130834</v>
      </c>
      <c r="BB45" s="742">
        <f t="shared" si="30"/>
        <v>50933689.303780936</v>
      </c>
      <c r="BC45" s="742">
        <f t="shared" si="30"/>
        <v>51676461.457407556</v>
      </c>
      <c r="BD45" s="742">
        <f t="shared" si="30"/>
        <v>52431644.564115092</v>
      </c>
      <c r="BE45" s="742">
        <f t="shared" si="30"/>
        <v>53199445.998070203</v>
      </c>
      <c r="BF45" s="742">
        <f t="shared" si="30"/>
        <v>53980076.598447002</v>
      </c>
      <c r="BG45" s="742">
        <f t="shared" si="30"/>
        <v>54773750.727323756</v>
      </c>
      <c r="BH45" s="742">
        <f t="shared" si="30"/>
        <v>55565416.08861059</v>
      </c>
      <c r="BI45" s="742">
        <f t="shared" si="30"/>
        <v>56370309.357818775</v>
      </c>
      <c r="BJ45" s="742">
        <f t="shared" si="30"/>
        <v>57188651.55958388</v>
      </c>
      <c r="BK45" s="742">
        <f t="shared" si="30"/>
        <v>58020667.411634132</v>
      </c>
      <c r="BL45" s="742">
        <f t="shared" si="30"/>
        <v>58866585.386498168</v>
      </c>
      <c r="BM45" s="742">
        <f t="shared" si="30"/>
        <v>59726637.774243832</v>
      </c>
      <c r="BN45" s="742">
        <f t="shared" si="30"/>
        <v>60601060.746265337</v>
      </c>
      <c r="BO45" s="742">
        <f t="shared" si="30"/>
        <v>61490094.420136184</v>
      </c>
      <c r="BP45" s="742">
        <f t="shared" si="30"/>
        <v>62393982.92554573</v>
      </c>
      <c r="BQ45" s="742">
        <f t="shared" ref="BQ45:BZ45" si="31">(BP45-BP46)*(IF(BQ6-BP6=1,$CI$7,$CH$7))-BQ24-BQ27-BQ40</f>
        <v>63312974.471337505</v>
      </c>
      <c r="BR45" s="742">
        <f t="shared" si="31"/>
        <v>64247321.413667619</v>
      </c>
      <c r="BS45" s="742">
        <f t="shared" si="31"/>
        <v>65197280.325302094</v>
      </c>
      <c r="BT45" s="742">
        <f t="shared" si="31"/>
        <v>66147389.158937551</v>
      </c>
      <c r="BU45" s="742">
        <f t="shared" si="31"/>
        <v>67113373.326749757</v>
      </c>
      <c r="BV45" s="742">
        <f t="shared" si="31"/>
        <v>68095498.089123949</v>
      </c>
      <c r="BW45" s="742">
        <f t="shared" si="31"/>
        <v>69094033.138671547</v>
      </c>
      <c r="BX45" s="742">
        <f t="shared" si="31"/>
        <v>70109252.674288094</v>
      </c>
      <c r="BY45" s="742">
        <f t="shared" si="31"/>
        <v>70147458.38216278</v>
      </c>
      <c r="BZ45" s="742">
        <f t="shared" si="31"/>
        <v>71319549.730062097</v>
      </c>
      <c r="CA45" s="290"/>
      <c r="CE45" s="219"/>
    </row>
    <row r="46" spans="1:87" s="216" customFormat="1">
      <c r="A46" s="215"/>
      <c r="B46" s="248" t="s">
        <v>41</v>
      </c>
      <c r="C46" s="214">
        <f>$CC$7</f>
        <v>0.75</v>
      </c>
      <c r="D46" s="293">
        <f>MIN((D32-D40-D41)*$C$46,D45)</f>
        <v>0</v>
      </c>
      <c r="E46" s="293">
        <f t="shared" ref="E46:BN46" si="32">MIN((E32-E40-E41)*$C$46,E45)</f>
        <v>0</v>
      </c>
      <c r="F46" s="289">
        <f t="shared" si="32"/>
        <v>0</v>
      </c>
      <c r="G46" s="289">
        <f t="shared" si="32"/>
        <v>0</v>
      </c>
      <c r="H46" s="289">
        <f t="shared" si="32"/>
        <v>0</v>
      </c>
      <c r="I46" s="289">
        <f t="shared" si="32"/>
        <v>0</v>
      </c>
      <c r="J46" s="289">
        <f t="shared" si="32"/>
        <v>0</v>
      </c>
      <c r="K46" s="289">
        <f t="shared" si="32"/>
        <v>0</v>
      </c>
      <c r="L46" s="289">
        <f t="shared" si="32"/>
        <v>0</v>
      </c>
      <c r="M46" s="289">
        <f t="shared" si="32"/>
        <v>0</v>
      </c>
      <c r="N46" s="289">
        <f t="shared" si="32"/>
        <v>0</v>
      </c>
      <c r="O46" s="289">
        <f t="shared" si="32"/>
        <v>0</v>
      </c>
      <c r="P46" s="289">
        <f t="shared" si="32"/>
        <v>0</v>
      </c>
      <c r="Q46" s="289">
        <f t="shared" si="32"/>
        <v>0</v>
      </c>
      <c r="R46" s="289">
        <f t="shared" si="32"/>
        <v>0</v>
      </c>
      <c r="S46" s="289">
        <f t="shared" si="32"/>
        <v>0</v>
      </c>
      <c r="T46" s="289">
        <f t="shared" si="32"/>
        <v>0</v>
      </c>
      <c r="U46" s="289">
        <f t="shared" si="32"/>
        <v>0</v>
      </c>
      <c r="V46" s="289">
        <f t="shared" si="32"/>
        <v>0</v>
      </c>
      <c r="W46" s="289">
        <f t="shared" si="32"/>
        <v>0</v>
      </c>
      <c r="X46" s="289">
        <f t="shared" si="32"/>
        <v>0</v>
      </c>
      <c r="Y46" s="289">
        <f t="shared" si="32"/>
        <v>0</v>
      </c>
      <c r="Z46" s="289">
        <f t="shared" si="32"/>
        <v>0</v>
      </c>
      <c r="AA46" s="289">
        <f t="shared" si="32"/>
        <v>0</v>
      </c>
      <c r="AB46" s="289">
        <f t="shared" si="32"/>
        <v>0</v>
      </c>
      <c r="AC46" s="289">
        <f t="shared" si="32"/>
        <v>0</v>
      </c>
      <c r="AD46" s="289">
        <f t="shared" si="32"/>
        <v>0</v>
      </c>
      <c r="AE46" s="289">
        <f t="shared" si="32"/>
        <v>0</v>
      </c>
      <c r="AF46" s="289">
        <f t="shared" si="32"/>
        <v>0</v>
      </c>
      <c r="AG46" s="289">
        <f t="shared" si="32"/>
        <v>0</v>
      </c>
      <c r="AH46" s="289">
        <f t="shared" si="32"/>
        <v>0</v>
      </c>
      <c r="AI46" s="289">
        <f t="shared" si="32"/>
        <v>0</v>
      </c>
      <c r="AJ46" s="289">
        <f t="shared" si="32"/>
        <v>0</v>
      </c>
      <c r="AK46" s="289">
        <f t="shared" si="32"/>
        <v>0</v>
      </c>
      <c r="AL46" s="289">
        <f t="shared" si="32"/>
        <v>0</v>
      </c>
      <c r="AM46" s="289">
        <f t="shared" si="32"/>
        <v>0</v>
      </c>
      <c r="AN46" s="289">
        <f t="shared" si="32"/>
        <v>0</v>
      </c>
      <c r="AO46" s="289">
        <f t="shared" si="32"/>
        <v>0</v>
      </c>
      <c r="AP46" s="289">
        <f t="shared" si="32"/>
        <v>0</v>
      </c>
      <c r="AQ46" s="289">
        <f t="shared" si="32"/>
        <v>0</v>
      </c>
      <c r="AR46" s="289">
        <f t="shared" si="32"/>
        <v>0</v>
      </c>
      <c r="AS46" s="289">
        <f t="shared" si="32"/>
        <v>0</v>
      </c>
      <c r="AT46" s="289">
        <f t="shared" si="32"/>
        <v>0</v>
      </c>
      <c r="AU46" s="289">
        <f t="shared" si="32"/>
        <v>0</v>
      </c>
      <c r="AV46" s="289">
        <f t="shared" si="32"/>
        <v>0</v>
      </c>
      <c r="AW46" s="289">
        <f t="shared" si="32"/>
        <v>0</v>
      </c>
      <c r="AX46" s="289">
        <f t="shared" si="32"/>
        <v>0</v>
      </c>
      <c r="AY46" s="289">
        <f t="shared" si="32"/>
        <v>0</v>
      </c>
      <c r="AZ46" s="289">
        <f t="shared" si="32"/>
        <v>0</v>
      </c>
      <c r="BA46" s="289">
        <f t="shared" si="32"/>
        <v>0</v>
      </c>
      <c r="BB46" s="289">
        <f t="shared" si="32"/>
        <v>0</v>
      </c>
      <c r="BC46" s="289">
        <f t="shared" si="32"/>
        <v>0</v>
      </c>
      <c r="BD46" s="289">
        <f t="shared" si="32"/>
        <v>0</v>
      </c>
      <c r="BE46" s="289">
        <f t="shared" si="32"/>
        <v>0</v>
      </c>
      <c r="BF46" s="289">
        <f t="shared" si="32"/>
        <v>0</v>
      </c>
      <c r="BG46" s="289">
        <f t="shared" si="32"/>
        <v>0</v>
      </c>
      <c r="BH46" s="289">
        <f t="shared" si="32"/>
        <v>0</v>
      </c>
      <c r="BI46" s="289">
        <f t="shared" si="32"/>
        <v>0</v>
      </c>
      <c r="BJ46" s="289">
        <f t="shared" si="32"/>
        <v>0</v>
      </c>
      <c r="BK46" s="289">
        <f t="shared" si="32"/>
        <v>0</v>
      </c>
      <c r="BL46" s="289">
        <f t="shared" si="32"/>
        <v>0</v>
      </c>
      <c r="BM46" s="289">
        <f t="shared" si="32"/>
        <v>0</v>
      </c>
      <c r="BN46" s="289">
        <f t="shared" si="32"/>
        <v>0</v>
      </c>
      <c r="BO46" s="289">
        <f t="shared" ref="BO46:BZ46" si="33">MIN((BO32-BO40-BO41)*$C$46,BO45)</f>
        <v>0</v>
      </c>
      <c r="BP46" s="289">
        <f t="shared" si="33"/>
        <v>0</v>
      </c>
      <c r="BQ46" s="289">
        <f t="shared" si="33"/>
        <v>0</v>
      </c>
      <c r="BR46" s="289">
        <f t="shared" si="33"/>
        <v>0</v>
      </c>
      <c r="BS46" s="289">
        <f t="shared" si="33"/>
        <v>0</v>
      </c>
      <c r="BT46" s="289">
        <f t="shared" si="33"/>
        <v>0</v>
      </c>
      <c r="BU46" s="289">
        <f t="shared" si="33"/>
        <v>0</v>
      </c>
      <c r="BV46" s="289">
        <f t="shared" si="33"/>
        <v>0</v>
      </c>
      <c r="BW46" s="289">
        <f t="shared" si="33"/>
        <v>0</v>
      </c>
      <c r="BX46" s="289">
        <f t="shared" si="33"/>
        <v>0</v>
      </c>
      <c r="BY46" s="289">
        <f t="shared" si="33"/>
        <v>0</v>
      </c>
      <c r="BZ46" s="289">
        <f t="shared" si="33"/>
        <v>0</v>
      </c>
      <c r="CA46" s="290"/>
      <c r="CB46" s="223"/>
      <c r="CE46" s="219"/>
    </row>
    <row r="47" spans="1:87" s="216" customFormat="1">
      <c r="A47" s="215"/>
      <c r="B47" s="248" t="s">
        <v>150</v>
      </c>
      <c r="C47" s="214">
        <f>100%-C46</f>
        <v>0.25</v>
      </c>
      <c r="D47" s="293">
        <f>((D46/$C$46)*$C$47)</f>
        <v>0</v>
      </c>
      <c r="E47" s="293">
        <f t="shared" ref="E47:BN47" si="34">((E46/$C$46)*$C$47)</f>
        <v>0</v>
      </c>
      <c r="F47" s="289">
        <f t="shared" si="34"/>
        <v>0</v>
      </c>
      <c r="G47" s="289">
        <f t="shared" si="34"/>
        <v>0</v>
      </c>
      <c r="H47" s="289">
        <f t="shared" si="34"/>
        <v>0</v>
      </c>
      <c r="I47" s="289">
        <f t="shared" si="34"/>
        <v>0</v>
      </c>
      <c r="J47" s="289">
        <f t="shared" si="34"/>
        <v>0</v>
      </c>
      <c r="K47" s="289">
        <f t="shared" si="34"/>
        <v>0</v>
      </c>
      <c r="L47" s="289">
        <f t="shared" si="34"/>
        <v>0</v>
      </c>
      <c r="M47" s="289">
        <f t="shared" si="34"/>
        <v>0</v>
      </c>
      <c r="N47" s="289">
        <f t="shared" si="34"/>
        <v>0</v>
      </c>
      <c r="O47" s="289">
        <f t="shared" si="34"/>
        <v>0</v>
      </c>
      <c r="P47" s="289">
        <f t="shared" si="34"/>
        <v>0</v>
      </c>
      <c r="Q47" s="289">
        <f t="shared" si="34"/>
        <v>0</v>
      </c>
      <c r="R47" s="289">
        <f t="shared" si="34"/>
        <v>0</v>
      </c>
      <c r="S47" s="289">
        <f t="shared" si="34"/>
        <v>0</v>
      </c>
      <c r="T47" s="289">
        <f t="shared" si="34"/>
        <v>0</v>
      </c>
      <c r="U47" s="289">
        <f t="shared" si="34"/>
        <v>0</v>
      </c>
      <c r="V47" s="289">
        <f t="shared" si="34"/>
        <v>0</v>
      </c>
      <c r="W47" s="289">
        <f t="shared" si="34"/>
        <v>0</v>
      </c>
      <c r="X47" s="289">
        <f t="shared" si="34"/>
        <v>0</v>
      </c>
      <c r="Y47" s="289">
        <f t="shared" si="34"/>
        <v>0</v>
      </c>
      <c r="Z47" s="289">
        <f t="shared" si="34"/>
        <v>0</v>
      </c>
      <c r="AA47" s="289">
        <f t="shared" si="34"/>
        <v>0</v>
      </c>
      <c r="AB47" s="289">
        <f t="shared" si="34"/>
        <v>0</v>
      </c>
      <c r="AC47" s="289">
        <f t="shared" si="34"/>
        <v>0</v>
      </c>
      <c r="AD47" s="289">
        <f t="shared" si="34"/>
        <v>0</v>
      </c>
      <c r="AE47" s="289">
        <f t="shared" si="34"/>
        <v>0</v>
      </c>
      <c r="AF47" s="289">
        <f t="shared" si="34"/>
        <v>0</v>
      </c>
      <c r="AG47" s="289">
        <f t="shared" si="34"/>
        <v>0</v>
      </c>
      <c r="AH47" s="289">
        <f t="shared" si="34"/>
        <v>0</v>
      </c>
      <c r="AI47" s="289">
        <f t="shared" si="34"/>
        <v>0</v>
      </c>
      <c r="AJ47" s="289">
        <f t="shared" si="34"/>
        <v>0</v>
      </c>
      <c r="AK47" s="289">
        <f t="shared" si="34"/>
        <v>0</v>
      </c>
      <c r="AL47" s="289">
        <f t="shared" si="34"/>
        <v>0</v>
      </c>
      <c r="AM47" s="289">
        <f t="shared" si="34"/>
        <v>0</v>
      </c>
      <c r="AN47" s="289">
        <f t="shared" si="34"/>
        <v>0</v>
      </c>
      <c r="AO47" s="289">
        <f t="shared" si="34"/>
        <v>0</v>
      </c>
      <c r="AP47" s="289">
        <f t="shared" si="34"/>
        <v>0</v>
      </c>
      <c r="AQ47" s="289">
        <f t="shared" si="34"/>
        <v>0</v>
      </c>
      <c r="AR47" s="289">
        <f t="shared" si="34"/>
        <v>0</v>
      </c>
      <c r="AS47" s="289">
        <f t="shared" si="34"/>
        <v>0</v>
      </c>
      <c r="AT47" s="289">
        <f t="shared" si="34"/>
        <v>0</v>
      </c>
      <c r="AU47" s="289">
        <f t="shared" si="34"/>
        <v>0</v>
      </c>
      <c r="AV47" s="289">
        <f t="shared" si="34"/>
        <v>0</v>
      </c>
      <c r="AW47" s="289">
        <f t="shared" si="34"/>
        <v>0</v>
      </c>
      <c r="AX47" s="289">
        <f t="shared" si="34"/>
        <v>0</v>
      </c>
      <c r="AY47" s="289">
        <f t="shared" si="34"/>
        <v>0</v>
      </c>
      <c r="AZ47" s="289">
        <f t="shared" si="34"/>
        <v>0</v>
      </c>
      <c r="BA47" s="289">
        <f t="shared" si="34"/>
        <v>0</v>
      </c>
      <c r="BB47" s="289">
        <f t="shared" si="34"/>
        <v>0</v>
      </c>
      <c r="BC47" s="289">
        <f t="shared" si="34"/>
        <v>0</v>
      </c>
      <c r="BD47" s="289">
        <f t="shared" si="34"/>
        <v>0</v>
      </c>
      <c r="BE47" s="289">
        <f t="shared" si="34"/>
        <v>0</v>
      </c>
      <c r="BF47" s="289">
        <f t="shared" si="34"/>
        <v>0</v>
      </c>
      <c r="BG47" s="289">
        <f t="shared" si="34"/>
        <v>0</v>
      </c>
      <c r="BH47" s="289">
        <f t="shared" si="34"/>
        <v>0</v>
      </c>
      <c r="BI47" s="289">
        <f t="shared" si="34"/>
        <v>0</v>
      </c>
      <c r="BJ47" s="289">
        <f t="shared" si="34"/>
        <v>0</v>
      </c>
      <c r="BK47" s="289">
        <f t="shared" si="34"/>
        <v>0</v>
      </c>
      <c r="BL47" s="289">
        <f t="shared" si="34"/>
        <v>0</v>
      </c>
      <c r="BM47" s="289">
        <f t="shared" si="34"/>
        <v>0</v>
      </c>
      <c r="BN47" s="289">
        <f t="shared" si="34"/>
        <v>0</v>
      </c>
      <c r="BO47" s="289">
        <f t="shared" ref="BO47:BZ47" si="35">((BO46/$C$46)*$C$47)</f>
        <v>0</v>
      </c>
      <c r="BP47" s="289">
        <f t="shared" si="35"/>
        <v>0</v>
      </c>
      <c r="BQ47" s="289">
        <f t="shared" si="35"/>
        <v>0</v>
      </c>
      <c r="BR47" s="289">
        <f t="shared" si="35"/>
        <v>0</v>
      </c>
      <c r="BS47" s="289">
        <f t="shared" si="35"/>
        <v>0</v>
      </c>
      <c r="BT47" s="289">
        <f t="shared" si="35"/>
        <v>0</v>
      </c>
      <c r="BU47" s="289">
        <f t="shared" si="35"/>
        <v>0</v>
      </c>
      <c r="BV47" s="289">
        <f t="shared" si="35"/>
        <v>0</v>
      </c>
      <c r="BW47" s="289">
        <f t="shared" si="35"/>
        <v>0</v>
      </c>
      <c r="BX47" s="289">
        <f t="shared" si="35"/>
        <v>0</v>
      </c>
      <c r="BY47" s="289">
        <f t="shared" si="35"/>
        <v>0</v>
      </c>
      <c r="BZ47" s="289">
        <f t="shared" si="35"/>
        <v>0</v>
      </c>
      <c r="CA47" s="290"/>
      <c r="CE47" s="219"/>
    </row>
    <row r="48" spans="1:87" s="216" customFormat="1">
      <c r="A48" s="215"/>
      <c r="B48" s="741"/>
      <c r="C48" s="292"/>
      <c r="D48" s="489"/>
      <c r="E48" s="489"/>
      <c r="F48" s="489"/>
      <c r="G48" s="489"/>
      <c r="H48" s="489"/>
      <c r="I48" s="489"/>
      <c r="J48" s="489"/>
      <c r="K48" s="489"/>
      <c r="L48" s="489"/>
      <c r="M48" s="489"/>
      <c r="N48" s="489"/>
      <c r="O48" s="489"/>
      <c r="P48" s="489"/>
      <c r="Q48" s="489"/>
      <c r="R48" s="489"/>
      <c r="S48" s="489"/>
      <c r="T48" s="489"/>
      <c r="U48" s="489"/>
      <c r="V48" s="489"/>
      <c r="W48" s="489"/>
      <c r="X48" s="489"/>
      <c r="Y48" s="489"/>
      <c r="Z48" s="489"/>
      <c r="AA48" s="489"/>
      <c r="AB48" s="489"/>
      <c r="AC48" s="489"/>
      <c r="AD48" s="489"/>
      <c r="AE48" s="489"/>
      <c r="AF48" s="489"/>
      <c r="AG48" s="489"/>
      <c r="AH48" s="489"/>
      <c r="AI48" s="489"/>
      <c r="AJ48" s="489"/>
      <c r="AK48" s="489"/>
      <c r="AL48" s="489"/>
      <c r="AM48" s="489"/>
      <c r="AN48" s="489"/>
      <c r="AO48" s="489"/>
      <c r="AP48" s="489"/>
      <c r="AQ48" s="489"/>
      <c r="AR48" s="489"/>
      <c r="AS48" s="489"/>
      <c r="AT48" s="489"/>
      <c r="AU48" s="489"/>
      <c r="AV48" s="489"/>
      <c r="AW48" s="489"/>
      <c r="AX48" s="578"/>
      <c r="AY48" s="489"/>
      <c r="AZ48" s="489"/>
      <c r="BA48" s="489"/>
      <c r="BB48" s="489"/>
      <c r="BC48" s="489"/>
      <c r="BD48" s="489"/>
      <c r="BE48" s="489"/>
      <c r="BF48" s="489"/>
      <c r="BG48" s="489"/>
      <c r="BH48" s="489"/>
      <c r="BI48" s="489"/>
      <c r="BJ48" s="489"/>
      <c r="BK48" s="489"/>
      <c r="BL48" s="489"/>
      <c r="BM48" s="489"/>
      <c r="BN48" s="489"/>
      <c r="BO48" s="489"/>
      <c r="BP48" s="489"/>
      <c r="BQ48" s="489"/>
      <c r="BR48" s="489"/>
      <c r="BS48" s="489"/>
      <c r="BT48" s="489"/>
      <c r="BU48" s="489"/>
      <c r="BV48" s="489"/>
      <c r="BW48" s="489"/>
      <c r="BX48" s="489"/>
      <c r="BY48" s="489"/>
      <c r="BZ48" s="489"/>
      <c r="CA48" s="290"/>
      <c r="CE48" s="219"/>
    </row>
    <row r="49" spans="1:83" s="216" customFormat="1">
      <c r="A49" s="215"/>
      <c r="B49" s="583">
        <f>SUM(D24:BN24,D27:BN27,D40:BN40,D46:BN46)/$C$5</f>
        <v>0.21644850840169752</v>
      </c>
      <c r="C49" s="214"/>
      <c r="D49" s="293"/>
      <c r="E49" s="489"/>
      <c r="F49" s="489"/>
      <c r="G49" s="489"/>
      <c r="H49" s="489"/>
      <c r="I49" s="489"/>
      <c r="J49" s="489"/>
      <c r="K49" s="489"/>
      <c r="L49" s="489"/>
      <c r="M49" s="489"/>
      <c r="N49" s="489"/>
      <c r="O49" s="489"/>
      <c r="P49" s="489"/>
      <c r="Q49" s="489"/>
      <c r="R49" s="489"/>
      <c r="S49" s="489"/>
      <c r="T49" s="489"/>
      <c r="U49" s="489"/>
      <c r="V49" s="489"/>
      <c r="W49" s="489"/>
      <c r="X49" s="489"/>
      <c r="Y49" s="489"/>
      <c r="Z49" s="489"/>
      <c r="AA49" s="489"/>
      <c r="AB49" s="489"/>
      <c r="AC49" s="489"/>
      <c r="AD49" s="489"/>
      <c r="AE49" s="489"/>
      <c r="AF49" s="489"/>
      <c r="AG49" s="489"/>
      <c r="AH49" s="489"/>
      <c r="AI49" s="489"/>
      <c r="AJ49" s="489"/>
      <c r="AK49" s="489"/>
      <c r="AL49" s="489"/>
      <c r="AM49" s="489"/>
      <c r="AN49" s="489"/>
      <c r="AO49" s="489"/>
      <c r="AP49" s="489"/>
      <c r="AQ49" s="489"/>
      <c r="AR49" s="489"/>
      <c r="AS49" s="489"/>
      <c r="AT49" s="489"/>
      <c r="AU49" s="489"/>
      <c r="AV49" s="489"/>
      <c r="AW49" s="489"/>
      <c r="AX49" s="578"/>
      <c r="AY49" s="489"/>
      <c r="AZ49" s="489"/>
      <c r="BA49" s="489"/>
      <c r="BB49" s="489"/>
      <c r="BC49" s="489"/>
      <c r="BD49" s="489"/>
      <c r="BE49" s="489"/>
      <c r="BF49" s="489"/>
      <c r="BG49" s="489"/>
      <c r="BH49" s="489"/>
      <c r="BI49" s="489"/>
      <c r="BJ49" s="489"/>
      <c r="BK49" s="489"/>
      <c r="BL49" s="489"/>
      <c r="BM49" s="489"/>
      <c r="BN49" s="489"/>
      <c r="BO49" s="489"/>
      <c r="BP49" s="489"/>
      <c r="BQ49" s="489"/>
      <c r="BR49" s="489"/>
      <c r="BS49" s="489"/>
      <c r="BT49" s="489"/>
      <c r="BU49" s="489"/>
      <c r="BV49" s="489"/>
      <c r="BW49" s="489"/>
      <c r="BX49" s="489"/>
      <c r="BY49" s="489"/>
      <c r="BZ49" s="489"/>
      <c r="CA49" s="290"/>
      <c r="CE49" s="219"/>
    </row>
    <row r="50" spans="1:83" s="216" customFormat="1">
      <c r="A50" s="215"/>
      <c r="B50" s="584">
        <f>IF(($C$5*$CF$7)-SUM(D24:BN24,D27:BN27,D40:BN40,D46:BN46)&lt;0,0,($C$5*$CF$7)-SUM(D24:BN24,D27:BN27,D40:BN40,D46:BN46))</f>
        <v>0</v>
      </c>
      <c r="C50" s="585"/>
      <c r="D50" s="271"/>
      <c r="E50" s="489"/>
      <c r="F50" s="489"/>
      <c r="G50" s="489"/>
      <c r="H50" s="489"/>
      <c r="I50" s="489"/>
      <c r="J50" s="489"/>
      <c r="K50" s="489"/>
      <c r="L50" s="489"/>
      <c r="M50" s="489"/>
      <c r="N50" s="489"/>
      <c r="O50" s="489"/>
      <c r="P50" s="489"/>
      <c r="Q50" s="489"/>
      <c r="R50" s="489"/>
      <c r="S50" s="489"/>
      <c r="T50" s="489"/>
      <c r="U50" s="489"/>
      <c r="V50" s="489"/>
      <c r="W50" s="489"/>
      <c r="X50" s="489"/>
      <c r="Y50" s="489"/>
      <c r="Z50" s="489"/>
      <c r="AA50" s="489"/>
      <c r="AB50" s="489"/>
      <c r="AC50" s="489"/>
      <c r="AD50" s="489"/>
      <c r="AE50" s="489"/>
      <c r="AF50" s="489"/>
      <c r="AG50" s="489"/>
      <c r="AH50" s="489"/>
      <c r="AI50" s="489"/>
      <c r="AJ50" s="489"/>
      <c r="AK50" s="489"/>
      <c r="AL50" s="489"/>
      <c r="AM50" s="489"/>
      <c r="AN50" s="489"/>
      <c r="AO50" s="489"/>
      <c r="AP50" s="489"/>
      <c r="AQ50" s="489"/>
      <c r="AR50" s="489"/>
      <c r="AS50" s="489"/>
      <c r="AT50" s="489"/>
      <c r="AU50" s="489"/>
      <c r="AV50" s="489"/>
      <c r="AW50" s="489"/>
      <c r="AX50" s="578"/>
      <c r="AY50" s="489"/>
      <c r="AZ50" s="489"/>
      <c r="BA50" s="489"/>
      <c r="BB50" s="489"/>
      <c r="BC50" s="489"/>
      <c r="BD50" s="489"/>
      <c r="BE50" s="489"/>
      <c r="BF50" s="489"/>
      <c r="BG50" s="489"/>
      <c r="BH50" s="489"/>
      <c r="BI50" s="489"/>
      <c r="BJ50" s="489"/>
      <c r="BK50" s="489"/>
      <c r="BL50" s="489"/>
      <c r="BM50" s="489"/>
      <c r="BN50" s="489"/>
      <c r="BO50" s="489"/>
      <c r="BP50" s="489"/>
      <c r="BQ50" s="489"/>
      <c r="BR50" s="489"/>
      <c r="BS50" s="489"/>
      <c r="BT50" s="489"/>
      <c r="BU50" s="489"/>
      <c r="BV50" s="489"/>
      <c r="BW50" s="489"/>
      <c r="BX50" s="489"/>
      <c r="BY50" s="489"/>
      <c r="BZ50" s="489"/>
      <c r="CA50" s="290"/>
      <c r="CE50" s="219"/>
    </row>
    <row r="51" spans="1:83" s="216" customFormat="1">
      <c r="A51" s="215"/>
      <c r="B51" s="587"/>
      <c r="C51" s="214"/>
      <c r="D51" s="293"/>
      <c r="E51" s="489"/>
      <c r="F51" s="489"/>
      <c r="G51" s="489"/>
      <c r="H51" s="489"/>
      <c r="I51" s="489"/>
      <c r="J51" s="489"/>
      <c r="K51" s="489"/>
      <c r="L51" s="489"/>
      <c r="M51" s="489"/>
      <c r="N51" s="489"/>
      <c r="O51" s="489"/>
      <c r="P51" s="489"/>
      <c r="Q51" s="489"/>
      <c r="R51" s="489"/>
      <c r="S51" s="489"/>
      <c r="T51" s="489"/>
      <c r="U51" s="489"/>
      <c r="V51" s="489"/>
      <c r="W51" s="489"/>
      <c r="X51" s="489"/>
      <c r="Y51" s="489"/>
      <c r="Z51" s="489"/>
      <c r="AA51" s="489"/>
      <c r="AB51" s="489"/>
      <c r="AC51" s="489"/>
      <c r="AD51" s="489"/>
      <c r="AE51" s="489"/>
      <c r="AF51" s="489"/>
      <c r="AG51" s="489"/>
      <c r="AH51" s="489"/>
      <c r="AI51" s="489"/>
      <c r="AJ51" s="489"/>
      <c r="AK51" s="489"/>
      <c r="AL51" s="489"/>
      <c r="AM51" s="489"/>
      <c r="AN51" s="489"/>
      <c r="AO51" s="489"/>
      <c r="AP51" s="489"/>
      <c r="AQ51" s="489"/>
      <c r="AR51" s="489"/>
      <c r="AS51" s="489"/>
      <c r="AT51" s="489"/>
      <c r="AU51" s="489"/>
      <c r="AV51" s="489"/>
      <c r="AW51" s="489"/>
      <c r="AX51" s="578"/>
      <c r="AY51" s="489"/>
      <c r="AZ51" s="489"/>
      <c r="BA51" s="489"/>
      <c r="BB51" s="489"/>
      <c r="BC51" s="489"/>
      <c r="BD51" s="489"/>
      <c r="BE51" s="489"/>
      <c r="BF51" s="489"/>
      <c r="BG51" s="489"/>
      <c r="BH51" s="489"/>
      <c r="BI51" s="489"/>
      <c r="BJ51" s="489"/>
      <c r="BK51" s="489"/>
      <c r="BL51" s="489"/>
      <c r="BM51" s="489"/>
      <c r="BN51" s="489"/>
      <c r="BO51" s="489"/>
      <c r="BP51" s="489"/>
      <c r="BQ51" s="489"/>
      <c r="BR51" s="489"/>
      <c r="BS51" s="489"/>
      <c r="BT51" s="489"/>
      <c r="BU51" s="489"/>
      <c r="BV51" s="489"/>
      <c r="BW51" s="489"/>
      <c r="BX51" s="489"/>
      <c r="BY51" s="489"/>
      <c r="BZ51" s="489"/>
      <c r="CA51" s="290"/>
      <c r="CE51" s="219"/>
    </row>
    <row r="52" spans="1:83" s="216" customFormat="1">
      <c r="A52" s="215"/>
      <c r="B52" s="588" t="s">
        <v>213</v>
      </c>
      <c r="C52" s="292" t="s">
        <v>171</v>
      </c>
      <c r="D52" s="293"/>
      <c r="E52" s="489"/>
      <c r="F52" s="489"/>
      <c r="G52" s="489"/>
      <c r="H52" s="489"/>
      <c r="I52" s="489"/>
      <c r="J52" s="489"/>
      <c r="K52" s="489"/>
      <c r="L52" s="489"/>
      <c r="M52" s="489"/>
      <c r="N52" s="489"/>
      <c r="O52" s="489"/>
      <c r="P52" s="489"/>
      <c r="Q52" s="489"/>
      <c r="R52" s="489"/>
      <c r="S52" s="489"/>
      <c r="T52" s="489"/>
      <c r="U52" s="489"/>
      <c r="V52" s="489"/>
      <c r="W52" s="489"/>
      <c r="X52" s="489"/>
      <c r="Y52" s="489"/>
      <c r="Z52" s="489"/>
      <c r="AA52" s="489"/>
      <c r="AB52" s="489"/>
      <c r="AC52" s="489"/>
      <c r="AD52" s="489"/>
      <c r="AE52" s="489"/>
      <c r="AF52" s="489"/>
      <c r="AG52" s="489"/>
      <c r="AH52" s="489"/>
      <c r="AI52" s="489"/>
      <c r="AJ52" s="489"/>
      <c r="AK52" s="489"/>
      <c r="AL52" s="489"/>
      <c r="AM52" s="489"/>
      <c r="AN52" s="489"/>
      <c r="AO52" s="489"/>
      <c r="AP52" s="489"/>
      <c r="AQ52" s="489"/>
      <c r="AR52" s="489"/>
      <c r="AS52" s="489"/>
      <c r="AT52" s="489"/>
      <c r="AU52" s="489"/>
      <c r="AV52" s="489"/>
      <c r="AW52" s="489"/>
      <c r="AX52" s="578"/>
      <c r="AY52" s="489"/>
      <c r="AZ52" s="489"/>
      <c r="BA52" s="489"/>
      <c r="BB52" s="489"/>
      <c r="BC52" s="489"/>
      <c r="BD52" s="489"/>
      <c r="BE52" s="489"/>
      <c r="BF52" s="489"/>
      <c r="BG52" s="489"/>
      <c r="BH52" s="489"/>
      <c r="BI52" s="489"/>
      <c r="BJ52" s="489"/>
      <c r="BK52" s="489"/>
      <c r="BL52" s="489"/>
      <c r="BM52" s="489"/>
      <c r="BN52" s="489"/>
      <c r="BO52" s="489"/>
      <c r="BP52" s="489"/>
      <c r="BQ52" s="489"/>
      <c r="BR52" s="489"/>
      <c r="BS52" s="489"/>
      <c r="BT52" s="489"/>
      <c r="BU52" s="489"/>
      <c r="BV52" s="489"/>
      <c r="BW52" s="489"/>
      <c r="BX52" s="489"/>
      <c r="BY52" s="489"/>
      <c r="BZ52" s="489"/>
      <c r="CA52" s="290"/>
      <c r="CE52" s="219"/>
    </row>
    <row r="53" spans="1:83" s="216" customFormat="1">
      <c r="A53" s="215"/>
      <c r="B53" s="584" t="str">
        <f>B46</f>
        <v>Equity</v>
      </c>
      <c r="C53" s="214">
        <f>$CC$7</f>
        <v>0.75</v>
      </c>
      <c r="D53" s="589">
        <f t="shared" ref="D53:AI53" si="36">IF(AND(D6=$C$3,$B$49&lt;$CF$7),(MIN($B$50,(D32-D40-D41-D46-D47)*$C$53))+D46,D46)</f>
        <v>0</v>
      </c>
      <c r="E53" s="589">
        <f t="shared" si="36"/>
        <v>0</v>
      </c>
      <c r="F53" s="589">
        <f t="shared" si="36"/>
        <v>0</v>
      </c>
      <c r="G53" s="589">
        <f t="shared" si="36"/>
        <v>0</v>
      </c>
      <c r="H53" s="589">
        <f t="shared" si="36"/>
        <v>0</v>
      </c>
      <c r="I53" s="589">
        <f t="shared" si="36"/>
        <v>0</v>
      </c>
      <c r="J53" s="589">
        <f t="shared" si="36"/>
        <v>0</v>
      </c>
      <c r="K53" s="589">
        <f t="shared" si="36"/>
        <v>0</v>
      </c>
      <c r="L53" s="589">
        <f t="shared" si="36"/>
        <v>0</v>
      </c>
      <c r="M53" s="589">
        <f t="shared" si="36"/>
        <v>0</v>
      </c>
      <c r="N53" s="589">
        <f t="shared" si="36"/>
        <v>0</v>
      </c>
      <c r="O53" s="589">
        <f t="shared" si="36"/>
        <v>0</v>
      </c>
      <c r="P53" s="589">
        <f t="shared" si="36"/>
        <v>0</v>
      </c>
      <c r="Q53" s="589">
        <f t="shared" si="36"/>
        <v>0</v>
      </c>
      <c r="R53" s="589">
        <f t="shared" si="36"/>
        <v>0</v>
      </c>
      <c r="S53" s="589">
        <f t="shared" si="36"/>
        <v>0</v>
      </c>
      <c r="T53" s="589">
        <f t="shared" si="36"/>
        <v>0</v>
      </c>
      <c r="U53" s="589">
        <f t="shared" si="36"/>
        <v>0</v>
      </c>
      <c r="V53" s="589">
        <f t="shared" si="36"/>
        <v>0</v>
      </c>
      <c r="W53" s="589">
        <f t="shared" si="36"/>
        <v>0</v>
      </c>
      <c r="X53" s="589">
        <f t="shared" si="36"/>
        <v>0</v>
      </c>
      <c r="Y53" s="589">
        <f t="shared" si="36"/>
        <v>0</v>
      </c>
      <c r="Z53" s="589">
        <f t="shared" si="36"/>
        <v>0</v>
      </c>
      <c r="AA53" s="589">
        <f t="shared" si="36"/>
        <v>0</v>
      </c>
      <c r="AB53" s="589">
        <f t="shared" si="36"/>
        <v>0</v>
      </c>
      <c r="AC53" s="589">
        <f t="shared" si="36"/>
        <v>0</v>
      </c>
      <c r="AD53" s="589">
        <f t="shared" si="36"/>
        <v>0</v>
      </c>
      <c r="AE53" s="589">
        <f t="shared" si="36"/>
        <v>0</v>
      </c>
      <c r="AF53" s="589">
        <f t="shared" si="36"/>
        <v>0</v>
      </c>
      <c r="AG53" s="589">
        <f t="shared" si="36"/>
        <v>0</v>
      </c>
      <c r="AH53" s="589">
        <f t="shared" si="36"/>
        <v>0</v>
      </c>
      <c r="AI53" s="589">
        <f t="shared" si="36"/>
        <v>0</v>
      </c>
      <c r="AJ53" s="589">
        <f t="shared" ref="AJ53:BO53" si="37">IF(AND(AJ6=$C$3,$B$49&lt;$CF$7),(MIN($B$50,(AJ32-AJ40-AJ41-AJ46-AJ47)*$C$53))+AJ46,AJ46)</f>
        <v>0</v>
      </c>
      <c r="AK53" s="589">
        <f t="shared" si="37"/>
        <v>0</v>
      </c>
      <c r="AL53" s="589">
        <f t="shared" si="37"/>
        <v>0</v>
      </c>
      <c r="AM53" s="589">
        <f t="shared" si="37"/>
        <v>0</v>
      </c>
      <c r="AN53" s="589">
        <f t="shared" si="37"/>
        <v>0</v>
      </c>
      <c r="AO53" s="589">
        <f t="shared" si="37"/>
        <v>0</v>
      </c>
      <c r="AP53" s="589">
        <f t="shared" si="37"/>
        <v>0</v>
      </c>
      <c r="AQ53" s="589">
        <f t="shared" si="37"/>
        <v>0</v>
      </c>
      <c r="AR53" s="589">
        <f t="shared" si="37"/>
        <v>0</v>
      </c>
      <c r="AS53" s="589">
        <f t="shared" si="37"/>
        <v>0</v>
      </c>
      <c r="AT53" s="589">
        <f t="shared" si="37"/>
        <v>0</v>
      </c>
      <c r="AU53" s="589">
        <f t="shared" si="37"/>
        <v>0</v>
      </c>
      <c r="AV53" s="589">
        <f t="shared" si="37"/>
        <v>0</v>
      </c>
      <c r="AW53" s="589">
        <f t="shared" si="37"/>
        <v>0</v>
      </c>
      <c r="AX53" s="589">
        <f t="shared" si="37"/>
        <v>0</v>
      </c>
      <c r="AY53" s="589">
        <f t="shared" si="37"/>
        <v>0</v>
      </c>
      <c r="AZ53" s="589">
        <f t="shared" si="37"/>
        <v>0</v>
      </c>
      <c r="BA53" s="589">
        <f t="shared" si="37"/>
        <v>0</v>
      </c>
      <c r="BB53" s="589">
        <f t="shared" si="37"/>
        <v>0</v>
      </c>
      <c r="BC53" s="589">
        <f t="shared" si="37"/>
        <v>0</v>
      </c>
      <c r="BD53" s="589">
        <f t="shared" si="37"/>
        <v>0</v>
      </c>
      <c r="BE53" s="589">
        <f t="shared" si="37"/>
        <v>0</v>
      </c>
      <c r="BF53" s="589">
        <f t="shared" si="37"/>
        <v>0</v>
      </c>
      <c r="BG53" s="589">
        <f t="shared" si="37"/>
        <v>0</v>
      </c>
      <c r="BH53" s="589">
        <f t="shared" si="37"/>
        <v>0</v>
      </c>
      <c r="BI53" s="589">
        <f t="shared" si="37"/>
        <v>0</v>
      </c>
      <c r="BJ53" s="589">
        <f t="shared" si="37"/>
        <v>0</v>
      </c>
      <c r="BK53" s="589">
        <f t="shared" si="37"/>
        <v>0</v>
      </c>
      <c r="BL53" s="589">
        <f t="shared" si="37"/>
        <v>0</v>
      </c>
      <c r="BM53" s="589">
        <f t="shared" si="37"/>
        <v>0</v>
      </c>
      <c r="BN53" s="589">
        <f t="shared" si="37"/>
        <v>0</v>
      </c>
      <c r="BO53" s="589">
        <f t="shared" si="37"/>
        <v>0</v>
      </c>
      <c r="BP53" s="589">
        <f t="shared" ref="BP53:BZ53" si="38">IF(AND(BP6=$C$3,$B$49&lt;$CF$7),(MIN($B$50,(BP32-BP40-BP41-BP46-BP47)*$C$53))+BP46,BP46)</f>
        <v>0</v>
      </c>
      <c r="BQ53" s="589">
        <f t="shared" si="38"/>
        <v>0</v>
      </c>
      <c r="BR53" s="589">
        <f t="shared" si="38"/>
        <v>0</v>
      </c>
      <c r="BS53" s="589">
        <f t="shared" si="38"/>
        <v>0</v>
      </c>
      <c r="BT53" s="589">
        <f t="shared" si="38"/>
        <v>0</v>
      </c>
      <c r="BU53" s="589">
        <f t="shared" si="38"/>
        <v>0</v>
      </c>
      <c r="BV53" s="589">
        <f t="shared" si="38"/>
        <v>0</v>
      </c>
      <c r="BW53" s="589">
        <f t="shared" si="38"/>
        <v>0</v>
      </c>
      <c r="BX53" s="589">
        <f t="shared" si="38"/>
        <v>0</v>
      </c>
      <c r="BY53" s="589">
        <f t="shared" si="38"/>
        <v>0</v>
      </c>
      <c r="BZ53" s="589">
        <f t="shared" si="38"/>
        <v>0</v>
      </c>
      <c r="CA53" s="290"/>
      <c r="CE53" s="219"/>
    </row>
    <row r="54" spans="1:83" s="216" customFormat="1">
      <c r="A54" s="215"/>
      <c r="B54" s="584" t="str">
        <f>B47</f>
        <v>Sponsor</v>
      </c>
      <c r="C54" s="214">
        <f>100%-C53</f>
        <v>0.25</v>
      </c>
      <c r="D54" s="293">
        <f t="shared" ref="D54:BN54" si="39">((D53/$C$53)*$C$54)</f>
        <v>0</v>
      </c>
      <c r="E54" s="293">
        <f t="shared" si="39"/>
        <v>0</v>
      </c>
      <c r="F54" s="293">
        <f t="shared" si="39"/>
        <v>0</v>
      </c>
      <c r="G54" s="293">
        <f t="shared" si="39"/>
        <v>0</v>
      </c>
      <c r="H54" s="293">
        <f t="shared" si="39"/>
        <v>0</v>
      </c>
      <c r="I54" s="293">
        <f t="shared" si="39"/>
        <v>0</v>
      </c>
      <c r="J54" s="293">
        <f t="shared" si="39"/>
        <v>0</v>
      </c>
      <c r="K54" s="293">
        <f t="shared" si="39"/>
        <v>0</v>
      </c>
      <c r="L54" s="293">
        <f t="shared" si="39"/>
        <v>0</v>
      </c>
      <c r="M54" s="293">
        <f t="shared" si="39"/>
        <v>0</v>
      </c>
      <c r="N54" s="293">
        <f t="shared" si="39"/>
        <v>0</v>
      </c>
      <c r="O54" s="293">
        <f t="shared" si="39"/>
        <v>0</v>
      </c>
      <c r="P54" s="293">
        <f t="shared" si="39"/>
        <v>0</v>
      </c>
      <c r="Q54" s="293">
        <f t="shared" si="39"/>
        <v>0</v>
      </c>
      <c r="R54" s="293">
        <f t="shared" si="39"/>
        <v>0</v>
      </c>
      <c r="S54" s="293">
        <f t="shared" si="39"/>
        <v>0</v>
      </c>
      <c r="T54" s="293">
        <f t="shared" si="39"/>
        <v>0</v>
      </c>
      <c r="U54" s="293">
        <f t="shared" si="39"/>
        <v>0</v>
      </c>
      <c r="V54" s="293">
        <f t="shared" si="39"/>
        <v>0</v>
      </c>
      <c r="W54" s="293">
        <f t="shared" si="39"/>
        <v>0</v>
      </c>
      <c r="X54" s="293">
        <f t="shared" si="39"/>
        <v>0</v>
      </c>
      <c r="Y54" s="293">
        <f t="shared" si="39"/>
        <v>0</v>
      </c>
      <c r="Z54" s="293">
        <f t="shared" si="39"/>
        <v>0</v>
      </c>
      <c r="AA54" s="293">
        <f t="shared" si="39"/>
        <v>0</v>
      </c>
      <c r="AB54" s="293">
        <f t="shared" si="39"/>
        <v>0</v>
      </c>
      <c r="AC54" s="293">
        <f t="shared" si="39"/>
        <v>0</v>
      </c>
      <c r="AD54" s="293">
        <f t="shared" si="39"/>
        <v>0</v>
      </c>
      <c r="AE54" s="293">
        <f t="shared" si="39"/>
        <v>0</v>
      </c>
      <c r="AF54" s="293">
        <f t="shared" si="39"/>
        <v>0</v>
      </c>
      <c r="AG54" s="293">
        <f t="shared" si="39"/>
        <v>0</v>
      </c>
      <c r="AH54" s="293">
        <f t="shared" si="39"/>
        <v>0</v>
      </c>
      <c r="AI54" s="293">
        <f t="shared" si="39"/>
        <v>0</v>
      </c>
      <c r="AJ54" s="293">
        <f t="shared" si="39"/>
        <v>0</v>
      </c>
      <c r="AK54" s="293">
        <f t="shared" si="39"/>
        <v>0</v>
      </c>
      <c r="AL54" s="293">
        <f t="shared" si="39"/>
        <v>0</v>
      </c>
      <c r="AM54" s="293">
        <f t="shared" si="39"/>
        <v>0</v>
      </c>
      <c r="AN54" s="293">
        <f t="shared" si="39"/>
        <v>0</v>
      </c>
      <c r="AO54" s="293">
        <f t="shared" si="39"/>
        <v>0</v>
      </c>
      <c r="AP54" s="293">
        <f t="shared" si="39"/>
        <v>0</v>
      </c>
      <c r="AQ54" s="293">
        <f t="shared" si="39"/>
        <v>0</v>
      </c>
      <c r="AR54" s="293">
        <f t="shared" si="39"/>
        <v>0</v>
      </c>
      <c r="AS54" s="293">
        <f t="shared" si="39"/>
        <v>0</v>
      </c>
      <c r="AT54" s="293">
        <f t="shared" si="39"/>
        <v>0</v>
      </c>
      <c r="AU54" s="293">
        <f t="shared" si="39"/>
        <v>0</v>
      </c>
      <c r="AV54" s="293">
        <f t="shared" si="39"/>
        <v>0</v>
      </c>
      <c r="AW54" s="293">
        <f t="shared" si="39"/>
        <v>0</v>
      </c>
      <c r="AX54" s="293">
        <f t="shared" si="39"/>
        <v>0</v>
      </c>
      <c r="AY54" s="293">
        <f t="shared" si="39"/>
        <v>0</v>
      </c>
      <c r="AZ54" s="293">
        <f t="shared" si="39"/>
        <v>0</v>
      </c>
      <c r="BA54" s="293">
        <f t="shared" si="39"/>
        <v>0</v>
      </c>
      <c r="BB54" s="293">
        <f t="shared" si="39"/>
        <v>0</v>
      </c>
      <c r="BC54" s="293">
        <f t="shared" si="39"/>
        <v>0</v>
      </c>
      <c r="BD54" s="293">
        <f t="shared" si="39"/>
        <v>0</v>
      </c>
      <c r="BE54" s="293">
        <f t="shared" si="39"/>
        <v>0</v>
      </c>
      <c r="BF54" s="293">
        <f t="shared" si="39"/>
        <v>0</v>
      </c>
      <c r="BG54" s="293">
        <f t="shared" si="39"/>
        <v>0</v>
      </c>
      <c r="BH54" s="293">
        <f t="shared" si="39"/>
        <v>0</v>
      </c>
      <c r="BI54" s="293">
        <f t="shared" si="39"/>
        <v>0</v>
      </c>
      <c r="BJ54" s="293">
        <f t="shared" si="39"/>
        <v>0</v>
      </c>
      <c r="BK54" s="293">
        <f t="shared" si="39"/>
        <v>0</v>
      </c>
      <c r="BL54" s="293">
        <f t="shared" si="39"/>
        <v>0</v>
      </c>
      <c r="BM54" s="293">
        <f t="shared" si="39"/>
        <v>0</v>
      </c>
      <c r="BN54" s="293">
        <f t="shared" si="39"/>
        <v>0</v>
      </c>
      <c r="BO54" s="293">
        <f t="shared" ref="BO54:BZ54" si="40">((BO53/$C$53)*$C$54)</f>
        <v>0</v>
      </c>
      <c r="BP54" s="293">
        <f t="shared" si="40"/>
        <v>0</v>
      </c>
      <c r="BQ54" s="293">
        <f t="shared" si="40"/>
        <v>0</v>
      </c>
      <c r="BR54" s="293">
        <f t="shared" si="40"/>
        <v>0</v>
      </c>
      <c r="BS54" s="293">
        <f t="shared" si="40"/>
        <v>0</v>
      </c>
      <c r="BT54" s="293">
        <f t="shared" si="40"/>
        <v>0</v>
      </c>
      <c r="BU54" s="293">
        <f t="shared" si="40"/>
        <v>0</v>
      </c>
      <c r="BV54" s="293">
        <f t="shared" si="40"/>
        <v>0</v>
      </c>
      <c r="BW54" s="293">
        <f t="shared" si="40"/>
        <v>0</v>
      </c>
      <c r="BX54" s="293">
        <f t="shared" si="40"/>
        <v>0</v>
      </c>
      <c r="BY54" s="293">
        <f t="shared" si="40"/>
        <v>0</v>
      </c>
      <c r="BZ54" s="293">
        <f t="shared" si="40"/>
        <v>0</v>
      </c>
      <c r="CA54" s="290"/>
      <c r="CE54" s="219"/>
    </row>
    <row r="55" spans="1:83" s="216" customFormat="1">
      <c r="A55" s="215"/>
      <c r="B55" s="584"/>
      <c r="C55" s="214"/>
      <c r="D55" s="293"/>
      <c r="E55" s="489"/>
      <c r="F55" s="489"/>
      <c r="G55" s="489"/>
      <c r="H55" s="489"/>
      <c r="I55" s="489"/>
      <c r="J55" s="489"/>
      <c r="K55" s="489"/>
      <c r="L55" s="489"/>
      <c r="M55" s="489"/>
      <c r="N55" s="489"/>
      <c r="O55" s="489"/>
      <c r="P55" s="489"/>
      <c r="Q55" s="489"/>
      <c r="R55" s="489"/>
      <c r="S55" s="489"/>
      <c r="T55" s="489"/>
      <c r="U55" s="489"/>
      <c r="V55" s="489"/>
      <c r="W55" s="489"/>
      <c r="X55" s="489"/>
      <c r="Y55" s="489"/>
      <c r="Z55" s="489"/>
      <c r="AA55" s="489"/>
      <c r="AB55" s="489"/>
      <c r="AC55" s="489"/>
      <c r="AD55" s="489"/>
      <c r="AE55" s="489"/>
      <c r="AF55" s="489"/>
      <c r="AG55" s="489"/>
      <c r="AH55" s="489"/>
      <c r="AI55" s="489"/>
      <c r="AJ55" s="489"/>
      <c r="AK55" s="489"/>
      <c r="AL55" s="489"/>
      <c r="AM55" s="489"/>
      <c r="AN55" s="489"/>
      <c r="AO55" s="489"/>
      <c r="AP55" s="489"/>
      <c r="AQ55" s="489"/>
      <c r="AR55" s="489"/>
      <c r="AS55" s="489"/>
      <c r="AT55" s="489"/>
      <c r="AU55" s="489"/>
      <c r="AV55" s="489"/>
      <c r="AW55" s="489"/>
      <c r="AX55" s="578"/>
      <c r="AY55" s="489"/>
      <c r="AZ55" s="489"/>
      <c r="BA55" s="489"/>
      <c r="BB55" s="489"/>
      <c r="BC55" s="489"/>
      <c r="BD55" s="489"/>
      <c r="BE55" s="489"/>
      <c r="BF55" s="489"/>
      <c r="BG55" s="489"/>
      <c r="BH55" s="489"/>
      <c r="BI55" s="489"/>
      <c r="BJ55" s="489"/>
      <c r="BK55" s="489"/>
      <c r="BL55" s="489"/>
      <c r="BM55" s="489"/>
      <c r="BN55" s="489"/>
      <c r="BO55" s="489"/>
      <c r="BP55" s="489"/>
      <c r="BQ55" s="489"/>
      <c r="BR55" s="489"/>
      <c r="BS55" s="489"/>
      <c r="BT55" s="489"/>
      <c r="BU55" s="489"/>
      <c r="BV55" s="489"/>
      <c r="BW55" s="489"/>
      <c r="BX55" s="489"/>
      <c r="BY55" s="489"/>
      <c r="BZ55" s="489"/>
      <c r="CA55" s="290"/>
      <c r="CE55" s="219"/>
    </row>
    <row r="56" spans="1:83" s="216" customFormat="1">
      <c r="A56" s="215"/>
      <c r="B56" s="591">
        <f>SUM(D24:BN24,D27:BN27,D40:BN40,D53:BN53)/$C$5</f>
        <v>0.21644850840169752</v>
      </c>
      <c r="E56" s="742"/>
      <c r="F56" s="742"/>
      <c r="G56" s="742"/>
      <c r="H56" s="742"/>
      <c r="I56" s="742"/>
      <c r="J56" s="742"/>
      <c r="K56" s="742"/>
      <c r="L56" s="742"/>
      <c r="M56" s="742"/>
      <c r="N56" s="742"/>
      <c r="O56" s="742"/>
      <c r="P56" s="742"/>
      <c r="Q56" s="742"/>
      <c r="R56" s="742"/>
      <c r="S56" s="742"/>
      <c r="T56" s="742"/>
      <c r="U56" s="742"/>
      <c r="V56" s="742"/>
      <c r="W56" s="742"/>
      <c r="X56" s="742"/>
      <c r="Y56" s="742"/>
      <c r="Z56" s="742"/>
      <c r="AA56" s="742"/>
      <c r="AB56" s="742"/>
      <c r="AC56" s="742"/>
      <c r="AD56" s="742"/>
      <c r="AE56" s="742"/>
      <c r="AF56" s="742"/>
      <c r="AG56" s="742"/>
      <c r="AH56" s="742"/>
      <c r="AI56" s="742"/>
      <c r="AJ56" s="742"/>
      <c r="AK56" s="742"/>
      <c r="AL56" s="742"/>
      <c r="AM56" s="742"/>
      <c r="AN56" s="742"/>
      <c r="AO56" s="742"/>
      <c r="AP56" s="742"/>
      <c r="AQ56" s="742"/>
      <c r="AR56" s="742"/>
      <c r="AS56" s="742"/>
      <c r="AT56" s="742"/>
      <c r="AU56" s="742"/>
      <c r="AV56" s="742"/>
      <c r="AW56" s="742"/>
      <c r="AX56" s="742"/>
      <c r="AY56" s="742"/>
      <c r="AZ56" s="742"/>
      <c r="BA56" s="742"/>
      <c r="BB56" s="742"/>
      <c r="BC56" s="742"/>
      <c r="BD56" s="742"/>
      <c r="BE56" s="742"/>
      <c r="BF56" s="742"/>
      <c r="BG56" s="742"/>
      <c r="BH56" s="742"/>
      <c r="BI56" s="742"/>
      <c r="BJ56" s="742"/>
      <c r="BK56" s="742"/>
      <c r="BL56" s="742"/>
      <c r="BM56" s="742"/>
      <c r="BN56" s="742"/>
      <c r="BO56" s="742"/>
      <c r="BP56" s="742"/>
      <c r="BQ56" s="742"/>
      <c r="BR56" s="742"/>
      <c r="BS56" s="742"/>
      <c r="BT56" s="742"/>
      <c r="BU56" s="742"/>
      <c r="BV56" s="742"/>
      <c r="BW56" s="742"/>
      <c r="BX56" s="742"/>
      <c r="BY56" s="742"/>
      <c r="BZ56" s="742"/>
      <c r="CA56" s="294"/>
      <c r="CE56" s="219"/>
    </row>
    <row r="57" spans="1:83" s="216" customFormat="1">
      <c r="A57" s="215"/>
      <c r="B57" s="592">
        <f>XIRR(C57:BN57,C6:BN6)</f>
        <v>-0.34191405363380922</v>
      </c>
      <c r="C57" s="593">
        <f>C7</f>
        <v>-24033944.982098967</v>
      </c>
      <c r="D57" s="593">
        <f t="shared" ref="D57:BN57" si="41">D7+D24+D27+D40+D53</f>
        <v>0</v>
      </c>
      <c r="E57" s="593">
        <f t="shared" si="41"/>
        <v>0</v>
      </c>
      <c r="F57" s="593">
        <f t="shared" si="41"/>
        <v>0</v>
      </c>
      <c r="G57" s="593">
        <f t="shared" si="41"/>
        <v>0</v>
      </c>
      <c r="H57" s="593">
        <f t="shared" si="41"/>
        <v>0</v>
      </c>
      <c r="I57" s="593">
        <f t="shared" si="41"/>
        <v>0</v>
      </c>
      <c r="J57" s="593">
        <f t="shared" si="41"/>
        <v>0</v>
      </c>
      <c r="K57" s="593">
        <f t="shared" si="41"/>
        <v>0</v>
      </c>
      <c r="L57" s="593">
        <f t="shared" si="41"/>
        <v>0</v>
      </c>
      <c r="M57" s="593">
        <f t="shared" si="41"/>
        <v>0</v>
      </c>
      <c r="N57" s="593">
        <f t="shared" si="41"/>
        <v>0</v>
      </c>
      <c r="O57" s="593">
        <f t="shared" si="41"/>
        <v>0</v>
      </c>
      <c r="P57" s="593">
        <f t="shared" si="41"/>
        <v>0</v>
      </c>
      <c r="Q57" s="593">
        <f t="shared" si="41"/>
        <v>0</v>
      </c>
      <c r="R57" s="593">
        <f t="shared" si="41"/>
        <v>0</v>
      </c>
      <c r="S57" s="593">
        <f t="shared" si="41"/>
        <v>0</v>
      </c>
      <c r="T57" s="593">
        <f t="shared" si="41"/>
        <v>0</v>
      </c>
      <c r="U57" s="593">
        <f t="shared" si="41"/>
        <v>0</v>
      </c>
      <c r="V57" s="593">
        <f t="shared" si="41"/>
        <v>0</v>
      </c>
      <c r="W57" s="593">
        <f t="shared" si="41"/>
        <v>0</v>
      </c>
      <c r="X57" s="593">
        <f t="shared" si="41"/>
        <v>55865.937070519256</v>
      </c>
      <c r="Y57" s="593">
        <f t="shared" si="41"/>
        <v>55865.937070519256</v>
      </c>
      <c r="Z57" s="593">
        <f t="shared" si="41"/>
        <v>55865.937070519256</v>
      </c>
      <c r="AA57" s="593">
        <f t="shared" si="41"/>
        <v>1567865.9370705192</v>
      </c>
      <c r="AB57" s="593">
        <f t="shared" si="41"/>
        <v>55865.937070519256</v>
      </c>
      <c r="AC57" s="593">
        <f t="shared" si="41"/>
        <v>55865.937070519256</v>
      </c>
      <c r="AD57" s="593">
        <f t="shared" si="41"/>
        <v>-1220620.9207049725</v>
      </c>
      <c r="AE57" s="593">
        <f t="shared" si="41"/>
        <v>160402.43820649723</v>
      </c>
      <c r="AF57" s="593">
        <f t="shared" si="41"/>
        <v>160402.43820649723</v>
      </c>
      <c r="AG57" s="593">
        <f t="shared" si="41"/>
        <v>160402.43820649723</v>
      </c>
      <c r="AH57" s="593">
        <f t="shared" si="41"/>
        <v>160402.43820649723</v>
      </c>
      <c r="AI57" s="593">
        <f t="shared" si="41"/>
        <v>160402.43820649723</v>
      </c>
      <c r="AJ57" s="593">
        <f t="shared" si="41"/>
        <v>174756.336958414</v>
      </c>
      <c r="AK57" s="593">
        <f t="shared" si="41"/>
        <v>174756.336958414</v>
      </c>
      <c r="AL57" s="593">
        <f t="shared" si="41"/>
        <v>174756.336958414</v>
      </c>
      <c r="AM57" s="593">
        <f t="shared" si="41"/>
        <v>174756.336958414</v>
      </c>
      <c r="AN57" s="593">
        <f t="shared" si="41"/>
        <v>174756.336958414</v>
      </c>
      <c r="AO57" s="593">
        <f t="shared" si="41"/>
        <v>174756.336958414</v>
      </c>
      <c r="AP57" s="593">
        <f t="shared" si="41"/>
        <v>93471.925282638869</v>
      </c>
      <c r="AQ57" s="593">
        <f t="shared" si="41"/>
        <v>93471.925282638811</v>
      </c>
      <c r="AR57" s="593">
        <f t="shared" si="41"/>
        <v>93471.925282638811</v>
      </c>
      <c r="AS57" s="593">
        <f t="shared" si="41"/>
        <v>93471.925282638811</v>
      </c>
      <c r="AT57" s="593">
        <f t="shared" si="41"/>
        <v>93471.925282638811</v>
      </c>
      <c r="AU57" s="593">
        <f t="shared" si="41"/>
        <v>93471.925282638869</v>
      </c>
      <c r="AV57" s="593">
        <f t="shared" si="41"/>
        <v>108277.02087538387</v>
      </c>
      <c r="AW57" s="593">
        <f t="shared" si="41"/>
        <v>108277.02087538387</v>
      </c>
      <c r="AX57" s="593">
        <f t="shared" si="41"/>
        <v>108277.02087538387</v>
      </c>
      <c r="AY57" s="593">
        <f t="shared" si="41"/>
        <v>108277.02087538387</v>
      </c>
      <c r="AZ57" s="593">
        <f t="shared" si="41"/>
        <v>108277.02087538387</v>
      </c>
      <c r="BA57" s="593">
        <f t="shared" si="41"/>
        <v>108277.02087538387</v>
      </c>
      <c r="BB57" s="593">
        <f t="shared" si="41"/>
        <v>108277.02087538387</v>
      </c>
      <c r="BC57" s="593">
        <f t="shared" si="41"/>
        <v>108277.02087538387</v>
      </c>
      <c r="BD57" s="593">
        <f t="shared" si="41"/>
        <v>108277.02087538387</v>
      </c>
      <c r="BE57" s="593">
        <f t="shared" si="41"/>
        <v>108277.02087538387</v>
      </c>
      <c r="BF57" s="593">
        <f t="shared" si="41"/>
        <v>108277.02087538387</v>
      </c>
      <c r="BG57" s="593">
        <f t="shared" si="41"/>
        <v>108277.02087538387</v>
      </c>
      <c r="BH57" s="593">
        <f t="shared" si="41"/>
        <v>123547.2608117474</v>
      </c>
      <c r="BI57" s="593">
        <f t="shared" si="41"/>
        <v>123547.2608117474</v>
      </c>
      <c r="BJ57" s="593">
        <f t="shared" si="41"/>
        <v>123547.26081174746</v>
      </c>
      <c r="BK57" s="593">
        <f t="shared" si="41"/>
        <v>123547.26081174746</v>
      </c>
      <c r="BL57" s="593">
        <f t="shared" si="41"/>
        <v>123547.2608117474</v>
      </c>
      <c r="BM57" s="593">
        <f t="shared" si="41"/>
        <v>123547.26081174734</v>
      </c>
      <c r="BN57" s="593">
        <f t="shared" si="41"/>
        <v>123547.2608117474</v>
      </c>
      <c r="BO57" s="593">
        <f t="shared" ref="BO57:BZ57" si="42">BO7+BO24+BO27+BO40+BO53</f>
        <v>123547.2608117474</v>
      </c>
      <c r="BP57" s="593">
        <f t="shared" si="42"/>
        <v>123547.2608117474</v>
      </c>
      <c r="BQ57" s="593">
        <f t="shared" si="42"/>
        <v>123547.2608117474</v>
      </c>
      <c r="BR57" s="593">
        <f t="shared" si="42"/>
        <v>123547.2608117474</v>
      </c>
      <c r="BS57" s="593">
        <f t="shared" si="42"/>
        <v>123547.2608117474</v>
      </c>
      <c r="BT57" s="593">
        <f t="shared" si="42"/>
        <v>139270.16794622707</v>
      </c>
      <c r="BU57" s="593">
        <f t="shared" si="42"/>
        <v>139270.16794622701</v>
      </c>
      <c r="BV57" s="593">
        <f t="shared" si="42"/>
        <v>139270.16794622701</v>
      </c>
      <c r="BW57" s="593">
        <f t="shared" si="42"/>
        <v>139270.16794622701</v>
      </c>
      <c r="BX57" s="593">
        <f t="shared" si="42"/>
        <v>139270.16794622701</v>
      </c>
      <c r="BY57" s="593">
        <f t="shared" si="42"/>
        <v>0</v>
      </c>
      <c r="BZ57" s="593">
        <f t="shared" si="42"/>
        <v>0</v>
      </c>
      <c r="CA57" s="294"/>
      <c r="CE57" s="219"/>
    </row>
    <row r="58" spans="1:83" s="216" customFormat="1">
      <c r="A58" s="215"/>
      <c r="B58" s="248"/>
      <c r="C58" s="214"/>
      <c r="D58" s="293"/>
      <c r="E58" s="293"/>
      <c r="F58" s="293"/>
      <c r="G58" s="293"/>
      <c r="H58" s="293"/>
      <c r="I58" s="293"/>
      <c r="J58" s="293"/>
      <c r="K58" s="293"/>
      <c r="L58" s="293"/>
      <c r="M58" s="293"/>
      <c r="N58" s="293"/>
      <c r="O58" s="293"/>
      <c r="P58" s="293"/>
      <c r="Q58" s="293"/>
      <c r="R58" s="293"/>
      <c r="S58" s="293"/>
      <c r="T58" s="293"/>
      <c r="U58" s="293"/>
      <c r="V58" s="293"/>
      <c r="W58" s="293"/>
      <c r="X58" s="293"/>
      <c r="Y58" s="293"/>
      <c r="Z58" s="293"/>
      <c r="AA58" s="293"/>
      <c r="AB58" s="293"/>
      <c r="AC58" s="293"/>
      <c r="AD58" s="293"/>
      <c r="AE58" s="293"/>
      <c r="AF58" s="293"/>
      <c r="AG58" s="293"/>
      <c r="AH58" s="293"/>
      <c r="AI58" s="293"/>
      <c r="AJ58" s="293"/>
      <c r="AK58" s="293"/>
      <c r="AL58" s="293"/>
      <c r="AM58" s="293"/>
      <c r="AN58" s="293"/>
      <c r="AO58" s="293"/>
      <c r="AP58" s="293"/>
      <c r="AQ58" s="293"/>
      <c r="AR58" s="293"/>
      <c r="AS58" s="293"/>
      <c r="AT58" s="293"/>
      <c r="AU58" s="293"/>
      <c r="AV58" s="293"/>
      <c r="AW58" s="293"/>
      <c r="AX58" s="293"/>
      <c r="AY58" s="293"/>
      <c r="AZ58" s="293"/>
      <c r="BA58" s="293"/>
      <c r="BB58" s="293"/>
      <c r="BC58" s="293"/>
      <c r="BD58" s="293"/>
      <c r="BE58" s="293"/>
      <c r="BF58" s="293"/>
      <c r="BG58" s="293"/>
      <c r="BH58" s="293"/>
      <c r="BI58" s="293"/>
      <c r="BJ58" s="293"/>
      <c r="BK58" s="293"/>
      <c r="BL58" s="293"/>
      <c r="BM58" s="293"/>
      <c r="BN58" s="293"/>
      <c r="BO58" s="293"/>
      <c r="BP58" s="293"/>
      <c r="BQ58" s="293"/>
      <c r="BR58" s="293"/>
      <c r="BS58" s="293"/>
      <c r="BT58" s="293"/>
      <c r="BU58" s="293"/>
      <c r="BV58" s="293"/>
      <c r="BW58" s="293"/>
      <c r="BX58" s="293"/>
      <c r="BY58" s="293"/>
      <c r="BZ58" s="293"/>
      <c r="CA58" s="294"/>
      <c r="CE58" s="219"/>
    </row>
    <row r="59" spans="1:83" s="216" customFormat="1">
      <c r="A59" s="215"/>
      <c r="B59" s="437" t="str">
        <f>CB8</f>
        <v>5th Priority Split (40/60)</v>
      </c>
      <c r="C59" s="438" t="s">
        <v>171</v>
      </c>
      <c r="D59" s="439"/>
      <c r="E59" s="439"/>
      <c r="F59" s="439"/>
      <c r="G59" s="439"/>
      <c r="H59" s="439"/>
      <c r="I59" s="439"/>
      <c r="J59" s="439"/>
      <c r="K59" s="439"/>
      <c r="L59" s="439"/>
      <c r="M59" s="439"/>
      <c r="N59" s="439"/>
      <c r="O59" s="439"/>
      <c r="P59" s="439"/>
      <c r="Q59" s="439"/>
      <c r="R59" s="439"/>
      <c r="S59" s="439"/>
      <c r="T59" s="439"/>
      <c r="U59" s="439"/>
      <c r="V59" s="439"/>
      <c r="W59" s="439"/>
      <c r="X59" s="439"/>
      <c r="Y59" s="439"/>
      <c r="Z59" s="439"/>
      <c r="AA59" s="439"/>
      <c r="AB59" s="439"/>
      <c r="AC59" s="439"/>
      <c r="AD59" s="439"/>
      <c r="AE59" s="439"/>
      <c r="AF59" s="439"/>
      <c r="AG59" s="439"/>
      <c r="AH59" s="439"/>
      <c r="AI59" s="439"/>
      <c r="AJ59" s="439"/>
      <c r="AK59" s="439"/>
      <c r="AL59" s="439"/>
      <c r="AM59" s="439"/>
      <c r="AN59" s="439"/>
      <c r="AO59" s="439"/>
      <c r="AP59" s="439"/>
      <c r="AQ59" s="439"/>
      <c r="AR59" s="439"/>
      <c r="AS59" s="439"/>
      <c r="AT59" s="439"/>
      <c r="AU59" s="439"/>
      <c r="AV59" s="439"/>
      <c r="AW59" s="439"/>
      <c r="AX59" s="439"/>
      <c r="AY59" s="439"/>
      <c r="AZ59" s="439"/>
      <c r="BA59" s="439"/>
      <c r="BB59" s="439"/>
      <c r="BC59" s="439"/>
      <c r="BD59" s="439"/>
      <c r="BE59" s="439"/>
      <c r="BF59" s="439"/>
      <c r="BG59" s="439"/>
      <c r="BH59" s="439"/>
      <c r="BI59" s="439"/>
      <c r="BJ59" s="439"/>
      <c r="BK59" s="439"/>
      <c r="BL59" s="439"/>
      <c r="BM59" s="439"/>
      <c r="BN59" s="439">
        <f t="shared" ref="BN59:BZ59" si="43">BN28-BN40-BN41-BN46-BN47</f>
        <v>0</v>
      </c>
      <c r="BO59" s="439">
        <f t="shared" si="43"/>
        <v>0</v>
      </c>
      <c r="BP59" s="439">
        <f t="shared" si="43"/>
        <v>0</v>
      </c>
      <c r="BQ59" s="439">
        <f t="shared" si="43"/>
        <v>0</v>
      </c>
      <c r="BR59" s="439">
        <f t="shared" si="43"/>
        <v>0</v>
      </c>
      <c r="BS59" s="439">
        <f t="shared" si="43"/>
        <v>0</v>
      </c>
      <c r="BT59" s="439">
        <f t="shared" si="43"/>
        <v>0</v>
      </c>
      <c r="BU59" s="439">
        <f t="shared" si="43"/>
        <v>0</v>
      </c>
      <c r="BV59" s="439">
        <f t="shared" si="43"/>
        <v>0</v>
      </c>
      <c r="BW59" s="439">
        <f t="shared" si="43"/>
        <v>0</v>
      </c>
      <c r="BX59" s="439">
        <f t="shared" si="43"/>
        <v>0</v>
      </c>
      <c r="BY59" s="439">
        <f t="shared" si="43"/>
        <v>0</v>
      </c>
      <c r="BZ59" s="439">
        <f t="shared" si="43"/>
        <v>0</v>
      </c>
      <c r="CA59" s="350"/>
      <c r="CE59" s="219"/>
    </row>
    <row r="60" spans="1:83" s="234" customFormat="1">
      <c r="A60" s="215"/>
      <c r="B60" s="564" t="s">
        <v>181</v>
      </c>
      <c r="C60" s="292"/>
      <c r="D60" s="489">
        <f>+$CC$8*(D32-D40-D41-D53-D54)</f>
        <v>0</v>
      </c>
      <c r="E60" s="489">
        <f t="shared" ref="E60:BN60" si="44">+$CC$8*(E32-E40-E41-E53-E54)</f>
        <v>0</v>
      </c>
      <c r="F60" s="489">
        <f t="shared" si="44"/>
        <v>0</v>
      </c>
      <c r="G60" s="489">
        <f t="shared" si="44"/>
        <v>0</v>
      </c>
      <c r="H60" s="489">
        <f t="shared" si="44"/>
        <v>0</v>
      </c>
      <c r="I60" s="489">
        <f t="shared" si="44"/>
        <v>0</v>
      </c>
      <c r="J60" s="489">
        <f t="shared" si="44"/>
        <v>0</v>
      </c>
      <c r="K60" s="489">
        <f t="shared" si="44"/>
        <v>0</v>
      </c>
      <c r="L60" s="489">
        <f t="shared" si="44"/>
        <v>0</v>
      </c>
      <c r="M60" s="489">
        <f t="shared" si="44"/>
        <v>0</v>
      </c>
      <c r="N60" s="489">
        <f t="shared" si="44"/>
        <v>0</v>
      </c>
      <c r="O60" s="489">
        <f t="shared" si="44"/>
        <v>0</v>
      </c>
      <c r="P60" s="489">
        <f t="shared" si="44"/>
        <v>0</v>
      </c>
      <c r="Q60" s="489">
        <f t="shared" si="44"/>
        <v>0</v>
      </c>
      <c r="R60" s="489">
        <f t="shared" si="44"/>
        <v>0</v>
      </c>
      <c r="S60" s="489">
        <f t="shared" si="44"/>
        <v>0</v>
      </c>
      <c r="T60" s="489">
        <f t="shared" si="44"/>
        <v>0</v>
      </c>
      <c r="U60" s="489">
        <f t="shared" si="44"/>
        <v>0</v>
      </c>
      <c r="V60" s="489">
        <f t="shared" si="44"/>
        <v>0</v>
      </c>
      <c r="W60" s="489">
        <f t="shared" si="44"/>
        <v>0</v>
      </c>
      <c r="X60" s="489">
        <f t="shared" si="44"/>
        <v>0</v>
      </c>
      <c r="Y60" s="489">
        <f t="shared" si="44"/>
        <v>0</v>
      </c>
      <c r="Z60" s="489">
        <f t="shared" si="44"/>
        <v>0</v>
      </c>
      <c r="AA60" s="489">
        <f t="shared" si="44"/>
        <v>0</v>
      </c>
      <c r="AB60" s="489">
        <f t="shared" si="44"/>
        <v>0</v>
      </c>
      <c r="AC60" s="489">
        <f t="shared" si="44"/>
        <v>0</v>
      </c>
      <c r="AD60" s="489">
        <f t="shared" si="44"/>
        <v>0</v>
      </c>
      <c r="AE60" s="489">
        <f t="shared" si="44"/>
        <v>0</v>
      </c>
      <c r="AF60" s="489">
        <f t="shared" si="44"/>
        <v>0</v>
      </c>
      <c r="AG60" s="489">
        <f t="shared" si="44"/>
        <v>0</v>
      </c>
      <c r="AH60" s="489">
        <f t="shared" si="44"/>
        <v>0</v>
      </c>
      <c r="AI60" s="489">
        <f t="shared" si="44"/>
        <v>0</v>
      </c>
      <c r="AJ60" s="489">
        <f t="shared" si="44"/>
        <v>0</v>
      </c>
      <c r="AK60" s="489">
        <f t="shared" si="44"/>
        <v>0</v>
      </c>
      <c r="AL60" s="489">
        <f t="shared" si="44"/>
        <v>0</v>
      </c>
      <c r="AM60" s="489">
        <f t="shared" si="44"/>
        <v>0</v>
      </c>
      <c r="AN60" s="489">
        <f t="shared" si="44"/>
        <v>0</v>
      </c>
      <c r="AO60" s="489">
        <f t="shared" si="44"/>
        <v>0</v>
      </c>
      <c r="AP60" s="489">
        <f t="shared" si="44"/>
        <v>0</v>
      </c>
      <c r="AQ60" s="489">
        <f t="shared" si="44"/>
        <v>0</v>
      </c>
      <c r="AR60" s="489">
        <f t="shared" si="44"/>
        <v>0</v>
      </c>
      <c r="AS60" s="489">
        <f t="shared" si="44"/>
        <v>0</v>
      </c>
      <c r="AT60" s="489">
        <f t="shared" si="44"/>
        <v>0</v>
      </c>
      <c r="AU60" s="489">
        <f t="shared" si="44"/>
        <v>0</v>
      </c>
      <c r="AV60" s="489">
        <f t="shared" si="44"/>
        <v>0</v>
      </c>
      <c r="AW60" s="489">
        <f t="shared" si="44"/>
        <v>0</v>
      </c>
      <c r="AX60" s="489">
        <f t="shared" si="44"/>
        <v>0</v>
      </c>
      <c r="AY60" s="489">
        <f t="shared" si="44"/>
        <v>0</v>
      </c>
      <c r="AZ60" s="489">
        <f t="shared" si="44"/>
        <v>0</v>
      </c>
      <c r="BA60" s="489">
        <f t="shared" si="44"/>
        <v>0</v>
      </c>
      <c r="BB60" s="489">
        <f t="shared" si="44"/>
        <v>0</v>
      </c>
      <c r="BC60" s="489">
        <f t="shared" si="44"/>
        <v>0</v>
      </c>
      <c r="BD60" s="489">
        <f t="shared" si="44"/>
        <v>0</v>
      </c>
      <c r="BE60" s="489">
        <f t="shared" si="44"/>
        <v>0</v>
      </c>
      <c r="BF60" s="489">
        <f t="shared" si="44"/>
        <v>0</v>
      </c>
      <c r="BG60" s="489">
        <f t="shared" si="44"/>
        <v>0</v>
      </c>
      <c r="BH60" s="489">
        <f t="shared" si="44"/>
        <v>0</v>
      </c>
      <c r="BI60" s="489">
        <f t="shared" si="44"/>
        <v>0</v>
      </c>
      <c r="BJ60" s="489">
        <f t="shared" si="44"/>
        <v>0</v>
      </c>
      <c r="BK60" s="489">
        <f t="shared" si="44"/>
        <v>0</v>
      </c>
      <c r="BL60" s="489">
        <f t="shared" si="44"/>
        <v>0</v>
      </c>
      <c r="BM60" s="489">
        <f t="shared" si="44"/>
        <v>0</v>
      </c>
      <c r="BN60" s="489">
        <f t="shared" si="44"/>
        <v>0</v>
      </c>
      <c r="BO60" s="489">
        <f t="shared" ref="BO60:BZ60" si="45">+$CC$8*(BO32-BO40-BO41-BO53-BO54)</f>
        <v>0</v>
      </c>
      <c r="BP60" s="489">
        <f t="shared" si="45"/>
        <v>0</v>
      </c>
      <c r="BQ60" s="489">
        <f t="shared" si="45"/>
        <v>0</v>
      </c>
      <c r="BR60" s="489">
        <f t="shared" si="45"/>
        <v>0</v>
      </c>
      <c r="BS60" s="489">
        <f t="shared" si="45"/>
        <v>0</v>
      </c>
      <c r="BT60" s="489">
        <f t="shared" si="45"/>
        <v>0</v>
      </c>
      <c r="BU60" s="489">
        <f t="shared" si="45"/>
        <v>0</v>
      </c>
      <c r="BV60" s="489">
        <f t="shared" si="45"/>
        <v>0</v>
      </c>
      <c r="BW60" s="489">
        <f t="shared" si="45"/>
        <v>0</v>
      </c>
      <c r="BX60" s="489">
        <f t="shared" si="45"/>
        <v>0</v>
      </c>
      <c r="BY60" s="489">
        <f t="shared" si="45"/>
        <v>0</v>
      </c>
      <c r="BZ60" s="489">
        <f t="shared" si="45"/>
        <v>0</v>
      </c>
      <c r="CA60" s="565"/>
      <c r="CE60" s="566"/>
    </row>
    <row r="61" spans="1:83" s="216" customFormat="1">
      <c r="A61" s="215"/>
      <c r="B61" s="248" t="s">
        <v>41</v>
      </c>
      <c r="C61" s="214">
        <f>CC8</f>
        <v>0.65</v>
      </c>
      <c r="D61" s="293">
        <f>D60</f>
        <v>0</v>
      </c>
      <c r="E61" s="293">
        <f>E60</f>
        <v>0</v>
      </c>
      <c r="F61" s="293">
        <f t="shared" ref="F61:BZ61" si="46">F60</f>
        <v>0</v>
      </c>
      <c r="G61" s="293">
        <f t="shared" si="46"/>
        <v>0</v>
      </c>
      <c r="H61" s="293">
        <f t="shared" si="46"/>
        <v>0</v>
      </c>
      <c r="I61" s="293">
        <f t="shared" si="46"/>
        <v>0</v>
      </c>
      <c r="J61" s="293">
        <f t="shared" si="46"/>
        <v>0</v>
      </c>
      <c r="K61" s="293">
        <f t="shared" si="46"/>
        <v>0</v>
      </c>
      <c r="L61" s="293">
        <f t="shared" si="46"/>
        <v>0</v>
      </c>
      <c r="M61" s="293">
        <f t="shared" si="46"/>
        <v>0</v>
      </c>
      <c r="N61" s="293">
        <f t="shared" si="46"/>
        <v>0</v>
      </c>
      <c r="O61" s="293">
        <f t="shared" si="46"/>
        <v>0</v>
      </c>
      <c r="P61" s="293">
        <f t="shared" si="46"/>
        <v>0</v>
      </c>
      <c r="Q61" s="293">
        <f t="shared" si="46"/>
        <v>0</v>
      </c>
      <c r="R61" s="293">
        <f t="shared" si="46"/>
        <v>0</v>
      </c>
      <c r="S61" s="293">
        <f t="shared" si="46"/>
        <v>0</v>
      </c>
      <c r="T61" s="293">
        <f t="shared" si="46"/>
        <v>0</v>
      </c>
      <c r="U61" s="293">
        <f t="shared" si="46"/>
        <v>0</v>
      </c>
      <c r="V61" s="293">
        <f t="shared" si="46"/>
        <v>0</v>
      </c>
      <c r="W61" s="293">
        <f t="shared" si="46"/>
        <v>0</v>
      </c>
      <c r="X61" s="293">
        <f t="shared" si="46"/>
        <v>0</v>
      </c>
      <c r="Y61" s="293">
        <f t="shared" si="46"/>
        <v>0</v>
      </c>
      <c r="Z61" s="293">
        <f t="shared" si="46"/>
        <v>0</v>
      </c>
      <c r="AA61" s="293">
        <f t="shared" si="46"/>
        <v>0</v>
      </c>
      <c r="AB61" s="293">
        <f t="shared" si="46"/>
        <v>0</v>
      </c>
      <c r="AC61" s="293">
        <f t="shared" si="46"/>
        <v>0</v>
      </c>
      <c r="AD61" s="293">
        <f t="shared" si="46"/>
        <v>0</v>
      </c>
      <c r="AE61" s="293">
        <f t="shared" si="46"/>
        <v>0</v>
      </c>
      <c r="AF61" s="293">
        <f t="shared" si="46"/>
        <v>0</v>
      </c>
      <c r="AG61" s="293">
        <f t="shared" si="46"/>
        <v>0</v>
      </c>
      <c r="AH61" s="293">
        <f t="shared" si="46"/>
        <v>0</v>
      </c>
      <c r="AI61" s="293">
        <f t="shared" si="46"/>
        <v>0</v>
      </c>
      <c r="AJ61" s="293">
        <f t="shared" si="46"/>
        <v>0</v>
      </c>
      <c r="AK61" s="293">
        <f t="shared" si="46"/>
        <v>0</v>
      </c>
      <c r="AL61" s="293">
        <f t="shared" si="46"/>
        <v>0</v>
      </c>
      <c r="AM61" s="293">
        <f t="shared" si="46"/>
        <v>0</v>
      </c>
      <c r="AN61" s="293">
        <f t="shared" si="46"/>
        <v>0</v>
      </c>
      <c r="AO61" s="293">
        <f t="shared" si="46"/>
        <v>0</v>
      </c>
      <c r="AP61" s="293">
        <f t="shared" si="46"/>
        <v>0</v>
      </c>
      <c r="AQ61" s="293">
        <f t="shared" si="46"/>
        <v>0</v>
      </c>
      <c r="AR61" s="293">
        <f t="shared" si="46"/>
        <v>0</v>
      </c>
      <c r="AS61" s="293">
        <f t="shared" si="46"/>
        <v>0</v>
      </c>
      <c r="AT61" s="293">
        <f t="shared" si="46"/>
        <v>0</v>
      </c>
      <c r="AU61" s="293">
        <f t="shared" si="46"/>
        <v>0</v>
      </c>
      <c r="AV61" s="293">
        <f t="shared" si="46"/>
        <v>0</v>
      </c>
      <c r="AW61" s="293">
        <f t="shared" si="46"/>
        <v>0</v>
      </c>
      <c r="AX61" s="293">
        <f t="shared" si="46"/>
        <v>0</v>
      </c>
      <c r="AY61" s="293">
        <f t="shared" si="46"/>
        <v>0</v>
      </c>
      <c r="AZ61" s="293">
        <f t="shared" si="46"/>
        <v>0</v>
      </c>
      <c r="BA61" s="293">
        <f t="shared" si="46"/>
        <v>0</v>
      </c>
      <c r="BB61" s="293">
        <f t="shared" si="46"/>
        <v>0</v>
      </c>
      <c r="BC61" s="293">
        <f t="shared" si="46"/>
        <v>0</v>
      </c>
      <c r="BD61" s="293">
        <f t="shared" si="46"/>
        <v>0</v>
      </c>
      <c r="BE61" s="293">
        <f t="shared" si="46"/>
        <v>0</v>
      </c>
      <c r="BF61" s="293">
        <f t="shared" si="46"/>
        <v>0</v>
      </c>
      <c r="BG61" s="293">
        <f t="shared" si="46"/>
        <v>0</v>
      </c>
      <c r="BH61" s="293">
        <f t="shared" si="46"/>
        <v>0</v>
      </c>
      <c r="BI61" s="293">
        <f t="shared" si="46"/>
        <v>0</v>
      </c>
      <c r="BJ61" s="293">
        <f t="shared" si="46"/>
        <v>0</v>
      </c>
      <c r="BK61" s="293">
        <f t="shared" si="46"/>
        <v>0</v>
      </c>
      <c r="BL61" s="293">
        <f t="shared" si="46"/>
        <v>0</v>
      </c>
      <c r="BM61" s="293">
        <f t="shared" si="46"/>
        <v>0</v>
      </c>
      <c r="BN61" s="293">
        <f t="shared" si="46"/>
        <v>0</v>
      </c>
      <c r="BO61" s="293">
        <f t="shared" si="46"/>
        <v>0</v>
      </c>
      <c r="BP61" s="293">
        <f t="shared" si="46"/>
        <v>0</v>
      </c>
      <c r="BQ61" s="293">
        <f t="shared" si="46"/>
        <v>0</v>
      </c>
      <c r="BR61" s="293">
        <f t="shared" si="46"/>
        <v>0</v>
      </c>
      <c r="BS61" s="293">
        <f t="shared" si="46"/>
        <v>0</v>
      </c>
      <c r="BT61" s="293">
        <f t="shared" si="46"/>
        <v>0</v>
      </c>
      <c r="BU61" s="293">
        <f t="shared" si="46"/>
        <v>0</v>
      </c>
      <c r="BV61" s="293">
        <f t="shared" si="46"/>
        <v>0</v>
      </c>
      <c r="BW61" s="293">
        <f t="shared" si="46"/>
        <v>0</v>
      </c>
      <c r="BX61" s="293">
        <f t="shared" si="46"/>
        <v>0</v>
      </c>
      <c r="BY61" s="293">
        <f t="shared" si="46"/>
        <v>0</v>
      </c>
      <c r="BZ61" s="293">
        <f t="shared" si="46"/>
        <v>0</v>
      </c>
      <c r="CA61" s="294"/>
      <c r="CE61" s="219"/>
    </row>
    <row r="62" spans="1:83" s="216" customFormat="1" ht="15.75" thickBot="1">
      <c r="A62" s="215"/>
      <c r="B62" s="464" t="s">
        <v>150</v>
      </c>
      <c r="C62" s="465">
        <f>100%-C61</f>
        <v>0.35</v>
      </c>
      <c r="D62" s="293">
        <f>((D61/$C$61)*$C$62)</f>
        <v>0</v>
      </c>
      <c r="E62" s="293">
        <f>((E61/$C$61)*$C$62)</f>
        <v>0</v>
      </c>
      <c r="F62" s="293">
        <f t="shared" ref="F62:BZ62" si="47">((F61/$C$61)*$C$62)</f>
        <v>0</v>
      </c>
      <c r="G62" s="293">
        <f t="shared" si="47"/>
        <v>0</v>
      </c>
      <c r="H62" s="293">
        <f t="shared" si="47"/>
        <v>0</v>
      </c>
      <c r="I62" s="293">
        <f t="shared" si="47"/>
        <v>0</v>
      </c>
      <c r="J62" s="293">
        <f t="shared" si="47"/>
        <v>0</v>
      </c>
      <c r="K62" s="293">
        <f t="shared" si="47"/>
        <v>0</v>
      </c>
      <c r="L62" s="293">
        <f t="shared" si="47"/>
        <v>0</v>
      </c>
      <c r="M62" s="293">
        <f t="shared" si="47"/>
        <v>0</v>
      </c>
      <c r="N62" s="293">
        <f t="shared" si="47"/>
        <v>0</v>
      </c>
      <c r="O62" s="293">
        <f t="shared" si="47"/>
        <v>0</v>
      </c>
      <c r="P62" s="293">
        <f t="shared" si="47"/>
        <v>0</v>
      </c>
      <c r="Q62" s="293">
        <f t="shared" si="47"/>
        <v>0</v>
      </c>
      <c r="R62" s="293">
        <f t="shared" si="47"/>
        <v>0</v>
      </c>
      <c r="S62" s="293">
        <f t="shared" si="47"/>
        <v>0</v>
      </c>
      <c r="T62" s="293">
        <f t="shared" si="47"/>
        <v>0</v>
      </c>
      <c r="U62" s="293">
        <f t="shared" si="47"/>
        <v>0</v>
      </c>
      <c r="V62" s="293">
        <f t="shared" si="47"/>
        <v>0</v>
      </c>
      <c r="W62" s="293">
        <f t="shared" si="47"/>
        <v>0</v>
      </c>
      <c r="X62" s="293">
        <f t="shared" si="47"/>
        <v>0</v>
      </c>
      <c r="Y62" s="293">
        <f t="shared" si="47"/>
        <v>0</v>
      </c>
      <c r="Z62" s="293">
        <f t="shared" si="47"/>
        <v>0</v>
      </c>
      <c r="AA62" s="293">
        <f t="shared" si="47"/>
        <v>0</v>
      </c>
      <c r="AB62" s="293">
        <f t="shared" si="47"/>
        <v>0</v>
      </c>
      <c r="AC62" s="293">
        <f t="shared" si="47"/>
        <v>0</v>
      </c>
      <c r="AD62" s="293">
        <f t="shared" si="47"/>
        <v>0</v>
      </c>
      <c r="AE62" s="293">
        <f t="shared" si="47"/>
        <v>0</v>
      </c>
      <c r="AF62" s="293">
        <f t="shared" si="47"/>
        <v>0</v>
      </c>
      <c r="AG62" s="293">
        <f t="shared" si="47"/>
        <v>0</v>
      </c>
      <c r="AH62" s="293">
        <f t="shared" si="47"/>
        <v>0</v>
      </c>
      <c r="AI62" s="293">
        <f t="shared" si="47"/>
        <v>0</v>
      </c>
      <c r="AJ62" s="293">
        <f t="shared" si="47"/>
        <v>0</v>
      </c>
      <c r="AK62" s="293">
        <f t="shared" si="47"/>
        <v>0</v>
      </c>
      <c r="AL62" s="293">
        <f t="shared" si="47"/>
        <v>0</v>
      </c>
      <c r="AM62" s="293">
        <f t="shared" si="47"/>
        <v>0</v>
      </c>
      <c r="AN62" s="293">
        <f t="shared" si="47"/>
        <v>0</v>
      </c>
      <c r="AO62" s="293">
        <f t="shared" si="47"/>
        <v>0</v>
      </c>
      <c r="AP62" s="293">
        <f t="shared" si="47"/>
        <v>0</v>
      </c>
      <c r="AQ62" s="293">
        <f t="shared" si="47"/>
        <v>0</v>
      </c>
      <c r="AR62" s="293">
        <f t="shared" si="47"/>
        <v>0</v>
      </c>
      <c r="AS62" s="293">
        <f t="shared" si="47"/>
        <v>0</v>
      </c>
      <c r="AT62" s="293">
        <f t="shared" si="47"/>
        <v>0</v>
      </c>
      <c r="AU62" s="293">
        <f t="shared" si="47"/>
        <v>0</v>
      </c>
      <c r="AV62" s="293">
        <f t="shared" si="47"/>
        <v>0</v>
      </c>
      <c r="AW62" s="293">
        <f t="shared" si="47"/>
        <v>0</v>
      </c>
      <c r="AX62" s="293">
        <f t="shared" si="47"/>
        <v>0</v>
      </c>
      <c r="AY62" s="293">
        <f t="shared" si="47"/>
        <v>0</v>
      </c>
      <c r="AZ62" s="293">
        <f t="shared" si="47"/>
        <v>0</v>
      </c>
      <c r="BA62" s="293">
        <f t="shared" si="47"/>
        <v>0</v>
      </c>
      <c r="BB62" s="293">
        <f t="shared" si="47"/>
        <v>0</v>
      </c>
      <c r="BC62" s="293">
        <f t="shared" si="47"/>
        <v>0</v>
      </c>
      <c r="BD62" s="293">
        <f t="shared" si="47"/>
        <v>0</v>
      </c>
      <c r="BE62" s="293">
        <f t="shared" si="47"/>
        <v>0</v>
      </c>
      <c r="BF62" s="293">
        <f t="shared" si="47"/>
        <v>0</v>
      </c>
      <c r="BG62" s="293">
        <f t="shared" si="47"/>
        <v>0</v>
      </c>
      <c r="BH62" s="293">
        <f t="shared" si="47"/>
        <v>0</v>
      </c>
      <c r="BI62" s="293">
        <f t="shared" si="47"/>
        <v>0</v>
      </c>
      <c r="BJ62" s="293">
        <f t="shared" si="47"/>
        <v>0</v>
      </c>
      <c r="BK62" s="293">
        <f t="shared" si="47"/>
        <v>0</v>
      </c>
      <c r="BL62" s="293">
        <f t="shared" si="47"/>
        <v>0</v>
      </c>
      <c r="BM62" s="293">
        <f t="shared" si="47"/>
        <v>0</v>
      </c>
      <c r="BN62" s="293">
        <f t="shared" si="47"/>
        <v>0</v>
      </c>
      <c r="BO62" s="293">
        <f t="shared" si="47"/>
        <v>0</v>
      </c>
      <c r="BP62" s="293">
        <f t="shared" si="47"/>
        <v>0</v>
      </c>
      <c r="BQ62" s="293">
        <f t="shared" si="47"/>
        <v>0</v>
      </c>
      <c r="BR62" s="293">
        <f t="shared" si="47"/>
        <v>0</v>
      </c>
      <c r="BS62" s="293">
        <f t="shared" si="47"/>
        <v>0</v>
      </c>
      <c r="BT62" s="293">
        <f t="shared" si="47"/>
        <v>0</v>
      </c>
      <c r="BU62" s="293">
        <f t="shared" si="47"/>
        <v>0</v>
      </c>
      <c r="BV62" s="293">
        <f t="shared" si="47"/>
        <v>0</v>
      </c>
      <c r="BW62" s="293">
        <f t="shared" si="47"/>
        <v>0</v>
      </c>
      <c r="BX62" s="293">
        <f t="shared" si="47"/>
        <v>0</v>
      </c>
      <c r="BY62" s="293">
        <f t="shared" si="47"/>
        <v>0</v>
      </c>
      <c r="BZ62" s="293">
        <f t="shared" si="47"/>
        <v>0</v>
      </c>
      <c r="CA62" s="294"/>
      <c r="CE62" s="219"/>
    </row>
    <row r="63" spans="1:83" s="216" customFormat="1">
      <c r="A63" s="215"/>
      <c r="B63" s="301"/>
      <c r="C63" s="277"/>
      <c r="D63" s="277"/>
      <c r="E63" s="277"/>
      <c r="F63" s="277"/>
      <c r="G63" s="277"/>
      <c r="H63" s="277"/>
      <c r="I63" s="277"/>
      <c r="J63" s="277"/>
      <c r="K63" s="277"/>
      <c r="L63" s="277"/>
      <c r="M63" s="277"/>
      <c r="N63" s="277"/>
      <c r="O63" s="277"/>
      <c r="P63" s="277"/>
      <c r="Q63" s="277"/>
      <c r="R63" s="277"/>
      <c r="S63" s="277"/>
      <c r="T63" s="277"/>
      <c r="U63" s="277"/>
      <c r="V63" s="277"/>
      <c r="W63" s="277"/>
      <c r="X63" s="277"/>
      <c r="Y63" s="277"/>
      <c r="Z63" s="277"/>
      <c r="AA63" s="277"/>
      <c r="AB63" s="277"/>
      <c r="AC63" s="277"/>
      <c r="AD63" s="277"/>
      <c r="AE63" s="277"/>
      <c r="AF63" s="277"/>
      <c r="AG63" s="277"/>
      <c r="AH63" s="277"/>
      <c r="AI63" s="277"/>
      <c r="AJ63" s="277"/>
      <c r="AK63" s="277"/>
      <c r="AL63" s="277"/>
      <c r="AM63" s="277"/>
      <c r="AN63" s="277"/>
      <c r="AO63" s="277"/>
      <c r="AP63" s="277"/>
      <c r="AQ63" s="277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24"/>
      <c r="CE63" s="219"/>
    </row>
    <row r="64" spans="1:83" s="216" customFormat="1">
      <c r="A64" s="215"/>
      <c r="B64" s="441" t="s">
        <v>183</v>
      </c>
      <c r="C64" s="442"/>
      <c r="D64" s="443"/>
      <c r="E64" s="443"/>
      <c r="F64" s="443"/>
      <c r="G64" s="443"/>
      <c r="H64" s="443"/>
      <c r="I64" s="443"/>
      <c r="J64" s="443"/>
      <c r="K64" s="443"/>
      <c r="L64" s="443"/>
      <c r="M64" s="443"/>
      <c r="N64" s="443"/>
      <c r="O64" s="443"/>
      <c r="P64" s="443"/>
      <c r="Q64" s="443"/>
      <c r="R64" s="443"/>
      <c r="S64" s="443"/>
      <c r="T64" s="443"/>
      <c r="U64" s="443"/>
      <c r="V64" s="443"/>
      <c r="W64" s="443"/>
      <c r="X64" s="443"/>
      <c r="Y64" s="443"/>
      <c r="Z64" s="443"/>
      <c r="AA64" s="443"/>
      <c r="AB64" s="443"/>
      <c r="AC64" s="443"/>
      <c r="AD64" s="443"/>
      <c r="AE64" s="443"/>
      <c r="AF64" s="443"/>
      <c r="AG64" s="443"/>
      <c r="AH64" s="443"/>
      <c r="AI64" s="443"/>
      <c r="AJ64" s="443"/>
      <c r="AK64" s="443"/>
      <c r="AL64" s="443"/>
      <c r="AM64" s="443"/>
      <c r="AN64" s="443"/>
      <c r="AO64" s="443"/>
      <c r="AP64" s="443"/>
      <c r="AQ64" s="443"/>
      <c r="AR64" s="443"/>
      <c r="AS64" s="443"/>
      <c r="AT64" s="443"/>
      <c r="AU64" s="443"/>
      <c r="AV64" s="443"/>
      <c r="AW64" s="443"/>
      <c r="AX64" s="443"/>
      <c r="AY64" s="443"/>
      <c r="AZ64" s="443"/>
      <c r="BA64" s="443"/>
      <c r="BB64" s="443"/>
      <c r="BC64" s="443"/>
      <c r="BD64" s="443"/>
      <c r="BE64" s="443"/>
      <c r="BF64" s="443"/>
      <c r="BG64" s="443"/>
      <c r="BH64" s="443"/>
      <c r="BI64" s="443"/>
      <c r="BJ64" s="443"/>
      <c r="BK64" s="443"/>
      <c r="BL64" s="443"/>
      <c r="BM64" s="443"/>
      <c r="BN64" s="443"/>
      <c r="BO64" s="443"/>
      <c r="BP64" s="443"/>
      <c r="BQ64" s="443"/>
      <c r="BR64" s="443"/>
      <c r="BS64" s="443"/>
      <c r="BT64" s="443"/>
      <c r="BU64" s="443"/>
      <c r="BV64" s="443"/>
      <c r="BW64" s="443"/>
      <c r="BX64" s="443"/>
      <c r="BY64" s="443"/>
      <c r="BZ64" s="443"/>
      <c r="CA64" s="302"/>
      <c r="CE64" s="219"/>
    </row>
    <row r="65" spans="1:83" s="216" customFormat="1">
      <c r="A65" s="215"/>
      <c r="B65" s="380" t="s">
        <v>375</v>
      </c>
      <c r="C65" s="340"/>
      <c r="D65" s="340">
        <f t="shared" ref="D65:BN65" si="48">((D24+D27)*$C$17)+(D40*$C$17)+(D53*$C$17)+(D61*$C$17)</f>
        <v>0</v>
      </c>
      <c r="E65" s="340">
        <f t="shared" si="48"/>
        <v>0</v>
      </c>
      <c r="F65" s="340">
        <f t="shared" si="48"/>
        <v>0</v>
      </c>
      <c r="G65" s="340">
        <f t="shared" si="48"/>
        <v>0</v>
      </c>
      <c r="H65" s="340">
        <f t="shared" si="48"/>
        <v>0</v>
      </c>
      <c r="I65" s="340">
        <f t="shared" si="48"/>
        <v>0</v>
      </c>
      <c r="J65" s="340">
        <f t="shared" si="48"/>
        <v>0</v>
      </c>
      <c r="K65" s="340">
        <f t="shared" si="48"/>
        <v>0</v>
      </c>
      <c r="L65" s="340">
        <f t="shared" si="48"/>
        <v>0</v>
      </c>
      <c r="M65" s="340">
        <f t="shared" si="48"/>
        <v>0</v>
      </c>
      <c r="N65" s="340">
        <f t="shared" si="48"/>
        <v>0</v>
      </c>
      <c r="O65" s="340">
        <f t="shared" si="48"/>
        <v>0</v>
      </c>
      <c r="P65" s="340">
        <f t="shared" si="48"/>
        <v>0</v>
      </c>
      <c r="Q65" s="340">
        <f t="shared" si="48"/>
        <v>0</v>
      </c>
      <c r="R65" s="340">
        <f t="shared" si="48"/>
        <v>0</v>
      </c>
      <c r="S65" s="340">
        <f t="shared" si="48"/>
        <v>0</v>
      </c>
      <c r="T65" s="340">
        <f t="shared" si="48"/>
        <v>0</v>
      </c>
      <c r="U65" s="340">
        <f t="shared" si="48"/>
        <v>0</v>
      </c>
      <c r="V65" s="340">
        <f t="shared" si="48"/>
        <v>0</v>
      </c>
      <c r="W65" s="340">
        <f t="shared" si="48"/>
        <v>0</v>
      </c>
      <c r="X65" s="340">
        <f t="shared" si="48"/>
        <v>47486.046509941363</v>
      </c>
      <c r="Y65" s="340">
        <f t="shared" si="48"/>
        <v>47486.046509941363</v>
      </c>
      <c r="Z65" s="340">
        <f t="shared" si="48"/>
        <v>47486.046509941363</v>
      </c>
      <c r="AA65" s="340">
        <f t="shared" si="48"/>
        <v>1332686.0465099413</v>
      </c>
      <c r="AB65" s="340">
        <f t="shared" si="48"/>
        <v>47486.046509941363</v>
      </c>
      <c r="AC65" s="340">
        <f t="shared" si="48"/>
        <v>47486.046509941363</v>
      </c>
      <c r="AD65" s="340">
        <f t="shared" si="48"/>
        <v>-1037527.7825992266</v>
      </c>
      <c r="AE65" s="340">
        <f t="shared" si="48"/>
        <v>136342.07247552264</v>
      </c>
      <c r="AF65" s="340">
        <f t="shared" si="48"/>
        <v>136342.07247552264</v>
      </c>
      <c r="AG65" s="340">
        <f t="shared" si="48"/>
        <v>136342.07247552264</v>
      </c>
      <c r="AH65" s="340">
        <f t="shared" si="48"/>
        <v>136342.07247552264</v>
      </c>
      <c r="AI65" s="340">
        <f t="shared" si="48"/>
        <v>136342.07247552264</v>
      </c>
      <c r="AJ65" s="340">
        <f t="shared" si="48"/>
        <v>148542.8864146519</v>
      </c>
      <c r="AK65" s="340">
        <f t="shared" si="48"/>
        <v>148542.8864146519</v>
      </c>
      <c r="AL65" s="340">
        <f t="shared" si="48"/>
        <v>148542.8864146519</v>
      </c>
      <c r="AM65" s="340">
        <f t="shared" si="48"/>
        <v>148542.8864146519</v>
      </c>
      <c r="AN65" s="340">
        <f t="shared" si="48"/>
        <v>148542.8864146519</v>
      </c>
      <c r="AO65" s="340">
        <f t="shared" si="48"/>
        <v>148542.8864146519</v>
      </c>
      <c r="AP65" s="340">
        <f t="shared" si="48"/>
        <v>79451.136490243036</v>
      </c>
      <c r="AQ65" s="340">
        <f t="shared" si="48"/>
        <v>79451.136490242992</v>
      </c>
      <c r="AR65" s="340">
        <f t="shared" si="48"/>
        <v>79451.136490242992</v>
      </c>
      <c r="AS65" s="340">
        <f t="shared" si="48"/>
        <v>79451.136490242992</v>
      </c>
      <c r="AT65" s="340">
        <f t="shared" si="48"/>
        <v>79451.136490242992</v>
      </c>
      <c r="AU65" s="340">
        <f t="shared" si="48"/>
        <v>79451.136490243036</v>
      </c>
      <c r="AV65" s="340">
        <f t="shared" si="48"/>
        <v>92035.46774407629</v>
      </c>
      <c r="AW65" s="340">
        <f t="shared" si="48"/>
        <v>92035.46774407629</v>
      </c>
      <c r="AX65" s="340">
        <f t="shared" si="48"/>
        <v>92035.46774407629</v>
      </c>
      <c r="AY65" s="340">
        <f t="shared" si="48"/>
        <v>92035.46774407629</v>
      </c>
      <c r="AZ65" s="340">
        <f t="shared" si="48"/>
        <v>92035.46774407629</v>
      </c>
      <c r="BA65" s="340">
        <f t="shared" si="48"/>
        <v>92035.46774407629</v>
      </c>
      <c r="BB65" s="340">
        <f t="shared" si="48"/>
        <v>92035.46774407629</v>
      </c>
      <c r="BC65" s="340">
        <f t="shared" si="48"/>
        <v>92035.46774407629</v>
      </c>
      <c r="BD65" s="340">
        <f t="shared" si="48"/>
        <v>92035.46774407629</v>
      </c>
      <c r="BE65" s="340">
        <f t="shared" si="48"/>
        <v>92035.46774407629</v>
      </c>
      <c r="BF65" s="340">
        <f t="shared" si="48"/>
        <v>92035.46774407629</v>
      </c>
      <c r="BG65" s="340">
        <f t="shared" si="48"/>
        <v>92035.46774407629</v>
      </c>
      <c r="BH65" s="340">
        <f t="shared" si="48"/>
        <v>105015.17168998529</v>
      </c>
      <c r="BI65" s="340">
        <f t="shared" si="48"/>
        <v>105015.17168998529</v>
      </c>
      <c r="BJ65" s="340">
        <f t="shared" si="48"/>
        <v>105015.17168998533</v>
      </c>
      <c r="BK65" s="340">
        <f t="shared" si="48"/>
        <v>105015.17168998533</v>
      </c>
      <c r="BL65" s="340">
        <f t="shared" ref="BL65" si="49">((BL24+BL27)*$C$17)+(BL40*$C$17)+(BL53*$C$17)+(BL61*$C$17)</f>
        <v>105015.17168998529</v>
      </c>
      <c r="BM65" s="340">
        <f t="shared" si="48"/>
        <v>105015.17168998523</v>
      </c>
      <c r="BN65" s="340">
        <f t="shared" si="48"/>
        <v>105015.17168998529</v>
      </c>
      <c r="BO65" s="340">
        <f t="shared" ref="BO65:BZ65" si="50">((BO24+BO27)*$C$17)+(BO40*$C$17)+(BO53*$C$17)+(BO61*$C$17)</f>
        <v>105015.17168998529</v>
      </c>
      <c r="BP65" s="340">
        <f t="shared" si="50"/>
        <v>105015.17168998529</v>
      </c>
      <c r="BQ65" s="340">
        <f t="shared" si="50"/>
        <v>105015.17168998529</v>
      </c>
      <c r="BR65" s="340">
        <f t="shared" si="50"/>
        <v>105015.17168998529</v>
      </c>
      <c r="BS65" s="340">
        <f t="shared" si="50"/>
        <v>105015.17168998529</v>
      </c>
      <c r="BT65" s="340">
        <f t="shared" si="50"/>
        <v>118379.642754293</v>
      </c>
      <c r="BU65" s="340">
        <f t="shared" si="50"/>
        <v>118379.64275429296</v>
      </c>
      <c r="BV65" s="340">
        <f t="shared" si="50"/>
        <v>118379.64275429296</v>
      </c>
      <c r="BW65" s="340">
        <f t="shared" si="50"/>
        <v>118379.64275429296</v>
      </c>
      <c r="BX65" s="340">
        <f t="shared" si="50"/>
        <v>118379.64275429296</v>
      </c>
      <c r="BY65" s="340">
        <f t="shared" si="50"/>
        <v>0</v>
      </c>
      <c r="BZ65" s="340">
        <f t="shared" si="50"/>
        <v>0</v>
      </c>
      <c r="CA65" s="304"/>
      <c r="CE65" s="219"/>
    </row>
    <row r="66" spans="1:83" s="216" customFormat="1">
      <c r="A66" s="215"/>
      <c r="B66" s="380" t="s">
        <v>184</v>
      </c>
      <c r="C66" s="340"/>
      <c r="D66" s="340">
        <f>((D24+D27)*$C$18)+(D40*$C$18)+D41+(D53*$C$18)+D54+(D61*$C$18)+D62+D30</f>
        <v>0</v>
      </c>
      <c r="E66" s="340">
        <f t="shared" ref="E66:BN66" si="51">((E24+E27)*$C$18)+(E40*$C$18)+E41+(E53*$C$18)+E54+(E61*$C$18)+E62+E30</f>
        <v>0</v>
      </c>
      <c r="F66" s="340">
        <f t="shared" si="51"/>
        <v>0</v>
      </c>
      <c r="G66" s="340">
        <f t="shared" si="51"/>
        <v>0</v>
      </c>
      <c r="H66" s="340">
        <f t="shared" si="51"/>
        <v>0</v>
      </c>
      <c r="I66" s="340">
        <f t="shared" si="51"/>
        <v>0</v>
      </c>
      <c r="J66" s="340">
        <f t="shared" si="51"/>
        <v>0</v>
      </c>
      <c r="K66" s="340">
        <f t="shared" si="51"/>
        <v>0</v>
      </c>
      <c r="L66" s="340">
        <f t="shared" si="51"/>
        <v>0</v>
      </c>
      <c r="M66" s="340">
        <f t="shared" si="51"/>
        <v>0</v>
      </c>
      <c r="N66" s="340">
        <f t="shared" si="51"/>
        <v>0</v>
      </c>
      <c r="O66" s="340">
        <f t="shared" si="51"/>
        <v>0</v>
      </c>
      <c r="P66" s="340">
        <f t="shared" si="51"/>
        <v>0</v>
      </c>
      <c r="Q66" s="340">
        <f t="shared" si="51"/>
        <v>0</v>
      </c>
      <c r="R66" s="340">
        <f t="shared" si="51"/>
        <v>0</v>
      </c>
      <c r="S66" s="340">
        <f t="shared" si="51"/>
        <v>0</v>
      </c>
      <c r="T66" s="340">
        <f t="shared" si="51"/>
        <v>0</v>
      </c>
      <c r="U66" s="340">
        <f t="shared" si="51"/>
        <v>0</v>
      </c>
      <c r="V66" s="340">
        <f t="shared" si="51"/>
        <v>0</v>
      </c>
      <c r="W66" s="340">
        <f t="shared" si="51"/>
        <v>0</v>
      </c>
      <c r="X66" s="340">
        <f t="shared" si="51"/>
        <v>8379.8905605778891</v>
      </c>
      <c r="Y66" s="340">
        <f t="shared" si="51"/>
        <v>8379.8905605778891</v>
      </c>
      <c r="Z66" s="340">
        <f t="shared" si="51"/>
        <v>8379.8905605778891</v>
      </c>
      <c r="AA66" s="340">
        <f t="shared" si="51"/>
        <v>235179.89056057791</v>
      </c>
      <c r="AB66" s="340">
        <f t="shared" si="51"/>
        <v>8379.8905605778891</v>
      </c>
      <c r="AC66" s="340">
        <f t="shared" si="51"/>
        <v>8379.8905605778891</v>
      </c>
      <c r="AD66" s="340">
        <f t="shared" si="51"/>
        <v>-183093.13810574589</v>
      </c>
      <c r="AE66" s="340">
        <f t="shared" si="51"/>
        <v>24060.365730974587</v>
      </c>
      <c r="AF66" s="340">
        <f t="shared" si="51"/>
        <v>24060.365730974587</v>
      </c>
      <c r="AG66" s="340">
        <f t="shared" si="51"/>
        <v>24060.365730974587</v>
      </c>
      <c r="AH66" s="340">
        <f t="shared" si="51"/>
        <v>24060.365730974587</v>
      </c>
      <c r="AI66" s="340">
        <f t="shared" si="51"/>
        <v>24060.365730974587</v>
      </c>
      <c r="AJ66" s="340">
        <f t="shared" si="51"/>
        <v>26213.450543762105</v>
      </c>
      <c r="AK66" s="340">
        <f t="shared" si="51"/>
        <v>26213.450543762105</v>
      </c>
      <c r="AL66" s="340">
        <f t="shared" si="51"/>
        <v>26213.450543762105</v>
      </c>
      <c r="AM66" s="340">
        <f t="shared" si="51"/>
        <v>26213.450543762105</v>
      </c>
      <c r="AN66" s="340">
        <f t="shared" si="51"/>
        <v>26213.450543762105</v>
      </c>
      <c r="AO66" s="340">
        <f t="shared" si="51"/>
        <v>26213.450543762105</v>
      </c>
      <c r="AP66" s="340">
        <f t="shared" si="51"/>
        <v>14020.788792395833</v>
      </c>
      <c r="AQ66" s="340">
        <f t="shared" si="51"/>
        <v>14020.788792395824</v>
      </c>
      <c r="AR66" s="340">
        <f t="shared" si="51"/>
        <v>14020.788792395824</v>
      </c>
      <c r="AS66" s="340">
        <f t="shared" si="51"/>
        <v>14020.788792395824</v>
      </c>
      <c r="AT66" s="340">
        <f t="shared" si="51"/>
        <v>14020.788792395824</v>
      </c>
      <c r="AU66" s="340">
        <f t="shared" si="51"/>
        <v>14020.788792395833</v>
      </c>
      <c r="AV66" s="340">
        <f t="shared" si="51"/>
        <v>16241.553131307583</v>
      </c>
      <c r="AW66" s="340">
        <f t="shared" si="51"/>
        <v>16241.553131307583</v>
      </c>
      <c r="AX66" s="340">
        <f t="shared" si="51"/>
        <v>16241.553131307583</v>
      </c>
      <c r="AY66" s="340">
        <f t="shared" si="51"/>
        <v>16241.553131307583</v>
      </c>
      <c r="AZ66" s="340">
        <f t="shared" si="51"/>
        <v>16241.553131307583</v>
      </c>
      <c r="BA66" s="340">
        <f t="shared" si="51"/>
        <v>16241.553131307583</v>
      </c>
      <c r="BB66" s="340">
        <f t="shared" si="51"/>
        <v>16241.553131307583</v>
      </c>
      <c r="BC66" s="340">
        <f t="shared" si="51"/>
        <v>16241.553131307583</v>
      </c>
      <c r="BD66" s="340">
        <f t="shared" si="51"/>
        <v>16241.553131307583</v>
      </c>
      <c r="BE66" s="340">
        <f t="shared" si="51"/>
        <v>16241.553131307583</v>
      </c>
      <c r="BF66" s="340">
        <f t="shared" si="51"/>
        <v>16241.553131307583</v>
      </c>
      <c r="BG66" s="340">
        <f t="shared" si="51"/>
        <v>16241.553131307583</v>
      </c>
      <c r="BH66" s="340">
        <f t="shared" si="51"/>
        <v>18532.089121762114</v>
      </c>
      <c r="BI66" s="340">
        <f t="shared" si="51"/>
        <v>18532.089121762114</v>
      </c>
      <c r="BJ66" s="340">
        <f t="shared" si="51"/>
        <v>18532.089121762121</v>
      </c>
      <c r="BK66" s="340">
        <f t="shared" si="51"/>
        <v>18532.089121762121</v>
      </c>
      <c r="BL66" s="340">
        <f>((BL24+BL27)*$C$18)+(BL40*$C$18)+BL41+(BL53*$C$18)+BL54+(BL61*$C$18)+BL62+BL30</f>
        <v>18532.089121762114</v>
      </c>
      <c r="BM66" s="340">
        <f t="shared" si="51"/>
        <v>18532.089121762103</v>
      </c>
      <c r="BN66" s="340">
        <f t="shared" si="51"/>
        <v>18532.089121762114</v>
      </c>
      <c r="BO66" s="340">
        <f t="shared" ref="BO66:BZ66" si="52">((BO24+BO27)*$C$18)+(BO40*$C$18)+BO41+(BO53*$C$18)+BO54+(BO61*$C$18)+BO62+BO30</f>
        <v>18532.089121762114</v>
      </c>
      <c r="BP66" s="340">
        <f t="shared" si="52"/>
        <v>18532.089121762114</v>
      </c>
      <c r="BQ66" s="340">
        <f t="shared" si="52"/>
        <v>18532.089121762114</v>
      </c>
      <c r="BR66" s="340">
        <f t="shared" si="52"/>
        <v>18532.089121762114</v>
      </c>
      <c r="BS66" s="340">
        <f t="shared" si="52"/>
        <v>18532.089121762114</v>
      </c>
      <c r="BT66" s="340">
        <f t="shared" si="52"/>
        <v>20890.525191934063</v>
      </c>
      <c r="BU66" s="340">
        <f t="shared" si="52"/>
        <v>20890.525191934055</v>
      </c>
      <c r="BV66" s="340">
        <f t="shared" si="52"/>
        <v>20890.525191934055</v>
      </c>
      <c r="BW66" s="340">
        <f t="shared" si="52"/>
        <v>20890.525191934055</v>
      </c>
      <c r="BX66" s="340">
        <f t="shared" si="52"/>
        <v>20890.525191934055</v>
      </c>
      <c r="BY66" s="340">
        <f t="shared" si="52"/>
        <v>0</v>
      </c>
      <c r="BZ66" s="340">
        <f t="shared" si="52"/>
        <v>0</v>
      </c>
      <c r="CA66" s="594"/>
      <c r="CB66" s="567" t="s">
        <v>91</v>
      </c>
      <c r="CC66" s="567" t="s">
        <v>185</v>
      </c>
      <c r="CE66" s="219"/>
    </row>
    <row r="67" spans="1:83" s="216" customFormat="1" ht="15.75" thickBot="1">
      <c r="A67" s="215"/>
      <c r="B67" s="445" t="s">
        <v>167</v>
      </c>
      <c r="C67" s="446">
        <f>C11</f>
        <v>-24033944.982098967</v>
      </c>
      <c r="D67" s="446">
        <f t="shared" ref="D67:BK67" si="53">SUM(D65:D66)</f>
        <v>0</v>
      </c>
      <c r="E67" s="446">
        <f t="shared" si="53"/>
        <v>0</v>
      </c>
      <c r="F67" s="446">
        <f t="shared" si="53"/>
        <v>0</v>
      </c>
      <c r="G67" s="446">
        <f t="shared" si="53"/>
        <v>0</v>
      </c>
      <c r="H67" s="446">
        <f t="shared" si="53"/>
        <v>0</v>
      </c>
      <c r="I67" s="446">
        <f t="shared" si="53"/>
        <v>0</v>
      </c>
      <c r="J67" s="446">
        <f t="shared" si="53"/>
        <v>0</v>
      </c>
      <c r="K67" s="446">
        <f t="shared" si="53"/>
        <v>0</v>
      </c>
      <c r="L67" s="446">
        <f t="shared" si="53"/>
        <v>0</v>
      </c>
      <c r="M67" s="446">
        <f t="shared" si="53"/>
        <v>0</v>
      </c>
      <c r="N67" s="446">
        <f t="shared" si="53"/>
        <v>0</v>
      </c>
      <c r="O67" s="446">
        <f t="shared" si="53"/>
        <v>0</v>
      </c>
      <c r="P67" s="446">
        <f t="shared" si="53"/>
        <v>0</v>
      </c>
      <c r="Q67" s="446">
        <f>0</f>
        <v>0</v>
      </c>
      <c r="R67" s="446">
        <f t="shared" si="53"/>
        <v>0</v>
      </c>
      <c r="S67" s="446">
        <f t="shared" si="53"/>
        <v>0</v>
      </c>
      <c r="T67" s="446">
        <f t="shared" si="53"/>
        <v>0</v>
      </c>
      <c r="U67" s="446">
        <f t="shared" si="53"/>
        <v>0</v>
      </c>
      <c r="V67" s="446">
        <f t="shared" si="53"/>
        <v>0</v>
      </c>
      <c r="W67" s="446">
        <f t="shared" si="53"/>
        <v>0</v>
      </c>
      <c r="X67" s="446">
        <f t="shared" si="53"/>
        <v>55865.937070519256</v>
      </c>
      <c r="Y67" s="446">
        <f t="shared" si="53"/>
        <v>55865.937070519256</v>
      </c>
      <c r="Z67" s="446">
        <f t="shared" si="53"/>
        <v>55865.937070519256</v>
      </c>
      <c r="AA67" s="446">
        <f t="shared" si="53"/>
        <v>1567865.9370705192</v>
      </c>
      <c r="AB67" s="446">
        <f t="shared" si="53"/>
        <v>55865.937070519256</v>
      </c>
      <c r="AC67" s="446">
        <f t="shared" si="53"/>
        <v>55865.937070519256</v>
      </c>
      <c r="AD67" s="446">
        <f t="shared" si="53"/>
        <v>-1220620.9207049725</v>
      </c>
      <c r="AE67" s="446">
        <f t="shared" si="53"/>
        <v>160402.43820649723</v>
      </c>
      <c r="AF67" s="446">
        <f t="shared" si="53"/>
        <v>160402.43820649723</v>
      </c>
      <c r="AG67" s="446">
        <f t="shared" si="53"/>
        <v>160402.43820649723</v>
      </c>
      <c r="AH67" s="446">
        <f t="shared" si="53"/>
        <v>160402.43820649723</v>
      </c>
      <c r="AI67" s="446">
        <f t="shared" si="53"/>
        <v>160402.43820649723</v>
      </c>
      <c r="AJ67" s="446">
        <f t="shared" si="53"/>
        <v>174756.336958414</v>
      </c>
      <c r="AK67" s="446">
        <f t="shared" si="53"/>
        <v>174756.336958414</v>
      </c>
      <c r="AL67" s="446">
        <f t="shared" si="53"/>
        <v>174756.336958414</v>
      </c>
      <c r="AM67" s="446">
        <f t="shared" si="53"/>
        <v>174756.336958414</v>
      </c>
      <c r="AN67" s="446">
        <f t="shared" si="53"/>
        <v>174756.336958414</v>
      </c>
      <c r="AO67" s="446">
        <f t="shared" si="53"/>
        <v>174756.336958414</v>
      </c>
      <c r="AP67" s="446">
        <f t="shared" si="53"/>
        <v>93471.925282638869</v>
      </c>
      <c r="AQ67" s="446">
        <f t="shared" si="53"/>
        <v>93471.925282638811</v>
      </c>
      <c r="AR67" s="446">
        <f t="shared" si="53"/>
        <v>93471.925282638811</v>
      </c>
      <c r="AS67" s="446">
        <f t="shared" si="53"/>
        <v>93471.925282638811</v>
      </c>
      <c r="AT67" s="446">
        <f t="shared" si="53"/>
        <v>93471.925282638811</v>
      </c>
      <c r="AU67" s="446">
        <f t="shared" si="53"/>
        <v>93471.925282638869</v>
      </c>
      <c r="AV67" s="446">
        <f t="shared" si="53"/>
        <v>108277.02087538387</v>
      </c>
      <c r="AW67" s="446">
        <f t="shared" si="53"/>
        <v>108277.02087538387</v>
      </c>
      <c r="AX67" s="446">
        <f t="shared" si="53"/>
        <v>108277.02087538387</v>
      </c>
      <c r="AY67" s="446">
        <f t="shared" si="53"/>
        <v>108277.02087538387</v>
      </c>
      <c r="AZ67" s="446">
        <f t="shared" si="53"/>
        <v>108277.02087538387</v>
      </c>
      <c r="BA67" s="446">
        <f t="shared" si="53"/>
        <v>108277.02087538387</v>
      </c>
      <c r="BB67" s="446">
        <f t="shared" si="53"/>
        <v>108277.02087538387</v>
      </c>
      <c r="BC67" s="446">
        <f t="shared" si="53"/>
        <v>108277.02087538387</v>
      </c>
      <c r="BD67" s="446">
        <f t="shared" si="53"/>
        <v>108277.02087538387</v>
      </c>
      <c r="BE67" s="446">
        <f t="shared" si="53"/>
        <v>108277.02087538387</v>
      </c>
      <c r="BF67" s="446">
        <f t="shared" si="53"/>
        <v>108277.02087538387</v>
      </c>
      <c r="BG67" s="446">
        <f t="shared" si="53"/>
        <v>108277.02087538387</v>
      </c>
      <c r="BH67" s="446">
        <f t="shared" si="53"/>
        <v>123547.2608117474</v>
      </c>
      <c r="BI67" s="446">
        <f t="shared" si="53"/>
        <v>123547.2608117474</v>
      </c>
      <c r="BJ67" s="446">
        <f t="shared" si="53"/>
        <v>123547.26081174746</v>
      </c>
      <c r="BK67" s="446">
        <f t="shared" si="53"/>
        <v>123547.26081174746</v>
      </c>
      <c r="BL67" s="446">
        <f t="shared" ref="BL67:BN67" si="54">SUM(BL65:BL66)</f>
        <v>123547.2608117474</v>
      </c>
      <c r="BM67" s="446">
        <f t="shared" si="54"/>
        <v>123547.26081174734</v>
      </c>
      <c r="BN67" s="446">
        <f t="shared" si="54"/>
        <v>123547.2608117474</v>
      </c>
      <c r="BO67" s="446">
        <f t="shared" ref="BO67:BZ67" si="55">SUM(BO65:BO66)</f>
        <v>123547.2608117474</v>
      </c>
      <c r="BP67" s="446">
        <f t="shared" si="55"/>
        <v>123547.2608117474</v>
      </c>
      <c r="BQ67" s="446">
        <f t="shared" si="55"/>
        <v>123547.2608117474</v>
      </c>
      <c r="BR67" s="446">
        <f t="shared" si="55"/>
        <v>123547.2608117474</v>
      </c>
      <c r="BS67" s="446">
        <f t="shared" si="55"/>
        <v>123547.2608117474</v>
      </c>
      <c r="BT67" s="446">
        <f t="shared" si="55"/>
        <v>139270.16794622707</v>
      </c>
      <c r="BU67" s="446">
        <f t="shared" si="55"/>
        <v>139270.16794622701</v>
      </c>
      <c r="BV67" s="446">
        <f t="shared" si="55"/>
        <v>139270.16794622701</v>
      </c>
      <c r="BW67" s="446">
        <f t="shared" si="55"/>
        <v>139270.16794622701</v>
      </c>
      <c r="BX67" s="446">
        <f t="shared" si="55"/>
        <v>139270.16794622701</v>
      </c>
      <c r="BY67" s="446">
        <f t="shared" si="55"/>
        <v>0</v>
      </c>
      <c r="BZ67" s="446">
        <f t="shared" si="55"/>
        <v>0</v>
      </c>
      <c r="CA67" s="595"/>
      <c r="CB67" s="568">
        <f>XIRR(C67:BZ67,C6:BZ6)</f>
        <v>-0.26943729259073734</v>
      </c>
      <c r="CC67" s="569">
        <f>SUM(D67:BZ67)/-C67</f>
        <v>0.27112480664439687</v>
      </c>
      <c r="CE67" s="219"/>
    </row>
    <row r="68" spans="1:83" s="216" customFormat="1" ht="15.75" thickTop="1">
      <c r="A68" s="215"/>
      <c r="B68" s="305"/>
      <c r="C68" s="306"/>
      <c r="D68" s="341"/>
      <c r="E68" s="341"/>
      <c r="F68" s="341"/>
      <c r="G68" s="341"/>
      <c r="H68" s="341"/>
      <c r="I68" s="341"/>
      <c r="J68" s="341"/>
      <c r="K68" s="341"/>
      <c r="L68" s="341"/>
      <c r="M68" s="341"/>
      <c r="N68" s="341"/>
      <c r="O68" s="341"/>
      <c r="P68" s="341"/>
      <c r="Q68" s="341"/>
      <c r="R68" s="341"/>
      <c r="S68" s="341"/>
      <c r="T68" s="341"/>
      <c r="U68" s="341"/>
      <c r="V68" s="341"/>
      <c r="W68" s="341"/>
      <c r="X68" s="341"/>
      <c r="Y68" s="341"/>
      <c r="Z68" s="341"/>
      <c r="AA68" s="341"/>
      <c r="AB68" s="341"/>
      <c r="AC68" s="341"/>
      <c r="AD68" s="341"/>
      <c r="AE68" s="341"/>
      <c r="AF68" s="341"/>
      <c r="AG68" s="341"/>
      <c r="AH68" s="341"/>
      <c r="AI68" s="341"/>
      <c r="AJ68" s="341"/>
      <c r="AK68" s="341"/>
      <c r="AL68" s="341"/>
      <c r="AM68" s="341"/>
      <c r="AN68" s="341"/>
      <c r="AO68" s="341"/>
      <c r="AP68" s="341"/>
      <c r="AQ68" s="341"/>
      <c r="AR68" s="341"/>
      <c r="AS68" s="341"/>
      <c r="AT68" s="341"/>
      <c r="AU68" s="341"/>
      <c r="AV68" s="341"/>
      <c r="AW68" s="341"/>
      <c r="AX68" s="341"/>
      <c r="AY68" s="341"/>
      <c r="AZ68" s="341"/>
      <c r="BA68" s="341"/>
      <c r="BB68" s="341"/>
      <c r="BC68" s="341"/>
      <c r="BD68" s="341"/>
      <c r="BE68" s="341"/>
      <c r="BF68" s="341"/>
      <c r="BG68" s="341"/>
      <c r="BH68" s="341"/>
      <c r="BI68" s="341"/>
      <c r="BJ68" s="341"/>
      <c r="BK68" s="341"/>
      <c r="BL68" s="341"/>
      <c r="BM68" s="341"/>
      <c r="BN68" s="341"/>
      <c r="BO68" s="341"/>
      <c r="BP68" s="341"/>
      <c r="BQ68" s="341"/>
      <c r="BR68" s="341"/>
      <c r="BS68" s="341"/>
      <c r="BT68" s="341"/>
      <c r="BU68" s="341"/>
      <c r="BV68" s="341"/>
      <c r="BW68" s="341"/>
      <c r="BX68" s="341"/>
      <c r="BY68" s="341"/>
      <c r="BZ68" s="775"/>
      <c r="CB68" s="390"/>
      <c r="CC68" s="390"/>
      <c r="CE68" s="219"/>
    </row>
    <row r="69" spans="1:83" s="216" customFormat="1">
      <c r="A69" s="215"/>
      <c r="B69" s="305" t="s">
        <v>376</v>
      </c>
      <c r="C69" s="306"/>
      <c r="D69" s="341"/>
      <c r="E69" s="341"/>
      <c r="F69" s="341"/>
      <c r="G69" s="341"/>
      <c r="H69" s="341"/>
      <c r="I69" s="341"/>
      <c r="J69" s="341"/>
      <c r="K69" s="341"/>
      <c r="L69" s="341"/>
      <c r="M69" s="341"/>
      <c r="N69" s="341"/>
      <c r="O69" s="341"/>
      <c r="P69" s="341"/>
      <c r="Q69" s="341"/>
      <c r="R69" s="341"/>
      <c r="S69" s="341"/>
      <c r="T69" s="341"/>
      <c r="U69" s="341"/>
      <c r="V69" s="341"/>
      <c r="W69" s="341"/>
      <c r="X69" s="341"/>
      <c r="Y69" s="341"/>
      <c r="Z69" s="341"/>
      <c r="AA69" s="341"/>
      <c r="AB69" s="341"/>
      <c r="AC69" s="341"/>
      <c r="AD69" s="341"/>
      <c r="AE69" s="341"/>
      <c r="AF69" s="341"/>
      <c r="AG69" s="341"/>
      <c r="AH69" s="341"/>
      <c r="AI69" s="341"/>
      <c r="AJ69" s="341"/>
      <c r="AK69" s="341"/>
      <c r="AL69" s="341"/>
      <c r="AM69" s="341"/>
      <c r="AN69" s="341"/>
      <c r="AO69" s="341"/>
      <c r="AP69" s="341"/>
      <c r="AQ69" s="341"/>
      <c r="AR69" s="341"/>
      <c r="AS69" s="341"/>
      <c r="AT69" s="341"/>
      <c r="AU69" s="341"/>
      <c r="AV69" s="341"/>
      <c r="AW69" s="341"/>
      <c r="AX69" s="341"/>
      <c r="AY69" s="341"/>
      <c r="AZ69" s="341"/>
      <c r="BA69" s="341"/>
      <c r="BB69" s="341"/>
      <c r="BC69" s="341"/>
      <c r="BD69" s="341"/>
      <c r="BE69" s="341"/>
      <c r="BF69" s="341"/>
      <c r="BG69" s="341"/>
      <c r="BH69" s="341"/>
      <c r="BI69" s="341"/>
      <c r="BJ69" s="341"/>
      <c r="BK69" s="341"/>
      <c r="BL69" s="341"/>
      <c r="BM69" s="341"/>
      <c r="BN69" s="341"/>
      <c r="BO69" s="341"/>
      <c r="BP69" s="341"/>
      <c r="BQ69" s="341"/>
      <c r="BR69" s="341"/>
      <c r="BS69" s="341"/>
      <c r="BT69" s="341"/>
      <c r="BU69" s="341"/>
      <c r="BV69" s="341"/>
      <c r="BW69" s="341"/>
      <c r="BX69" s="341"/>
      <c r="BY69" s="341"/>
      <c r="BZ69" s="307"/>
      <c r="CA69" s="771"/>
      <c r="CB69" s="570" t="s">
        <v>91</v>
      </c>
      <c r="CC69" s="570" t="s">
        <v>185</v>
      </c>
      <c r="CE69" s="219"/>
    </row>
    <row r="70" spans="1:83" s="216" customFormat="1">
      <c r="A70" s="228"/>
      <c r="B70" s="901">
        <f>C17</f>
        <v>0.85</v>
      </c>
      <c r="C70" s="473">
        <f>+-D17</f>
        <v>-20428853.234784123</v>
      </c>
      <c r="D70" s="473">
        <f>D65</f>
        <v>0</v>
      </c>
      <c r="E70" s="473">
        <f>E65</f>
        <v>0</v>
      </c>
      <c r="F70" s="473">
        <f>F65</f>
        <v>0</v>
      </c>
      <c r="G70" s="473">
        <f>G65</f>
        <v>0</v>
      </c>
      <c r="H70" s="473">
        <f t="shared" ref="H70:BN70" si="56">H65</f>
        <v>0</v>
      </c>
      <c r="I70" s="473">
        <f t="shared" si="56"/>
        <v>0</v>
      </c>
      <c r="J70" s="473">
        <f t="shared" si="56"/>
        <v>0</v>
      </c>
      <c r="K70" s="473">
        <f t="shared" si="56"/>
        <v>0</v>
      </c>
      <c r="L70" s="473">
        <f t="shared" si="56"/>
        <v>0</v>
      </c>
      <c r="M70" s="473">
        <f t="shared" si="56"/>
        <v>0</v>
      </c>
      <c r="N70" s="473">
        <f t="shared" si="56"/>
        <v>0</v>
      </c>
      <c r="O70" s="473">
        <f t="shared" si="56"/>
        <v>0</v>
      </c>
      <c r="P70" s="473">
        <f t="shared" si="56"/>
        <v>0</v>
      </c>
      <c r="Q70" s="473">
        <f t="shared" si="56"/>
        <v>0</v>
      </c>
      <c r="R70" s="473">
        <f t="shared" si="56"/>
        <v>0</v>
      </c>
      <c r="S70" s="473">
        <f t="shared" si="56"/>
        <v>0</v>
      </c>
      <c r="T70" s="473">
        <f t="shared" si="56"/>
        <v>0</v>
      </c>
      <c r="U70" s="473">
        <f t="shared" si="56"/>
        <v>0</v>
      </c>
      <c r="V70" s="473">
        <f t="shared" si="56"/>
        <v>0</v>
      </c>
      <c r="W70" s="473">
        <f t="shared" si="56"/>
        <v>0</v>
      </c>
      <c r="X70" s="473">
        <f t="shared" si="56"/>
        <v>47486.046509941363</v>
      </c>
      <c r="Y70" s="473">
        <f t="shared" si="56"/>
        <v>47486.046509941363</v>
      </c>
      <c r="Z70" s="473">
        <f t="shared" si="56"/>
        <v>47486.046509941363</v>
      </c>
      <c r="AA70" s="473">
        <f t="shared" si="56"/>
        <v>1332686.0465099413</v>
      </c>
      <c r="AB70" s="473">
        <f t="shared" si="56"/>
        <v>47486.046509941363</v>
      </c>
      <c r="AC70" s="473">
        <f>AC65</f>
        <v>47486.046509941363</v>
      </c>
      <c r="AD70" s="473">
        <f t="shared" si="56"/>
        <v>-1037527.7825992266</v>
      </c>
      <c r="AE70" s="473">
        <f t="shared" si="56"/>
        <v>136342.07247552264</v>
      </c>
      <c r="AF70" s="473">
        <f t="shared" si="56"/>
        <v>136342.07247552264</v>
      </c>
      <c r="AG70" s="473">
        <f t="shared" si="56"/>
        <v>136342.07247552264</v>
      </c>
      <c r="AH70" s="473">
        <f t="shared" si="56"/>
        <v>136342.07247552264</v>
      </c>
      <c r="AI70" s="473">
        <f t="shared" si="56"/>
        <v>136342.07247552264</v>
      </c>
      <c r="AJ70" s="473">
        <f t="shared" si="56"/>
        <v>148542.8864146519</v>
      </c>
      <c r="AK70" s="473">
        <f t="shared" si="56"/>
        <v>148542.8864146519</v>
      </c>
      <c r="AL70" s="473">
        <f t="shared" si="56"/>
        <v>148542.8864146519</v>
      </c>
      <c r="AM70" s="473">
        <f t="shared" si="56"/>
        <v>148542.8864146519</v>
      </c>
      <c r="AN70" s="473">
        <f t="shared" si="56"/>
        <v>148542.8864146519</v>
      </c>
      <c r="AO70" s="473">
        <f t="shared" si="56"/>
        <v>148542.8864146519</v>
      </c>
      <c r="AP70" s="473">
        <f t="shared" si="56"/>
        <v>79451.136490243036</v>
      </c>
      <c r="AQ70" s="473">
        <f t="shared" si="56"/>
        <v>79451.136490242992</v>
      </c>
      <c r="AR70" s="473">
        <f t="shared" si="56"/>
        <v>79451.136490242992</v>
      </c>
      <c r="AS70" s="473">
        <f t="shared" si="56"/>
        <v>79451.136490242992</v>
      </c>
      <c r="AT70" s="473">
        <f t="shared" si="56"/>
        <v>79451.136490242992</v>
      </c>
      <c r="AU70" s="473">
        <f t="shared" si="56"/>
        <v>79451.136490243036</v>
      </c>
      <c r="AV70" s="473">
        <f t="shared" si="56"/>
        <v>92035.46774407629</v>
      </c>
      <c r="AW70" s="473">
        <f t="shared" si="56"/>
        <v>92035.46774407629</v>
      </c>
      <c r="AX70" s="473">
        <f t="shared" si="56"/>
        <v>92035.46774407629</v>
      </c>
      <c r="AY70" s="473">
        <f t="shared" si="56"/>
        <v>92035.46774407629</v>
      </c>
      <c r="AZ70" s="473">
        <f t="shared" si="56"/>
        <v>92035.46774407629</v>
      </c>
      <c r="BA70" s="473">
        <f t="shared" si="56"/>
        <v>92035.46774407629</v>
      </c>
      <c r="BB70" s="473">
        <f t="shared" si="56"/>
        <v>92035.46774407629</v>
      </c>
      <c r="BC70" s="473">
        <f t="shared" si="56"/>
        <v>92035.46774407629</v>
      </c>
      <c r="BD70" s="473">
        <f t="shared" si="56"/>
        <v>92035.46774407629</v>
      </c>
      <c r="BE70" s="473">
        <f t="shared" si="56"/>
        <v>92035.46774407629</v>
      </c>
      <c r="BF70" s="473">
        <f t="shared" si="56"/>
        <v>92035.46774407629</v>
      </c>
      <c r="BG70" s="473">
        <f t="shared" si="56"/>
        <v>92035.46774407629</v>
      </c>
      <c r="BH70" s="473">
        <f t="shared" si="56"/>
        <v>105015.17168998529</v>
      </c>
      <c r="BI70" s="473">
        <f t="shared" si="56"/>
        <v>105015.17168998529</v>
      </c>
      <c r="BJ70" s="473">
        <f t="shared" si="56"/>
        <v>105015.17168998533</v>
      </c>
      <c r="BK70" s="473">
        <f t="shared" si="56"/>
        <v>105015.17168998533</v>
      </c>
      <c r="BL70" s="473">
        <f t="shared" si="56"/>
        <v>105015.17168998529</v>
      </c>
      <c r="BM70" s="473">
        <f t="shared" si="56"/>
        <v>105015.17168998523</v>
      </c>
      <c r="BN70" s="473">
        <f t="shared" si="56"/>
        <v>105015.17168998529</v>
      </c>
      <c r="BO70" s="473">
        <f t="shared" ref="BO70:BZ70" si="57">BO65</f>
        <v>105015.17168998529</v>
      </c>
      <c r="BP70" s="473">
        <f t="shared" si="57"/>
        <v>105015.17168998529</v>
      </c>
      <c r="BQ70" s="473">
        <f t="shared" si="57"/>
        <v>105015.17168998529</v>
      </c>
      <c r="BR70" s="473">
        <f t="shared" si="57"/>
        <v>105015.17168998529</v>
      </c>
      <c r="BS70" s="473">
        <f t="shared" si="57"/>
        <v>105015.17168998529</v>
      </c>
      <c r="BT70" s="473">
        <f t="shared" si="57"/>
        <v>118379.642754293</v>
      </c>
      <c r="BU70" s="473">
        <f t="shared" si="57"/>
        <v>118379.64275429296</v>
      </c>
      <c r="BV70" s="473">
        <f t="shared" si="57"/>
        <v>118379.64275429296</v>
      </c>
      <c r="BW70" s="473">
        <f t="shared" si="57"/>
        <v>118379.64275429296</v>
      </c>
      <c r="BX70" s="473">
        <f t="shared" si="57"/>
        <v>118379.64275429296</v>
      </c>
      <c r="BY70" s="473">
        <f t="shared" si="57"/>
        <v>0</v>
      </c>
      <c r="BZ70" s="474">
        <f t="shared" si="57"/>
        <v>0</v>
      </c>
      <c r="CA70" s="772"/>
      <c r="CB70" s="571">
        <f>XIRR(C70:BZ70,C6:BZ6)</f>
        <v>-0.26943729259073734</v>
      </c>
      <c r="CC70" s="572">
        <f>SUM(D70:BZ70)/-C70</f>
        <v>0.27112480664439692</v>
      </c>
      <c r="CE70" s="219"/>
    </row>
    <row r="71" spans="1:83">
      <c r="A71" s="229"/>
      <c r="B71" s="308"/>
      <c r="C71" s="309"/>
      <c r="D71" s="309"/>
      <c r="E71" s="309"/>
      <c r="F71" s="309"/>
      <c r="G71" s="309"/>
      <c r="H71" s="309"/>
      <c r="I71" s="309"/>
      <c r="J71" s="309"/>
      <c r="K71" s="309"/>
      <c r="L71" s="309"/>
      <c r="M71" s="309"/>
      <c r="N71" s="309"/>
      <c r="O71" s="309"/>
      <c r="P71" s="309"/>
      <c r="Q71" s="309"/>
      <c r="R71" s="309"/>
      <c r="S71" s="309"/>
      <c r="T71" s="309"/>
      <c r="U71" s="309"/>
      <c r="V71" s="309"/>
      <c r="W71" s="309"/>
      <c r="X71" s="309"/>
      <c r="Y71" s="309"/>
      <c r="Z71" s="309"/>
      <c r="AA71" s="309"/>
      <c r="AB71" s="309"/>
      <c r="AC71" s="309"/>
      <c r="AD71" s="309"/>
      <c r="AE71" s="309"/>
      <c r="AF71" s="309"/>
      <c r="AG71" s="309"/>
      <c r="AH71" s="309"/>
      <c r="AI71" s="309"/>
      <c r="AJ71" s="309"/>
      <c r="AK71" s="309"/>
      <c r="AL71" s="309"/>
      <c r="AM71" s="309"/>
      <c r="AN71" s="309"/>
      <c r="AO71" s="309"/>
      <c r="AP71" s="309"/>
      <c r="AQ71" s="309"/>
      <c r="AR71" s="309"/>
      <c r="AS71" s="309"/>
      <c r="AT71" s="309"/>
      <c r="AU71" s="309"/>
      <c r="AV71" s="309"/>
      <c r="AW71" s="309"/>
      <c r="AX71" s="309"/>
      <c r="AY71" s="309"/>
      <c r="AZ71" s="309"/>
      <c r="BA71" s="309"/>
      <c r="BB71" s="309"/>
      <c r="BC71" s="309"/>
      <c r="BD71" s="309"/>
      <c r="BE71" s="309"/>
      <c r="BF71" s="309"/>
      <c r="BG71" s="309"/>
      <c r="BH71" s="309"/>
      <c r="BI71" s="309"/>
      <c r="BJ71" s="309"/>
      <c r="BK71" s="309"/>
      <c r="BL71" s="309"/>
      <c r="BM71" s="309"/>
      <c r="BN71" s="309"/>
      <c r="BO71" s="309"/>
      <c r="BP71" s="309"/>
      <c r="BQ71" s="309"/>
      <c r="BR71" s="309"/>
      <c r="BS71" s="309"/>
      <c r="BT71" s="309"/>
      <c r="BU71" s="309"/>
      <c r="BV71" s="309"/>
      <c r="BW71" s="309"/>
      <c r="BX71" s="309"/>
      <c r="BY71" s="309"/>
      <c r="BZ71" s="310"/>
      <c r="CA71" s="222"/>
      <c r="CB71" s="393"/>
      <c r="CC71" s="394"/>
    </row>
    <row r="72" spans="1:83">
      <c r="A72" s="229"/>
      <c r="B72" s="305" t="s">
        <v>186</v>
      </c>
      <c r="C72" s="309"/>
      <c r="D72" s="309"/>
      <c r="E72" s="309"/>
      <c r="F72" s="309"/>
      <c r="G72" s="309"/>
      <c r="H72" s="309"/>
      <c r="I72" s="309"/>
      <c r="J72" s="309"/>
      <c r="K72" s="309"/>
      <c r="L72" s="309"/>
      <c r="M72" s="309"/>
      <c r="N72" s="309"/>
      <c r="O72" s="309"/>
      <c r="P72" s="309"/>
      <c r="Q72" s="309"/>
      <c r="R72" s="309"/>
      <c r="S72" s="309"/>
      <c r="T72" s="309"/>
      <c r="U72" s="309"/>
      <c r="V72" s="309"/>
      <c r="W72" s="309"/>
      <c r="X72" s="309"/>
      <c r="Y72" s="309"/>
      <c r="Z72" s="309"/>
      <c r="AA72" s="309"/>
      <c r="AB72" s="309"/>
      <c r="AC72" s="309"/>
      <c r="AD72" s="309"/>
      <c r="AE72" s="309"/>
      <c r="AF72" s="309"/>
      <c r="AG72" s="309"/>
      <c r="AH72" s="309"/>
      <c r="AI72" s="309"/>
      <c r="AJ72" s="309"/>
      <c r="AK72" s="309"/>
      <c r="AL72" s="309"/>
      <c r="AM72" s="309"/>
      <c r="AN72" s="309"/>
      <c r="AO72" s="309"/>
      <c r="AP72" s="309"/>
      <c r="AQ72" s="309"/>
      <c r="AR72" s="309"/>
      <c r="AS72" s="309"/>
      <c r="AT72" s="309"/>
      <c r="AU72" s="309"/>
      <c r="AV72" s="309"/>
      <c r="AW72" s="309"/>
      <c r="AX72" s="309"/>
      <c r="AY72" s="309"/>
      <c r="AZ72" s="309"/>
      <c r="BA72" s="309"/>
      <c r="BB72" s="309"/>
      <c r="BC72" s="309"/>
      <c r="BD72" s="309"/>
      <c r="BE72" s="309"/>
      <c r="BF72" s="309"/>
      <c r="BG72" s="309"/>
      <c r="BH72" s="309"/>
      <c r="BI72" s="309"/>
      <c r="BJ72" s="309"/>
      <c r="BK72" s="309"/>
      <c r="BL72" s="309"/>
      <c r="BM72" s="309"/>
      <c r="BN72" s="309"/>
      <c r="BO72" s="309"/>
      <c r="BP72" s="309"/>
      <c r="BQ72" s="309"/>
      <c r="BR72" s="309"/>
      <c r="BS72" s="309"/>
      <c r="BT72" s="309"/>
      <c r="BU72" s="309"/>
      <c r="BV72" s="309"/>
      <c r="BW72" s="309"/>
      <c r="BX72" s="309"/>
      <c r="BY72" s="309"/>
      <c r="BZ72" s="310"/>
      <c r="CA72" s="773"/>
      <c r="CB72" s="573" t="s">
        <v>91</v>
      </c>
      <c r="CC72" s="573" t="s">
        <v>185</v>
      </c>
    </row>
    <row r="73" spans="1:83">
      <c r="A73" s="229"/>
      <c r="B73" s="475">
        <f>100%-B70</f>
        <v>0.15000000000000002</v>
      </c>
      <c r="C73" s="476">
        <f>-D18</f>
        <v>-3605091.7473148457</v>
      </c>
      <c r="D73" s="476">
        <f>D66</f>
        <v>0</v>
      </c>
      <c r="E73" s="476">
        <f>E66</f>
        <v>0</v>
      </c>
      <c r="F73" s="476">
        <f>F66</f>
        <v>0</v>
      </c>
      <c r="G73" s="476">
        <f t="shared" ref="G73:BN73" si="58">G66</f>
        <v>0</v>
      </c>
      <c r="H73" s="476">
        <f t="shared" si="58"/>
        <v>0</v>
      </c>
      <c r="I73" s="476">
        <f t="shared" si="58"/>
        <v>0</v>
      </c>
      <c r="J73" s="476">
        <f t="shared" si="58"/>
        <v>0</v>
      </c>
      <c r="K73" s="476">
        <f t="shared" si="58"/>
        <v>0</v>
      </c>
      <c r="L73" s="476">
        <f t="shared" si="58"/>
        <v>0</v>
      </c>
      <c r="M73" s="476">
        <f t="shared" si="58"/>
        <v>0</v>
      </c>
      <c r="N73" s="476">
        <f t="shared" si="58"/>
        <v>0</v>
      </c>
      <c r="O73" s="476">
        <f t="shared" si="58"/>
        <v>0</v>
      </c>
      <c r="P73" s="476">
        <f t="shared" si="58"/>
        <v>0</v>
      </c>
      <c r="Q73" s="476">
        <f>0</f>
        <v>0</v>
      </c>
      <c r="R73" s="476">
        <f t="shared" si="58"/>
        <v>0</v>
      </c>
      <c r="S73" s="476">
        <f>S66</f>
        <v>0</v>
      </c>
      <c r="T73" s="476">
        <f t="shared" si="58"/>
        <v>0</v>
      </c>
      <c r="U73" s="476">
        <f t="shared" si="58"/>
        <v>0</v>
      </c>
      <c r="V73" s="476">
        <f t="shared" si="58"/>
        <v>0</v>
      </c>
      <c r="W73" s="476">
        <f t="shared" si="58"/>
        <v>0</v>
      </c>
      <c r="X73" s="476">
        <f t="shared" si="58"/>
        <v>8379.8905605778891</v>
      </c>
      <c r="Y73" s="476">
        <f t="shared" si="58"/>
        <v>8379.8905605778891</v>
      </c>
      <c r="Z73" s="476">
        <f t="shared" si="58"/>
        <v>8379.8905605778891</v>
      </c>
      <c r="AA73" s="476">
        <f t="shared" si="58"/>
        <v>235179.89056057791</v>
      </c>
      <c r="AB73" s="476">
        <f t="shared" si="58"/>
        <v>8379.8905605778891</v>
      </c>
      <c r="AC73" s="476">
        <f>AC66</f>
        <v>8379.8905605778891</v>
      </c>
      <c r="AD73" s="476">
        <f t="shared" si="58"/>
        <v>-183093.13810574589</v>
      </c>
      <c r="AE73" s="476">
        <f t="shared" si="58"/>
        <v>24060.365730974587</v>
      </c>
      <c r="AF73" s="476">
        <f t="shared" si="58"/>
        <v>24060.365730974587</v>
      </c>
      <c r="AG73" s="476">
        <f t="shared" si="58"/>
        <v>24060.365730974587</v>
      </c>
      <c r="AH73" s="476">
        <f t="shared" si="58"/>
        <v>24060.365730974587</v>
      </c>
      <c r="AI73" s="476">
        <f t="shared" si="58"/>
        <v>24060.365730974587</v>
      </c>
      <c r="AJ73" s="476">
        <f t="shared" si="58"/>
        <v>26213.450543762105</v>
      </c>
      <c r="AK73" s="476">
        <f t="shared" si="58"/>
        <v>26213.450543762105</v>
      </c>
      <c r="AL73" s="476">
        <f t="shared" si="58"/>
        <v>26213.450543762105</v>
      </c>
      <c r="AM73" s="476">
        <f t="shared" si="58"/>
        <v>26213.450543762105</v>
      </c>
      <c r="AN73" s="476">
        <f t="shared" si="58"/>
        <v>26213.450543762105</v>
      </c>
      <c r="AO73" s="476">
        <f t="shared" si="58"/>
        <v>26213.450543762105</v>
      </c>
      <c r="AP73" s="476">
        <f t="shared" si="58"/>
        <v>14020.788792395833</v>
      </c>
      <c r="AQ73" s="476">
        <f t="shared" si="58"/>
        <v>14020.788792395824</v>
      </c>
      <c r="AR73" s="476">
        <f t="shared" si="58"/>
        <v>14020.788792395824</v>
      </c>
      <c r="AS73" s="476">
        <f t="shared" si="58"/>
        <v>14020.788792395824</v>
      </c>
      <c r="AT73" s="476">
        <f t="shared" si="58"/>
        <v>14020.788792395824</v>
      </c>
      <c r="AU73" s="476">
        <f t="shared" si="58"/>
        <v>14020.788792395833</v>
      </c>
      <c r="AV73" s="476">
        <f t="shared" si="58"/>
        <v>16241.553131307583</v>
      </c>
      <c r="AW73" s="476">
        <f t="shared" si="58"/>
        <v>16241.553131307583</v>
      </c>
      <c r="AX73" s="476">
        <f t="shared" si="58"/>
        <v>16241.553131307583</v>
      </c>
      <c r="AY73" s="476">
        <f t="shared" si="58"/>
        <v>16241.553131307583</v>
      </c>
      <c r="AZ73" s="476">
        <f t="shared" si="58"/>
        <v>16241.553131307583</v>
      </c>
      <c r="BA73" s="476">
        <f t="shared" si="58"/>
        <v>16241.553131307583</v>
      </c>
      <c r="BB73" s="476">
        <f t="shared" si="58"/>
        <v>16241.553131307583</v>
      </c>
      <c r="BC73" s="476">
        <f t="shared" si="58"/>
        <v>16241.553131307583</v>
      </c>
      <c r="BD73" s="476">
        <f t="shared" si="58"/>
        <v>16241.553131307583</v>
      </c>
      <c r="BE73" s="476">
        <f t="shared" si="58"/>
        <v>16241.553131307583</v>
      </c>
      <c r="BF73" s="476">
        <f t="shared" si="58"/>
        <v>16241.553131307583</v>
      </c>
      <c r="BG73" s="476">
        <f t="shared" si="58"/>
        <v>16241.553131307583</v>
      </c>
      <c r="BH73" s="476">
        <f t="shared" si="58"/>
        <v>18532.089121762114</v>
      </c>
      <c r="BI73" s="476">
        <f t="shared" si="58"/>
        <v>18532.089121762114</v>
      </c>
      <c r="BJ73" s="476">
        <f t="shared" si="58"/>
        <v>18532.089121762121</v>
      </c>
      <c r="BK73" s="476">
        <f t="shared" si="58"/>
        <v>18532.089121762121</v>
      </c>
      <c r="BL73" s="476">
        <f t="shared" si="58"/>
        <v>18532.089121762114</v>
      </c>
      <c r="BM73" s="476">
        <f t="shared" si="58"/>
        <v>18532.089121762103</v>
      </c>
      <c r="BN73" s="476">
        <f t="shared" si="58"/>
        <v>18532.089121762114</v>
      </c>
      <c r="BO73" s="476">
        <f t="shared" ref="BO73:BZ73" si="59">BO66</f>
        <v>18532.089121762114</v>
      </c>
      <c r="BP73" s="476">
        <f t="shared" si="59"/>
        <v>18532.089121762114</v>
      </c>
      <c r="BQ73" s="476">
        <f t="shared" si="59"/>
        <v>18532.089121762114</v>
      </c>
      <c r="BR73" s="476">
        <f t="shared" si="59"/>
        <v>18532.089121762114</v>
      </c>
      <c r="BS73" s="476">
        <f t="shared" si="59"/>
        <v>18532.089121762114</v>
      </c>
      <c r="BT73" s="476">
        <f t="shared" si="59"/>
        <v>20890.525191934063</v>
      </c>
      <c r="BU73" s="476">
        <f t="shared" si="59"/>
        <v>20890.525191934055</v>
      </c>
      <c r="BV73" s="476">
        <f t="shared" si="59"/>
        <v>20890.525191934055</v>
      </c>
      <c r="BW73" s="476">
        <f t="shared" si="59"/>
        <v>20890.525191934055</v>
      </c>
      <c r="BX73" s="476">
        <f t="shared" si="59"/>
        <v>20890.525191934055</v>
      </c>
      <c r="BY73" s="476">
        <f t="shared" si="59"/>
        <v>0</v>
      </c>
      <c r="BZ73" s="477">
        <f t="shared" si="59"/>
        <v>0</v>
      </c>
      <c r="CA73" s="774"/>
      <c r="CB73" s="574">
        <f>XIRR(C73:BZ73,C6:BZ6)</f>
        <v>-0.26943729259073734</v>
      </c>
      <c r="CC73" s="575">
        <f>SUM(D73:BZ73)/-C73</f>
        <v>0.27112480664439692</v>
      </c>
    </row>
    <row r="74" spans="1:83" s="216" customFormat="1">
      <c r="A74" s="228"/>
      <c r="B74" s="305"/>
      <c r="C74" s="311"/>
      <c r="D74" s="342"/>
      <c r="E74" s="342"/>
      <c r="F74" s="342"/>
      <c r="G74" s="342"/>
      <c r="H74" s="342"/>
      <c r="I74" s="342"/>
      <c r="J74" s="342"/>
      <c r="K74" s="342"/>
      <c r="L74" s="342"/>
      <c r="M74" s="342"/>
      <c r="N74" s="342"/>
      <c r="O74" s="342"/>
      <c r="P74" s="342"/>
      <c r="Q74" s="342"/>
      <c r="R74" s="342"/>
      <c r="S74" s="342"/>
      <c r="T74" s="342"/>
      <c r="U74" s="342"/>
      <c r="V74" s="342"/>
      <c r="W74" s="342"/>
      <c r="X74" s="342"/>
      <c r="Y74" s="342"/>
      <c r="Z74" s="342"/>
      <c r="AA74" s="342"/>
      <c r="AB74" s="342"/>
      <c r="AC74" s="342"/>
      <c r="AD74" s="342"/>
      <c r="AE74" s="342"/>
      <c r="AF74" s="342"/>
      <c r="AG74" s="342"/>
      <c r="AH74" s="342"/>
      <c r="AI74" s="342"/>
      <c r="AJ74" s="342"/>
      <c r="AK74" s="342"/>
      <c r="AL74" s="342"/>
      <c r="AM74" s="342"/>
      <c r="AN74" s="342"/>
      <c r="AO74" s="342"/>
      <c r="AP74" s="342"/>
      <c r="AQ74" s="342"/>
      <c r="AR74" s="342"/>
      <c r="AS74" s="342"/>
      <c r="AT74" s="342"/>
      <c r="AU74" s="342"/>
      <c r="AV74" s="342"/>
      <c r="AW74" s="342"/>
      <c r="AX74" s="342"/>
      <c r="AY74" s="342"/>
      <c r="AZ74" s="342"/>
      <c r="BA74" s="342"/>
      <c r="BB74" s="342"/>
      <c r="BC74" s="342"/>
      <c r="BD74" s="342"/>
      <c r="BE74" s="342"/>
      <c r="BF74" s="342"/>
      <c r="BG74" s="342"/>
      <c r="BH74" s="342"/>
      <c r="BI74" s="342"/>
      <c r="BJ74" s="342"/>
      <c r="BK74" s="342"/>
      <c r="BL74" s="342"/>
      <c r="BM74" s="342"/>
      <c r="BN74" s="342"/>
      <c r="BO74" s="342"/>
      <c r="BP74" s="342"/>
      <c r="BQ74" s="342"/>
      <c r="BR74" s="342"/>
      <c r="BS74" s="342"/>
      <c r="BT74" s="342"/>
      <c r="BU74" s="342"/>
      <c r="BV74" s="342"/>
      <c r="BW74" s="342"/>
      <c r="BX74" s="342"/>
      <c r="BY74" s="342"/>
      <c r="BZ74" s="312"/>
      <c r="CA74" s="313"/>
      <c r="CE74" s="219"/>
    </row>
    <row r="75" spans="1:83" s="216" customFormat="1" ht="15.75" thickBot="1">
      <c r="A75" s="215"/>
      <c r="B75" s="454" t="s">
        <v>187</v>
      </c>
      <c r="C75" s="576">
        <f>SUM(D65:BN65)+SUM(D66:BN66)</f>
        <v>5202111.5423837835</v>
      </c>
      <c r="D75" s="455"/>
      <c r="E75" s="455"/>
      <c r="F75" s="455"/>
      <c r="G75" s="455"/>
      <c r="H75" s="455"/>
      <c r="I75" s="455"/>
      <c r="J75" s="455"/>
      <c r="K75" s="455"/>
      <c r="L75" s="455"/>
      <c r="M75" s="455"/>
      <c r="N75" s="455"/>
      <c r="O75" s="455"/>
      <c r="P75" s="455"/>
      <c r="Q75" s="455"/>
      <c r="R75" s="455"/>
      <c r="S75" s="455"/>
      <c r="T75" s="455"/>
      <c r="U75" s="455"/>
      <c r="V75" s="455"/>
      <c r="W75" s="455"/>
      <c r="X75" s="455"/>
      <c r="Y75" s="455"/>
      <c r="Z75" s="455"/>
      <c r="AA75" s="455"/>
      <c r="AB75" s="455"/>
      <c r="AC75" s="455"/>
      <c r="AD75" s="455"/>
      <c r="AE75" s="455"/>
      <c r="AF75" s="455"/>
      <c r="AG75" s="455"/>
      <c r="AH75" s="455"/>
      <c r="AI75" s="455"/>
      <c r="AJ75" s="455"/>
      <c r="AK75" s="455"/>
      <c r="AL75" s="455"/>
      <c r="AM75" s="455"/>
      <c r="AN75" s="455"/>
      <c r="AO75" s="455"/>
      <c r="AP75" s="455"/>
      <c r="AQ75" s="455"/>
      <c r="AR75" s="455"/>
      <c r="AS75" s="455"/>
      <c r="AT75" s="455"/>
      <c r="AU75" s="455"/>
      <c r="AV75" s="455"/>
      <c r="AW75" s="455"/>
      <c r="AX75" s="455"/>
      <c r="AY75" s="455"/>
      <c r="AZ75" s="455"/>
      <c r="BA75" s="455"/>
      <c r="BB75" s="455"/>
      <c r="BC75" s="455"/>
      <c r="BD75" s="455"/>
      <c r="BE75" s="455"/>
      <c r="BF75" s="455"/>
      <c r="BG75" s="455"/>
      <c r="BH75" s="455"/>
      <c r="BI75" s="455"/>
      <c r="BJ75" s="455"/>
      <c r="BK75" s="455"/>
      <c r="BL75" s="455"/>
      <c r="BM75" s="455"/>
      <c r="BN75" s="455"/>
      <c r="BO75" s="455"/>
      <c r="BP75" s="455"/>
      <c r="BQ75" s="455"/>
      <c r="BR75" s="455"/>
      <c r="BS75" s="455"/>
      <c r="BT75" s="455"/>
      <c r="BU75" s="455"/>
      <c r="BV75" s="455"/>
      <c r="BW75" s="455"/>
      <c r="BX75" s="455"/>
      <c r="BY75" s="455"/>
      <c r="BZ75" s="577"/>
      <c r="CE75" s="219"/>
    </row>
    <row r="76" spans="1:83" s="216" customFormat="1">
      <c r="A76" s="215"/>
      <c r="B76" s="230"/>
      <c r="C76" s="235"/>
      <c r="D76" s="236"/>
      <c r="E76" s="236"/>
      <c r="F76" s="236"/>
      <c r="G76" s="236"/>
      <c r="H76" s="236"/>
      <c r="I76" s="236"/>
      <c r="J76" s="236"/>
      <c r="K76" s="236"/>
      <c r="L76" s="236"/>
      <c r="M76" s="236"/>
      <c r="N76" s="236"/>
      <c r="O76" s="236"/>
      <c r="P76" s="236"/>
      <c r="Q76" s="236"/>
      <c r="R76" s="236"/>
      <c r="S76" s="236"/>
      <c r="T76" s="236"/>
      <c r="U76" s="236"/>
      <c r="V76" s="236"/>
      <c r="W76" s="236"/>
      <c r="X76" s="236"/>
      <c r="Y76" s="236"/>
      <c r="Z76" s="236"/>
      <c r="AA76" s="236"/>
      <c r="AB76" s="236"/>
      <c r="AC76" s="236"/>
      <c r="AD76" s="236"/>
      <c r="AE76" s="236"/>
      <c r="AF76" s="236"/>
      <c r="AG76" s="236"/>
      <c r="AH76" s="236"/>
      <c r="AI76" s="236"/>
      <c r="AJ76" s="236"/>
      <c r="AK76" s="236"/>
      <c r="AL76" s="236"/>
      <c r="AM76" s="236"/>
      <c r="AN76" s="236"/>
      <c r="AO76" s="236"/>
      <c r="AP76" s="236"/>
      <c r="AQ76" s="236"/>
      <c r="AR76" s="236"/>
      <c r="AS76" s="236"/>
      <c r="AT76" s="236"/>
      <c r="AU76" s="236"/>
      <c r="AV76" s="236"/>
      <c r="AW76" s="236"/>
      <c r="AX76" s="236"/>
      <c r="AY76" s="236"/>
      <c r="AZ76" s="236"/>
      <c r="BA76" s="236"/>
      <c r="BB76" s="236"/>
      <c r="BC76" s="236"/>
      <c r="BD76" s="236"/>
      <c r="BE76" s="236"/>
      <c r="BF76" s="236"/>
      <c r="BG76" s="236"/>
      <c r="BH76" s="236"/>
      <c r="BI76" s="236"/>
      <c r="BJ76" s="236"/>
      <c r="BK76" s="236"/>
      <c r="BL76" s="236"/>
      <c r="BM76" s="236"/>
      <c r="BN76" s="236"/>
      <c r="BO76" s="236"/>
      <c r="BP76" s="236"/>
      <c r="BQ76" s="236"/>
      <c r="BR76" s="236"/>
      <c r="BS76" s="236"/>
      <c r="BT76" s="236"/>
      <c r="BU76" s="236"/>
      <c r="BV76" s="236"/>
      <c r="BW76" s="236"/>
      <c r="BX76" s="236"/>
      <c r="BY76" s="236"/>
      <c r="BZ76" s="236"/>
      <c r="CA76" s="236"/>
      <c r="CE76" s="219"/>
    </row>
    <row r="77" spans="1:83">
      <c r="B77" s="212"/>
      <c r="C77" s="212"/>
      <c r="D77" s="212"/>
      <c r="E77" s="212"/>
      <c r="F77" s="212"/>
      <c r="G77" s="212"/>
      <c r="H77" s="212"/>
      <c r="I77" s="212"/>
      <c r="J77" s="212"/>
      <c r="K77" s="212"/>
      <c r="L77" s="212"/>
      <c r="M77" s="212"/>
      <c r="N77" s="212"/>
      <c r="O77" s="212"/>
      <c r="P77" s="212"/>
      <c r="Q77" s="212"/>
      <c r="R77" s="212"/>
      <c r="S77" s="212"/>
      <c r="T77" s="212"/>
      <c r="U77" s="212"/>
      <c r="V77" s="212"/>
      <c r="W77" s="212"/>
      <c r="X77" s="212"/>
      <c r="Y77" s="212"/>
      <c r="Z77" s="212"/>
      <c r="AA77" s="212"/>
      <c r="AB77" s="212"/>
      <c r="AC77" s="212"/>
      <c r="AD77" s="212"/>
      <c r="AE77" s="212"/>
      <c r="AF77" s="212"/>
      <c r="AG77" s="212"/>
      <c r="AH77" s="212"/>
      <c r="AI77" s="212"/>
      <c r="AJ77" s="212"/>
      <c r="AK77" s="212"/>
      <c r="AL77" s="212"/>
      <c r="AM77" s="212"/>
      <c r="AN77" s="212"/>
      <c r="AO77" s="212"/>
      <c r="AP77" s="212"/>
      <c r="AQ77" s="212"/>
      <c r="AR77" s="212"/>
      <c r="AS77" s="212"/>
      <c r="AT77" s="212"/>
      <c r="AU77" s="212"/>
      <c r="AV77" s="212"/>
      <c r="AW77" s="212"/>
      <c r="AX77" s="212"/>
      <c r="AY77" s="212"/>
      <c r="AZ77" s="212"/>
      <c r="BA77" s="212"/>
      <c r="BB77" s="212"/>
      <c r="BC77" s="212"/>
      <c r="BD77" s="212"/>
      <c r="BE77" s="212"/>
      <c r="BF77" s="212"/>
      <c r="BG77" s="212"/>
      <c r="BH77" s="212"/>
      <c r="BI77" s="212"/>
      <c r="BJ77" s="212"/>
      <c r="BK77" s="212"/>
      <c r="BL77" s="212"/>
      <c r="BM77" s="212"/>
      <c r="BN77" s="212"/>
      <c r="BO77" s="212"/>
      <c r="BP77" s="212"/>
      <c r="BQ77" s="212"/>
      <c r="BR77" s="212"/>
      <c r="BS77" s="212"/>
      <c r="BT77" s="212"/>
      <c r="BU77" s="212"/>
      <c r="BV77" s="212"/>
      <c r="BW77" s="212"/>
      <c r="BX77" s="212"/>
      <c r="BY77" s="212"/>
      <c r="BZ77" s="212"/>
      <c r="CA77" s="212"/>
    </row>
    <row r="78" spans="1:83">
      <c r="B78" s="737"/>
      <c r="C78" s="212"/>
      <c r="D78" s="212"/>
      <c r="E78" s="212"/>
      <c r="F78" s="212"/>
      <c r="G78" s="212"/>
      <c r="H78" s="212"/>
      <c r="I78" s="212"/>
      <c r="J78" s="212"/>
      <c r="K78" s="212"/>
      <c r="L78" s="212"/>
      <c r="M78" s="212"/>
      <c r="N78" s="212"/>
      <c r="O78" s="212"/>
      <c r="P78" s="212"/>
      <c r="Q78" s="212"/>
      <c r="R78" s="212"/>
      <c r="S78" s="212"/>
      <c r="T78" s="212"/>
      <c r="U78" s="212"/>
      <c r="V78" s="212"/>
      <c r="W78" s="212"/>
      <c r="X78" s="212"/>
      <c r="Y78" s="212"/>
      <c r="Z78" s="212"/>
      <c r="AA78" s="212"/>
      <c r="AB78" s="212"/>
      <c r="AC78" s="212"/>
      <c r="AD78" s="212"/>
      <c r="AE78" s="212"/>
      <c r="AF78" s="212"/>
      <c r="AG78" s="212"/>
      <c r="AH78" s="212"/>
      <c r="AI78" s="212"/>
      <c r="AJ78" s="212"/>
      <c r="AK78" s="212"/>
      <c r="AL78" s="212"/>
      <c r="AM78" s="212"/>
      <c r="AN78" s="212"/>
      <c r="AO78" s="212"/>
      <c r="AP78" s="212"/>
      <c r="AQ78" s="212"/>
      <c r="AR78" s="212"/>
      <c r="AS78" s="212"/>
      <c r="AT78" s="212"/>
      <c r="AU78" s="212"/>
      <c r="AV78" s="212"/>
      <c r="AW78" s="212"/>
      <c r="AX78" s="212"/>
      <c r="AY78" s="212"/>
      <c r="AZ78" s="212"/>
      <c r="BA78" s="212"/>
      <c r="BB78" s="212"/>
      <c r="BC78" s="212"/>
      <c r="BD78" s="212"/>
      <c r="BE78" s="212"/>
      <c r="BF78" s="212"/>
      <c r="BG78" s="212"/>
      <c r="BH78" s="212"/>
      <c r="BI78" s="212"/>
      <c r="BJ78" s="212"/>
      <c r="BK78" s="212"/>
      <c r="BL78" s="212"/>
      <c r="BM78" s="212"/>
      <c r="BN78" s="212"/>
      <c r="BO78" s="212"/>
      <c r="BP78" s="212"/>
      <c r="BQ78" s="212"/>
      <c r="BR78" s="212"/>
      <c r="BS78" s="212"/>
      <c r="BT78" s="212"/>
      <c r="BU78" s="212"/>
      <c r="BV78" s="212"/>
      <c r="BW78" s="212"/>
      <c r="BX78" s="212"/>
      <c r="BY78" s="212"/>
      <c r="BZ78" s="212"/>
      <c r="CA78" s="212"/>
    </row>
    <row r="79" spans="1:83">
      <c r="B79" s="212"/>
      <c r="C79" s="212"/>
      <c r="D79" s="212"/>
      <c r="E79" s="212"/>
      <c r="F79" s="212"/>
      <c r="G79" s="212"/>
      <c r="H79" s="212"/>
      <c r="I79" s="212"/>
      <c r="J79" s="212"/>
      <c r="K79" s="212"/>
      <c r="L79" s="212"/>
      <c r="M79" s="212"/>
      <c r="N79" s="212"/>
      <c r="O79" s="212"/>
      <c r="P79" s="212"/>
      <c r="Q79" s="212"/>
      <c r="R79" s="212"/>
      <c r="S79" s="212"/>
      <c r="T79" s="212"/>
      <c r="U79" s="212"/>
      <c r="V79" s="212"/>
      <c r="W79" s="212"/>
      <c r="X79" s="212"/>
      <c r="Y79" s="212"/>
      <c r="Z79" s="212"/>
      <c r="AA79" s="212"/>
      <c r="AB79" s="212"/>
      <c r="AC79" s="212"/>
      <c r="AD79" s="212"/>
      <c r="AE79" s="212"/>
      <c r="AF79" s="212"/>
      <c r="AG79" s="212"/>
      <c r="AH79" s="212"/>
      <c r="AI79" s="212"/>
      <c r="AJ79" s="212"/>
      <c r="AK79" s="212"/>
      <c r="AL79" s="212"/>
      <c r="AM79" s="212"/>
      <c r="AN79" s="212"/>
      <c r="AO79" s="212"/>
      <c r="AP79" s="212"/>
      <c r="AQ79" s="212"/>
      <c r="AR79" s="212"/>
      <c r="AS79" s="212"/>
      <c r="AT79" s="212"/>
      <c r="AU79" s="212"/>
      <c r="AV79" s="212"/>
      <c r="AW79" s="212"/>
      <c r="AX79" s="212"/>
      <c r="AY79" s="212"/>
      <c r="AZ79" s="212"/>
      <c r="BA79" s="212"/>
      <c r="BB79" s="212"/>
      <c r="BC79" s="212"/>
      <c r="BD79" s="212"/>
      <c r="BE79" s="212"/>
      <c r="BF79" s="212"/>
      <c r="BG79" s="212"/>
      <c r="BH79" s="212"/>
      <c r="BI79" s="212"/>
      <c r="BJ79" s="212"/>
      <c r="BK79" s="212"/>
      <c r="BL79" s="212"/>
      <c r="BM79" s="212"/>
      <c r="BN79" s="212"/>
      <c r="BO79" s="212"/>
      <c r="BP79" s="212"/>
      <c r="BQ79" s="212"/>
      <c r="BR79" s="212"/>
      <c r="BS79" s="212"/>
      <c r="BT79" s="212"/>
      <c r="BU79" s="212"/>
      <c r="BV79" s="212"/>
      <c r="BW79" s="212"/>
      <c r="BX79" s="212"/>
      <c r="BY79" s="212"/>
      <c r="BZ79" s="212"/>
      <c r="CA79" s="212"/>
    </row>
    <row r="80" spans="1:83">
      <c r="B80" s="738"/>
      <c r="C80" s="212"/>
      <c r="D80" s="212"/>
      <c r="E80" s="212"/>
      <c r="F80" s="212"/>
      <c r="G80" s="212"/>
      <c r="H80" s="212"/>
      <c r="I80" s="212"/>
      <c r="J80" s="212"/>
      <c r="K80" s="212"/>
      <c r="L80" s="212"/>
      <c r="M80" s="212"/>
      <c r="N80" s="212"/>
      <c r="O80" s="212"/>
      <c r="P80" s="212"/>
      <c r="Q80" s="212"/>
      <c r="R80" s="212"/>
      <c r="S80" s="212"/>
      <c r="T80" s="212"/>
      <c r="U80" s="212"/>
      <c r="V80" s="212"/>
      <c r="W80" s="212"/>
      <c r="X80" s="212"/>
      <c r="Y80" s="212"/>
      <c r="Z80" s="212"/>
      <c r="AA80" s="212"/>
      <c r="AB80" s="212"/>
      <c r="AC80" s="212"/>
      <c r="AD80" s="212"/>
      <c r="AE80" s="212"/>
      <c r="AF80" s="212"/>
      <c r="AG80" s="212"/>
      <c r="AH80" s="212"/>
      <c r="AI80" s="212"/>
      <c r="AJ80" s="212"/>
      <c r="AK80" s="212"/>
      <c r="AL80" s="212"/>
      <c r="AM80" s="212"/>
      <c r="AN80" s="212"/>
      <c r="AO80" s="212"/>
      <c r="AP80" s="212"/>
      <c r="AQ80" s="212"/>
      <c r="AR80" s="212"/>
      <c r="AS80" s="212"/>
      <c r="AT80" s="212"/>
      <c r="AU80" s="212"/>
      <c r="AV80" s="212"/>
      <c r="AW80" s="212"/>
      <c r="AX80" s="212"/>
      <c r="AY80" s="212"/>
      <c r="AZ80" s="212"/>
      <c r="BA80" s="212"/>
      <c r="BB80" s="212"/>
      <c r="BC80" s="212"/>
      <c r="BD80" s="212"/>
      <c r="BE80" s="212"/>
      <c r="BF80" s="212"/>
      <c r="BG80" s="212"/>
      <c r="BH80" s="212"/>
      <c r="BI80" s="212"/>
      <c r="BJ80" s="212"/>
      <c r="BK80" s="212"/>
      <c r="BL80" s="212"/>
      <c r="BM80" s="212"/>
      <c r="BN80" s="212"/>
      <c r="BO80" s="212"/>
      <c r="BP80" s="212"/>
      <c r="BQ80" s="212"/>
      <c r="BR80" s="212"/>
      <c r="BS80" s="212"/>
      <c r="BT80" s="212"/>
      <c r="BU80" s="212"/>
      <c r="BV80" s="212"/>
      <c r="BW80" s="212"/>
      <c r="BX80" s="212"/>
      <c r="BY80" s="212"/>
      <c r="BZ80" s="212"/>
      <c r="CA80" s="212"/>
    </row>
    <row r="81" spans="2:2">
      <c r="B81" s="736"/>
    </row>
    <row r="82" spans="2:2">
      <c r="B82" s="735"/>
    </row>
  </sheetData>
  <mergeCells count="3">
    <mergeCell ref="D16:E16"/>
    <mergeCell ref="D17:E17"/>
    <mergeCell ref="D18:E18"/>
  </mergeCells>
  <conditionalFormatting sqref="BM7 C7:H7 C8:BM10">
    <cfRule type="cellIs" dxfId="36" priority="53" operator="equal">
      <formula>0</formula>
    </cfRule>
  </conditionalFormatting>
  <conditionalFormatting sqref="I7:K7">
    <cfRule type="cellIs" dxfId="35" priority="52" operator="equal">
      <formula>0</formula>
    </cfRule>
  </conditionalFormatting>
  <conditionalFormatting sqref="L7:N7">
    <cfRule type="cellIs" dxfId="34" priority="51" operator="equal">
      <formula>0</formula>
    </cfRule>
  </conditionalFormatting>
  <conditionalFormatting sqref="O7:Q7">
    <cfRule type="cellIs" dxfId="33" priority="50" operator="equal">
      <formula>0</formula>
    </cfRule>
  </conditionalFormatting>
  <conditionalFormatting sqref="R7:T7">
    <cfRule type="cellIs" dxfId="32" priority="49" operator="equal">
      <formula>0</formula>
    </cfRule>
  </conditionalFormatting>
  <conditionalFormatting sqref="U7:W7">
    <cfRule type="cellIs" dxfId="31" priority="48" operator="equal">
      <formula>0</formula>
    </cfRule>
  </conditionalFormatting>
  <conditionalFormatting sqref="X7:Z7">
    <cfRule type="cellIs" dxfId="30" priority="47" operator="equal">
      <formula>0</formula>
    </cfRule>
  </conditionalFormatting>
  <conditionalFormatting sqref="AA7:AC7">
    <cfRule type="cellIs" dxfId="29" priority="46" operator="equal">
      <formula>0</formula>
    </cfRule>
  </conditionalFormatting>
  <conditionalFormatting sqref="AD7:AF7">
    <cfRule type="cellIs" dxfId="28" priority="45" operator="equal">
      <formula>0</formula>
    </cfRule>
  </conditionalFormatting>
  <conditionalFormatting sqref="AG7:AI7">
    <cfRule type="cellIs" dxfId="27" priority="44" operator="equal">
      <formula>0</formula>
    </cfRule>
  </conditionalFormatting>
  <conditionalFormatting sqref="AJ7:AL7">
    <cfRule type="cellIs" dxfId="26" priority="43" operator="equal">
      <formula>0</formula>
    </cfRule>
  </conditionalFormatting>
  <conditionalFormatting sqref="AM7:AO7">
    <cfRule type="cellIs" dxfId="25" priority="42" operator="equal">
      <formula>0</formula>
    </cfRule>
  </conditionalFormatting>
  <conditionalFormatting sqref="AP7:AR7">
    <cfRule type="cellIs" dxfId="24" priority="41" operator="equal">
      <formula>0</formula>
    </cfRule>
  </conditionalFormatting>
  <conditionalFormatting sqref="AS7:AU7">
    <cfRule type="cellIs" dxfId="23" priority="40" operator="equal">
      <formula>0</formula>
    </cfRule>
  </conditionalFormatting>
  <conditionalFormatting sqref="AV7:AX7">
    <cfRule type="cellIs" dxfId="22" priority="39" operator="equal">
      <formula>0</formula>
    </cfRule>
  </conditionalFormatting>
  <conditionalFormatting sqref="AY7:BD7">
    <cfRule type="cellIs" dxfId="21" priority="38" operator="equal">
      <formula>0</formula>
    </cfRule>
  </conditionalFormatting>
  <conditionalFormatting sqref="BE7">
    <cfRule type="cellIs" dxfId="20" priority="37" operator="equal">
      <formula>0</formula>
    </cfRule>
  </conditionalFormatting>
  <conditionalFormatting sqref="BF7:BH7">
    <cfRule type="cellIs" dxfId="19" priority="36" operator="equal">
      <formula>0</formula>
    </cfRule>
  </conditionalFormatting>
  <conditionalFormatting sqref="BI7:BL7">
    <cfRule type="cellIs" dxfId="18" priority="35" operator="equal">
      <formula>0</formula>
    </cfRule>
  </conditionalFormatting>
  <conditionalFormatting sqref="B56">
    <cfRule type="cellIs" dxfId="17" priority="25" operator="greaterThan">
      <formula>$CF$7</formula>
    </cfRule>
    <cfRule type="cellIs" dxfId="16" priority="26" operator="equal">
      <formula>$CF$7</formula>
    </cfRule>
  </conditionalFormatting>
  <conditionalFormatting sqref="B49">
    <cfRule type="cellIs" dxfId="15" priority="27" operator="equal">
      <formula>$CF$7</formula>
    </cfRule>
    <cfRule type="cellIs" dxfId="14" priority="28" operator="greaterThan">
      <formula>$CF$7</formula>
    </cfRule>
    <cfRule type="cellIs" dxfId="13" priority="29" operator="lessThan">
      <formula>$CF$7</formula>
    </cfRule>
  </conditionalFormatting>
  <conditionalFormatting sqref="BN7:BN10">
    <cfRule type="cellIs" dxfId="12" priority="24" operator="equal">
      <formula>0</formula>
    </cfRule>
  </conditionalFormatting>
  <conditionalFormatting sqref="BZ7:BZ10">
    <cfRule type="cellIs" dxfId="11" priority="12" operator="equal">
      <formula>0</formula>
    </cfRule>
  </conditionalFormatting>
  <conditionalFormatting sqref="BO7:BO10">
    <cfRule type="cellIs" dxfId="10" priority="11" operator="equal">
      <formula>0</formula>
    </cfRule>
  </conditionalFormatting>
  <conditionalFormatting sqref="BP7:BP10">
    <cfRule type="cellIs" dxfId="9" priority="10" operator="equal">
      <formula>0</formula>
    </cfRule>
  </conditionalFormatting>
  <conditionalFormatting sqref="BQ7:BQ10">
    <cfRule type="cellIs" dxfId="8" priority="9" operator="equal">
      <formula>0</formula>
    </cfRule>
  </conditionalFormatting>
  <conditionalFormatting sqref="BR7:BR10">
    <cfRule type="cellIs" dxfId="7" priority="8" operator="equal">
      <formula>0</formula>
    </cfRule>
  </conditionalFormatting>
  <conditionalFormatting sqref="BS7:BS10">
    <cfRule type="cellIs" dxfId="6" priority="7" operator="equal">
      <formula>0</formula>
    </cfRule>
  </conditionalFormatting>
  <conditionalFormatting sqref="BT7:BT10">
    <cfRule type="cellIs" dxfId="5" priority="6" operator="equal">
      <formula>0</formula>
    </cfRule>
  </conditionalFormatting>
  <conditionalFormatting sqref="BU7:BU10">
    <cfRule type="cellIs" dxfId="4" priority="5" operator="equal">
      <formula>0</formula>
    </cfRule>
  </conditionalFormatting>
  <conditionalFormatting sqref="BV7:BV10">
    <cfRule type="cellIs" dxfId="3" priority="4" operator="equal">
      <formula>0</formula>
    </cfRule>
  </conditionalFormatting>
  <conditionalFormatting sqref="BW7:BW10">
    <cfRule type="cellIs" dxfId="2" priority="3" operator="equal">
      <formula>0</formula>
    </cfRule>
  </conditionalFormatting>
  <conditionalFormatting sqref="BX7:BX10">
    <cfRule type="cellIs" dxfId="1" priority="2" operator="equal">
      <formula>0</formula>
    </cfRule>
  </conditionalFormatting>
  <conditionalFormatting sqref="BY7:BY10">
    <cfRule type="cellIs" dxfId="0" priority="1" operator="equal">
      <formula>0</formula>
    </cfRule>
  </conditionalFormatting>
  <pageMargins left="0.7" right="0.7" top="0.75" bottom="0.75" header="0.3" footer="0.3"/>
  <pageSetup scale="41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0"/>
  <dimension ref="A1"/>
  <sheetViews>
    <sheetView zoomScale="85" zoomScaleNormal="85" workbookViewId="0">
      <selection activeCell="BP56" sqref="BP56"/>
    </sheetView>
  </sheetViews>
  <sheetFormatPr defaultRowHeight="1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2">
    <tabColor rgb="FF92D050"/>
  </sheetPr>
  <dimension ref="B1:M71"/>
  <sheetViews>
    <sheetView view="pageBreakPreview" zoomScale="85" zoomScaleNormal="85" zoomScaleSheetLayoutView="85" workbookViewId="0">
      <pane ySplit="11" topLeftCell="A36" activePane="bottomLeft" state="frozen"/>
      <selection pane="bottomLeft" activeCell="I8" sqref="I8"/>
    </sheetView>
  </sheetViews>
  <sheetFormatPr defaultColWidth="9.140625" defaultRowHeight="15"/>
  <cols>
    <col min="1" max="1" width="1.85546875" customWidth="1"/>
    <col min="2" max="2" width="7.5703125" customWidth="1"/>
    <col min="3" max="3" width="19.42578125" customWidth="1"/>
    <col min="4" max="4" width="17.5703125" customWidth="1"/>
    <col min="5" max="5" width="16.7109375" customWidth="1"/>
    <col min="6" max="7" width="18.28515625" customWidth="1"/>
    <col min="8" max="8" width="13.28515625" customWidth="1"/>
    <col min="9" max="12" width="15" customWidth="1"/>
    <col min="13" max="13" width="2.7109375" customWidth="1"/>
  </cols>
  <sheetData>
    <row r="1" spans="2:13" ht="12" customHeight="1">
      <c r="C1" s="495">
        <v>1</v>
      </c>
      <c r="D1" s="495">
        <v>2</v>
      </c>
      <c r="E1" s="495">
        <v>3</v>
      </c>
      <c r="F1" s="495">
        <v>4</v>
      </c>
      <c r="G1" s="495">
        <v>5</v>
      </c>
      <c r="H1" s="760">
        <v>6</v>
      </c>
      <c r="I1" s="760">
        <v>7</v>
      </c>
      <c r="J1" s="760"/>
      <c r="K1" s="760">
        <v>8</v>
      </c>
      <c r="L1" s="761"/>
    </row>
    <row r="2" spans="2:13" ht="18.75" customHeight="1">
      <c r="B2" s="145" t="s">
        <v>135</v>
      </c>
      <c r="C2" s="146"/>
      <c r="D2" s="146"/>
      <c r="E2" s="146"/>
      <c r="F2" s="146"/>
      <c r="G2" s="147"/>
      <c r="H2" s="762"/>
      <c r="I2" s="762"/>
      <c r="J2" s="762"/>
      <c r="K2" s="762"/>
      <c r="L2" s="762"/>
      <c r="M2" s="757"/>
    </row>
    <row r="3" spans="2:13" ht="18.75" customHeight="1">
      <c r="B3" s="1155" t="s">
        <v>14</v>
      </c>
      <c r="C3" s="1156"/>
      <c r="D3" s="115">
        <f>Dashboard!$F$33</f>
        <v>69030676.896352127</v>
      </c>
      <c r="E3" s="116"/>
      <c r="F3" s="1151" t="s">
        <v>130</v>
      </c>
      <c r="G3" s="1152"/>
      <c r="H3" s="763"/>
      <c r="I3" s="763"/>
      <c r="J3" s="763"/>
      <c r="K3" s="763"/>
      <c r="L3" s="763"/>
      <c r="M3" s="758"/>
    </row>
    <row r="4" spans="2:13" ht="18.75" customHeight="1">
      <c r="B4" s="1153" t="s">
        <v>13</v>
      </c>
      <c r="C4" s="1154"/>
      <c r="D4" s="117">
        <f>Dashboard!$F$29</f>
        <v>6.25E-2</v>
      </c>
      <c r="E4" s="118"/>
      <c r="F4" s="605" t="s">
        <v>361</v>
      </c>
      <c r="G4" s="496">
        <f>$D$4</f>
        <v>6.25E-2</v>
      </c>
      <c r="H4" s="764"/>
      <c r="I4" s="764"/>
      <c r="J4" s="764"/>
      <c r="K4" s="764"/>
      <c r="L4" s="764"/>
      <c r="M4" s="759"/>
    </row>
    <row r="5" spans="2:13" ht="18.75" customHeight="1">
      <c r="B5" s="1153" t="s">
        <v>125</v>
      </c>
      <c r="C5" s="1154"/>
      <c r="D5" s="119">
        <f>Dashboard!$F$53</f>
        <v>45717</v>
      </c>
      <c r="E5" s="118"/>
      <c r="F5" s="121" t="s">
        <v>362</v>
      </c>
      <c r="G5" s="496">
        <f>G4+$D$8</f>
        <v>6.7500000000000004E-2</v>
      </c>
      <c r="H5" s="763"/>
      <c r="I5" s="763"/>
      <c r="J5" s="763"/>
      <c r="K5" s="763"/>
      <c r="L5" s="763"/>
    </row>
    <row r="6" spans="2:13" ht="18.75" customHeight="1">
      <c r="B6" s="1153" t="s">
        <v>37</v>
      </c>
      <c r="C6" s="1154"/>
      <c r="D6" s="120">
        <f>Dashboard!$F$26</f>
        <v>30</v>
      </c>
      <c r="E6" s="118"/>
      <c r="F6" s="121" t="s">
        <v>363</v>
      </c>
      <c r="G6" s="496">
        <f t="shared" ref="G6:G8" si="0">G5+$D$8</f>
        <v>7.2500000000000009E-2</v>
      </c>
      <c r="H6" s="764"/>
      <c r="I6" s="764"/>
      <c r="J6" s="764"/>
      <c r="K6" s="764"/>
      <c r="L6" s="764"/>
    </row>
    <row r="7" spans="2:13" ht="18.75" customHeight="1">
      <c r="B7" s="1153" t="s">
        <v>38</v>
      </c>
      <c r="C7" s="1154"/>
      <c r="D7" s="141">
        <f>Dashboard!$F$28</f>
        <v>30</v>
      </c>
      <c r="E7" s="118"/>
      <c r="F7" s="121" t="s">
        <v>364</v>
      </c>
      <c r="G7" s="496">
        <f t="shared" si="0"/>
        <v>7.7500000000000013E-2</v>
      </c>
      <c r="H7" s="761"/>
      <c r="I7" s="761"/>
      <c r="J7" s="761"/>
      <c r="K7" s="761"/>
      <c r="L7" s="761"/>
    </row>
    <row r="8" spans="2:13" ht="18.75" customHeight="1">
      <c r="B8" s="1153" t="s">
        <v>136</v>
      </c>
      <c r="C8" s="1154"/>
      <c r="D8" s="148">
        <f>Dashboard!$F$30</f>
        <v>5.0000000000000001E-3</v>
      </c>
      <c r="E8" s="118"/>
      <c r="F8" s="121" t="s">
        <v>365</v>
      </c>
      <c r="G8" s="496">
        <f t="shared" si="0"/>
        <v>8.2500000000000018E-2</v>
      </c>
      <c r="H8" s="761"/>
      <c r="I8" s="761"/>
      <c r="J8" s="761"/>
      <c r="K8" s="761"/>
      <c r="L8" s="761"/>
    </row>
    <row r="9" spans="2:13" ht="18.75" customHeight="1">
      <c r="B9" s="743" t="s">
        <v>140</v>
      </c>
      <c r="C9" s="765"/>
      <c r="D9" s="766">
        <f>Dashboard!$F$32</f>
        <v>3217026.1780104712</v>
      </c>
      <c r="E9" s="767"/>
      <c r="F9" s="122"/>
      <c r="G9" s="768"/>
      <c r="H9" s="761"/>
      <c r="I9" s="761"/>
      <c r="J9" s="761"/>
      <c r="K9" s="761"/>
      <c r="L9" s="761"/>
    </row>
    <row r="10" spans="2:13" ht="15.75" thickBot="1"/>
    <row r="11" spans="2:13" ht="28.5" customHeight="1">
      <c r="B11" s="155" t="s">
        <v>122</v>
      </c>
      <c r="C11" s="156" t="s">
        <v>127</v>
      </c>
      <c r="D11" s="156" t="s">
        <v>138</v>
      </c>
      <c r="E11" s="156" t="s">
        <v>137</v>
      </c>
      <c r="F11" s="156" t="s">
        <v>139</v>
      </c>
      <c r="G11" s="156" t="s">
        <v>142</v>
      </c>
      <c r="H11" s="156" t="s">
        <v>123</v>
      </c>
      <c r="I11" s="156" t="s">
        <v>124</v>
      </c>
      <c r="J11" s="778" t="s">
        <v>258</v>
      </c>
      <c r="K11" s="157" t="s">
        <v>129</v>
      </c>
      <c r="L11" s="158" t="s">
        <v>145</v>
      </c>
    </row>
    <row r="12" spans="2:13">
      <c r="B12" s="123">
        <v>1</v>
      </c>
      <c r="C12" s="124">
        <f>D5</f>
        <v>45717</v>
      </c>
      <c r="D12" s="125">
        <f>D3</f>
        <v>69030676.896352127</v>
      </c>
      <c r="E12" s="125">
        <v>0</v>
      </c>
      <c r="F12" s="125">
        <f>IF(C12&lt;Dashboard!$F$56,('AM Table - Construction Loan'!$D$3/(YEARFRAC('AM Table - Construction Loan'!$D$5,Dashboard!$F$56)*12)),0)</f>
        <v>3835037.6053528958</v>
      </c>
      <c r="G12" s="125">
        <f>F12</f>
        <v>3835037.6053528958</v>
      </c>
      <c r="H12" s="126">
        <f>IF(B12&lt;=$D$6,$G$4/12*G12,-IPMT($G$4/12,B12-$D$6,$D$7*12,G12))</f>
        <v>19974.154194546332</v>
      </c>
      <c r="I12" s="126">
        <f t="shared" ref="I12:I23" si="1">-IF(B12&lt;=$D$6,0,PPMT($G$4/12,B12-$D$6,$D$7*12,G12))</f>
        <v>0</v>
      </c>
      <c r="J12" s="779">
        <f>IF(C12=Dashboard!$F$36,Dashboard!$F$7,0)</f>
        <v>0</v>
      </c>
      <c r="K12" s="127">
        <f>E12+F12-I12+J12</f>
        <v>3835037.6053528958</v>
      </c>
      <c r="L12" s="25">
        <f>D9-H12</f>
        <v>3197052.0238159248</v>
      </c>
    </row>
    <row r="13" spans="2:13">
      <c r="B13" s="123">
        <f>B12+1</f>
        <v>2</v>
      </c>
      <c r="C13" s="124">
        <f>EDATE(C12,1)</f>
        <v>45748</v>
      </c>
      <c r="D13" s="125">
        <f>D12-F12</f>
        <v>65195639.290999234</v>
      </c>
      <c r="E13" s="125">
        <f>K12</f>
        <v>3835037.6053528958</v>
      </c>
      <c r="F13" s="125">
        <f>IF(C13&lt;Dashboard!$F$56,('AM Table - Construction Loan'!$D$3/(YEARFRAC('AM Table - Construction Loan'!$D$5,Dashboard!$F$56)*12)),0)</f>
        <v>3835037.6053528958</v>
      </c>
      <c r="G13" s="125">
        <f>F13+G12</f>
        <v>7670075.2107057916</v>
      </c>
      <c r="H13" s="126">
        <f t="shared" ref="H13:H23" si="2">IF(B13&lt;=$D$6,$G$4/12*G13,-IPMT($G$4/12,B13-$D$6,$D$7*12,G13))</f>
        <v>39948.308389092665</v>
      </c>
      <c r="I13" s="126">
        <f t="shared" si="1"/>
        <v>0</v>
      </c>
      <c r="J13" s="779">
        <f>IF(C13=Dashboard!$F$36,Dashboard!$F$7,0)</f>
        <v>0</v>
      </c>
      <c r="K13" s="127">
        <f t="shared" ref="K13:K71" si="3">E13+F13-I13+J13</f>
        <v>7670075.2107057916</v>
      </c>
      <c r="L13" s="25">
        <f>IF(C13&lt;Dashboard!$F$56,'AM Table - Construction Loan'!L12-'AM Table - Construction Loan'!H13,L12)</f>
        <v>3157103.715426832</v>
      </c>
    </row>
    <row r="14" spans="2:13">
      <c r="B14" s="123">
        <f t="shared" ref="B14:B71" si="4">B13+1</f>
        <v>3</v>
      </c>
      <c r="C14" s="124">
        <f t="shared" ref="C14:C71" si="5">EDATE(C13,1)</f>
        <v>45778</v>
      </c>
      <c r="D14" s="125">
        <f t="shared" ref="D14:D44" si="6">D13-F13</f>
        <v>61360601.68564634</v>
      </c>
      <c r="E14" s="125">
        <f>K13</f>
        <v>7670075.2107057916</v>
      </c>
      <c r="F14" s="125">
        <f>IF(C14&lt;Dashboard!$F$56,('AM Table - Construction Loan'!$D$3/(YEARFRAC('AM Table - Construction Loan'!$D$5,Dashboard!$F$56)*12)),0)</f>
        <v>3835037.6053528958</v>
      </c>
      <c r="G14" s="125">
        <f>F14+G13</f>
        <v>11505112.816058688</v>
      </c>
      <c r="H14" s="126">
        <f t="shared" si="2"/>
        <v>59922.462583638997</v>
      </c>
      <c r="I14" s="126">
        <f t="shared" si="1"/>
        <v>0</v>
      </c>
      <c r="J14" s="779">
        <f>IF(C14=Dashboard!$F$36,Dashboard!$F$7,0)</f>
        <v>0</v>
      </c>
      <c r="K14" s="127">
        <f t="shared" si="3"/>
        <v>11505112.816058688</v>
      </c>
      <c r="L14" s="25">
        <f>IF(C14&lt;Dashboard!$F$56,'AM Table - Construction Loan'!L13-'AM Table - Construction Loan'!H14,L13)</f>
        <v>3097181.2528431928</v>
      </c>
    </row>
    <row r="15" spans="2:13">
      <c r="B15" s="123">
        <f t="shared" si="4"/>
        <v>4</v>
      </c>
      <c r="C15" s="124">
        <f t="shared" si="5"/>
        <v>45809</v>
      </c>
      <c r="D15" s="125">
        <f t="shared" si="6"/>
        <v>57525564.080293447</v>
      </c>
      <c r="E15" s="125">
        <f t="shared" ref="E15:E44" si="7">K14</f>
        <v>11505112.816058688</v>
      </c>
      <c r="F15" s="125">
        <f>IF(C15&lt;Dashboard!$F$56,('AM Table - Construction Loan'!$D$3/(YEARFRAC('AM Table - Construction Loan'!$D$5,Dashboard!$F$56)*12)),0)</f>
        <v>3835037.6053528958</v>
      </c>
      <c r="G15" s="125">
        <f t="shared" ref="G15:G71" si="8">F15+G14</f>
        <v>15340150.421411583</v>
      </c>
      <c r="H15" s="126">
        <f t="shared" si="2"/>
        <v>79896.616778185329</v>
      </c>
      <c r="I15" s="126">
        <f t="shared" si="1"/>
        <v>0</v>
      </c>
      <c r="J15" s="779">
        <f>IF(C15=Dashboard!$F$36,Dashboard!$F$7,0)</f>
        <v>0</v>
      </c>
      <c r="K15" s="127">
        <f t="shared" si="3"/>
        <v>15340150.421411583</v>
      </c>
      <c r="L15" s="25">
        <f>IF(C15&lt;Dashboard!$F$56,'AM Table - Construction Loan'!L14-'AM Table - Construction Loan'!H15,L14)</f>
        <v>3017284.6360650077</v>
      </c>
    </row>
    <row r="16" spans="2:13">
      <c r="B16" s="123">
        <f t="shared" si="4"/>
        <v>5</v>
      </c>
      <c r="C16" s="124">
        <f t="shared" si="5"/>
        <v>45839</v>
      </c>
      <c r="D16" s="125">
        <f t="shared" si="6"/>
        <v>53690526.474940553</v>
      </c>
      <c r="E16" s="125">
        <f t="shared" si="7"/>
        <v>15340150.421411583</v>
      </c>
      <c r="F16" s="125">
        <f>IF(C16&lt;Dashboard!$F$56,('AM Table - Construction Loan'!$D$3/(YEARFRAC('AM Table - Construction Loan'!$D$5,Dashboard!$F$56)*12)),0)</f>
        <v>3835037.6053528958</v>
      </c>
      <c r="G16" s="125">
        <f t="shared" si="8"/>
        <v>19175188.026764479</v>
      </c>
      <c r="H16" s="126">
        <f t="shared" si="2"/>
        <v>99870.770972731654</v>
      </c>
      <c r="I16" s="126">
        <f t="shared" si="1"/>
        <v>0</v>
      </c>
      <c r="J16" s="779">
        <f>IF(C16=Dashboard!$F$36,Dashboard!$F$7,0)</f>
        <v>0</v>
      </c>
      <c r="K16" s="127">
        <f t="shared" si="3"/>
        <v>19175188.026764479</v>
      </c>
      <c r="L16" s="25">
        <f>IF(C16&lt;Dashboard!$F$56,'AM Table - Construction Loan'!L15-'AM Table - Construction Loan'!H16,L15)</f>
        <v>2917413.8650922761</v>
      </c>
    </row>
    <row r="17" spans="2:12">
      <c r="B17" s="123">
        <f t="shared" si="4"/>
        <v>6</v>
      </c>
      <c r="C17" s="124">
        <f t="shared" si="5"/>
        <v>45870</v>
      </c>
      <c r="D17" s="125">
        <f>D16-F16</f>
        <v>49855488.86958766</v>
      </c>
      <c r="E17" s="125">
        <f t="shared" si="7"/>
        <v>19175188.026764479</v>
      </c>
      <c r="F17" s="125">
        <f>IF(C17&lt;Dashboard!$F$56,('AM Table - Construction Loan'!$D$3/(YEARFRAC('AM Table - Construction Loan'!$D$5,Dashboard!$F$56)*12)),0)</f>
        <v>3835037.6053528958</v>
      </c>
      <c r="G17" s="125">
        <f>F17+G16</f>
        <v>23010225.632117376</v>
      </c>
      <c r="H17" s="126">
        <f t="shared" si="2"/>
        <v>119844.92516727799</v>
      </c>
      <c r="I17" s="126">
        <f t="shared" si="1"/>
        <v>0</v>
      </c>
      <c r="J17" s="779">
        <f>IF(C17=Dashboard!$F$36,Dashboard!$F$7,0)</f>
        <v>0</v>
      </c>
      <c r="K17" s="127">
        <f t="shared" si="3"/>
        <v>23010225.632117376</v>
      </c>
      <c r="L17" s="25">
        <f>IF(C17&lt;Dashboard!$F$56,'AM Table - Construction Loan'!L16-'AM Table - Construction Loan'!H17,L16)</f>
        <v>2797568.9399249982</v>
      </c>
    </row>
    <row r="18" spans="2:12">
      <c r="B18" s="123">
        <f t="shared" si="4"/>
        <v>7</v>
      </c>
      <c r="C18" s="124">
        <f t="shared" si="5"/>
        <v>45901</v>
      </c>
      <c r="D18" s="125">
        <f>D17-F17</f>
        <v>46020451.264234766</v>
      </c>
      <c r="E18" s="125">
        <f t="shared" si="7"/>
        <v>23010225.632117376</v>
      </c>
      <c r="F18" s="125">
        <f>IF(C18&lt;Dashboard!$F$56,('AM Table - Construction Loan'!$D$3/(YEARFRAC('AM Table - Construction Loan'!$D$5,Dashboard!$F$56)*12)),0)</f>
        <v>3835037.6053528958</v>
      </c>
      <c r="G18" s="125">
        <f t="shared" si="8"/>
        <v>26845263.237470273</v>
      </c>
      <c r="H18" s="126">
        <f t="shared" si="2"/>
        <v>139819.07936182432</v>
      </c>
      <c r="I18" s="126">
        <f t="shared" si="1"/>
        <v>0</v>
      </c>
      <c r="J18" s="779">
        <f>IF(C18=Dashboard!$F$36,Dashboard!$F$7,0)</f>
        <v>0</v>
      </c>
      <c r="K18" s="127">
        <f t="shared" si="3"/>
        <v>26845263.237470273</v>
      </c>
      <c r="L18" s="25">
        <f>IF(C18&lt;Dashboard!$F$56,'AM Table - Construction Loan'!L17-'AM Table - Construction Loan'!H18,L17)</f>
        <v>2657749.8605631739</v>
      </c>
    </row>
    <row r="19" spans="2:12">
      <c r="B19" s="123">
        <f t="shared" si="4"/>
        <v>8</v>
      </c>
      <c r="C19" s="124">
        <f t="shared" si="5"/>
        <v>45931</v>
      </c>
      <c r="D19" s="125">
        <f t="shared" si="6"/>
        <v>42185413.658881873</v>
      </c>
      <c r="E19" s="125">
        <f t="shared" si="7"/>
        <v>26845263.237470273</v>
      </c>
      <c r="F19" s="125">
        <f>IF(C19&lt;Dashboard!$F$56,('AM Table - Construction Loan'!$D$3/(YEARFRAC('AM Table - Construction Loan'!$D$5,Dashboard!$F$56)*12)),0)</f>
        <v>3835037.6053528958</v>
      </c>
      <c r="G19" s="125">
        <f>F19+G18</f>
        <v>30680300.84282317</v>
      </c>
      <c r="H19" s="126">
        <f t="shared" si="2"/>
        <v>159793.23355637066</v>
      </c>
      <c r="I19" s="126">
        <f t="shared" si="1"/>
        <v>0</v>
      </c>
      <c r="J19" s="779">
        <f>IF(C19=Dashboard!$F$36,Dashboard!$F$7,0)</f>
        <v>0</v>
      </c>
      <c r="K19" s="127">
        <f t="shared" si="3"/>
        <v>30680300.84282317</v>
      </c>
      <c r="L19" s="25">
        <f>IF(C19&lt;Dashboard!$F$56,'AM Table - Construction Loan'!L18-'AM Table - Construction Loan'!H19,L18)</f>
        <v>2497956.6270068032</v>
      </c>
    </row>
    <row r="20" spans="2:12">
      <c r="B20" s="123">
        <f t="shared" si="4"/>
        <v>9</v>
      </c>
      <c r="C20" s="124">
        <f t="shared" si="5"/>
        <v>45962</v>
      </c>
      <c r="D20" s="125">
        <f t="shared" si="6"/>
        <v>38350376.053528979</v>
      </c>
      <c r="E20" s="125">
        <f t="shared" si="7"/>
        <v>30680300.84282317</v>
      </c>
      <c r="F20" s="125">
        <f>IF(C20&lt;Dashboard!$F$56,('AM Table - Construction Loan'!$D$3/(YEARFRAC('AM Table - Construction Loan'!$D$5,Dashboard!$F$56)*12)),0)</f>
        <v>3835037.6053528958</v>
      </c>
      <c r="G20" s="125">
        <f t="shared" si="8"/>
        <v>34515338.448176064</v>
      </c>
      <c r="H20" s="126">
        <f t="shared" si="2"/>
        <v>179767.387750917</v>
      </c>
      <c r="I20" s="126">
        <f t="shared" si="1"/>
        <v>0</v>
      </c>
      <c r="J20" s="779">
        <f>IF(C20=Dashboard!$F$36,Dashboard!$F$7,0)</f>
        <v>0</v>
      </c>
      <c r="K20" s="127">
        <f t="shared" si="3"/>
        <v>34515338.448176064</v>
      </c>
      <c r="L20" s="25">
        <f>IF(C20&lt;Dashboard!$F$56,'AM Table - Construction Loan'!L19-'AM Table - Construction Loan'!H20,L19)</f>
        <v>2318189.2392558861</v>
      </c>
    </row>
    <row r="21" spans="2:12">
      <c r="B21" s="123">
        <f t="shared" si="4"/>
        <v>10</v>
      </c>
      <c r="C21" s="124">
        <f t="shared" si="5"/>
        <v>45992</v>
      </c>
      <c r="D21" s="125">
        <f t="shared" si="6"/>
        <v>34515338.448176086</v>
      </c>
      <c r="E21" s="125">
        <f>K20</f>
        <v>34515338.448176064</v>
      </c>
      <c r="F21" s="125">
        <f>IF(C21&lt;Dashboard!$F$56,('AM Table - Construction Loan'!$D$3/(YEARFRAC('AM Table - Construction Loan'!$D$5,Dashboard!$F$56)*12)),0)</f>
        <v>3835037.6053528958</v>
      </c>
      <c r="G21" s="125">
        <f>F21+G20</f>
        <v>38350376.053528957</v>
      </c>
      <c r="H21" s="126">
        <f t="shared" si="2"/>
        <v>199741.54194546331</v>
      </c>
      <c r="I21" s="126">
        <f t="shared" si="1"/>
        <v>0</v>
      </c>
      <c r="J21" s="779">
        <f>IF(C21=Dashboard!$F$36,Dashboard!$F$7,0)</f>
        <v>0</v>
      </c>
      <c r="K21" s="127">
        <f t="shared" si="3"/>
        <v>38350376.053528957</v>
      </c>
      <c r="L21" s="25">
        <f>IF(C21&lt;Dashboard!$F$56,'AM Table - Construction Loan'!L20-'AM Table - Construction Loan'!H21,L20)</f>
        <v>2118447.6973104225</v>
      </c>
    </row>
    <row r="22" spans="2:12">
      <c r="B22" s="123">
        <f t="shared" si="4"/>
        <v>11</v>
      </c>
      <c r="C22" s="124">
        <f t="shared" si="5"/>
        <v>46023</v>
      </c>
      <c r="D22" s="125">
        <f>D21-F21</f>
        <v>30680300.842823189</v>
      </c>
      <c r="E22" s="125">
        <f t="shared" si="7"/>
        <v>38350376.053528957</v>
      </c>
      <c r="F22" s="125">
        <f>IF(C22&lt;Dashboard!$F$56,('AM Table - Construction Loan'!$D$3/(YEARFRAC('AM Table - Construction Loan'!$D$5,Dashboard!$F$56)*12)),0)</f>
        <v>3835037.6053528958</v>
      </c>
      <c r="G22" s="125">
        <f t="shared" si="8"/>
        <v>42185413.658881851</v>
      </c>
      <c r="H22" s="126">
        <f t="shared" si="2"/>
        <v>219715.69614000962</v>
      </c>
      <c r="I22" s="126">
        <f t="shared" si="1"/>
        <v>0</v>
      </c>
      <c r="J22" s="779">
        <f>IF(C22=Dashboard!$F$36,Dashboard!$F$7,0)</f>
        <v>0</v>
      </c>
      <c r="K22" s="127">
        <f t="shared" si="3"/>
        <v>42185413.658881851</v>
      </c>
      <c r="L22" s="25">
        <f>IF(C22&lt;Dashboard!$F$56,'AM Table - Construction Loan'!L21-'AM Table - Construction Loan'!H22,L21)</f>
        <v>1898732.0011704129</v>
      </c>
    </row>
    <row r="23" spans="2:12">
      <c r="B23" s="128">
        <f t="shared" si="4"/>
        <v>12</v>
      </c>
      <c r="C23" s="129">
        <f>EDATE(C22,1)</f>
        <v>46054</v>
      </c>
      <c r="D23" s="130">
        <f t="shared" si="6"/>
        <v>26845263.237470292</v>
      </c>
      <c r="E23" s="130">
        <f t="shared" si="7"/>
        <v>42185413.658881851</v>
      </c>
      <c r="F23" s="130">
        <f>IF(C23&lt;Dashboard!$F$56,('AM Table - Construction Loan'!$D$3/(YEARFRAC('AM Table - Construction Loan'!$D$5,Dashboard!$F$56)*12)),0)</f>
        <v>3835037.6053528958</v>
      </c>
      <c r="G23" s="130">
        <f t="shared" si="8"/>
        <v>46020451.264234744</v>
      </c>
      <c r="H23" s="131">
        <f t="shared" si="2"/>
        <v>239689.85033455596</v>
      </c>
      <c r="I23" s="131">
        <f t="shared" si="1"/>
        <v>0</v>
      </c>
      <c r="J23" s="780">
        <f>IF(C23=Dashboard!$F$36,Dashboard!$F$7,0)</f>
        <v>0</v>
      </c>
      <c r="K23" s="132">
        <f t="shared" si="3"/>
        <v>46020451.264234744</v>
      </c>
      <c r="L23" s="159">
        <f>IF(C23&lt;Dashboard!$F$56,'AM Table - Construction Loan'!L22-'AM Table - Construction Loan'!H23,L22)</f>
        <v>1659042.1508358568</v>
      </c>
    </row>
    <row r="24" spans="2:12">
      <c r="B24" s="123">
        <f t="shared" si="4"/>
        <v>13</v>
      </c>
      <c r="C24" s="124">
        <f t="shared" si="5"/>
        <v>46082</v>
      </c>
      <c r="D24" s="125">
        <f t="shared" si="6"/>
        <v>23010225.632117394</v>
      </c>
      <c r="E24" s="125">
        <f t="shared" si="7"/>
        <v>46020451.264234744</v>
      </c>
      <c r="F24" s="125">
        <f>IF(C24&lt;Dashboard!$F$56,('AM Table - Construction Loan'!$D$3/(YEARFRAC('AM Table - Construction Loan'!$D$5,Dashboard!$F$56)*12)),0)</f>
        <v>3835037.6053528958</v>
      </c>
      <c r="G24" s="125">
        <f t="shared" si="8"/>
        <v>49855488.869587637</v>
      </c>
      <c r="H24" s="126">
        <f>IF(B24&lt;=$D$6,$G$5/12*G24,-IPMT($G$5/12,B24-$D$6,$D$7*12,G24))</f>
        <v>280437.12489143049</v>
      </c>
      <c r="I24" s="126">
        <f>-IF(B24&lt;=$D$6,0,PPMT($G$5/12,B24-$D$6,$D$7*12,G24))</f>
        <v>0</v>
      </c>
      <c r="J24" s="779">
        <f>IF(C24=Dashboard!$F$36,Dashboard!$F$7,0)</f>
        <v>0</v>
      </c>
      <c r="K24" s="127">
        <f t="shared" si="3"/>
        <v>49855488.869587637</v>
      </c>
      <c r="L24" s="25">
        <f>IF(C24&lt;Dashboard!$F$56,'AM Table - Construction Loan'!L23-'AM Table - Construction Loan'!H24,L23)</f>
        <v>1378605.0259444262</v>
      </c>
    </row>
    <row r="25" spans="2:12">
      <c r="B25" s="123">
        <f t="shared" si="4"/>
        <v>14</v>
      </c>
      <c r="C25" s="124">
        <f t="shared" si="5"/>
        <v>46113</v>
      </c>
      <c r="D25" s="125">
        <f t="shared" si="6"/>
        <v>19175188.026764497</v>
      </c>
      <c r="E25" s="125">
        <f t="shared" si="7"/>
        <v>49855488.869587637</v>
      </c>
      <c r="F25" s="125">
        <f>IF(C25&lt;Dashboard!$F$56,('AM Table - Construction Loan'!$D$3/(YEARFRAC('AM Table - Construction Loan'!$D$5,Dashboard!$F$56)*12)),0)</f>
        <v>3835037.6053528958</v>
      </c>
      <c r="G25" s="125">
        <f>F25+G24</f>
        <v>53690526.474940531</v>
      </c>
      <c r="H25" s="126">
        <f t="shared" ref="H25:H35" si="9">IF(B25&lt;=$D$6,$G$5/12*G25,-IPMT($G$5/12,B25-$D$6,$D$7*12,G25))</f>
        <v>302009.21142154053</v>
      </c>
      <c r="I25" s="126">
        <f t="shared" ref="I25:I35" si="10">-IF(B25&lt;=$D$6,0,PPMT($G$5/12,B25-$D$6,$D$7*12,G25))</f>
        <v>0</v>
      </c>
      <c r="J25" s="779">
        <f>IF(C25=Dashboard!$F$36,Dashboard!$F$7,0)</f>
        <v>0</v>
      </c>
      <c r="K25" s="127">
        <f t="shared" si="3"/>
        <v>53690526.474940531</v>
      </c>
      <c r="L25" s="25">
        <f>IF(C25&lt;Dashboard!$F$56,'AM Table - Construction Loan'!L24-'AM Table - Construction Loan'!H25,L24)</f>
        <v>1076595.8145228857</v>
      </c>
    </row>
    <row r="26" spans="2:12">
      <c r="B26" s="123">
        <f t="shared" si="4"/>
        <v>15</v>
      </c>
      <c r="C26" s="124">
        <f t="shared" si="5"/>
        <v>46143</v>
      </c>
      <c r="D26" s="125">
        <f t="shared" si="6"/>
        <v>15340150.421411602</v>
      </c>
      <c r="E26" s="125">
        <f t="shared" si="7"/>
        <v>53690526.474940531</v>
      </c>
      <c r="F26" s="125">
        <f>IF(C26&lt;Dashboard!$F$56,('AM Table - Construction Loan'!$D$3/(YEARFRAC('AM Table - Construction Loan'!$D$5,Dashboard!$F$56)*12)),0)</f>
        <v>3835037.6053528958</v>
      </c>
      <c r="G26" s="125">
        <f t="shared" si="8"/>
        <v>57525564.080293424</v>
      </c>
      <c r="H26" s="126">
        <f t="shared" si="9"/>
        <v>323581.29795165057</v>
      </c>
      <c r="I26" s="126">
        <f t="shared" si="10"/>
        <v>0</v>
      </c>
      <c r="J26" s="779">
        <f>IF(C26=Dashboard!$F$36,Dashboard!$F$7,0)</f>
        <v>0</v>
      </c>
      <c r="K26" s="127">
        <f t="shared" si="3"/>
        <v>57525564.080293424</v>
      </c>
      <c r="L26" s="25">
        <f>IF(C26&lt;Dashboard!$F$56,'AM Table - Construction Loan'!L25-'AM Table - Construction Loan'!H26,L25)</f>
        <v>753014.51657123514</v>
      </c>
    </row>
    <row r="27" spans="2:12">
      <c r="B27" s="123">
        <f t="shared" si="4"/>
        <v>16</v>
      </c>
      <c r="C27" s="124">
        <f t="shared" si="5"/>
        <v>46174</v>
      </c>
      <c r="D27" s="125">
        <f t="shared" si="6"/>
        <v>11505112.816058706</v>
      </c>
      <c r="E27" s="125">
        <f t="shared" si="7"/>
        <v>57525564.080293424</v>
      </c>
      <c r="F27" s="125">
        <f>IF(C27&lt;Dashboard!$F$56,('AM Table - Construction Loan'!$D$3/(YEARFRAC('AM Table - Construction Loan'!$D$5,Dashboard!$F$56)*12)),0)</f>
        <v>3835037.6053528958</v>
      </c>
      <c r="G27" s="125">
        <f t="shared" si="8"/>
        <v>61360601.685646318</v>
      </c>
      <c r="H27" s="126">
        <f t="shared" si="9"/>
        <v>345153.38448176056</v>
      </c>
      <c r="I27" s="126">
        <f t="shared" si="10"/>
        <v>0</v>
      </c>
      <c r="J27" s="779">
        <f>IF(C27=Dashboard!$F$36,Dashboard!$F$7,0)</f>
        <v>0</v>
      </c>
      <c r="K27" s="127">
        <f t="shared" si="3"/>
        <v>61360601.685646318</v>
      </c>
      <c r="L27" s="25">
        <f>IF(C27&lt;Dashboard!$F$56,'AM Table - Construction Loan'!L26-'AM Table - Construction Loan'!H27,L26)</f>
        <v>407861.13208947459</v>
      </c>
    </row>
    <row r="28" spans="2:12">
      <c r="B28" s="123">
        <f t="shared" si="4"/>
        <v>17</v>
      </c>
      <c r="C28" s="124">
        <f t="shared" si="5"/>
        <v>46204</v>
      </c>
      <c r="D28" s="125">
        <f t="shared" si="6"/>
        <v>7670075.2107058112</v>
      </c>
      <c r="E28" s="125">
        <f t="shared" si="7"/>
        <v>61360601.685646318</v>
      </c>
      <c r="F28" s="125">
        <f>IF(C28&lt;Dashboard!$F$56,('AM Table - Construction Loan'!$D$3/(YEARFRAC('AM Table - Construction Loan'!$D$5,Dashboard!$F$56)*12)),0)</f>
        <v>3835037.6053528958</v>
      </c>
      <c r="G28" s="125">
        <f t="shared" si="8"/>
        <v>65195639.290999211</v>
      </c>
      <c r="H28" s="126">
        <f t="shared" si="9"/>
        <v>366725.4710118706</v>
      </c>
      <c r="I28" s="126">
        <f t="shared" si="10"/>
        <v>0</v>
      </c>
      <c r="J28" s="779">
        <f>IF(C28=Dashboard!$F$36,Dashboard!$F$7,0)</f>
        <v>0</v>
      </c>
      <c r="K28" s="127">
        <f t="shared" si="3"/>
        <v>65195639.290999211</v>
      </c>
      <c r="L28" s="25">
        <f>IF(C28&lt;Dashboard!$F$56,'AM Table - Construction Loan'!L27-'AM Table - Construction Loan'!H28,L27)</f>
        <v>41135.661077603989</v>
      </c>
    </row>
    <row r="29" spans="2:12">
      <c r="B29" s="123">
        <f t="shared" si="4"/>
        <v>18</v>
      </c>
      <c r="C29" s="124">
        <f t="shared" si="5"/>
        <v>46235</v>
      </c>
      <c r="D29" s="125">
        <f>D28-F28</f>
        <v>3835037.6053529154</v>
      </c>
      <c r="E29" s="125">
        <f t="shared" si="7"/>
        <v>65195639.290999211</v>
      </c>
      <c r="F29" s="125">
        <f>IF(C29&lt;Dashboard!$F$56,('AM Table - Construction Loan'!$D$3/(YEARFRAC('AM Table - Construction Loan'!$D$5,Dashboard!$F$56)*12)),0)</f>
        <v>3835037.6053528958</v>
      </c>
      <c r="G29" s="125">
        <f>F29+G28</f>
        <v>69030676.896352112</v>
      </c>
      <c r="H29" s="126">
        <f t="shared" si="9"/>
        <v>388297.5575419807</v>
      </c>
      <c r="I29" s="126">
        <f t="shared" si="10"/>
        <v>0</v>
      </c>
      <c r="J29" s="779">
        <f>IF(C29=Dashboard!$F$36,Dashboard!$F$7,0)</f>
        <v>0</v>
      </c>
      <c r="K29" s="127">
        <f t="shared" si="3"/>
        <v>69030676.896352112</v>
      </c>
      <c r="L29" s="25">
        <f>IF(C29&lt;Dashboard!$F$56,'AM Table - Construction Loan'!L28-'AM Table - Construction Loan'!H29,L28)</f>
        <v>-347161.89646437671</v>
      </c>
    </row>
    <row r="30" spans="2:12">
      <c r="B30" s="123">
        <f t="shared" si="4"/>
        <v>19</v>
      </c>
      <c r="C30" s="124">
        <f t="shared" si="5"/>
        <v>46266</v>
      </c>
      <c r="D30" s="125">
        <f t="shared" si="6"/>
        <v>1.9557774066925049E-8</v>
      </c>
      <c r="E30" s="125">
        <f t="shared" si="7"/>
        <v>69030676.896352112</v>
      </c>
      <c r="F30" s="125">
        <f>IF(C30&lt;Dashboard!$F$56,('AM Table - Construction Loan'!$D$3/(YEARFRAC('AM Table - Construction Loan'!$D$5,Dashboard!$F$56)*12)),0)</f>
        <v>0</v>
      </c>
      <c r="G30" s="125">
        <f t="shared" si="8"/>
        <v>69030676.896352112</v>
      </c>
      <c r="H30" s="126">
        <f t="shared" si="9"/>
        <v>388297.5575419807</v>
      </c>
      <c r="I30" s="126">
        <f t="shared" si="10"/>
        <v>0</v>
      </c>
      <c r="J30" s="779">
        <f>IF(C30=Dashboard!$F$36,Dashboard!$F$7,0)</f>
        <v>0</v>
      </c>
      <c r="K30" s="127">
        <f t="shared" si="3"/>
        <v>69030676.896352112</v>
      </c>
      <c r="L30" s="25">
        <f>IF(C30&lt;Dashboard!$F$56,'AM Table - Construction Loan'!L29-'AM Table - Construction Loan'!H30,L29)</f>
        <v>-347161.89646437671</v>
      </c>
    </row>
    <row r="31" spans="2:12">
      <c r="B31" s="123">
        <f t="shared" si="4"/>
        <v>20</v>
      </c>
      <c r="C31" s="124">
        <f t="shared" si="5"/>
        <v>46296</v>
      </c>
      <c r="D31" s="125">
        <f t="shared" si="6"/>
        <v>1.9557774066925049E-8</v>
      </c>
      <c r="E31" s="125">
        <f t="shared" si="7"/>
        <v>69030676.896352112</v>
      </c>
      <c r="F31" s="125">
        <f>IF(C31&lt;Dashboard!$F$56,('AM Table - Construction Loan'!$D$3/(YEARFRAC('AM Table - Construction Loan'!$D$5,Dashboard!$F$56)*12)),0)</f>
        <v>0</v>
      </c>
      <c r="G31" s="125">
        <f t="shared" si="8"/>
        <v>69030676.896352112</v>
      </c>
      <c r="H31" s="126">
        <f t="shared" si="9"/>
        <v>388297.5575419807</v>
      </c>
      <c r="I31" s="126">
        <f t="shared" si="10"/>
        <v>0</v>
      </c>
      <c r="J31" s="779">
        <f>IF(C31=Dashboard!$F$36,Dashboard!$F$7,0)</f>
        <v>0</v>
      </c>
      <c r="K31" s="127">
        <f t="shared" si="3"/>
        <v>69030676.896352112</v>
      </c>
      <c r="L31" s="25">
        <f>IF(C31&lt;Dashboard!$F$56,'AM Table - Construction Loan'!L30-'AM Table - Construction Loan'!H31,L30)</f>
        <v>-347161.89646437671</v>
      </c>
    </row>
    <row r="32" spans="2:12">
      <c r="B32" s="123">
        <f t="shared" si="4"/>
        <v>21</v>
      </c>
      <c r="C32" s="124">
        <f t="shared" si="5"/>
        <v>46327</v>
      </c>
      <c r="D32" s="125">
        <f t="shared" si="6"/>
        <v>1.9557774066925049E-8</v>
      </c>
      <c r="E32" s="125">
        <f t="shared" si="7"/>
        <v>69030676.896352112</v>
      </c>
      <c r="F32" s="125">
        <f>IF(C32&lt;Dashboard!$F$56,('AM Table - Construction Loan'!$D$3/(YEARFRAC('AM Table - Construction Loan'!$D$5,Dashboard!$F$56)*12)),0)</f>
        <v>0</v>
      </c>
      <c r="G32" s="125">
        <f t="shared" si="8"/>
        <v>69030676.896352112</v>
      </c>
      <c r="H32" s="126">
        <f t="shared" si="9"/>
        <v>388297.5575419807</v>
      </c>
      <c r="I32" s="126">
        <f t="shared" si="10"/>
        <v>0</v>
      </c>
      <c r="J32" s="779">
        <f>IF(C32=Dashboard!$F$36,Dashboard!$F$7,0)</f>
        <v>0</v>
      </c>
      <c r="K32" s="127">
        <f t="shared" si="3"/>
        <v>69030676.896352112</v>
      </c>
      <c r="L32" s="25">
        <f>IF(C32&lt;Dashboard!$F$56,'AM Table - Construction Loan'!L31-'AM Table - Construction Loan'!H32,L31)</f>
        <v>-347161.89646437671</v>
      </c>
    </row>
    <row r="33" spans="2:13">
      <c r="B33" s="123">
        <f t="shared" si="4"/>
        <v>22</v>
      </c>
      <c r="C33" s="124">
        <f t="shared" si="5"/>
        <v>46357</v>
      </c>
      <c r="D33" s="125">
        <f t="shared" si="6"/>
        <v>1.9557774066925049E-8</v>
      </c>
      <c r="E33" s="125">
        <f t="shared" si="7"/>
        <v>69030676.896352112</v>
      </c>
      <c r="F33" s="125">
        <f>IF(C33&lt;Dashboard!$F$56,('AM Table - Construction Loan'!$D$3/(YEARFRAC('AM Table - Construction Loan'!$D$5,Dashboard!$F$56)*12)),0)</f>
        <v>0</v>
      </c>
      <c r="G33" s="125">
        <f t="shared" si="8"/>
        <v>69030676.896352112</v>
      </c>
      <c r="H33" s="126">
        <f t="shared" si="9"/>
        <v>388297.5575419807</v>
      </c>
      <c r="I33" s="126">
        <f t="shared" si="10"/>
        <v>0</v>
      </c>
      <c r="J33" s="779">
        <f>IF(C33=Dashboard!$F$36,Dashboard!$F$7,0)</f>
        <v>0</v>
      </c>
      <c r="K33" s="127">
        <f t="shared" si="3"/>
        <v>69030676.896352112</v>
      </c>
      <c r="L33" s="25">
        <f>IF(C33&lt;Dashboard!$F$56,'AM Table - Construction Loan'!L32-'AM Table - Construction Loan'!H33,L32)</f>
        <v>-347161.89646437671</v>
      </c>
    </row>
    <row r="34" spans="2:13">
      <c r="B34" s="123">
        <f t="shared" si="4"/>
        <v>23</v>
      </c>
      <c r="C34" s="124">
        <f t="shared" si="5"/>
        <v>46388</v>
      </c>
      <c r="D34" s="125">
        <f t="shared" si="6"/>
        <v>1.9557774066925049E-8</v>
      </c>
      <c r="E34" s="125">
        <f t="shared" si="7"/>
        <v>69030676.896352112</v>
      </c>
      <c r="F34" s="125">
        <f>IF(C34&lt;Dashboard!$F$56,('AM Table - Construction Loan'!$D$3/(YEARFRAC('AM Table - Construction Loan'!$D$5,Dashboard!$F$56)*12)),0)</f>
        <v>0</v>
      </c>
      <c r="G34" s="125">
        <f t="shared" si="8"/>
        <v>69030676.896352112</v>
      </c>
      <c r="H34" s="126">
        <f t="shared" si="9"/>
        <v>388297.5575419807</v>
      </c>
      <c r="I34" s="126">
        <f t="shared" si="10"/>
        <v>0</v>
      </c>
      <c r="J34" s="779">
        <f>IF(C34=Dashboard!$F$36,Dashboard!$F$7,0)</f>
        <v>0</v>
      </c>
      <c r="K34" s="127">
        <f t="shared" si="3"/>
        <v>69030676.896352112</v>
      </c>
      <c r="L34" s="25">
        <f>IF(C34&lt;Dashboard!$F$56,'AM Table - Construction Loan'!L33-'AM Table - Construction Loan'!H34,L33)</f>
        <v>-347161.89646437671</v>
      </c>
    </row>
    <row r="35" spans="2:13">
      <c r="B35" s="128">
        <f t="shared" si="4"/>
        <v>24</v>
      </c>
      <c r="C35" s="129">
        <f t="shared" si="5"/>
        <v>46419</v>
      </c>
      <c r="D35" s="130">
        <f t="shared" si="6"/>
        <v>1.9557774066925049E-8</v>
      </c>
      <c r="E35" s="130">
        <f t="shared" si="7"/>
        <v>69030676.896352112</v>
      </c>
      <c r="F35" s="130">
        <f>IF(C35&lt;Dashboard!$F$56,('AM Table - Construction Loan'!$D$3/(YEARFRAC('AM Table - Construction Loan'!$D$5,Dashboard!$F$56)*12)),0)</f>
        <v>0</v>
      </c>
      <c r="G35" s="130">
        <f t="shared" si="8"/>
        <v>69030676.896352112</v>
      </c>
      <c r="H35" s="131">
        <f t="shared" si="9"/>
        <v>388297.5575419807</v>
      </c>
      <c r="I35" s="131">
        <f t="shared" si="10"/>
        <v>0</v>
      </c>
      <c r="J35" s="780">
        <f>IF(C35=Dashboard!$F$36,Dashboard!$F$7,0)</f>
        <v>0</v>
      </c>
      <c r="K35" s="132">
        <f t="shared" si="3"/>
        <v>69030676.896352112</v>
      </c>
      <c r="L35" s="159">
        <f>IF(C35&lt;Dashboard!$F$56,'AM Table - Construction Loan'!L34-'AM Table - Construction Loan'!H35,L34)</f>
        <v>-347161.89646437671</v>
      </c>
    </row>
    <row r="36" spans="2:13">
      <c r="B36" s="123">
        <f t="shared" si="4"/>
        <v>25</v>
      </c>
      <c r="C36" s="124">
        <f t="shared" si="5"/>
        <v>46447</v>
      </c>
      <c r="D36" s="125">
        <f t="shared" si="6"/>
        <v>1.9557774066925049E-8</v>
      </c>
      <c r="E36" s="125">
        <f t="shared" si="7"/>
        <v>69030676.896352112</v>
      </c>
      <c r="F36" s="125">
        <f>IF(C36&lt;Dashboard!$F$56,('AM Table - Construction Loan'!$D$3/(YEARFRAC('AM Table - Construction Loan'!$D$5,Dashboard!$F$56)*12)),0)</f>
        <v>0</v>
      </c>
      <c r="G36" s="125">
        <f t="shared" si="8"/>
        <v>69030676.896352112</v>
      </c>
      <c r="H36" s="126">
        <f>IF(B36&lt;=$D$6,$G$6/12*G36,-IPMT($G$6/12,B36-$D$6,$D$7*12,G36))</f>
        <v>417060.3395821274</v>
      </c>
      <c r="I36" s="126">
        <f>-IF(B36&lt;=$D$6,0,PPMT($G$6/12,B36-$D$6,$D$7*12,G36))</f>
        <v>0</v>
      </c>
      <c r="J36" s="779">
        <f>IF(C36=Dashboard!$F$36,Dashboard!$F$7,0)</f>
        <v>0</v>
      </c>
      <c r="K36" s="127">
        <f t="shared" si="3"/>
        <v>69030676.896352112</v>
      </c>
      <c r="L36" s="25">
        <f>IF(C36&lt;Dashboard!$F$56,'AM Table - Construction Loan'!L35-'AM Table - Construction Loan'!H36,L35)</f>
        <v>-347161.89646437671</v>
      </c>
    </row>
    <row r="37" spans="2:13">
      <c r="B37" s="123">
        <f t="shared" si="4"/>
        <v>26</v>
      </c>
      <c r="C37" s="124">
        <f t="shared" si="5"/>
        <v>46478</v>
      </c>
      <c r="D37" s="125">
        <f t="shared" si="6"/>
        <v>1.9557774066925049E-8</v>
      </c>
      <c r="E37" s="125">
        <f t="shared" si="7"/>
        <v>69030676.896352112</v>
      </c>
      <c r="F37" s="125">
        <f>IF(C37&lt;Dashboard!$F$56,('AM Table - Construction Loan'!$D$3/(YEARFRAC('AM Table - Construction Loan'!$D$5,Dashboard!$F$56)*12)),0)</f>
        <v>0</v>
      </c>
      <c r="G37" s="125">
        <f t="shared" si="8"/>
        <v>69030676.896352112</v>
      </c>
      <c r="H37" s="126">
        <f t="shared" ref="H37:H47" si="11">IF(B37&lt;=$D$6,$G$6/12*G37,-IPMT($G$6/12,B37-$D$6,$D$7*12,G37))</f>
        <v>417060.3395821274</v>
      </c>
      <c r="I37" s="126">
        <f t="shared" ref="I37:I47" si="12">-IF(B37&lt;=$D$6,0,PPMT($G$6/12,B37-$D$6,$D$7*12,G37))</f>
        <v>0</v>
      </c>
      <c r="J37" s="779">
        <f>IF(C37=Dashboard!$F$36,Dashboard!$F$7,0)</f>
        <v>0</v>
      </c>
      <c r="K37" s="127">
        <f t="shared" si="3"/>
        <v>69030676.896352112</v>
      </c>
      <c r="L37" s="25">
        <f>IF(C37&lt;Dashboard!$F$56,'AM Table - Construction Loan'!L36-'AM Table - Construction Loan'!H37,L36)</f>
        <v>-347161.89646437671</v>
      </c>
    </row>
    <row r="38" spans="2:13">
      <c r="B38" s="123">
        <f t="shared" si="4"/>
        <v>27</v>
      </c>
      <c r="C38" s="124">
        <f t="shared" si="5"/>
        <v>46508</v>
      </c>
      <c r="D38" s="125">
        <f t="shared" si="6"/>
        <v>1.9557774066925049E-8</v>
      </c>
      <c r="E38" s="125">
        <f t="shared" si="7"/>
        <v>69030676.896352112</v>
      </c>
      <c r="F38" s="125">
        <f>IF(C38&lt;Dashboard!$F$56,('AM Table - Construction Loan'!$D$3/(YEARFRAC('AM Table - Construction Loan'!$D$5,Dashboard!$F$56)*12)),0)</f>
        <v>0</v>
      </c>
      <c r="G38" s="125">
        <f t="shared" si="8"/>
        <v>69030676.896352112</v>
      </c>
      <c r="H38" s="126">
        <f t="shared" si="11"/>
        <v>417060.3395821274</v>
      </c>
      <c r="I38" s="126">
        <f t="shared" si="12"/>
        <v>0</v>
      </c>
      <c r="J38" s="779">
        <f>IF(C38=Dashboard!$F$36,Dashboard!$F$7,0)</f>
        <v>0</v>
      </c>
      <c r="K38" s="127">
        <f t="shared" si="3"/>
        <v>69030676.896352112</v>
      </c>
      <c r="L38" s="25">
        <f>IF(C38&lt;Dashboard!$F$56,'AM Table - Construction Loan'!L37-'AM Table - Construction Loan'!H38,L37)</f>
        <v>-347161.89646437671</v>
      </c>
    </row>
    <row r="39" spans="2:13">
      <c r="B39" s="123">
        <f t="shared" si="4"/>
        <v>28</v>
      </c>
      <c r="C39" s="124">
        <f t="shared" si="5"/>
        <v>46539</v>
      </c>
      <c r="D39" s="125">
        <f t="shared" si="6"/>
        <v>1.9557774066925049E-8</v>
      </c>
      <c r="E39" s="125">
        <f t="shared" si="7"/>
        <v>69030676.896352112</v>
      </c>
      <c r="F39" s="125">
        <f>IF(C39&lt;Dashboard!$F$56,('AM Table - Construction Loan'!$D$3/(YEARFRAC('AM Table - Construction Loan'!$D$5,Dashboard!$F$56)*12)),0)</f>
        <v>0</v>
      </c>
      <c r="G39" s="125">
        <f t="shared" si="8"/>
        <v>69030676.896352112</v>
      </c>
      <c r="H39" s="126">
        <f t="shared" si="11"/>
        <v>417060.3395821274</v>
      </c>
      <c r="I39" s="126">
        <f t="shared" si="12"/>
        <v>0</v>
      </c>
      <c r="J39" s="779">
        <f>IF(C39=Dashboard!$F$36,Dashboard!$F$7,0)</f>
        <v>0</v>
      </c>
      <c r="K39" s="127">
        <f t="shared" si="3"/>
        <v>69030676.896352112</v>
      </c>
      <c r="L39" s="25">
        <f>IF(C39&lt;Dashboard!$F$56,'AM Table - Construction Loan'!L38-'AM Table - Construction Loan'!H39,L38)</f>
        <v>-347161.89646437671</v>
      </c>
    </row>
    <row r="40" spans="2:13">
      <c r="B40" s="123">
        <f t="shared" si="4"/>
        <v>29</v>
      </c>
      <c r="C40" s="124">
        <f t="shared" si="5"/>
        <v>46569</v>
      </c>
      <c r="D40" s="125">
        <f t="shared" si="6"/>
        <v>1.9557774066925049E-8</v>
      </c>
      <c r="E40" s="125">
        <f t="shared" si="7"/>
        <v>69030676.896352112</v>
      </c>
      <c r="F40" s="125">
        <f>IF(C40&lt;Dashboard!$F$56,('AM Table - Construction Loan'!$D$3/(YEARFRAC('AM Table - Construction Loan'!$D$5,Dashboard!$F$56)*12)),0)</f>
        <v>0</v>
      </c>
      <c r="G40" s="125">
        <f t="shared" si="8"/>
        <v>69030676.896352112</v>
      </c>
      <c r="H40" s="126">
        <f t="shared" si="11"/>
        <v>417060.3395821274</v>
      </c>
      <c r="I40" s="126">
        <f t="shared" si="12"/>
        <v>0</v>
      </c>
      <c r="J40" s="779">
        <f>IF(C40=Dashboard!$F$36,Dashboard!$F$7,0)</f>
        <v>0</v>
      </c>
      <c r="K40" s="127">
        <f t="shared" si="3"/>
        <v>69030676.896352112</v>
      </c>
      <c r="L40" s="25">
        <f>IF(C40&lt;Dashboard!$F$56,'AM Table - Construction Loan'!L39-'AM Table - Construction Loan'!H40,L39)</f>
        <v>-347161.89646437671</v>
      </c>
    </row>
    <row r="41" spans="2:13">
      <c r="B41" s="123">
        <f t="shared" si="4"/>
        <v>30</v>
      </c>
      <c r="C41" s="124">
        <f t="shared" si="5"/>
        <v>46600</v>
      </c>
      <c r="D41" s="125">
        <f t="shared" si="6"/>
        <v>1.9557774066925049E-8</v>
      </c>
      <c r="E41" s="125">
        <f t="shared" si="7"/>
        <v>69030676.896352112</v>
      </c>
      <c r="F41" s="125">
        <f>IF(C41&lt;Dashboard!$F$56,('AM Table - Construction Loan'!$D$3/(YEARFRAC('AM Table - Construction Loan'!$D$5,Dashboard!$F$56)*12)),0)</f>
        <v>0</v>
      </c>
      <c r="G41" s="125">
        <f t="shared" si="8"/>
        <v>69030676.896352112</v>
      </c>
      <c r="H41" s="126">
        <f t="shared" si="11"/>
        <v>417060.3395821274</v>
      </c>
      <c r="I41" s="126">
        <f t="shared" si="12"/>
        <v>0</v>
      </c>
      <c r="J41" s="779">
        <f>IF(C41=Dashboard!$F$36,Dashboard!$F$7,0)</f>
        <v>0</v>
      </c>
      <c r="K41" s="127">
        <f t="shared" si="3"/>
        <v>69030676.896352112</v>
      </c>
      <c r="L41" s="25">
        <f>IF(C41&lt;Dashboard!$F$56,'AM Table - Construction Loan'!L40-'AM Table - Construction Loan'!H41,L40)</f>
        <v>-347161.89646437671</v>
      </c>
    </row>
    <row r="42" spans="2:13">
      <c r="B42" s="123">
        <f t="shared" si="4"/>
        <v>31</v>
      </c>
      <c r="C42" s="124">
        <f t="shared" si="5"/>
        <v>46631</v>
      </c>
      <c r="D42" s="125">
        <f t="shared" si="6"/>
        <v>1.9557774066925049E-8</v>
      </c>
      <c r="E42" s="125">
        <f t="shared" si="7"/>
        <v>69030676.896352112</v>
      </c>
      <c r="F42" s="125">
        <f>IF(C42&lt;Dashboard!$F$56,('AM Table - Construction Loan'!$D$3/(YEARFRAC('AM Table - Construction Loan'!$D$5,Dashboard!$F$56)*12)),0)</f>
        <v>0</v>
      </c>
      <c r="G42" s="125">
        <f t="shared" si="8"/>
        <v>69030676.896352112</v>
      </c>
      <c r="H42" s="126">
        <f t="shared" si="11"/>
        <v>417060.3395821274</v>
      </c>
      <c r="I42" s="126">
        <f t="shared" si="12"/>
        <v>53850.564167016593</v>
      </c>
      <c r="J42" s="779">
        <f>IF(C42=Dashboard!$F$36,Dashboard!$F$7,0)</f>
        <v>0</v>
      </c>
      <c r="K42" s="127">
        <f t="shared" si="3"/>
        <v>68976826.33218509</v>
      </c>
      <c r="L42" s="25">
        <f>IF(C42&lt;Dashboard!$F$56,'AM Table - Construction Loan'!L41-'AM Table - Construction Loan'!H42,L41)</f>
        <v>-347161.89646437671</v>
      </c>
    </row>
    <row r="43" spans="2:13">
      <c r="B43" s="123">
        <f t="shared" si="4"/>
        <v>32</v>
      </c>
      <c r="C43" s="124">
        <f t="shared" si="5"/>
        <v>46661</v>
      </c>
      <c r="D43" s="125">
        <f t="shared" si="6"/>
        <v>1.9557774066925049E-8</v>
      </c>
      <c r="E43" s="125">
        <f t="shared" si="7"/>
        <v>68976826.33218509</v>
      </c>
      <c r="F43" s="125">
        <f>IF(C43&lt;Dashboard!$F$56,('AM Table - Construction Loan'!$D$3/(YEARFRAC('AM Table - Construction Loan'!$D$5,Dashboard!$F$56)*12)),0)</f>
        <v>0</v>
      </c>
      <c r="G43" s="125">
        <f t="shared" si="8"/>
        <v>69030676.896352112</v>
      </c>
      <c r="H43" s="126">
        <f t="shared" si="11"/>
        <v>416734.99242361839</v>
      </c>
      <c r="I43" s="126">
        <f t="shared" si="12"/>
        <v>54175.911325525653</v>
      </c>
      <c r="J43" s="779">
        <f>IF(C43=Dashboard!$F$36,Dashboard!$F$7,0)</f>
        <v>0</v>
      </c>
      <c r="K43" s="127">
        <f t="shared" si="3"/>
        <v>68922650.42085956</v>
      </c>
      <c r="L43" s="25">
        <f>IF(C43&lt;Dashboard!$F$56,'AM Table - Construction Loan'!L42-'AM Table - Construction Loan'!H43,L42)</f>
        <v>-347161.89646437671</v>
      </c>
    </row>
    <row r="44" spans="2:13">
      <c r="B44" s="123">
        <f t="shared" si="4"/>
        <v>33</v>
      </c>
      <c r="C44" s="124">
        <f t="shared" si="5"/>
        <v>46692</v>
      </c>
      <c r="D44" s="125">
        <f t="shared" si="6"/>
        <v>1.9557774066925049E-8</v>
      </c>
      <c r="E44" s="125">
        <f t="shared" si="7"/>
        <v>68922650.42085956</v>
      </c>
      <c r="F44" s="125">
        <f>IF(C44&lt;Dashboard!$F$56,('AM Table - Construction Loan'!$D$3/(YEARFRAC('AM Table - Construction Loan'!$D$5,Dashboard!$F$56)*12)),0)</f>
        <v>0</v>
      </c>
      <c r="G44" s="125">
        <f t="shared" si="8"/>
        <v>69030676.896352112</v>
      </c>
      <c r="H44" s="126">
        <f t="shared" si="11"/>
        <v>416407.67962602666</v>
      </c>
      <c r="I44" s="126">
        <f t="shared" si="12"/>
        <v>54503.224123117368</v>
      </c>
      <c r="J44" s="779">
        <f>IF(C44=Dashboard!$F$36,Dashboard!$F$7,0)</f>
        <v>0</v>
      </c>
      <c r="K44" s="127">
        <f t="shared" si="3"/>
        <v>68868147.19673644</v>
      </c>
      <c r="L44" s="25">
        <f>IF(C44&lt;Dashboard!$F$56,'AM Table - Construction Loan'!L43-'AM Table - Construction Loan'!H44,L43)</f>
        <v>-347161.89646437671</v>
      </c>
    </row>
    <row r="45" spans="2:13">
      <c r="B45" s="123">
        <f t="shared" si="4"/>
        <v>34</v>
      </c>
      <c r="C45" s="124">
        <f t="shared" si="5"/>
        <v>46722</v>
      </c>
      <c r="D45" s="125">
        <f t="shared" ref="D45:D71" si="13">D44-F44</f>
        <v>1.9557774066925049E-8</v>
      </c>
      <c r="E45" s="125">
        <f t="shared" ref="E45:E71" si="14">K44</f>
        <v>68868147.19673644</v>
      </c>
      <c r="F45" s="125">
        <f>IF(C45&lt;Dashboard!$F$56,('AM Table - Construction Loan'!$D$3/(YEARFRAC('AM Table - Construction Loan'!$D$5,Dashboard!$F$56)*12)),0)</f>
        <v>0</v>
      </c>
      <c r="G45" s="125">
        <f t="shared" si="8"/>
        <v>69030676.896352112</v>
      </c>
      <c r="H45" s="126">
        <f t="shared" si="11"/>
        <v>416078.38931361615</v>
      </c>
      <c r="I45" s="126">
        <f t="shared" si="12"/>
        <v>54832.514435527846</v>
      </c>
      <c r="J45" s="779">
        <f>IF(C45=Dashboard!$F$36,Dashboard!$F$7,0)</f>
        <v>0</v>
      </c>
      <c r="K45" s="127">
        <f t="shared" si="3"/>
        <v>68813314.68230091</v>
      </c>
      <c r="L45" s="25">
        <f>IF(C45&lt;Dashboard!$F$56,'AM Table - Construction Loan'!L44-'AM Table - Construction Loan'!H45,L44)</f>
        <v>-347161.89646437671</v>
      </c>
    </row>
    <row r="46" spans="2:13">
      <c r="B46" s="123">
        <f t="shared" si="4"/>
        <v>35</v>
      </c>
      <c r="C46" s="124">
        <f t="shared" si="5"/>
        <v>46753</v>
      </c>
      <c r="D46" s="125">
        <f t="shared" si="13"/>
        <v>1.9557774066925049E-8</v>
      </c>
      <c r="E46" s="125">
        <f t="shared" si="14"/>
        <v>68813314.68230091</v>
      </c>
      <c r="F46" s="125">
        <f>IF(C46&lt;Dashboard!$F$56,('AM Table - Construction Loan'!$D$3/(YEARFRAC('AM Table - Construction Loan'!$D$5,Dashboard!$F$56)*12)),0)</f>
        <v>0</v>
      </c>
      <c r="G46" s="125">
        <f t="shared" si="8"/>
        <v>69030676.896352112</v>
      </c>
      <c r="H46" s="126">
        <f t="shared" si="11"/>
        <v>415747.10953890148</v>
      </c>
      <c r="I46" s="126">
        <f t="shared" si="12"/>
        <v>55163.7942102425</v>
      </c>
      <c r="J46" s="779">
        <f>IF(C46=Dashboard!$F$36,Dashboard!$F$7,0)</f>
        <v>0</v>
      </c>
      <c r="K46" s="127">
        <f t="shared" si="3"/>
        <v>68758150.88809067</v>
      </c>
      <c r="L46" s="25">
        <f>IF(C46&lt;Dashboard!$F$56,'AM Table - Construction Loan'!L45-'AM Table - Construction Loan'!H46,L45)</f>
        <v>-347161.89646437671</v>
      </c>
    </row>
    <row r="47" spans="2:13">
      <c r="B47" s="128">
        <f t="shared" si="4"/>
        <v>36</v>
      </c>
      <c r="C47" s="129">
        <f t="shared" si="5"/>
        <v>46784</v>
      </c>
      <c r="D47" s="130">
        <f t="shared" si="13"/>
        <v>1.9557774066925049E-8</v>
      </c>
      <c r="E47" s="130">
        <f t="shared" si="14"/>
        <v>68758150.88809067</v>
      </c>
      <c r="F47" s="130">
        <f>IF(C47&lt;Dashboard!$F$56,('AM Table - Construction Loan'!$D$3/(YEARFRAC('AM Table - Construction Loan'!$D$5,Dashboard!$F$56)*12)),0)</f>
        <v>0</v>
      </c>
      <c r="G47" s="130">
        <f t="shared" si="8"/>
        <v>69030676.896352112</v>
      </c>
      <c r="H47" s="131">
        <f t="shared" si="11"/>
        <v>415413.82828221458</v>
      </c>
      <c r="I47" s="131">
        <f t="shared" si="12"/>
        <v>55497.075466929382</v>
      </c>
      <c r="J47" s="780">
        <f>IF(C47=Dashboard!$F$36,Dashboard!$F$7,0)</f>
        <v>0</v>
      </c>
      <c r="K47" s="132">
        <f t="shared" si="3"/>
        <v>68702653.812623739</v>
      </c>
      <c r="L47" s="159">
        <f>IF(C47&lt;Dashboard!$F$56,'AM Table - Construction Loan'!L46-'AM Table - Construction Loan'!H47,L46)</f>
        <v>-347161.89646437671</v>
      </c>
      <c r="M47" s="76"/>
    </row>
    <row r="48" spans="2:13">
      <c r="B48" s="123">
        <f t="shared" si="4"/>
        <v>37</v>
      </c>
      <c r="C48" s="124">
        <f t="shared" si="5"/>
        <v>46813</v>
      </c>
      <c r="D48" s="125">
        <f t="shared" si="13"/>
        <v>1.9557774066925049E-8</v>
      </c>
      <c r="E48" s="125">
        <f t="shared" si="14"/>
        <v>68702653.812623739</v>
      </c>
      <c r="F48" s="125">
        <f>IF(C48&lt;Dashboard!$F$56,('AM Table - Construction Loan'!$D$3/(YEARFRAC('AM Table - Construction Loan'!$D$5,Dashboard!$F$56)*12)),0)</f>
        <v>0</v>
      </c>
      <c r="G48" s="125">
        <f t="shared" si="8"/>
        <v>69030676.896352112</v>
      </c>
      <c r="H48" s="126">
        <f t="shared" ref="H48:H59" si="15">IF(B48&lt;=$D$6,$G$7/12*G48,-IPMT($G$7/12,B48-$D$6,$D$7*12,G48))</f>
        <v>443904.4327945133</v>
      </c>
      <c r="I48" s="126">
        <f t="shared" ref="I48:I59" si="16">-IF(B48&lt;=$D$6,0,PPMT($G$7/12,B48-$D$6,$D$7*12,G48))</f>
        <v>50639.789683250696</v>
      </c>
      <c r="J48" s="779">
        <f>IF(C48=Dashboard!$F$36,Dashboard!$F$7,0)</f>
        <v>0</v>
      </c>
      <c r="K48" s="127">
        <f t="shared" si="3"/>
        <v>68652014.022940487</v>
      </c>
      <c r="L48" s="25">
        <f>IF(C48&lt;Dashboard!$F$56,'AM Table - Construction Loan'!L47-'AM Table - Construction Loan'!H48,L47)</f>
        <v>-347161.89646437671</v>
      </c>
    </row>
    <row r="49" spans="2:12">
      <c r="B49" s="123">
        <f t="shared" si="4"/>
        <v>38</v>
      </c>
      <c r="C49" s="124">
        <f t="shared" si="5"/>
        <v>46844</v>
      </c>
      <c r="D49" s="125">
        <f t="shared" si="13"/>
        <v>1.9557774066925049E-8</v>
      </c>
      <c r="E49" s="125">
        <f>K48</f>
        <v>68652014.022940487</v>
      </c>
      <c r="F49" s="125">
        <f>IF(C49&lt;Dashboard!$F$56,('AM Table - Construction Loan'!$D$3/(YEARFRAC('AM Table - Construction Loan'!$D$5,Dashboard!$F$56)*12)),0)</f>
        <v>0</v>
      </c>
      <c r="G49" s="125">
        <f t="shared" si="8"/>
        <v>69030676.896352112</v>
      </c>
      <c r="H49" s="126">
        <f t="shared" si="15"/>
        <v>443577.38415280887</v>
      </c>
      <c r="I49" s="126">
        <f t="shared" si="16"/>
        <v>50966.838324955024</v>
      </c>
      <c r="J49" s="779">
        <f>IF(C49=Dashboard!$F$36,Dashboard!$F$7,0)</f>
        <v>0</v>
      </c>
      <c r="K49" s="127">
        <f t="shared" si="3"/>
        <v>68601047.184615538</v>
      </c>
      <c r="L49" s="25">
        <f>IF(C49&lt;Dashboard!$F$56,'AM Table - Construction Loan'!L48-'AM Table - Construction Loan'!H49,L48)</f>
        <v>-347161.89646437671</v>
      </c>
    </row>
    <row r="50" spans="2:12">
      <c r="B50" s="123">
        <f t="shared" si="4"/>
        <v>39</v>
      </c>
      <c r="C50" s="124">
        <f t="shared" si="5"/>
        <v>46874</v>
      </c>
      <c r="D50" s="125">
        <f t="shared" si="13"/>
        <v>1.9557774066925049E-8</v>
      </c>
      <c r="E50" s="125">
        <f t="shared" si="14"/>
        <v>68601047.184615538</v>
      </c>
      <c r="F50" s="125">
        <f>IF(C50&lt;Dashboard!$F$56,('AM Table - Construction Loan'!$D$3/(YEARFRAC('AM Table - Construction Loan'!$D$5,Dashboard!$F$56)*12)),0)</f>
        <v>0</v>
      </c>
      <c r="G50" s="125">
        <f t="shared" si="8"/>
        <v>69030676.896352112</v>
      </c>
      <c r="H50" s="126">
        <f>IF(B50&lt;=$D$6,$G$7/12*G50,-IPMT($G$7/12,B50-$D$6,$D$7*12,G50))</f>
        <v>443248.22332196025</v>
      </c>
      <c r="I50" s="126">
        <f t="shared" si="16"/>
        <v>51295.999155803678</v>
      </c>
      <c r="J50" s="779">
        <f>IF(C50=Dashboard!$F$36,Dashboard!$F$7,0)</f>
        <v>0</v>
      </c>
      <c r="K50" s="127">
        <f t="shared" si="3"/>
        <v>68549751.185459733</v>
      </c>
      <c r="L50" s="25">
        <f>IF(C50&lt;Dashboard!$F$56,'AM Table - Construction Loan'!L49-'AM Table - Construction Loan'!H50,L49)</f>
        <v>-347161.89646437671</v>
      </c>
    </row>
    <row r="51" spans="2:12">
      <c r="B51" s="123">
        <f t="shared" si="4"/>
        <v>40</v>
      </c>
      <c r="C51" s="124">
        <f t="shared" si="5"/>
        <v>46905</v>
      </c>
      <c r="D51" s="125">
        <f t="shared" si="13"/>
        <v>1.9557774066925049E-8</v>
      </c>
      <c r="E51" s="125">
        <f t="shared" si="14"/>
        <v>68549751.185459733</v>
      </c>
      <c r="F51" s="125">
        <f>IF(C51&lt;Dashboard!$F$56,('AM Table - Construction Loan'!$D$3/(YEARFRAC('AM Table - Construction Loan'!$D$5,Dashboard!$F$56)*12)),0)</f>
        <v>0</v>
      </c>
      <c r="G51" s="125">
        <f t="shared" si="8"/>
        <v>69030676.896352112</v>
      </c>
      <c r="H51" s="126">
        <f t="shared" si="15"/>
        <v>442916.93666074565</v>
      </c>
      <c r="I51" s="126">
        <f t="shared" si="16"/>
        <v>51627.285817018266</v>
      </c>
      <c r="J51" s="779">
        <f>IF(C51=Dashboard!$F$36,Dashboard!$F$7,0)</f>
        <v>0</v>
      </c>
      <c r="K51" s="127">
        <f t="shared" si="3"/>
        <v>68498123.899642721</v>
      </c>
      <c r="L51" s="25">
        <f>IF(C51&lt;Dashboard!$F$56,'AM Table - Construction Loan'!L50-'AM Table - Construction Loan'!H51,L50)</f>
        <v>-347161.89646437671</v>
      </c>
    </row>
    <row r="52" spans="2:12">
      <c r="B52" s="123">
        <f t="shared" si="4"/>
        <v>41</v>
      </c>
      <c r="C52" s="124">
        <f t="shared" si="5"/>
        <v>46935</v>
      </c>
      <c r="D52" s="125">
        <f t="shared" si="13"/>
        <v>1.9557774066925049E-8</v>
      </c>
      <c r="E52" s="125">
        <f t="shared" si="14"/>
        <v>68498123.899642721</v>
      </c>
      <c r="F52" s="125">
        <f>IF(C52&lt;Dashboard!$F$56,('AM Table - Construction Loan'!$D$3/(YEARFRAC('AM Table - Construction Loan'!$D$5,Dashboard!$F$56)*12)),0)</f>
        <v>0</v>
      </c>
      <c r="G52" s="125">
        <f t="shared" si="8"/>
        <v>69030676.896352112</v>
      </c>
      <c r="H52" s="126">
        <f t="shared" si="15"/>
        <v>442583.51043984416</v>
      </c>
      <c r="I52" s="126">
        <f t="shared" si="16"/>
        <v>51960.712037919846</v>
      </c>
      <c r="J52" s="779">
        <f>IF(C52=Dashboard!$F$36,Dashboard!$F$7,0)</f>
        <v>0</v>
      </c>
      <c r="K52" s="127">
        <f t="shared" si="3"/>
        <v>68446163.1876048</v>
      </c>
      <c r="L52" s="25">
        <f>IF(C52&lt;Dashboard!$F$56,'AM Table - Construction Loan'!L51-'AM Table - Construction Loan'!H52,L51)</f>
        <v>-347161.89646437671</v>
      </c>
    </row>
    <row r="53" spans="2:12">
      <c r="B53" s="123">
        <f t="shared" si="4"/>
        <v>42</v>
      </c>
      <c r="C53" s="124">
        <f t="shared" si="5"/>
        <v>46966</v>
      </c>
      <c r="D53" s="125">
        <f t="shared" si="13"/>
        <v>1.9557774066925049E-8</v>
      </c>
      <c r="E53" s="125">
        <f t="shared" si="14"/>
        <v>68446163.1876048</v>
      </c>
      <c r="F53" s="125">
        <f>IF(C53&lt;Dashboard!$F$56,('AM Table - Construction Loan'!$D$3/(YEARFRAC('AM Table - Construction Loan'!$D$5,Dashboard!$F$56)*12)),0)</f>
        <v>0</v>
      </c>
      <c r="G53" s="125">
        <f t="shared" si="8"/>
        <v>69030676.896352112</v>
      </c>
      <c r="H53" s="126">
        <f t="shared" si="15"/>
        <v>442247.93084126589</v>
      </c>
      <c r="I53" s="126">
        <f t="shared" si="16"/>
        <v>52296.291636498063</v>
      </c>
      <c r="J53" s="779">
        <f>IF(C53=Dashboard!$F$36,Dashboard!$F$7,0)</f>
        <v>0</v>
      </c>
      <c r="K53" s="127">
        <f t="shared" si="3"/>
        <v>68393866.895968303</v>
      </c>
      <c r="L53" s="25">
        <f>IF(C53&lt;Dashboard!$F$56,'AM Table - Construction Loan'!L52-'AM Table - Construction Loan'!H53,L52)</f>
        <v>-347161.89646437671</v>
      </c>
    </row>
    <row r="54" spans="2:12">
      <c r="B54" s="123">
        <f t="shared" si="4"/>
        <v>43</v>
      </c>
      <c r="C54" s="124">
        <f t="shared" si="5"/>
        <v>46997</v>
      </c>
      <c r="D54" s="125">
        <f t="shared" si="13"/>
        <v>1.9557774066925049E-8</v>
      </c>
      <c r="E54" s="125">
        <f t="shared" si="14"/>
        <v>68393866.895968303</v>
      </c>
      <c r="F54" s="125">
        <f>IF(C54&lt;Dashboard!$F$56,('AM Table - Construction Loan'!$D$3/(YEARFRAC('AM Table - Construction Loan'!$D$5,Dashboard!$F$56)*12)),0)</f>
        <v>0</v>
      </c>
      <c r="G54" s="125">
        <f t="shared" si="8"/>
        <v>69030676.896352112</v>
      </c>
      <c r="H54" s="126">
        <f t="shared" si="15"/>
        <v>441910.18395778019</v>
      </c>
      <c r="I54" s="126">
        <f t="shared" si="16"/>
        <v>52634.038519983776</v>
      </c>
      <c r="J54" s="779">
        <f>IF(C54=Dashboard!$F$36,Dashboard!$F$7,0)</f>
        <v>0</v>
      </c>
      <c r="K54" s="127">
        <f t="shared" si="3"/>
        <v>68341232.857448325</v>
      </c>
      <c r="L54" s="25">
        <f>IF(C54&lt;Dashboard!$F$56,'AM Table - Construction Loan'!L53-'AM Table - Construction Loan'!H54,L53)</f>
        <v>-347161.89646437671</v>
      </c>
    </row>
    <row r="55" spans="2:12">
      <c r="B55" s="123">
        <f t="shared" si="4"/>
        <v>44</v>
      </c>
      <c r="C55" s="124">
        <f t="shared" si="5"/>
        <v>47027</v>
      </c>
      <c r="D55" s="125">
        <f t="shared" si="13"/>
        <v>1.9557774066925049E-8</v>
      </c>
      <c r="E55" s="125">
        <f t="shared" si="14"/>
        <v>68341232.857448325</v>
      </c>
      <c r="F55" s="125">
        <f>IF(C55&lt;Dashboard!$F$56,('AM Table - Construction Loan'!$D$3/(YEARFRAC('AM Table - Construction Loan'!$D$5,Dashboard!$F$56)*12)),0)</f>
        <v>0</v>
      </c>
      <c r="G55" s="125">
        <f t="shared" si="8"/>
        <v>69030676.896352112</v>
      </c>
      <c r="H55" s="126">
        <f t="shared" si="15"/>
        <v>441570.25579233863</v>
      </c>
      <c r="I55" s="126">
        <f t="shared" si="16"/>
        <v>52973.966685425345</v>
      </c>
      <c r="J55" s="779">
        <f>IF(C55=Dashboard!$F$36,Dashboard!$F$7,0)</f>
        <v>0</v>
      </c>
      <c r="K55" s="127">
        <f t="shared" si="3"/>
        <v>68288258.890762895</v>
      </c>
      <c r="L55" s="25">
        <f>IF(C55&lt;Dashboard!$F$56,'AM Table - Construction Loan'!L54-'AM Table - Construction Loan'!H55,L54)</f>
        <v>-347161.89646437671</v>
      </c>
    </row>
    <row r="56" spans="2:12">
      <c r="B56" s="123">
        <f t="shared" si="4"/>
        <v>45</v>
      </c>
      <c r="C56" s="124">
        <f t="shared" si="5"/>
        <v>47058</v>
      </c>
      <c r="D56" s="125">
        <f t="shared" si="13"/>
        <v>1.9557774066925049E-8</v>
      </c>
      <c r="E56" s="125">
        <f t="shared" si="14"/>
        <v>68288258.890762895</v>
      </c>
      <c r="F56" s="125">
        <f>IF(C56&lt;Dashboard!$F$56,('AM Table - Construction Loan'!$D$3/(YEARFRAC('AM Table - Construction Loan'!$D$5,Dashboard!$F$56)*12)),0)</f>
        <v>0</v>
      </c>
      <c r="G56" s="125">
        <f t="shared" si="8"/>
        <v>69030676.896352112</v>
      </c>
      <c r="H56" s="126">
        <f t="shared" si="15"/>
        <v>441228.13225749519</v>
      </c>
      <c r="I56" s="126">
        <f t="shared" si="16"/>
        <v>53316.090220268728</v>
      </c>
      <c r="J56" s="779">
        <f>IF(C56=Dashboard!$F$36,Dashboard!$F$7,0)</f>
        <v>0</v>
      </c>
      <c r="K56" s="127">
        <f t="shared" si="3"/>
        <v>68234942.800542623</v>
      </c>
      <c r="L56" s="25">
        <f>IF(C56&lt;Dashboard!$F$56,'AM Table - Construction Loan'!L55-'AM Table - Construction Loan'!H56,L55)</f>
        <v>-347161.89646437671</v>
      </c>
    </row>
    <row r="57" spans="2:12">
      <c r="B57" s="123">
        <f t="shared" si="4"/>
        <v>46</v>
      </c>
      <c r="C57" s="124">
        <f t="shared" si="5"/>
        <v>47088</v>
      </c>
      <c r="D57" s="125">
        <f t="shared" si="13"/>
        <v>1.9557774066925049E-8</v>
      </c>
      <c r="E57" s="125">
        <f t="shared" si="14"/>
        <v>68234942.800542623</v>
      </c>
      <c r="F57" s="125">
        <f>IF(C57&lt;Dashboard!$F$56,('AM Table - Construction Loan'!$D$3/(YEARFRAC('AM Table - Construction Loan'!$D$5,Dashboard!$F$56)*12)),0)</f>
        <v>0</v>
      </c>
      <c r="G57" s="125">
        <f t="shared" si="8"/>
        <v>69030676.896352112</v>
      </c>
      <c r="H57" s="126">
        <f t="shared" si="15"/>
        <v>440883.79917482269</v>
      </c>
      <c r="I57" s="126">
        <f t="shared" si="16"/>
        <v>53660.423302941294</v>
      </c>
      <c r="J57" s="779">
        <f>IF(C57=Dashboard!$F$36,Dashboard!$F$7,0)</f>
        <v>0</v>
      </c>
      <c r="K57" s="127">
        <f t="shared" si="3"/>
        <v>68181282.377239674</v>
      </c>
      <c r="L57" s="25">
        <f>IF(C57&lt;Dashboard!$F$56,'AM Table - Construction Loan'!L56-'AM Table - Construction Loan'!H57,L56)</f>
        <v>-347161.89646437671</v>
      </c>
    </row>
    <row r="58" spans="2:12">
      <c r="B58" s="123">
        <f t="shared" si="4"/>
        <v>47</v>
      </c>
      <c r="C58" s="124">
        <f t="shared" si="5"/>
        <v>47119</v>
      </c>
      <c r="D58" s="125">
        <f t="shared" si="13"/>
        <v>1.9557774066925049E-8</v>
      </c>
      <c r="E58" s="125">
        <f t="shared" si="14"/>
        <v>68181282.377239674</v>
      </c>
      <c r="F58" s="125">
        <f>IF(C58&lt;Dashboard!$F$56,('AM Table - Construction Loan'!$D$3/(YEARFRAC('AM Table - Construction Loan'!$D$5,Dashboard!$F$56)*12)),0)</f>
        <v>0</v>
      </c>
      <c r="G58" s="125">
        <f t="shared" si="8"/>
        <v>69030676.896352112</v>
      </c>
      <c r="H58" s="126">
        <f t="shared" si="15"/>
        <v>440537.24227432447</v>
      </c>
      <c r="I58" s="126">
        <f t="shared" si="16"/>
        <v>54006.98020343946</v>
      </c>
      <c r="J58" s="779">
        <f>IF(C58=Dashboard!$F$36,Dashboard!$F$7,0)</f>
        <v>0</v>
      </c>
      <c r="K58" s="127">
        <f t="shared" si="3"/>
        <v>68127275.39703624</v>
      </c>
      <c r="L58" s="25">
        <f>IF(C58&lt;Dashboard!$F$56,'AM Table - Construction Loan'!L57-'AM Table - Construction Loan'!H58,L57)</f>
        <v>-347161.89646437671</v>
      </c>
    </row>
    <row r="59" spans="2:12">
      <c r="B59" s="128">
        <f t="shared" si="4"/>
        <v>48</v>
      </c>
      <c r="C59" s="129">
        <f t="shared" si="5"/>
        <v>47150</v>
      </c>
      <c r="D59" s="130">
        <f t="shared" si="13"/>
        <v>1.9557774066925049E-8</v>
      </c>
      <c r="E59" s="130">
        <f t="shared" si="14"/>
        <v>68127275.39703624</v>
      </c>
      <c r="F59" s="130">
        <f>IF(C59&lt;Dashboard!$F$56,('AM Table - Construction Loan'!$D$3/(YEARFRAC('AM Table - Construction Loan'!$D$5,Dashboard!$F$56)*12)),0)</f>
        <v>0</v>
      </c>
      <c r="G59" s="130">
        <f t="shared" si="8"/>
        <v>69030676.896352112</v>
      </c>
      <c r="H59" s="131">
        <f t="shared" si="15"/>
        <v>440188.44719384395</v>
      </c>
      <c r="I59" s="131">
        <f t="shared" si="16"/>
        <v>54355.775283919997</v>
      </c>
      <c r="J59" s="780">
        <f>IF(C59=Dashboard!$F$36,Dashboard!$F$7,0)</f>
        <v>0</v>
      </c>
      <c r="K59" s="132">
        <f t="shared" si="3"/>
        <v>68072919.621752322</v>
      </c>
      <c r="L59" s="159">
        <f>IF(C59&lt;Dashboard!$F$56,'AM Table - Construction Loan'!L58-'AM Table - Construction Loan'!H59,L58)</f>
        <v>-347161.89646437671</v>
      </c>
    </row>
    <row r="60" spans="2:12">
      <c r="B60" s="123">
        <f t="shared" si="4"/>
        <v>49</v>
      </c>
      <c r="C60" s="124">
        <f t="shared" si="5"/>
        <v>47178</v>
      </c>
      <c r="D60" s="125">
        <f t="shared" si="13"/>
        <v>1.9557774066925049E-8</v>
      </c>
      <c r="E60" s="125">
        <f t="shared" si="14"/>
        <v>68072919.621752322</v>
      </c>
      <c r="F60" s="125">
        <f>IF(C60&lt;Dashboard!$F$56,('AM Table - Construction Loan'!$D$3/(YEARFRAC('AM Table - Construction Loan'!$D$5,Dashboard!$F$56)*12)),0)</f>
        <v>0</v>
      </c>
      <c r="G60" s="125">
        <f t="shared" si="8"/>
        <v>69030676.896352112</v>
      </c>
      <c r="H60" s="126">
        <f t="shared" ref="H60:H71" si="17">IF(B60&lt;=$D$6,$G$8/12*G60,-IPMT($G$8/12,B60-$D$6,$D$7*12,G60))</f>
        <v>468808.30714833067</v>
      </c>
      <c r="I60" s="126">
        <f t="shared" ref="I60:I71" si="18">-IF(B60&lt;=$D$6,0,PPMT($G$8/12,B60-$D$6,$D$7*12,G60))</f>
        <v>49796.114924259666</v>
      </c>
      <c r="J60" s="779">
        <f>IF(C60=Dashboard!$F$36,Dashboard!$F$7,0)</f>
        <v>0</v>
      </c>
      <c r="K60" s="127">
        <f t="shared" si="3"/>
        <v>68023123.506828055</v>
      </c>
      <c r="L60" s="25">
        <f>IF(C60&lt;Dashboard!$F$56,'AM Table - Construction Loan'!L59-'AM Table - Construction Loan'!H60,L59)</f>
        <v>-347161.89646437671</v>
      </c>
    </row>
    <row r="61" spans="2:12">
      <c r="B61" s="123">
        <f t="shared" si="4"/>
        <v>50</v>
      </c>
      <c r="C61" s="124">
        <f t="shared" si="5"/>
        <v>47209</v>
      </c>
      <c r="D61" s="125">
        <f t="shared" si="13"/>
        <v>1.9557774066925049E-8</v>
      </c>
      <c r="E61" s="125">
        <f t="shared" si="14"/>
        <v>68023123.506828055</v>
      </c>
      <c r="F61" s="125">
        <f>IF(C61&lt;Dashboard!$F$56,('AM Table - Construction Loan'!$D$3/(YEARFRAC('AM Table - Construction Loan'!$D$5,Dashboard!$F$56)*12)),0)</f>
        <v>0</v>
      </c>
      <c r="G61" s="125">
        <f t="shared" si="8"/>
        <v>69030676.896352112</v>
      </c>
      <c r="H61" s="126">
        <f t="shared" si="17"/>
        <v>468465.95885822631</v>
      </c>
      <c r="I61" s="126">
        <f t="shared" si="18"/>
        <v>50138.463214363939</v>
      </c>
      <c r="J61" s="779">
        <f>IF(C61=Dashboard!$F$36,Dashboard!$F$7,0)</f>
        <v>0</v>
      </c>
      <c r="K61" s="127">
        <f t="shared" si="3"/>
        <v>67972985.043613687</v>
      </c>
      <c r="L61" s="25">
        <f>IF(C61&lt;Dashboard!$F$56,'AM Table - Construction Loan'!L60-'AM Table - Construction Loan'!H61,L60)</f>
        <v>-347161.89646437671</v>
      </c>
    </row>
    <row r="62" spans="2:12">
      <c r="B62" s="123">
        <f t="shared" si="4"/>
        <v>51</v>
      </c>
      <c r="C62" s="124">
        <f t="shared" si="5"/>
        <v>47239</v>
      </c>
      <c r="D62" s="125">
        <f t="shared" si="13"/>
        <v>1.9557774066925049E-8</v>
      </c>
      <c r="E62" s="125">
        <f t="shared" si="14"/>
        <v>67972985.043613687</v>
      </c>
      <c r="F62" s="125">
        <f>IF(C62&lt;Dashboard!$F$56,('AM Table - Construction Loan'!$D$3/(YEARFRAC('AM Table - Construction Loan'!$D$5,Dashboard!$F$56)*12)),0)</f>
        <v>0</v>
      </c>
      <c r="G62" s="125">
        <f t="shared" si="8"/>
        <v>69030676.896352112</v>
      </c>
      <c r="H62" s="126">
        <f t="shared" si="17"/>
        <v>468121.25692362763</v>
      </c>
      <c r="I62" s="126">
        <f t="shared" si="18"/>
        <v>50483.165148962704</v>
      </c>
      <c r="J62" s="779">
        <f>IF(C62=Dashboard!$F$36,Dashboard!$F$7,0)</f>
        <v>0</v>
      </c>
      <c r="K62" s="127">
        <f t="shared" si="3"/>
        <v>67922501.878464729</v>
      </c>
      <c r="L62" s="25">
        <f>IF(C62&lt;Dashboard!$F$56,'AM Table - Construction Loan'!L61-'AM Table - Construction Loan'!H62,L61)</f>
        <v>-347161.89646437671</v>
      </c>
    </row>
    <row r="63" spans="2:12">
      <c r="B63" s="123">
        <f>B62+1</f>
        <v>52</v>
      </c>
      <c r="C63" s="124">
        <f t="shared" si="5"/>
        <v>47270</v>
      </c>
      <c r="D63" s="125">
        <f t="shared" si="13"/>
        <v>1.9557774066925049E-8</v>
      </c>
      <c r="E63" s="125">
        <f t="shared" si="14"/>
        <v>67922501.878464729</v>
      </c>
      <c r="F63" s="125">
        <f>IF(C63&lt;Dashboard!$F$56,('AM Table - Construction Loan'!$D$3/(YEARFRAC('AM Table - Construction Loan'!$D$5,Dashboard!$F$56)*12)),0)</f>
        <v>0</v>
      </c>
      <c r="G63" s="125">
        <f t="shared" si="8"/>
        <v>69030676.896352112</v>
      </c>
      <c r="H63" s="126">
        <f>IF(B63&lt;=$D$6,$G$8/12*G63,-IPMT($G$8/12,B63-$D$6,$D$7*12,G63))</f>
        <v>467774.18516322842</v>
      </c>
      <c r="I63" s="126">
        <f t="shared" si="18"/>
        <v>50830.236909361811</v>
      </c>
      <c r="J63" s="779">
        <f>IF(C63=Dashboard!$F$36,Dashboard!$F$7,0)</f>
        <v>0</v>
      </c>
      <c r="K63" s="127">
        <f t="shared" si="3"/>
        <v>67871671.641555369</v>
      </c>
      <c r="L63" s="25">
        <f>IF(C63&lt;Dashboard!$F$56,'AM Table - Construction Loan'!L62-'AM Table - Construction Loan'!H63,L62)</f>
        <v>-347161.89646437671</v>
      </c>
    </row>
    <row r="64" spans="2:12">
      <c r="B64" s="123">
        <f t="shared" si="4"/>
        <v>53</v>
      </c>
      <c r="C64" s="124">
        <f t="shared" si="5"/>
        <v>47300</v>
      </c>
      <c r="D64" s="125">
        <f t="shared" si="13"/>
        <v>1.9557774066925049E-8</v>
      </c>
      <c r="E64" s="125">
        <f t="shared" si="14"/>
        <v>67871671.641555369</v>
      </c>
      <c r="F64" s="125">
        <f>IF(C64&lt;Dashboard!$F$56,('AM Table - Construction Loan'!$D$3/(YEARFRAC('AM Table - Construction Loan'!$D$5,Dashboard!$F$56)*12)),0)</f>
        <v>0</v>
      </c>
      <c r="G64" s="125">
        <f t="shared" si="8"/>
        <v>69030676.896352112</v>
      </c>
      <c r="H64" s="126">
        <f t="shared" si="17"/>
        <v>467424.72728447663</v>
      </c>
      <c r="I64" s="126">
        <f t="shared" si="18"/>
        <v>51179.69478811368</v>
      </c>
      <c r="J64" s="779">
        <f>IF(C64=Dashboard!$F$36,Dashboard!$F$7,0)</f>
        <v>0</v>
      </c>
      <c r="K64" s="127">
        <f t="shared" si="3"/>
        <v>67820491.946767256</v>
      </c>
      <c r="L64" s="25">
        <f>IF(C64&lt;Dashboard!$F$56,'AM Table - Construction Loan'!L63-'AM Table - Construction Loan'!H64,L63)</f>
        <v>-347161.89646437671</v>
      </c>
    </row>
    <row r="65" spans="2:12">
      <c r="B65" s="123">
        <f t="shared" si="4"/>
        <v>54</v>
      </c>
      <c r="C65" s="124">
        <f t="shared" si="5"/>
        <v>47331</v>
      </c>
      <c r="D65" s="125">
        <f t="shared" si="13"/>
        <v>1.9557774066925049E-8</v>
      </c>
      <c r="E65" s="125">
        <f t="shared" si="14"/>
        <v>67820491.946767256</v>
      </c>
      <c r="F65" s="125">
        <f>IF(C65&lt;Dashboard!$F$56,('AM Table - Construction Loan'!$D$3/(YEARFRAC('AM Table - Construction Loan'!$D$5,Dashboard!$F$56)*12)),0)</f>
        <v>0</v>
      </c>
      <c r="G65" s="125">
        <f t="shared" si="8"/>
        <v>69030676.896352112</v>
      </c>
      <c r="H65" s="126">
        <f t="shared" si="17"/>
        <v>467072.86688280833</v>
      </c>
      <c r="I65" s="126">
        <f>-IF(B65&lt;=$D$6,0,PPMT($G$8/12,B65-$D$6,$D$7*12,G65))</f>
        <v>51531.555189781946</v>
      </c>
      <c r="J65" s="779">
        <f>IF(C65=Dashboard!$F$36,Dashboard!$F$7,0)</f>
        <v>0</v>
      </c>
      <c r="K65" s="127">
        <f t="shared" si="3"/>
        <v>67768960.391577467</v>
      </c>
      <c r="L65" s="25">
        <f>IF(C65&lt;Dashboard!$F$56,'AM Table - Construction Loan'!L64-'AM Table - Construction Loan'!H65,L64)</f>
        <v>-347161.89646437671</v>
      </c>
    </row>
    <row r="66" spans="2:12">
      <c r="B66" s="123">
        <f t="shared" si="4"/>
        <v>55</v>
      </c>
      <c r="C66" s="124">
        <f t="shared" si="5"/>
        <v>47362</v>
      </c>
      <c r="D66" s="125">
        <f t="shared" si="13"/>
        <v>1.9557774066925049E-8</v>
      </c>
      <c r="E66" s="125">
        <f t="shared" si="14"/>
        <v>67768960.391577467</v>
      </c>
      <c r="F66" s="125">
        <f>IF(C66&lt;Dashboard!$F$56,('AM Table - Construction Loan'!$D$3/(YEARFRAC('AM Table - Construction Loan'!$D$5,Dashboard!$F$56)*12)),0)</f>
        <v>0</v>
      </c>
      <c r="G66" s="125">
        <f t="shared" si="8"/>
        <v>69030676.896352112</v>
      </c>
      <c r="H66" s="126">
        <f t="shared" si="17"/>
        <v>466718.58744087862</v>
      </c>
      <c r="I66" s="126">
        <f t="shared" si="18"/>
        <v>51885.834631711718</v>
      </c>
      <c r="J66" s="779">
        <f>IF(C66=Dashboard!$F$36,Dashboard!$F$7,0)</f>
        <v>0</v>
      </c>
      <c r="K66" s="127">
        <f t="shared" si="3"/>
        <v>67717074.556945756</v>
      </c>
      <c r="L66" s="25">
        <f>IF(C66&lt;Dashboard!$F$56,'AM Table - Construction Loan'!L65-'AM Table - Construction Loan'!H66,L65)</f>
        <v>-347161.89646437671</v>
      </c>
    </row>
    <row r="67" spans="2:12">
      <c r="B67" s="123">
        <f t="shared" si="4"/>
        <v>56</v>
      </c>
      <c r="C67" s="124">
        <f t="shared" si="5"/>
        <v>47392</v>
      </c>
      <c r="D67" s="125">
        <f t="shared" si="13"/>
        <v>1.9557774066925049E-8</v>
      </c>
      <c r="E67" s="125">
        <f t="shared" si="14"/>
        <v>67717074.556945756</v>
      </c>
      <c r="F67" s="125">
        <f>IF(C67&lt;Dashboard!$F$56,('AM Table - Construction Loan'!$D$3/(YEARFRAC('AM Table - Construction Loan'!$D$5,Dashboard!$F$56)*12)),0)</f>
        <v>0</v>
      </c>
      <c r="G67" s="125">
        <f t="shared" si="8"/>
        <v>69030676.896352112</v>
      </c>
      <c r="H67" s="126">
        <f t="shared" si="17"/>
        <v>466361.87232778559</v>
      </c>
      <c r="I67" s="126">
        <f t="shared" si="18"/>
        <v>52242.549744804717</v>
      </c>
      <c r="J67" s="779">
        <f>IF(C67=Dashboard!$F$36,Dashboard!$F$7,0)</f>
        <v>0</v>
      </c>
      <c r="K67" s="127">
        <f t="shared" si="3"/>
        <v>67664832.007200956</v>
      </c>
      <c r="L67" s="25">
        <f>IF(C67&lt;Dashboard!$F$56,'AM Table - Construction Loan'!L66-'AM Table - Construction Loan'!H67,L66)</f>
        <v>-347161.89646437671</v>
      </c>
    </row>
    <row r="68" spans="2:12">
      <c r="B68" s="123">
        <f t="shared" si="4"/>
        <v>57</v>
      </c>
      <c r="C68" s="124">
        <f t="shared" si="5"/>
        <v>47423</v>
      </c>
      <c r="D68" s="125">
        <f t="shared" si="13"/>
        <v>1.9557774066925049E-8</v>
      </c>
      <c r="E68" s="125">
        <f t="shared" si="14"/>
        <v>67664832.007200956</v>
      </c>
      <c r="F68" s="125">
        <f>IF(C68&lt;Dashboard!$F$56,('AM Table - Construction Loan'!$D$3/(YEARFRAC('AM Table - Construction Loan'!$D$5,Dashboard!$F$56)*12)),0)</f>
        <v>0</v>
      </c>
      <c r="G68" s="125">
        <f t="shared" si="8"/>
        <v>69030676.896352112</v>
      </c>
      <c r="H68" s="126">
        <f>IF(B68&lt;=$D$6,$G$8/12*G68,-IPMT($G$8/12,B68-$D$6,$D$7*12,G68))</f>
        <v>466002.7047982901</v>
      </c>
      <c r="I68" s="126">
        <f t="shared" si="18"/>
        <v>52601.717274300267</v>
      </c>
      <c r="J68" s="779">
        <f>IF(C68=Dashboard!$F$36,Dashboard!$F$7,0)</f>
        <v>0</v>
      </c>
      <c r="K68" s="127">
        <f t="shared" si="3"/>
        <v>67612230.289926663</v>
      </c>
      <c r="L68" s="25">
        <f>IF(C68&lt;Dashboard!$F$56,'AM Table - Construction Loan'!L67-'AM Table - Construction Loan'!H68,L67)</f>
        <v>-347161.89646437671</v>
      </c>
    </row>
    <row r="69" spans="2:12">
      <c r="B69" s="123">
        <f t="shared" si="4"/>
        <v>58</v>
      </c>
      <c r="C69" s="124">
        <f t="shared" si="5"/>
        <v>47453</v>
      </c>
      <c r="D69" s="125">
        <f t="shared" si="13"/>
        <v>1.9557774066925049E-8</v>
      </c>
      <c r="E69" s="125">
        <f t="shared" si="14"/>
        <v>67612230.289926663</v>
      </c>
      <c r="F69" s="125">
        <f>IF(C69&lt;Dashboard!$F$56,('AM Table - Construction Loan'!$D$3/(YEARFRAC('AM Table - Construction Loan'!$D$5,Dashboard!$F$56)*12)),0)</f>
        <v>0</v>
      </c>
      <c r="G69" s="125">
        <f t="shared" si="8"/>
        <v>69030676.896352112</v>
      </c>
      <c r="H69" s="126">
        <f t="shared" si="17"/>
        <v>465641.06799202925</v>
      </c>
      <c r="I69" s="126">
        <f t="shared" si="18"/>
        <v>52963.354080561068</v>
      </c>
      <c r="J69" s="779">
        <f>IF(C69=Dashboard!$F$36,Dashboard!$F$7,0)</f>
        <v>0</v>
      </c>
      <c r="K69" s="127">
        <f t="shared" si="3"/>
        <v>67559266.935846105</v>
      </c>
      <c r="L69" s="25">
        <f>IF(C69&lt;Dashboard!$F$56,'AM Table - Construction Loan'!L68-'AM Table - Construction Loan'!H69,L68)</f>
        <v>-347161.89646437671</v>
      </c>
    </row>
    <row r="70" spans="2:12">
      <c r="B70" s="123">
        <f t="shared" si="4"/>
        <v>59</v>
      </c>
      <c r="C70" s="124">
        <f t="shared" si="5"/>
        <v>47484</v>
      </c>
      <c r="D70" s="125">
        <f t="shared" si="13"/>
        <v>1.9557774066925049E-8</v>
      </c>
      <c r="E70" s="125">
        <f t="shared" si="14"/>
        <v>67559266.935846105</v>
      </c>
      <c r="F70" s="125">
        <f>IF(C70&lt;Dashboard!$F$56,('AM Table - Construction Loan'!$D$3/(YEARFRAC('AM Table - Construction Loan'!$D$5,Dashboard!$F$56)*12)),0)</f>
        <v>0</v>
      </c>
      <c r="G70" s="125">
        <f t="shared" si="8"/>
        <v>69030676.896352112</v>
      </c>
      <c r="H70" s="126">
        <f t="shared" si="17"/>
        <v>465276.9449327254</v>
      </c>
      <c r="I70" s="126">
        <f t="shared" si="18"/>
        <v>53327.477139864939</v>
      </c>
      <c r="J70" s="779">
        <f>IF(C70=Dashboard!$F$36,Dashboard!$F$7,0)</f>
        <v>0</v>
      </c>
      <c r="K70" s="127">
        <f t="shared" si="3"/>
        <v>67505939.458706245</v>
      </c>
      <c r="L70" s="25">
        <f>IF(C70&lt;Dashboard!$F$56,'AM Table - Construction Loan'!L69-'AM Table - Construction Loan'!H70,L69)</f>
        <v>-347161.89646437671</v>
      </c>
    </row>
    <row r="71" spans="2:12" ht="15.75" thickBot="1">
      <c r="B71" s="133">
        <f t="shared" si="4"/>
        <v>60</v>
      </c>
      <c r="C71" s="134">
        <f t="shared" si="5"/>
        <v>47515</v>
      </c>
      <c r="D71" s="135">
        <f t="shared" si="13"/>
        <v>1.9557774066925049E-8</v>
      </c>
      <c r="E71" s="135">
        <f t="shared" si="14"/>
        <v>67505939.458706245</v>
      </c>
      <c r="F71" s="135">
        <f>IF(C71&lt;Dashboard!$F$56,('AM Table - Construction Loan'!$D$3/(YEARFRAC('AM Table - Construction Loan'!$D$5,Dashboard!$F$56)*12)),0)</f>
        <v>0</v>
      </c>
      <c r="G71" s="135">
        <f t="shared" si="8"/>
        <v>69030676.896352112</v>
      </c>
      <c r="H71" s="136">
        <f t="shared" si="17"/>
        <v>464910.31852738879</v>
      </c>
      <c r="I71" s="136">
        <f t="shared" si="18"/>
        <v>53694.103545201491</v>
      </c>
      <c r="J71" s="781">
        <f>IF(C71=Dashboard!$F$36,Dashboard!$F$7,0)</f>
        <v>0</v>
      </c>
      <c r="K71" s="137">
        <f t="shared" si="3"/>
        <v>67452245.355161041</v>
      </c>
      <c r="L71" s="160">
        <f>IF(C71&lt;Dashboard!$F$56,'AM Table - Construction Loan'!L70-'AM Table - Construction Loan'!H71,L70)</f>
        <v>-347161.89646437671</v>
      </c>
    </row>
  </sheetData>
  <mergeCells count="7">
    <mergeCell ref="F3:G3"/>
    <mergeCell ref="B7:C7"/>
    <mergeCell ref="B8:C8"/>
    <mergeCell ref="B3:C3"/>
    <mergeCell ref="B4:C4"/>
    <mergeCell ref="B5:C5"/>
    <mergeCell ref="B6:C6"/>
  </mergeCells>
  <pageMargins left="0.7" right="0.7" top="0.75" bottom="0.75" header="0.3" footer="0.3"/>
  <pageSetup scale="33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1">
    <tabColor rgb="FF92D050"/>
  </sheetPr>
  <dimension ref="B1:N85"/>
  <sheetViews>
    <sheetView view="pageBreakPreview" zoomScale="85" zoomScaleNormal="85" zoomScaleSheetLayoutView="85" workbookViewId="0">
      <pane ySplit="10" topLeftCell="A11" activePane="bottomLeft" state="frozen"/>
      <selection pane="bottomLeft" activeCell="F3" sqref="F3:G3"/>
    </sheetView>
  </sheetViews>
  <sheetFormatPr defaultRowHeight="15"/>
  <cols>
    <col min="1" max="1" width="1.85546875" customWidth="1"/>
    <col min="2" max="2" width="7.5703125" customWidth="1"/>
    <col min="3" max="3" width="16.5703125" customWidth="1"/>
    <col min="4" max="4" width="18.28515625" customWidth="1"/>
    <col min="5" max="5" width="13.28515625" customWidth="1"/>
    <col min="6" max="7" width="15" customWidth="1"/>
    <col min="8" max="8" width="2.5703125" customWidth="1"/>
    <col min="10" max="10" width="14.28515625" bestFit="1" customWidth="1"/>
    <col min="11" max="11" width="12.5703125" bestFit="1" customWidth="1"/>
    <col min="12" max="12" width="14.28515625" bestFit="1" customWidth="1"/>
    <col min="13" max="14" width="11.5703125" bestFit="1" customWidth="1"/>
  </cols>
  <sheetData>
    <row r="1" spans="2:8">
      <c r="C1" s="2">
        <v>1</v>
      </c>
      <c r="D1" s="2">
        <v>2</v>
      </c>
      <c r="E1" s="2">
        <v>3</v>
      </c>
      <c r="F1" s="2">
        <v>4</v>
      </c>
      <c r="G1" s="2">
        <v>5</v>
      </c>
    </row>
    <row r="2" spans="2:8" ht="18.75" customHeight="1">
      <c r="B2" s="1157" t="s">
        <v>126</v>
      </c>
      <c r="C2" s="1158"/>
      <c r="D2" s="1158"/>
      <c r="E2" s="1158"/>
      <c r="F2" s="1158"/>
      <c r="G2" s="1159"/>
      <c r="H2" s="57"/>
    </row>
    <row r="3" spans="2:8" ht="18.75" customHeight="1">
      <c r="B3" s="1155" t="s">
        <v>14</v>
      </c>
      <c r="C3" s="1156"/>
      <c r="D3" s="115">
        <f>Dashboard!F43</f>
        <v>67649653.537440658</v>
      </c>
      <c r="E3" s="116"/>
      <c r="F3" s="1160" t="s">
        <v>130</v>
      </c>
      <c r="G3" s="1161"/>
    </row>
    <row r="4" spans="2:8" ht="18.75" customHeight="1">
      <c r="B4" s="1153" t="s">
        <v>13</v>
      </c>
      <c r="C4" s="1154"/>
      <c r="D4" s="117">
        <f>Dashboard!F41</f>
        <v>0.05</v>
      </c>
      <c r="E4" s="118"/>
      <c r="F4" s="121" t="s">
        <v>117</v>
      </c>
      <c r="G4" s="496">
        <f>$D$4</f>
        <v>0.05</v>
      </c>
    </row>
    <row r="5" spans="2:8" ht="18.75" customHeight="1">
      <c r="B5" s="1153" t="s">
        <v>125</v>
      </c>
      <c r="C5" s="1154"/>
      <c r="D5" s="119">
        <f>Dashboard!F36</f>
        <v>46447</v>
      </c>
      <c r="E5" s="118"/>
      <c r="F5" s="121" t="s">
        <v>131</v>
      </c>
      <c r="G5" s="496">
        <f t="shared" ref="G5:G8" si="0">$D$4</f>
        <v>0.05</v>
      </c>
    </row>
    <row r="6" spans="2:8" ht="18.75" customHeight="1">
      <c r="B6" s="1153" t="s">
        <v>37</v>
      </c>
      <c r="C6" s="1154"/>
      <c r="D6" s="120">
        <f>Dashboard!F39</f>
        <v>12</v>
      </c>
      <c r="E6" s="118"/>
      <c r="F6" s="121" t="s">
        <v>132</v>
      </c>
      <c r="G6" s="496">
        <f t="shared" si="0"/>
        <v>0.05</v>
      </c>
    </row>
    <row r="7" spans="2:8" ht="18.75" customHeight="1">
      <c r="B7" s="1153" t="s">
        <v>38</v>
      </c>
      <c r="C7" s="1154"/>
      <c r="D7" s="141">
        <f>Dashboard!F40</f>
        <v>30</v>
      </c>
      <c r="E7" s="118"/>
      <c r="F7" s="121" t="s">
        <v>133</v>
      </c>
      <c r="G7" s="496">
        <f t="shared" si="0"/>
        <v>0.05</v>
      </c>
    </row>
    <row r="8" spans="2:8" ht="18.75" customHeight="1">
      <c r="B8" s="1162" t="s">
        <v>39</v>
      </c>
      <c r="C8" s="1163"/>
      <c r="D8" s="144">
        <f>Dashboard!F42</f>
        <v>0.01</v>
      </c>
      <c r="E8" s="143"/>
      <c r="F8" s="142" t="s">
        <v>134</v>
      </c>
      <c r="G8" s="498">
        <f t="shared" si="0"/>
        <v>0.05</v>
      </c>
    </row>
    <row r="9" spans="2:8" ht="15.75" thickBot="1"/>
    <row r="10" spans="2:8" ht="20.25" customHeight="1">
      <c r="B10" s="138" t="s">
        <v>122</v>
      </c>
      <c r="C10" s="139" t="s">
        <v>127</v>
      </c>
      <c r="D10" s="139" t="s">
        <v>128</v>
      </c>
      <c r="E10" s="139" t="s">
        <v>123</v>
      </c>
      <c r="F10" s="139" t="s">
        <v>124</v>
      </c>
      <c r="G10" s="140" t="s">
        <v>129</v>
      </c>
    </row>
    <row r="11" spans="2:8">
      <c r="B11" s="123">
        <v>1</v>
      </c>
      <c r="C11" s="124">
        <f>D5</f>
        <v>46447</v>
      </c>
      <c r="D11" s="125">
        <f>$D$3</f>
        <v>67649653.537440658</v>
      </c>
      <c r="E11" s="126">
        <f>IF(B11&lt;=$D$6,$G$4/12*$D$3,-IPMT($G$4/12,B11-$D$6,$D$7*12,$D$3))</f>
        <v>281873.55640600272</v>
      </c>
      <c r="F11" s="126">
        <f>-IF(B11&lt;=$D$6,0,PPMT($G$4/12,B11-$D$6,$D$7*12,$D$3))</f>
        <v>0</v>
      </c>
      <c r="G11" s="127">
        <f>D11-F11</f>
        <v>67649653.537440658</v>
      </c>
    </row>
    <row r="12" spans="2:8">
      <c r="B12" s="123">
        <f>B11+1</f>
        <v>2</v>
      </c>
      <c r="C12" s="124">
        <f>EDATE(C11,1)</f>
        <v>46478</v>
      </c>
      <c r="D12" s="125">
        <f>G11</f>
        <v>67649653.537440658</v>
      </c>
      <c r="E12" s="126">
        <f t="shared" ref="E12:E22" si="1">IF(B12&lt;=$D$6,$G$4/12*$D$3,-IPMT($G$4/12,B12-$D$6,$D$7*12,$D$3))</f>
        <v>281873.55640600272</v>
      </c>
      <c r="F12" s="126">
        <f t="shared" ref="F12:F22" si="2">-IF(B12&lt;=$D$6,0,PPMT($G$4/12,B12-$D$6,$D$7*12,$D$3))</f>
        <v>0</v>
      </c>
      <c r="G12" s="127">
        <f t="shared" ref="G12:G69" si="3">D12-F12</f>
        <v>67649653.537440658</v>
      </c>
    </row>
    <row r="13" spans="2:8">
      <c r="B13" s="123">
        <f t="shared" ref="B13:B85" si="4">B12+1</f>
        <v>3</v>
      </c>
      <c r="C13" s="124">
        <f t="shared" ref="C13:C85" si="5">EDATE(C12,1)</f>
        <v>46508</v>
      </c>
      <c r="D13" s="125">
        <f t="shared" ref="D13:D69" si="6">G12</f>
        <v>67649653.537440658</v>
      </c>
      <c r="E13" s="126">
        <f t="shared" si="1"/>
        <v>281873.55640600272</v>
      </c>
      <c r="F13" s="126">
        <f t="shared" si="2"/>
        <v>0</v>
      </c>
      <c r="G13" s="127">
        <f t="shared" si="3"/>
        <v>67649653.537440658</v>
      </c>
    </row>
    <row r="14" spans="2:8">
      <c r="B14" s="123">
        <f t="shared" si="4"/>
        <v>4</v>
      </c>
      <c r="C14" s="124">
        <f t="shared" si="5"/>
        <v>46539</v>
      </c>
      <c r="D14" s="125">
        <f t="shared" si="6"/>
        <v>67649653.537440658</v>
      </c>
      <c r="E14" s="126">
        <f>IF(B14&lt;=$D$6,$G$4/12*$D$3,-IPMT($G$4/12,B14-$D$6,$D$7*12,$D$3))</f>
        <v>281873.55640600272</v>
      </c>
      <c r="F14" s="126">
        <f>-IF(B14&lt;=$D$6,0,PPMT($G$4/12,B14-$D$6,$D$7*12,$D$3))</f>
        <v>0</v>
      </c>
      <c r="G14" s="127">
        <f>D14-F14</f>
        <v>67649653.537440658</v>
      </c>
    </row>
    <row r="15" spans="2:8">
      <c r="B15" s="123">
        <f t="shared" si="4"/>
        <v>5</v>
      </c>
      <c r="C15" s="124">
        <f t="shared" si="5"/>
        <v>46569</v>
      </c>
      <c r="D15" s="125">
        <f t="shared" si="6"/>
        <v>67649653.537440658</v>
      </c>
      <c r="E15" s="126">
        <f t="shared" si="1"/>
        <v>281873.55640600272</v>
      </c>
      <c r="F15" s="126">
        <f t="shared" si="2"/>
        <v>0</v>
      </c>
      <c r="G15" s="127">
        <f t="shared" si="3"/>
        <v>67649653.537440658</v>
      </c>
    </row>
    <row r="16" spans="2:8">
      <c r="B16" s="123">
        <f t="shared" si="4"/>
        <v>6</v>
      </c>
      <c r="C16" s="124">
        <f t="shared" si="5"/>
        <v>46600</v>
      </c>
      <c r="D16" s="125">
        <f t="shared" si="6"/>
        <v>67649653.537440658</v>
      </c>
      <c r="E16" s="126">
        <f>IF(B16&lt;=$D$6,$G$4/12*$D$3,-IPMT($G$4/12,B16-$D$6,$D$7*12,$D$3))</f>
        <v>281873.55640600272</v>
      </c>
      <c r="F16" s="126">
        <f>-IF(B16&lt;=$D$6,0,PPMT($G$4/12,B16-$D$6,$D$7*12,$D$3))</f>
        <v>0</v>
      </c>
      <c r="G16" s="127">
        <f t="shared" si="3"/>
        <v>67649653.537440658</v>
      </c>
    </row>
    <row r="17" spans="2:7">
      <c r="B17" s="123">
        <f t="shared" si="4"/>
        <v>7</v>
      </c>
      <c r="C17" s="124">
        <f>EDATE(C16,1)</f>
        <v>46631</v>
      </c>
      <c r="D17" s="125">
        <f>G16</f>
        <v>67649653.537440658</v>
      </c>
      <c r="E17" s="126">
        <f t="shared" si="1"/>
        <v>281873.55640600272</v>
      </c>
      <c r="F17" s="126">
        <f t="shared" si="2"/>
        <v>0</v>
      </c>
      <c r="G17" s="127">
        <f t="shared" si="3"/>
        <v>67649653.537440658</v>
      </c>
    </row>
    <row r="18" spans="2:7">
      <c r="B18" s="123">
        <f t="shared" si="4"/>
        <v>8</v>
      </c>
      <c r="C18" s="124">
        <f t="shared" si="5"/>
        <v>46661</v>
      </c>
      <c r="D18" s="125">
        <f>G17</f>
        <v>67649653.537440658</v>
      </c>
      <c r="E18" s="126">
        <f t="shared" si="1"/>
        <v>281873.55640600272</v>
      </c>
      <c r="F18" s="126">
        <f t="shared" si="2"/>
        <v>0</v>
      </c>
      <c r="G18" s="127">
        <f t="shared" si="3"/>
        <v>67649653.537440658</v>
      </c>
    </row>
    <row r="19" spans="2:7">
      <c r="B19" s="123">
        <f t="shared" si="4"/>
        <v>9</v>
      </c>
      <c r="C19" s="124">
        <f t="shared" si="5"/>
        <v>46692</v>
      </c>
      <c r="D19" s="125">
        <f>G18</f>
        <v>67649653.537440658</v>
      </c>
      <c r="E19" s="126">
        <f t="shared" si="1"/>
        <v>281873.55640600272</v>
      </c>
      <c r="F19" s="126">
        <f t="shared" si="2"/>
        <v>0</v>
      </c>
      <c r="G19" s="127">
        <f t="shared" si="3"/>
        <v>67649653.537440658</v>
      </c>
    </row>
    <row r="20" spans="2:7">
      <c r="B20" s="123">
        <f t="shared" si="4"/>
        <v>10</v>
      </c>
      <c r="C20" s="124">
        <f t="shared" si="5"/>
        <v>46722</v>
      </c>
      <c r="D20" s="125">
        <f t="shared" si="6"/>
        <v>67649653.537440658</v>
      </c>
      <c r="E20" s="126">
        <f>IF(B20&lt;=$D$6,$G$4/12*$D$3,-IPMT($G$4/12,B20-$D$6,$D$7*12,$D$3))</f>
        <v>281873.55640600272</v>
      </c>
      <c r="F20" s="126">
        <f t="shared" si="2"/>
        <v>0</v>
      </c>
      <c r="G20" s="127">
        <f t="shared" si="3"/>
        <v>67649653.537440658</v>
      </c>
    </row>
    <row r="21" spans="2:7">
      <c r="B21" s="123">
        <f t="shared" si="4"/>
        <v>11</v>
      </c>
      <c r="C21" s="124">
        <f>EDATE(C20,1)</f>
        <v>46753</v>
      </c>
      <c r="D21" s="125">
        <f t="shared" si="6"/>
        <v>67649653.537440658</v>
      </c>
      <c r="E21" s="126">
        <f t="shared" si="1"/>
        <v>281873.55640600272</v>
      </c>
      <c r="F21" s="126">
        <f t="shared" si="2"/>
        <v>0</v>
      </c>
      <c r="G21" s="127">
        <f t="shared" si="3"/>
        <v>67649653.537440658</v>
      </c>
    </row>
    <row r="22" spans="2:7">
      <c r="B22" s="128">
        <f t="shared" si="4"/>
        <v>12</v>
      </c>
      <c r="C22" s="129">
        <f t="shared" si="5"/>
        <v>46784</v>
      </c>
      <c r="D22" s="130">
        <f t="shared" si="6"/>
        <v>67649653.537440658</v>
      </c>
      <c r="E22" s="131">
        <f t="shared" si="1"/>
        <v>281873.55640600272</v>
      </c>
      <c r="F22" s="131">
        <f t="shared" si="2"/>
        <v>0</v>
      </c>
      <c r="G22" s="132">
        <f t="shared" si="3"/>
        <v>67649653.537440658</v>
      </c>
    </row>
    <row r="23" spans="2:7">
      <c r="B23" s="123">
        <f t="shared" si="4"/>
        <v>13</v>
      </c>
      <c r="C23" s="124">
        <f t="shared" si="5"/>
        <v>46813</v>
      </c>
      <c r="D23" s="125">
        <f t="shared" si="6"/>
        <v>67649653.537440658</v>
      </c>
      <c r="E23" s="126">
        <f>IF(B23&lt;=$D$6,$G$5/12*$D$3,-IPMT($G$5/12,B23-$D$6,$D$7*12,$D$3))</f>
        <v>281873.55640600272</v>
      </c>
      <c r="F23" s="126">
        <f>-IF(B23&lt;=$D$6,0,PPMT($G$5/12,B23-$D$6,$D$7*12,$D$3))</f>
        <v>81284.411675775147</v>
      </c>
      <c r="G23" s="127">
        <f t="shared" si="3"/>
        <v>67568369.125764877</v>
      </c>
    </row>
    <row r="24" spans="2:7">
      <c r="B24" s="123">
        <f t="shared" si="4"/>
        <v>14</v>
      </c>
      <c r="C24" s="124">
        <f t="shared" si="5"/>
        <v>46844</v>
      </c>
      <c r="D24" s="125">
        <f t="shared" si="6"/>
        <v>67568369.125764877</v>
      </c>
      <c r="E24" s="126">
        <f t="shared" ref="E24:E34" si="7">IF(B24&lt;=$D$6,$G$5/12*$D$3,-IPMT($G$5/12,B24-$D$6,$D$7*12,$D$3))</f>
        <v>281534.87135735375</v>
      </c>
      <c r="F24" s="126">
        <f t="shared" ref="F24:F33" si="8">-IF(B24&lt;=$D$6,0,PPMT($G$5/12,B24-$D$6,$D$7*12,$D$3))</f>
        <v>81623.096724424191</v>
      </c>
      <c r="G24" s="127">
        <f t="shared" si="3"/>
        <v>67486746.029040456</v>
      </c>
    </row>
    <row r="25" spans="2:7">
      <c r="B25" s="123">
        <f t="shared" si="4"/>
        <v>15</v>
      </c>
      <c r="C25" s="124">
        <f t="shared" si="5"/>
        <v>46874</v>
      </c>
      <c r="D25" s="125">
        <f>G24</f>
        <v>67486746.029040456</v>
      </c>
      <c r="E25" s="126">
        <f t="shared" si="7"/>
        <v>281194.77512100193</v>
      </c>
      <c r="F25" s="126">
        <f t="shared" si="8"/>
        <v>81963.192960775967</v>
      </c>
      <c r="G25" s="127">
        <f>D25-F25</f>
        <v>67404782.836079687</v>
      </c>
    </row>
    <row r="26" spans="2:7">
      <c r="B26" s="123">
        <f t="shared" si="4"/>
        <v>16</v>
      </c>
      <c r="C26" s="124">
        <f t="shared" si="5"/>
        <v>46905</v>
      </c>
      <c r="D26" s="125">
        <f t="shared" si="6"/>
        <v>67404782.836079687</v>
      </c>
      <c r="E26" s="126">
        <f>IF(B26&lt;=$D$6,$G$5/12*$D$3,-IPMT($G$5/12,B26-$D$6,$D$7*12,$D$3))</f>
        <v>280853.26181699871</v>
      </c>
      <c r="F26" s="126">
        <f>-IF(B26&lt;=$D$6,0,PPMT($G$5/12,B26-$D$6,$D$7*12,$D$3))</f>
        <v>82304.706264779205</v>
      </c>
      <c r="G26" s="127">
        <f t="shared" si="3"/>
        <v>67322478.129814908</v>
      </c>
    </row>
    <row r="27" spans="2:7">
      <c r="B27" s="123">
        <f t="shared" si="4"/>
        <v>17</v>
      </c>
      <c r="C27" s="124">
        <f t="shared" si="5"/>
        <v>46935</v>
      </c>
      <c r="D27" s="125">
        <f t="shared" si="6"/>
        <v>67322478.129814908</v>
      </c>
      <c r="E27" s="126">
        <f t="shared" si="7"/>
        <v>280510.32554089546</v>
      </c>
      <c r="F27" s="126">
        <f>-IF(B27&lt;=$D$6,0,PPMT($G$5/12,B27-$D$6,$D$7*12,$D$3))</f>
        <v>82647.642540882443</v>
      </c>
      <c r="G27" s="127">
        <f t="shared" si="3"/>
        <v>67239830.487274021</v>
      </c>
    </row>
    <row r="28" spans="2:7">
      <c r="B28" s="123">
        <f t="shared" si="4"/>
        <v>18</v>
      </c>
      <c r="C28" s="124">
        <f t="shared" si="5"/>
        <v>46966</v>
      </c>
      <c r="D28" s="125">
        <f t="shared" si="6"/>
        <v>67239830.487274021</v>
      </c>
      <c r="E28" s="126">
        <f t="shared" si="7"/>
        <v>280165.96036364173</v>
      </c>
      <c r="F28" s="126">
        <f t="shared" si="8"/>
        <v>82992.007718136127</v>
      </c>
      <c r="G28" s="127">
        <f t="shared" si="3"/>
        <v>67156838.47955589</v>
      </c>
    </row>
    <row r="29" spans="2:7">
      <c r="B29" s="123">
        <f t="shared" si="4"/>
        <v>19</v>
      </c>
      <c r="C29" s="124">
        <f t="shared" si="5"/>
        <v>46997</v>
      </c>
      <c r="D29" s="125">
        <f t="shared" si="6"/>
        <v>67156838.47955589</v>
      </c>
      <c r="E29" s="126">
        <f t="shared" si="7"/>
        <v>279820.16033148294</v>
      </c>
      <c r="F29" s="126">
        <f t="shared" si="8"/>
        <v>83337.807750295004</v>
      </c>
      <c r="G29" s="127">
        <f>D29-F29</f>
        <v>67073500.671805598</v>
      </c>
    </row>
    <row r="30" spans="2:7">
      <c r="B30" s="123">
        <f t="shared" si="4"/>
        <v>20</v>
      </c>
      <c r="C30" s="124">
        <f t="shared" si="5"/>
        <v>47027</v>
      </c>
      <c r="D30" s="125">
        <f t="shared" si="6"/>
        <v>67073500.671805598</v>
      </c>
      <c r="E30" s="126">
        <f t="shared" si="7"/>
        <v>279472.91946585668</v>
      </c>
      <c r="F30" s="126">
        <f>-IF(B30&lt;=$D$6,0,PPMT($G$5/12,B30-$D$6,$D$7*12,$D$3))</f>
        <v>83685.04861592126</v>
      </c>
      <c r="G30" s="127">
        <f t="shared" si="3"/>
        <v>66989815.62318968</v>
      </c>
    </row>
    <row r="31" spans="2:7">
      <c r="B31" s="123">
        <f t="shared" si="4"/>
        <v>21</v>
      </c>
      <c r="C31" s="124">
        <f t="shared" si="5"/>
        <v>47058</v>
      </c>
      <c r="D31" s="125">
        <f t="shared" si="6"/>
        <v>66989815.62318968</v>
      </c>
      <c r="E31" s="126">
        <f>IF(B31&lt;=$D$6,$G$5/12*$D$3,-IPMT($G$5/12,B31-$D$6,$D$7*12,$D$3))</f>
        <v>279124.2317632903</v>
      </c>
      <c r="F31" s="126">
        <f t="shared" si="8"/>
        <v>84033.736318487601</v>
      </c>
      <c r="G31" s="127">
        <f t="shared" si="3"/>
        <v>66905781.886871196</v>
      </c>
    </row>
    <row r="32" spans="2:7">
      <c r="B32" s="123">
        <f t="shared" si="4"/>
        <v>22</v>
      </c>
      <c r="C32" s="124">
        <f t="shared" si="5"/>
        <v>47088</v>
      </c>
      <c r="D32" s="125">
        <f t="shared" si="6"/>
        <v>66905781.886871196</v>
      </c>
      <c r="E32" s="126">
        <f t="shared" si="7"/>
        <v>278774.09119529661</v>
      </c>
      <c r="F32" s="126">
        <f t="shared" si="8"/>
        <v>84383.876886481288</v>
      </c>
      <c r="G32" s="127">
        <f t="shared" si="3"/>
        <v>66821398.009984717</v>
      </c>
    </row>
    <row r="33" spans="2:13">
      <c r="B33" s="123">
        <f t="shared" si="4"/>
        <v>23</v>
      </c>
      <c r="C33" s="124">
        <f t="shared" si="5"/>
        <v>47119</v>
      </c>
      <c r="D33" s="125">
        <f t="shared" si="6"/>
        <v>66821398.009984717</v>
      </c>
      <c r="E33" s="126">
        <f t="shared" si="7"/>
        <v>278422.49170826963</v>
      </c>
      <c r="F33" s="126">
        <f t="shared" si="8"/>
        <v>84735.476373508296</v>
      </c>
      <c r="G33" s="127">
        <f t="shared" si="3"/>
        <v>66736662.533611208</v>
      </c>
    </row>
    <row r="34" spans="2:13">
      <c r="B34" s="128">
        <f t="shared" si="4"/>
        <v>24</v>
      </c>
      <c r="C34" s="129">
        <f t="shared" si="5"/>
        <v>47150</v>
      </c>
      <c r="D34" s="130">
        <f t="shared" si="6"/>
        <v>66736662.533611208</v>
      </c>
      <c r="E34" s="131">
        <f t="shared" si="7"/>
        <v>278069.42722338001</v>
      </c>
      <c r="F34" s="131">
        <f>-IF(B34&lt;=$D$6,0,PPMT($G$5/12,B34-$D$6,$D$7*12,$D$3))</f>
        <v>85088.540858397915</v>
      </c>
      <c r="G34" s="132">
        <f t="shared" si="3"/>
        <v>66651573.992752813</v>
      </c>
    </row>
    <row r="35" spans="2:13">
      <c r="B35" s="123">
        <f t="shared" si="4"/>
        <v>25</v>
      </c>
      <c r="C35" s="124">
        <f t="shared" si="5"/>
        <v>47178</v>
      </c>
      <c r="D35" s="125">
        <f t="shared" si="6"/>
        <v>66651573.992752813</v>
      </c>
      <c r="E35" s="126">
        <f>IF(B35&lt;=$D$6,$G$6/12*$D$3,-IPMT($G$6/12,B35-$D$6,$D$7*12,$D$3))</f>
        <v>277714.89163647004</v>
      </c>
      <c r="F35" s="126">
        <f>-IF(B35&lt;=$D$6,0,PPMT($G$6/12,B35-$D$6,$D$7*12,$D$3))</f>
        <v>85443.076445307888</v>
      </c>
      <c r="G35" s="127">
        <f t="shared" si="3"/>
        <v>66566130.916307501</v>
      </c>
    </row>
    <row r="36" spans="2:13">
      <c r="B36" s="123">
        <f t="shared" si="4"/>
        <v>26</v>
      </c>
      <c r="C36" s="124">
        <f t="shared" si="5"/>
        <v>47209</v>
      </c>
      <c r="D36" s="125">
        <f t="shared" si="6"/>
        <v>66566130.916307501</v>
      </c>
      <c r="E36" s="126">
        <f t="shared" ref="E36:E46" si="9">IF(B36&lt;=$D$6,$G$6/12*$D$3,-IPMT($G$6/12,B36-$D$6,$D$7*12,$D$3))</f>
        <v>277358.87881794787</v>
      </c>
      <c r="F36" s="126">
        <f t="shared" ref="F36:F46" si="10">-IF(B36&lt;=$D$6,0,PPMT($G$6/12,B36-$D$6,$D$7*12,$D$3))</f>
        <v>85799.089263830028</v>
      </c>
      <c r="G36" s="127">
        <f t="shared" si="3"/>
        <v>66480331.827043675</v>
      </c>
    </row>
    <row r="37" spans="2:13">
      <c r="B37" s="123">
        <f t="shared" si="4"/>
        <v>27</v>
      </c>
      <c r="C37" s="124">
        <f t="shared" si="5"/>
        <v>47239</v>
      </c>
      <c r="D37" s="125">
        <f t="shared" si="6"/>
        <v>66480331.827043675</v>
      </c>
      <c r="E37" s="126">
        <f t="shared" si="9"/>
        <v>277001.38261268195</v>
      </c>
      <c r="F37" s="126">
        <f t="shared" si="10"/>
        <v>86156.585469095968</v>
      </c>
      <c r="G37" s="127">
        <f>D37-F37</f>
        <v>66394175.241574578</v>
      </c>
    </row>
    <row r="38" spans="2:13">
      <c r="B38" s="123">
        <f t="shared" si="4"/>
        <v>28</v>
      </c>
      <c r="C38" s="124">
        <f t="shared" si="5"/>
        <v>47270</v>
      </c>
      <c r="D38" s="125">
        <f t="shared" si="6"/>
        <v>66394175.241574578</v>
      </c>
      <c r="E38" s="126">
        <f>IF(B38&lt;=$D$6,$G$6/12*$D$3,-IPMT($G$6/12,B38-$D$6,$D$7*12,$D$3))</f>
        <v>276642.39683989406</v>
      </c>
      <c r="F38" s="126">
        <f>-IF(B38&lt;=$D$6,0,PPMT($G$6/12,B38-$D$6,$D$7*12,$D$3))</f>
        <v>86515.571241883867</v>
      </c>
      <c r="G38" s="127">
        <f t="shared" si="3"/>
        <v>66307659.670332693</v>
      </c>
    </row>
    <row r="39" spans="2:13">
      <c r="B39" s="123">
        <f t="shared" si="4"/>
        <v>29</v>
      </c>
      <c r="C39" s="124">
        <f t="shared" si="5"/>
        <v>47300</v>
      </c>
      <c r="D39" s="125">
        <f t="shared" si="6"/>
        <v>66307659.670332693</v>
      </c>
      <c r="E39" s="126">
        <f t="shared" si="9"/>
        <v>276281.91529305285</v>
      </c>
      <c r="F39" s="126">
        <f>-IF(B39&lt;=$D$6,0,PPMT($G$6/12,B39-$D$6,$D$7*12,$D$3))</f>
        <v>86876.052788725079</v>
      </c>
      <c r="G39" s="127">
        <f t="shared" si="3"/>
        <v>66220783.617543966</v>
      </c>
      <c r="K39" s="497"/>
      <c r="M39" s="497"/>
    </row>
    <row r="40" spans="2:13">
      <c r="B40" s="123">
        <f t="shared" si="4"/>
        <v>30</v>
      </c>
      <c r="C40" s="124">
        <f t="shared" si="5"/>
        <v>47331</v>
      </c>
      <c r="D40" s="125">
        <f t="shared" si="6"/>
        <v>66220783.617543966</v>
      </c>
      <c r="E40" s="126">
        <f t="shared" si="9"/>
        <v>275919.9317397665</v>
      </c>
      <c r="F40" s="126">
        <f t="shared" si="10"/>
        <v>87238.036342011401</v>
      </c>
      <c r="G40" s="127">
        <f t="shared" si="3"/>
        <v>66133545.581201956</v>
      </c>
    </row>
    <row r="41" spans="2:13">
      <c r="B41" s="123">
        <f t="shared" si="4"/>
        <v>31</v>
      </c>
      <c r="C41" s="124">
        <f t="shared" si="5"/>
        <v>47362</v>
      </c>
      <c r="D41" s="125">
        <f t="shared" si="6"/>
        <v>66133545.581201956</v>
      </c>
      <c r="E41" s="126">
        <f t="shared" si="9"/>
        <v>275556.43992167478</v>
      </c>
      <c r="F41" s="126">
        <f t="shared" si="10"/>
        <v>87601.528160103146</v>
      </c>
      <c r="G41" s="127">
        <f t="shared" si="3"/>
        <v>66045944.053041853</v>
      </c>
    </row>
    <row r="42" spans="2:13">
      <c r="B42" s="123">
        <f t="shared" si="4"/>
        <v>32</v>
      </c>
      <c r="C42" s="124">
        <f t="shared" si="5"/>
        <v>47392</v>
      </c>
      <c r="D42" s="125">
        <f t="shared" si="6"/>
        <v>66045944.053041853</v>
      </c>
      <c r="E42" s="126">
        <f t="shared" si="9"/>
        <v>275191.43355434103</v>
      </c>
      <c r="F42" s="126">
        <f t="shared" si="10"/>
        <v>87966.534527436888</v>
      </c>
      <c r="G42" s="127">
        <f t="shared" si="3"/>
        <v>65957977.518514417</v>
      </c>
    </row>
    <row r="43" spans="2:13">
      <c r="B43" s="123">
        <f t="shared" si="4"/>
        <v>33</v>
      </c>
      <c r="C43" s="124">
        <f t="shared" si="5"/>
        <v>47423</v>
      </c>
      <c r="D43" s="125">
        <f t="shared" si="6"/>
        <v>65957977.518514417</v>
      </c>
      <c r="E43" s="126">
        <f t="shared" si="9"/>
        <v>274824.90632714331</v>
      </c>
      <c r="F43" s="126">
        <f t="shared" si="10"/>
        <v>88333.061754634546</v>
      </c>
      <c r="G43" s="127">
        <f>D43-F43</f>
        <v>65869644.456759781</v>
      </c>
    </row>
    <row r="44" spans="2:13">
      <c r="B44" s="123">
        <f t="shared" si="4"/>
        <v>34</v>
      </c>
      <c r="C44" s="124">
        <f t="shared" si="5"/>
        <v>47453</v>
      </c>
      <c r="D44" s="125">
        <f t="shared" si="6"/>
        <v>65869644.456759781</v>
      </c>
      <c r="E44" s="126">
        <f t="shared" si="9"/>
        <v>274456.85190316569</v>
      </c>
      <c r="F44" s="126">
        <f t="shared" si="10"/>
        <v>88701.116178612181</v>
      </c>
      <c r="G44" s="127">
        <f t="shared" si="3"/>
        <v>65780943.340581171</v>
      </c>
    </row>
    <row r="45" spans="2:13">
      <c r="B45" s="123">
        <f t="shared" si="4"/>
        <v>35</v>
      </c>
      <c r="C45" s="124">
        <f t="shared" si="5"/>
        <v>47484</v>
      </c>
      <c r="D45" s="125">
        <f t="shared" si="6"/>
        <v>65780943.340581171</v>
      </c>
      <c r="E45" s="126">
        <f t="shared" si="9"/>
        <v>274087.26391908817</v>
      </c>
      <c r="F45" s="126">
        <f t="shared" si="10"/>
        <v>89070.704162689741</v>
      </c>
      <c r="G45" s="127">
        <f t="shared" si="3"/>
        <v>65691872.636418484</v>
      </c>
    </row>
    <row r="46" spans="2:13">
      <c r="B46" s="128">
        <f t="shared" si="4"/>
        <v>36</v>
      </c>
      <c r="C46" s="129">
        <f t="shared" si="5"/>
        <v>47515</v>
      </c>
      <c r="D46" s="130">
        <f t="shared" si="6"/>
        <v>65691872.636418484</v>
      </c>
      <c r="E46" s="131">
        <f t="shared" si="9"/>
        <v>273716.13598507701</v>
      </c>
      <c r="F46" s="131">
        <f t="shared" si="10"/>
        <v>89441.832096700949</v>
      </c>
      <c r="G46" s="132">
        <f t="shared" si="3"/>
        <v>65602430.804321781</v>
      </c>
    </row>
    <row r="47" spans="2:13">
      <c r="B47" s="123">
        <f t="shared" si="4"/>
        <v>37</v>
      </c>
      <c r="C47" s="124">
        <f t="shared" si="5"/>
        <v>47543</v>
      </c>
      <c r="D47" s="125">
        <f t="shared" si="6"/>
        <v>65602430.804321781</v>
      </c>
      <c r="E47" s="126">
        <f>IF(B47&lt;=$D$6,$G$7/12*$D$3,-IPMT($G$7/12,B47-$D$6,$D$7*12,$D$3))</f>
        <v>273343.46168467402</v>
      </c>
      <c r="F47" s="126">
        <f>-IF(B47&lt;=$D$6,0,PPMT($G$7/12,B47-$D$6,$D$7*12,$D$3))</f>
        <v>89814.506397103862</v>
      </c>
      <c r="G47" s="127">
        <f t="shared" si="3"/>
        <v>65512616.297924675</v>
      </c>
    </row>
    <row r="48" spans="2:13">
      <c r="B48" s="123">
        <f t="shared" si="4"/>
        <v>38</v>
      </c>
      <c r="C48" s="124">
        <f t="shared" si="5"/>
        <v>47574</v>
      </c>
      <c r="D48" s="125">
        <f t="shared" si="6"/>
        <v>65512616.297924675</v>
      </c>
      <c r="E48" s="126">
        <f t="shared" ref="E48:E58" si="11">IF(B48&lt;=$D$6,$G$7/12*$D$3,-IPMT($G$7/12,B48-$D$6,$D$7*12,$D$3))</f>
        <v>272969.2345746861</v>
      </c>
      <c r="F48" s="126">
        <f t="shared" ref="F48:F58" si="12">-IF(B48&lt;=$D$6,0,PPMT($G$7/12,B48-$D$6,$D$7*12,$D$3))</f>
        <v>90188.733507091805</v>
      </c>
      <c r="G48" s="127">
        <f t="shared" si="3"/>
        <v>65422427.564417586</v>
      </c>
    </row>
    <row r="49" spans="2:14">
      <c r="B49" s="123">
        <f t="shared" si="4"/>
        <v>39</v>
      </c>
      <c r="C49" s="124">
        <f t="shared" si="5"/>
        <v>47604</v>
      </c>
      <c r="D49" s="125">
        <f t="shared" si="6"/>
        <v>65422427.564417586</v>
      </c>
      <c r="E49" s="126">
        <f t="shared" si="11"/>
        <v>272593.44818507321</v>
      </c>
      <c r="F49" s="126">
        <f t="shared" si="12"/>
        <v>90564.519896704689</v>
      </c>
      <c r="G49" s="127">
        <f>D49-F49</f>
        <v>65331863.044520885</v>
      </c>
    </row>
    <row r="50" spans="2:14">
      <c r="B50" s="123">
        <f t="shared" si="4"/>
        <v>40</v>
      </c>
      <c r="C50" s="124">
        <f t="shared" si="5"/>
        <v>47635</v>
      </c>
      <c r="D50" s="125">
        <f t="shared" si="6"/>
        <v>65331863.044520885</v>
      </c>
      <c r="E50" s="126">
        <f>IF(B50&lt;=$D$6,$G$7/12*$D$3,-IPMT($G$7/12,B50-$D$6,$D$7*12,$D$3))</f>
        <v>272216.09601883701</v>
      </c>
      <c r="F50" s="126">
        <f>-IF(B50&lt;=$D$6,0,PPMT($G$7/12,B50-$D$6,$D$7*12,$D$3))</f>
        <v>90941.872062940936</v>
      </c>
      <c r="G50" s="127">
        <f t="shared" si="3"/>
        <v>65240921.172457941</v>
      </c>
    </row>
    <row r="51" spans="2:14">
      <c r="B51" s="123">
        <f t="shared" si="4"/>
        <v>41</v>
      </c>
      <c r="C51" s="124">
        <f t="shared" si="5"/>
        <v>47665</v>
      </c>
      <c r="D51" s="125">
        <f t="shared" si="6"/>
        <v>65240921.172457941</v>
      </c>
      <c r="E51" s="126">
        <f>IF(B51&lt;=$D$6,$G$7/12*$D$3,-IPMT($G$7/12,B51-$D$6,$D$7*12,$D$3))</f>
        <v>271837.17155190808</v>
      </c>
      <c r="F51" s="126">
        <f t="shared" si="12"/>
        <v>91320.796529869855</v>
      </c>
      <c r="G51" s="127">
        <f t="shared" si="3"/>
        <v>65149600.375928074</v>
      </c>
    </row>
    <row r="52" spans="2:14">
      <c r="B52" s="123">
        <f t="shared" si="4"/>
        <v>42</v>
      </c>
      <c r="C52" s="124">
        <f t="shared" si="5"/>
        <v>47696</v>
      </c>
      <c r="D52" s="125">
        <f t="shared" si="6"/>
        <v>65149600.375928074</v>
      </c>
      <c r="E52" s="126">
        <f t="shared" si="11"/>
        <v>271456.66823303356</v>
      </c>
      <c r="F52" s="126">
        <f t="shared" si="12"/>
        <v>91701.299848744355</v>
      </c>
      <c r="G52" s="127">
        <f t="shared" si="3"/>
        <v>65057899.076079331</v>
      </c>
    </row>
    <row r="53" spans="2:14">
      <c r="B53" s="123">
        <f t="shared" si="4"/>
        <v>43</v>
      </c>
      <c r="C53" s="124">
        <f t="shared" si="5"/>
        <v>47727</v>
      </c>
      <c r="D53" s="125">
        <f t="shared" si="6"/>
        <v>65057899.076079331</v>
      </c>
      <c r="E53" s="126">
        <f>IF(B53&lt;=$D$6,$G$7/12*$D$3,-IPMT($G$7/12,B53-$D$6,$D$7*12,$D$3))</f>
        <v>271074.57948366378</v>
      </c>
      <c r="F53" s="126">
        <f>-IF(B53&lt;=$D$6,0,PPMT($G$7/12,B53-$D$6,$D$7*12,$D$3))</f>
        <v>92083.388598114092</v>
      </c>
      <c r="G53" s="127">
        <f t="shared" si="3"/>
        <v>64965815.687481217</v>
      </c>
    </row>
    <row r="54" spans="2:14">
      <c r="B54" s="123">
        <f t="shared" si="4"/>
        <v>44</v>
      </c>
      <c r="C54" s="124">
        <f t="shared" si="5"/>
        <v>47757</v>
      </c>
      <c r="D54" s="125">
        <f t="shared" si="6"/>
        <v>64965815.687481217</v>
      </c>
      <c r="E54" s="126">
        <f t="shared" si="11"/>
        <v>270690.89869783836</v>
      </c>
      <c r="F54" s="126">
        <f t="shared" si="12"/>
        <v>92467.069383939568</v>
      </c>
      <c r="G54" s="127">
        <f t="shared" si="3"/>
        <v>64873348.618097275</v>
      </c>
    </row>
    <row r="55" spans="2:14">
      <c r="B55" s="123">
        <f t="shared" si="4"/>
        <v>45</v>
      </c>
      <c r="C55" s="124">
        <f t="shared" si="5"/>
        <v>47788</v>
      </c>
      <c r="D55" s="125">
        <f t="shared" si="6"/>
        <v>64873348.618097275</v>
      </c>
      <c r="E55" s="126">
        <f t="shared" si="11"/>
        <v>270305.61924207193</v>
      </c>
      <c r="F55" s="126">
        <f t="shared" si="12"/>
        <v>92852.348839705999</v>
      </c>
      <c r="G55" s="127">
        <f t="shared" si="3"/>
        <v>64780496.269257568</v>
      </c>
    </row>
    <row r="56" spans="2:14">
      <c r="B56" s="123">
        <f t="shared" si="4"/>
        <v>46</v>
      </c>
      <c r="C56" s="124">
        <f t="shared" si="5"/>
        <v>47818</v>
      </c>
      <c r="D56" s="125">
        <f t="shared" si="6"/>
        <v>64780496.269257568</v>
      </c>
      <c r="E56" s="126">
        <f t="shared" si="11"/>
        <v>269918.73445523978</v>
      </c>
      <c r="F56" s="126">
        <f t="shared" si="12"/>
        <v>93239.233626538102</v>
      </c>
      <c r="G56" s="127">
        <f t="shared" si="3"/>
        <v>64687257.035631031</v>
      </c>
    </row>
    <row r="57" spans="2:14">
      <c r="B57" s="123">
        <f t="shared" si="4"/>
        <v>47</v>
      </c>
      <c r="C57" s="124">
        <f t="shared" si="5"/>
        <v>47849</v>
      </c>
      <c r="D57" s="125">
        <f t="shared" si="6"/>
        <v>64687257.035631031</v>
      </c>
      <c r="E57" s="126">
        <f t="shared" si="11"/>
        <v>269530.23764846259</v>
      </c>
      <c r="F57" s="126">
        <f t="shared" si="12"/>
        <v>93627.730433315344</v>
      </c>
      <c r="G57" s="127">
        <f t="shared" si="3"/>
        <v>64593629.305197716</v>
      </c>
    </row>
    <row r="58" spans="2:14">
      <c r="B58" s="128">
        <f t="shared" si="4"/>
        <v>48</v>
      </c>
      <c r="C58" s="129">
        <f t="shared" si="5"/>
        <v>47880</v>
      </c>
      <c r="D58" s="130">
        <f t="shared" si="6"/>
        <v>64593629.305197716</v>
      </c>
      <c r="E58" s="131">
        <f t="shared" si="11"/>
        <v>269140.12210499041</v>
      </c>
      <c r="F58" s="131">
        <f t="shared" si="12"/>
        <v>94017.845976787488</v>
      </c>
      <c r="G58" s="132">
        <f t="shared" si="3"/>
        <v>64499611.459220931</v>
      </c>
    </row>
    <row r="59" spans="2:14">
      <c r="B59" s="123">
        <f t="shared" si="4"/>
        <v>49</v>
      </c>
      <c r="C59" s="124">
        <f t="shared" si="5"/>
        <v>47908</v>
      </c>
      <c r="D59" s="125">
        <f t="shared" si="6"/>
        <v>64499611.459220931</v>
      </c>
      <c r="E59" s="126">
        <f>IF(B59&lt;=$D$6,$G$8/12*$D$3,-IPMT($G$8/12,B59-$D$6,$D$7*12,$D$3))</f>
        <v>268748.38108008716</v>
      </c>
      <c r="F59" s="126">
        <f>-IF(B59&lt;=$D$6,0,PPMT($G$8/12,B59-$D$6,$D$7*12,$D$3))</f>
        <v>94409.587001690743</v>
      </c>
      <c r="G59" s="127">
        <f t="shared" si="3"/>
        <v>64405201.872219242</v>
      </c>
      <c r="J59" s="710">
        <v>0.06</v>
      </c>
      <c r="L59" s="501">
        <v>5.7500000000000002E-2</v>
      </c>
      <c r="N59" t="s">
        <v>246</v>
      </c>
    </row>
    <row r="60" spans="2:14">
      <c r="B60" s="123">
        <f t="shared" si="4"/>
        <v>50</v>
      </c>
      <c r="C60" s="124">
        <f t="shared" si="5"/>
        <v>47939</v>
      </c>
      <c r="D60" s="125">
        <f t="shared" si="6"/>
        <v>64405201.872219242</v>
      </c>
      <c r="E60" s="126">
        <f t="shared" ref="E60:E69" si="13">IF(B60&lt;=$D$6,$G$8/12*$D$3,-IPMT($G$8/12,B60-$D$6,$D$7*12,$D$3))</f>
        <v>268355.00780091342</v>
      </c>
      <c r="F60" s="126">
        <f t="shared" ref="F60:F69" si="14">-IF(B60&lt;=$D$6,0,PPMT($G$8/12,B60-$D$6,$D$7*12,$D$3))</f>
        <v>94802.960280864485</v>
      </c>
      <c r="G60" s="127">
        <f t="shared" si="3"/>
        <v>64310398.911938377</v>
      </c>
      <c r="J60" s="711">
        <v>228200</v>
      </c>
      <c r="K60" s="711"/>
      <c r="L60" s="711">
        <v>222119</v>
      </c>
      <c r="M60" s="711"/>
      <c r="N60" s="711">
        <f>+J60-L60</f>
        <v>6081</v>
      </c>
    </row>
    <row r="61" spans="2:14">
      <c r="B61" s="123">
        <f t="shared" si="4"/>
        <v>51</v>
      </c>
      <c r="C61" s="124">
        <f t="shared" si="5"/>
        <v>47969</v>
      </c>
      <c r="D61" s="125">
        <f t="shared" si="6"/>
        <v>64310398.911938377</v>
      </c>
      <c r="E61" s="126">
        <f t="shared" si="13"/>
        <v>267959.99546640983</v>
      </c>
      <c r="F61" s="126">
        <f t="shared" si="14"/>
        <v>95197.972615368068</v>
      </c>
      <c r="G61" s="127">
        <f t="shared" si="3"/>
        <v>64215200.939323008</v>
      </c>
      <c r="J61" s="711">
        <f>+J60*12</f>
        <v>2738400</v>
      </c>
      <c r="K61" s="711"/>
      <c r="L61" s="711">
        <f>+L60*12</f>
        <v>2665428</v>
      </c>
      <c r="M61" s="711"/>
      <c r="N61" s="711">
        <f t="shared" ref="N61" si="15">+J61-L61</f>
        <v>72972</v>
      </c>
    </row>
    <row r="62" spans="2:14">
      <c r="B62" s="123">
        <f>B61+1</f>
        <v>52</v>
      </c>
      <c r="C62" s="124">
        <f t="shared" si="5"/>
        <v>48000</v>
      </c>
      <c r="D62" s="125">
        <f t="shared" si="6"/>
        <v>64215200.939323008</v>
      </c>
      <c r="E62" s="126">
        <f t="shared" si="13"/>
        <v>267563.33724717912</v>
      </c>
      <c r="F62" s="126">
        <f t="shared" si="14"/>
        <v>95594.630834598778</v>
      </c>
      <c r="G62" s="127">
        <f t="shared" si="3"/>
        <v>64119606.308488406</v>
      </c>
    </row>
    <row r="63" spans="2:14">
      <c r="B63" s="123">
        <f t="shared" si="4"/>
        <v>53</v>
      </c>
      <c r="C63" s="124">
        <f t="shared" si="5"/>
        <v>48030</v>
      </c>
      <c r="D63" s="125">
        <f t="shared" si="6"/>
        <v>64119606.308488406</v>
      </c>
      <c r="E63" s="126">
        <f t="shared" si="13"/>
        <v>267165.02628536831</v>
      </c>
      <c r="F63" s="126">
        <f t="shared" si="14"/>
        <v>95992.941796409621</v>
      </c>
      <c r="G63" s="127">
        <f t="shared" si="3"/>
        <v>64023613.366691999</v>
      </c>
    </row>
    <row r="64" spans="2:14">
      <c r="B64" s="123">
        <f t="shared" si="4"/>
        <v>54</v>
      </c>
      <c r="C64" s="124">
        <f t="shared" si="5"/>
        <v>48061</v>
      </c>
      <c r="D64" s="125">
        <f t="shared" si="6"/>
        <v>64023613.366691999</v>
      </c>
      <c r="E64" s="126">
        <f t="shared" si="13"/>
        <v>266765.05569454993</v>
      </c>
      <c r="F64" s="126">
        <f t="shared" si="14"/>
        <v>96392.912387227989</v>
      </c>
      <c r="G64" s="127">
        <f t="shared" si="3"/>
        <v>63927220.45430477</v>
      </c>
    </row>
    <row r="65" spans="2:7">
      <c r="B65" s="123">
        <f t="shared" si="4"/>
        <v>55</v>
      </c>
      <c r="C65" s="124">
        <f t="shared" si="5"/>
        <v>48092</v>
      </c>
      <c r="D65" s="125">
        <f t="shared" si="6"/>
        <v>63927220.45430477</v>
      </c>
      <c r="E65" s="126">
        <f t="shared" si="13"/>
        <v>266363.41855960316</v>
      </c>
      <c r="F65" s="126">
        <f t="shared" si="14"/>
        <v>96794.549522174784</v>
      </c>
      <c r="G65" s="127">
        <f t="shared" si="3"/>
        <v>63830425.904782593</v>
      </c>
    </row>
    <row r="66" spans="2:7">
      <c r="B66" s="123">
        <f t="shared" si="4"/>
        <v>56</v>
      </c>
      <c r="C66" s="124">
        <f t="shared" si="5"/>
        <v>48122</v>
      </c>
      <c r="D66" s="125">
        <f t="shared" si="6"/>
        <v>63830425.904782593</v>
      </c>
      <c r="E66" s="126">
        <f t="shared" si="13"/>
        <v>265960.10793659405</v>
      </c>
      <c r="F66" s="126">
        <f t="shared" si="14"/>
        <v>97197.860145183819</v>
      </c>
      <c r="G66" s="127">
        <f t="shared" si="3"/>
        <v>63733228.044637412</v>
      </c>
    </row>
    <row r="67" spans="2:7">
      <c r="B67" s="123">
        <f t="shared" si="4"/>
        <v>57</v>
      </c>
      <c r="C67" s="124">
        <f t="shared" si="5"/>
        <v>48153</v>
      </c>
      <c r="D67" s="125">
        <f t="shared" si="6"/>
        <v>63733228.044637412</v>
      </c>
      <c r="E67" s="126">
        <f t="shared" si="13"/>
        <v>265555.11685265577</v>
      </c>
      <c r="F67" s="126">
        <f t="shared" si="14"/>
        <v>97602.851229122098</v>
      </c>
      <c r="G67" s="127">
        <f t="shared" si="3"/>
        <v>63635625.193408288</v>
      </c>
    </row>
    <row r="68" spans="2:7">
      <c r="B68" s="123">
        <f t="shared" si="4"/>
        <v>58</v>
      </c>
      <c r="C68" s="124">
        <f t="shared" si="5"/>
        <v>48183</v>
      </c>
      <c r="D68" s="125">
        <f t="shared" si="6"/>
        <v>63635625.193408288</v>
      </c>
      <c r="E68" s="126">
        <f t="shared" si="13"/>
        <v>265148.43830586784</v>
      </c>
      <c r="F68" s="126">
        <f t="shared" si="14"/>
        <v>98009.529775910094</v>
      </c>
      <c r="G68" s="127">
        <f t="shared" si="3"/>
        <v>63537615.663632378</v>
      </c>
    </row>
    <row r="69" spans="2:7">
      <c r="B69" s="123">
        <f t="shared" si="4"/>
        <v>59</v>
      </c>
      <c r="C69" s="124">
        <f t="shared" si="5"/>
        <v>48214</v>
      </c>
      <c r="D69" s="125">
        <f t="shared" si="6"/>
        <v>63537615.663632378</v>
      </c>
      <c r="E69" s="126">
        <f t="shared" si="13"/>
        <v>264740.06526513485</v>
      </c>
      <c r="F69" s="126">
        <f t="shared" si="14"/>
        <v>98417.902816643065</v>
      </c>
      <c r="G69" s="127">
        <f t="shared" si="3"/>
        <v>63439197.760815732</v>
      </c>
    </row>
    <row r="70" spans="2:7">
      <c r="B70" s="123">
        <f t="shared" si="4"/>
        <v>60</v>
      </c>
      <c r="C70" s="124">
        <f t="shared" si="5"/>
        <v>48245</v>
      </c>
      <c r="D70" s="125">
        <f t="shared" ref="D70" si="16">G69</f>
        <v>63439197.760815732</v>
      </c>
      <c r="E70" s="126">
        <f t="shared" ref="E70" si="17">IF(B70&lt;=$D$6,$G$8/12*$D$3,-IPMT($G$8/12,B70-$D$6,$D$7*12,$D$3))</f>
        <v>264329.99067006551</v>
      </c>
      <c r="F70" s="126">
        <f t="shared" ref="F70" si="18">-IF(B70&lt;=$D$6,0,PPMT($G$8/12,B70-$D$6,$D$7*12,$D$3))</f>
        <v>98827.977411712389</v>
      </c>
      <c r="G70" s="127">
        <f t="shared" ref="G70" si="19">D70-F70</f>
        <v>63340369.783404022</v>
      </c>
    </row>
    <row r="71" spans="2:7">
      <c r="B71" s="123">
        <f t="shared" si="4"/>
        <v>61</v>
      </c>
      <c r="C71" s="124">
        <f t="shared" si="5"/>
        <v>48274</v>
      </c>
      <c r="D71" s="125">
        <f t="shared" ref="D71:D85" si="20">G70</f>
        <v>63340369.783404022</v>
      </c>
      <c r="E71" s="126">
        <f t="shared" ref="E71:E85" si="21">IF(B71&lt;=$D$6,$G$8/12*$D$3,-IPMT($G$8/12,B71-$D$6,$D$7*12,$D$3))</f>
        <v>263918.20743085002</v>
      </c>
      <c r="F71" s="126">
        <f t="shared" ref="F71:F85" si="22">-IF(B71&lt;=$D$6,0,PPMT($G$8/12,B71-$D$6,$D$7*12,$D$3))</f>
        <v>99239.760650927885</v>
      </c>
      <c r="G71" s="127">
        <f t="shared" ref="G71:G85" si="23">D71-F71</f>
        <v>63241130.022753097</v>
      </c>
    </row>
    <row r="72" spans="2:7">
      <c r="B72" s="123">
        <f t="shared" si="4"/>
        <v>62</v>
      </c>
      <c r="C72" s="124">
        <f t="shared" si="5"/>
        <v>48305</v>
      </c>
      <c r="D72" s="125">
        <f t="shared" si="20"/>
        <v>63241130.022753097</v>
      </c>
      <c r="E72" s="126">
        <f t="shared" si="21"/>
        <v>263504.70842813782</v>
      </c>
      <c r="F72" s="126">
        <f t="shared" si="22"/>
        <v>99653.259653640052</v>
      </c>
      <c r="G72" s="127">
        <f t="shared" si="23"/>
        <v>63141476.763099454</v>
      </c>
    </row>
    <row r="73" spans="2:7">
      <c r="B73" s="123">
        <f t="shared" si="4"/>
        <v>63</v>
      </c>
      <c r="C73" s="124">
        <f t="shared" si="5"/>
        <v>48335</v>
      </c>
      <c r="D73" s="125">
        <f t="shared" si="20"/>
        <v>63141476.763099454</v>
      </c>
      <c r="E73" s="126">
        <f t="shared" si="21"/>
        <v>263089.4865129143</v>
      </c>
      <c r="F73" s="126">
        <f t="shared" si="22"/>
        <v>100068.48156886357</v>
      </c>
      <c r="G73" s="127">
        <f t="shared" si="23"/>
        <v>63041408.281530589</v>
      </c>
    </row>
    <row r="74" spans="2:7">
      <c r="B74" s="123">
        <f t="shared" si="4"/>
        <v>64</v>
      </c>
      <c r="C74" s="124">
        <f t="shared" si="5"/>
        <v>48366</v>
      </c>
      <c r="D74" s="125">
        <f t="shared" si="20"/>
        <v>63041408.281530589</v>
      </c>
      <c r="E74" s="126">
        <f t="shared" si="21"/>
        <v>262672.53450637741</v>
      </c>
      <c r="F74" s="126">
        <f t="shared" si="22"/>
        <v>100485.4335754005</v>
      </c>
      <c r="G74" s="127">
        <f t="shared" si="23"/>
        <v>62940922.84795519</v>
      </c>
    </row>
    <row r="75" spans="2:7">
      <c r="B75" s="123">
        <f t="shared" si="4"/>
        <v>65</v>
      </c>
      <c r="C75" s="124">
        <f t="shared" si="5"/>
        <v>48396</v>
      </c>
      <c r="D75" s="125">
        <f t="shared" si="20"/>
        <v>62940922.84795519</v>
      </c>
      <c r="E75" s="126">
        <f t="shared" si="21"/>
        <v>262253.84519981325</v>
      </c>
      <c r="F75" s="126">
        <f t="shared" si="22"/>
        <v>100904.12288196469</v>
      </c>
      <c r="G75" s="127">
        <f t="shared" si="23"/>
        <v>62840018.725073226</v>
      </c>
    </row>
    <row r="76" spans="2:7">
      <c r="B76" s="123">
        <f t="shared" si="4"/>
        <v>66</v>
      </c>
      <c r="C76" s="124">
        <f t="shared" si="5"/>
        <v>48427</v>
      </c>
      <c r="D76" s="125">
        <f t="shared" si="20"/>
        <v>62840018.725073226</v>
      </c>
      <c r="E76" s="126">
        <f t="shared" si="21"/>
        <v>261833.41135447167</v>
      </c>
      <c r="F76" s="126">
        <f t="shared" si="22"/>
        <v>101324.5567273062</v>
      </c>
      <c r="G76" s="127">
        <f t="shared" si="23"/>
        <v>62738694.168345921</v>
      </c>
    </row>
    <row r="77" spans="2:7">
      <c r="B77" s="123">
        <f t="shared" si="4"/>
        <v>67</v>
      </c>
      <c r="C77" s="124">
        <f t="shared" si="5"/>
        <v>48458</v>
      </c>
      <c r="D77" s="125">
        <f t="shared" si="20"/>
        <v>62738694.168345921</v>
      </c>
      <c r="E77" s="126">
        <f t="shared" si="21"/>
        <v>261411.22570144126</v>
      </c>
      <c r="F77" s="126">
        <f t="shared" si="22"/>
        <v>101746.74238033663</v>
      </c>
      <c r="G77" s="127">
        <f t="shared" si="23"/>
        <v>62636947.425965585</v>
      </c>
    </row>
    <row r="78" spans="2:7">
      <c r="B78" s="123">
        <f t="shared" si="4"/>
        <v>68</v>
      </c>
      <c r="C78" s="124">
        <f t="shared" si="5"/>
        <v>48488</v>
      </c>
      <c r="D78" s="125">
        <f t="shared" si="20"/>
        <v>62636947.425965585</v>
      </c>
      <c r="E78" s="126">
        <f t="shared" si="21"/>
        <v>260987.28094152323</v>
      </c>
      <c r="F78" s="126">
        <f t="shared" si="22"/>
        <v>102170.68714025471</v>
      </c>
      <c r="G78" s="127">
        <f t="shared" si="23"/>
        <v>62534776.738825329</v>
      </c>
    </row>
    <row r="79" spans="2:7">
      <c r="B79" s="123">
        <f t="shared" si="4"/>
        <v>69</v>
      </c>
      <c r="C79" s="124">
        <f t="shared" si="5"/>
        <v>48519</v>
      </c>
      <c r="D79" s="125">
        <f t="shared" si="20"/>
        <v>62534776.738825329</v>
      </c>
      <c r="E79" s="126">
        <f t="shared" si="21"/>
        <v>260561.56974510546</v>
      </c>
      <c r="F79" s="126">
        <f t="shared" si="22"/>
        <v>102596.39833667243</v>
      </c>
      <c r="G79" s="127">
        <f t="shared" si="23"/>
        <v>62432180.340488657</v>
      </c>
    </row>
    <row r="80" spans="2:7">
      <c r="B80" s="123">
        <f t="shared" si="4"/>
        <v>70</v>
      </c>
      <c r="C80" s="124">
        <f t="shared" si="5"/>
        <v>48549</v>
      </c>
      <c r="D80" s="125">
        <f t="shared" si="20"/>
        <v>62432180.340488657</v>
      </c>
      <c r="E80" s="126">
        <f t="shared" si="21"/>
        <v>260134.084752036</v>
      </c>
      <c r="F80" s="126">
        <f t="shared" si="22"/>
        <v>103023.88332974192</v>
      </c>
      <c r="G80" s="127">
        <f t="shared" si="23"/>
        <v>62329156.457158916</v>
      </c>
    </row>
    <row r="81" spans="2:7">
      <c r="B81" s="123">
        <f t="shared" si="4"/>
        <v>71</v>
      </c>
      <c r="C81" s="124">
        <f t="shared" si="5"/>
        <v>48580</v>
      </c>
      <c r="D81" s="125">
        <f t="shared" si="20"/>
        <v>62329156.457158916</v>
      </c>
      <c r="E81" s="126">
        <f t="shared" si="21"/>
        <v>259704.81857149542</v>
      </c>
      <c r="F81" s="126">
        <f t="shared" si="22"/>
        <v>103453.14951028248</v>
      </c>
      <c r="G81" s="127">
        <f t="shared" si="23"/>
        <v>62225703.307648636</v>
      </c>
    </row>
    <row r="82" spans="2:7">
      <c r="B82" s="123">
        <f t="shared" si="4"/>
        <v>72</v>
      </c>
      <c r="C82" s="124">
        <f t="shared" si="5"/>
        <v>48611</v>
      </c>
      <c r="D82" s="125">
        <f t="shared" si="20"/>
        <v>62225703.307648636</v>
      </c>
      <c r="E82" s="126">
        <f t="shared" si="21"/>
        <v>259273.76378186923</v>
      </c>
      <c r="F82" s="126">
        <f t="shared" si="22"/>
        <v>103884.20429990867</v>
      </c>
      <c r="G82" s="127">
        <f t="shared" si="23"/>
        <v>62121819.103348725</v>
      </c>
    </row>
    <row r="83" spans="2:7">
      <c r="B83" s="123">
        <f t="shared" si="4"/>
        <v>73</v>
      </c>
      <c r="C83" s="124">
        <f t="shared" si="5"/>
        <v>48639</v>
      </c>
      <c r="D83" s="125">
        <f t="shared" si="20"/>
        <v>62121819.103348725</v>
      </c>
      <c r="E83" s="126">
        <f t="shared" si="21"/>
        <v>258840.91293061961</v>
      </c>
      <c r="F83" s="126">
        <f t="shared" si="22"/>
        <v>104317.05515115829</v>
      </c>
      <c r="G83" s="127">
        <f t="shared" si="23"/>
        <v>62017502.048197567</v>
      </c>
    </row>
    <row r="84" spans="2:7">
      <c r="B84" s="123">
        <f t="shared" si="4"/>
        <v>74</v>
      </c>
      <c r="C84" s="124">
        <f t="shared" si="5"/>
        <v>48670</v>
      </c>
      <c r="D84" s="125">
        <f t="shared" si="20"/>
        <v>62017502.048197567</v>
      </c>
      <c r="E84" s="126">
        <f t="shared" si="21"/>
        <v>258406.25853415646</v>
      </c>
      <c r="F84" s="126">
        <f t="shared" si="22"/>
        <v>104751.70954762145</v>
      </c>
      <c r="G84" s="127">
        <f t="shared" si="23"/>
        <v>61912750.338649943</v>
      </c>
    </row>
    <row r="85" spans="2:7">
      <c r="B85" s="123">
        <f t="shared" si="4"/>
        <v>75</v>
      </c>
      <c r="C85" s="124">
        <f t="shared" si="5"/>
        <v>48700</v>
      </c>
      <c r="D85" s="125">
        <f t="shared" si="20"/>
        <v>61912750.338649943</v>
      </c>
      <c r="E85" s="126">
        <f t="shared" si="21"/>
        <v>257969.79307770802</v>
      </c>
      <c r="F85" s="126">
        <f t="shared" si="22"/>
        <v>105188.17500406987</v>
      </c>
      <c r="G85" s="127">
        <f t="shared" si="23"/>
        <v>61807562.163645871</v>
      </c>
    </row>
  </sheetData>
  <mergeCells count="8">
    <mergeCell ref="B2:G2"/>
    <mergeCell ref="F3:G3"/>
    <mergeCell ref="B8:C8"/>
    <mergeCell ref="B7:C7"/>
    <mergeCell ref="B3:C3"/>
    <mergeCell ref="B4:C4"/>
    <mergeCell ref="B5:C5"/>
    <mergeCell ref="B6:C6"/>
  </mergeCells>
  <pageMargins left="0.7" right="0.7" top="0.75" bottom="0.75" header="0.3" footer="0.3"/>
  <pageSetup scale="64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11</vt:i4>
      </vt:variant>
    </vt:vector>
  </HeadingPairs>
  <TitlesOfParts>
    <vt:vector size="39" baseType="lpstr">
      <vt:lpstr>Dashboard</vt:lpstr>
      <vt:lpstr>Construction Budget</vt:lpstr>
      <vt:lpstr>Year-1 Proforma</vt:lpstr>
      <vt:lpstr>Tax Abatement</vt:lpstr>
      <vt:lpstr>Unit Mix</vt:lpstr>
      <vt:lpstr>RE Tax Abatement NPV</vt:lpstr>
      <vt:lpstr>Returns Summary</vt:lpstr>
      <vt:lpstr>Cash Flows--&gt;</vt:lpstr>
      <vt:lpstr>Monthly CF's</vt:lpstr>
      <vt:lpstr>Annual CF's (Fiscal Year)</vt:lpstr>
      <vt:lpstr>Annual CF's (Calendar Year)</vt:lpstr>
      <vt:lpstr>Waterfall I Annual</vt:lpstr>
      <vt:lpstr>Waterfall II Annual</vt:lpstr>
      <vt:lpstr>Waterfall III Annual</vt:lpstr>
      <vt:lpstr>Waterfall IV Annual</vt:lpstr>
      <vt:lpstr>Property Level Returns--&gt;</vt:lpstr>
      <vt:lpstr>Unlevered Return Calcs</vt:lpstr>
      <vt:lpstr>Property Level Return Calcs</vt:lpstr>
      <vt:lpstr>Consolidated--&gt;</vt:lpstr>
      <vt:lpstr>Summary</vt:lpstr>
      <vt:lpstr>Waterfall 2.0 Years</vt:lpstr>
      <vt:lpstr>Waterfall 3.0 Years</vt:lpstr>
      <vt:lpstr>Waterfall 4.0 Years</vt:lpstr>
      <vt:lpstr>Waterfall 5.0 Years</vt:lpstr>
      <vt:lpstr>Waterfall 6.0 Years</vt:lpstr>
      <vt:lpstr>AM Tables--&gt;</vt:lpstr>
      <vt:lpstr>AM Table - Construction Loan</vt:lpstr>
      <vt:lpstr>AM Table - Perm Loan</vt:lpstr>
      <vt:lpstr>'AM Table - Perm Loan'!Print_Area</vt:lpstr>
      <vt:lpstr>'Annual CF''s (Calendar Year)'!Print_Area</vt:lpstr>
      <vt:lpstr>'Annual CF''s (Fiscal Year)'!Print_Area</vt:lpstr>
      <vt:lpstr>'Construction Budget'!Print_Area</vt:lpstr>
      <vt:lpstr>Dashboard!Print_Area</vt:lpstr>
      <vt:lpstr>'Monthly CF''s'!Print_Area</vt:lpstr>
      <vt:lpstr>'Returns Summary'!Print_Area</vt:lpstr>
      <vt:lpstr>Summary!Print_Area</vt:lpstr>
      <vt:lpstr>'Tax Abatement'!Print_Area</vt:lpstr>
      <vt:lpstr>'Unit Mix'!Print_Area</vt:lpstr>
      <vt:lpstr>'Year-1 Proforma'!Print_Area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 Turner</dc:creator>
  <cp:lastModifiedBy>Christopher Semper</cp:lastModifiedBy>
  <cp:lastPrinted>2024-10-14T22:34:54Z</cp:lastPrinted>
  <dcterms:created xsi:type="dcterms:W3CDTF">2014-01-08T20:54:06Z</dcterms:created>
  <dcterms:modified xsi:type="dcterms:W3CDTF">2024-10-14T22:35:14Z</dcterms:modified>
</cp:coreProperties>
</file>